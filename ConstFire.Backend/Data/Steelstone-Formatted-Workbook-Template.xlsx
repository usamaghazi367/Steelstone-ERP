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cationpk-my.sharepoint.com/personal/mail_kamranghazi_com/Documents/"/>
    </mc:Choice>
  </mc:AlternateContent>
  <xr:revisionPtr revIDLastSave="428" documentId="8_{9959FBC7-7F05-4B8F-92FD-25DB2EF7A270}" xr6:coauthVersionLast="47" xr6:coauthVersionMax="47" xr10:uidLastSave="{C717C359-D4FC-4A8D-9EEF-8F027E5650A3}"/>
  <bookViews>
    <workbookView xWindow="-120" yWindow="-120" windowWidth="29040" windowHeight="15720" activeTab="15" xr2:uid="{CAE52CB9-5970-4671-8F67-09CAB8E0204E}"/>
  </bookViews>
  <sheets>
    <sheet name="T00" sheetId="1" r:id="rId1"/>
    <sheet name="T01" sheetId="2" r:id="rId2"/>
    <sheet name="T02" sheetId="3" r:id="rId3"/>
    <sheet name="T03" sheetId="4" r:id="rId4"/>
    <sheet name="T04" sheetId="5" r:id="rId5"/>
    <sheet name="T05" sheetId="6" r:id="rId6"/>
    <sheet name="T06" sheetId="7" r:id="rId7"/>
    <sheet name="T07" sheetId="8" r:id="rId8"/>
    <sheet name="T08" sheetId="9" r:id="rId9"/>
    <sheet name="T09" sheetId="10" r:id="rId10"/>
    <sheet name="T10" sheetId="11" r:id="rId11"/>
    <sheet name="T11" sheetId="12" r:id="rId12"/>
    <sheet name="T12" sheetId="13" r:id="rId13"/>
    <sheet name="T13" sheetId="14" r:id="rId14"/>
    <sheet name="T14" sheetId="15" r:id="rId15"/>
    <sheet name="T15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G119" i="13" l="1"/>
  <c r="U119" i="13"/>
  <c r="X119" i="13" s="1"/>
  <c r="V119" i="13"/>
  <c r="AL119" i="13"/>
  <c r="AO119" i="13"/>
  <c r="AU119" i="13"/>
  <c r="AV119" i="13"/>
  <c r="AY119" i="13"/>
  <c r="G120" i="13"/>
  <c r="U120" i="13"/>
  <c r="X120" i="13" s="1"/>
  <c r="V120" i="13"/>
  <c r="AG120" i="13"/>
  <c r="AL120" i="13"/>
  <c r="AO120" i="13"/>
  <c r="AU120" i="13"/>
  <c r="AV120" i="13"/>
  <c r="AY120" i="13"/>
  <c r="G121" i="13"/>
  <c r="U121" i="13"/>
  <c r="X121" i="13" s="1"/>
  <c r="V121" i="13"/>
  <c r="AL121" i="13"/>
  <c r="AO121" i="13"/>
  <c r="AU121" i="13"/>
  <c r="AV121" i="13"/>
  <c r="AY121" i="13"/>
  <c r="G122" i="13"/>
  <c r="U122" i="13"/>
  <c r="X122" i="13" s="1"/>
  <c r="V122" i="13"/>
  <c r="AG122" i="13"/>
  <c r="AL122" i="13"/>
  <c r="AO122" i="13"/>
  <c r="AU122" i="13"/>
  <c r="AV122" i="13"/>
  <c r="AY122" i="13"/>
  <c r="G123" i="13"/>
  <c r="U123" i="13"/>
  <c r="X123" i="13" s="1"/>
  <c r="V123" i="13"/>
  <c r="AL123" i="13"/>
  <c r="AO123" i="13"/>
  <c r="AU123" i="13"/>
  <c r="AV123" i="13"/>
  <c r="AY123" i="13"/>
  <c r="G124" i="13"/>
  <c r="U124" i="13"/>
  <c r="X124" i="13" s="1"/>
  <c r="V124" i="13"/>
  <c r="AG124" i="13"/>
  <c r="AL124" i="13"/>
  <c r="AO124" i="13"/>
  <c r="AU124" i="13"/>
  <c r="AV124" i="13"/>
  <c r="AY124" i="13"/>
  <c r="G125" i="13"/>
  <c r="U125" i="13"/>
  <c r="X125" i="13" s="1"/>
  <c r="V125" i="13"/>
  <c r="AL125" i="13"/>
  <c r="AO125" i="13"/>
  <c r="AU125" i="13"/>
  <c r="AV125" i="13"/>
  <c r="AY125" i="13"/>
  <c r="G126" i="13"/>
  <c r="U126" i="13"/>
  <c r="X126" i="13" s="1"/>
  <c r="V126" i="13"/>
  <c r="AG126" i="13"/>
  <c r="AL126" i="13"/>
  <c r="AO126" i="13"/>
  <c r="AU126" i="13"/>
  <c r="AV126" i="13"/>
  <c r="AY126" i="13"/>
  <c r="G127" i="13"/>
  <c r="U127" i="13"/>
  <c r="X127" i="13" s="1"/>
  <c r="V127" i="13"/>
  <c r="AL127" i="13"/>
  <c r="AO127" i="13"/>
  <c r="AU127" i="13"/>
  <c r="AV127" i="13"/>
  <c r="AY127" i="13"/>
  <c r="G90" i="13"/>
  <c r="U90" i="13"/>
  <c r="AC90" i="13" s="1"/>
  <c r="V90" i="13"/>
  <c r="X90" i="13"/>
  <c r="Y90" i="13"/>
  <c r="AG90" i="13"/>
  <c r="AL90" i="13"/>
  <c r="AO90" i="13"/>
  <c r="AU90" i="13"/>
  <c r="AV90" i="13"/>
  <c r="AY90" i="13"/>
  <c r="G91" i="13"/>
  <c r="U91" i="13"/>
  <c r="AG91" i="13" s="1"/>
  <c r="V91" i="13"/>
  <c r="X91" i="13"/>
  <c r="Y91" i="13"/>
  <c r="AC91" i="13"/>
  <c r="AL91" i="13"/>
  <c r="AO91" i="13"/>
  <c r="AU91" i="13"/>
  <c r="AV91" i="13"/>
  <c r="AY91" i="13"/>
  <c r="G92" i="13"/>
  <c r="U92" i="13"/>
  <c r="AC92" i="13" s="1"/>
  <c r="V92" i="13"/>
  <c r="X92" i="13"/>
  <c r="Y92" i="13"/>
  <c r="AG92" i="13"/>
  <c r="AL92" i="13"/>
  <c r="AO92" i="13"/>
  <c r="AU92" i="13"/>
  <c r="AV92" i="13"/>
  <c r="AY92" i="13"/>
  <c r="G93" i="13"/>
  <c r="U93" i="13"/>
  <c r="AG93" i="13" s="1"/>
  <c r="V93" i="13"/>
  <c r="X93" i="13"/>
  <c r="Y93" i="13"/>
  <c r="AC93" i="13"/>
  <c r="AL93" i="13"/>
  <c r="AO93" i="13"/>
  <c r="AU93" i="13"/>
  <c r="AV93" i="13"/>
  <c r="AY93" i="13"/>
  <c r="G94" i="13"/>
  <c r="U94" i="13"/>
  <c r="AC94" i="13" s="1"/>
  <c r="V94" i="13"/>
  <c r="X94" i="13"/>
  <c r="Y94" i="13"/>
  <c r="AG94" i="13"/>
  <c r="AL94" i="13"/>
  <c r="AO94" i="13"/>
  <c r="AU94" i="13"/>
  <c r="AV94" i="13"/>
  <c r="AY94" i="13"/>
  <c r="G95" i="13"/>
  <c r="U95" i="13"/>
  <c r="AG95" i="13" s="1"/>
  <c r="V95" i="13"/>
  <c r="X95" i="13"/>
  <c r="AL95" i="13"/>
  <c r="AO95" i="13"/>
  <c r="AU95" i="13"/>
  <c r="AV95" i="13"/>
  <c r="AY95" i="13"/>
  <c r="G96" i="13"/>
  <c r="U96" i="13"/>
  <c r="Y96" i="13" s="1"/>
  <c r="V96" i="13"/>
  <c r="X96" i="13"/>
  <c r="AG96" i="13"/>
  <c r="AL96" i="13"/>
  <c r="AO96" i="13"/>
  <c r="AU96" i="13"/>
  <c r="AV96" i="13"/>
  <c r="AY96" i="13"/>
  <c r="G97" i="13"/>
  <c r="U97" i="13"/>
  <c r="AG97" i="13" s="1"/>
  <c r="V97" i="13"/>
  <c r="AL97" i="13"/>
  <c r="AO97" i="13"/>
  <c r="AU97" i="13"/>
  <c r="AV97" i="13"/>
  <c r="AY97" i="13"/>
  <c r="G98" i="13"/>
  <c r="U98" i="13"/>
  <c r="Y98" i="13" s="1"/>
  <c r="V98" i="13"/>
  <c r="X98" i="13"/>
  <c r="AG98" i="13"/>
  <c r="AL98" i="13"/>
  <c r="AO98" i="13"/>
  <c r="AU98" i="13"/>
  <c r="AV98" i="13"/>
  <c r="AY98" i="13"/>
  <c r="G99" i="13"/>
  <c r="U99" i="13"/>
  <c r="AG99" i="13" s="1"/>
  <c r="V99" i="13"/>
  <c r="AL99" i="13"/>
  <c r="AO99" i="13"/>
  <c r="AU99" i="13"/>
  <c r="AV99" i="13"/>
  <c r="AY99" i="13"/>
  <c r="G100" i="13"/>
  <c r="U100" i="13"/>
  <c r="Y100" i="13" s="1"/>
  <c r="V100" i="13"/>
  <c r="X100" i="13"/>
  <c r="AG100" i="13"/>
  <c r="AL100" i="13"/>
  <c r="AO100" i="13"/>
  <c r="AU100" i="13"/>
  <c r="AV100" i="13"/>
  <c r="AY100" i="13"/>
  <c r="G101" i="13"/>
  <c r="U101" i="13"/>
  <c r="AG101" i="13" s="1"/>
  <c r="V101" i="13"/>
  <c r="AL101" i="13"/>
  <c r="AO101" i="13"/>
  <c r="AU101" i="13"/>
  <c r="AV101" i="13"/>
  <c r="AY101" i="13"/>
  <c r="G102" i="13"/>
  <c r="U102" i="13"/>
  <c r="Y102" i="13" s="1"/>
  <c r="V102" i="13"/>
  <c r="X102" i="13"/>
  <c r="AG102" i="13"/>
  <c r="AL102" i="13"/>
  <c r="AO102" i="13"/>
  <c r="AU102" i="13"/>
  <c r="AV102" i="13"/>
  <c r="AY102" i="13"/>
  <c r="G103" i="13"/>
  <c r="U103" i="13"/>
  <c r="AG103" i="13" s="1"/>
  <c r="V103" i="13"/>
  <c r="AL103" i="13"/>
  <c r="AO103" i="13"/>
  <c r="AU103" i="13"/>
  <c r="AV103" i="13"/>
  <c r="AY103" i="13"/>
  <c r="G104" i="13"/>
  <c r="U104" i="13"/>
  <c r="Y104" i="13" s="1"/>
  <c r="V104" i="13"/>
  <c r="X104" i="13"/>
  <c r="AG104" i="13"/>
  <c r="AL104" i="13"/>
  <c r="AO104" i="13"/>
  <c r="AU104" i="13"/>
  <c r="AV104" i="13"/>
  <c r="AY104" i="13"/>
  <c r="G105" i="13"/>
  <c r="U105" i="13"/>
  <c r="AG105" i="13" s="1"/>
  <c r="V105" i="13"/>
  <c r="AL105" i="13"/>
  <c r="AO105" i="13"/>
  <c r="AU105" i="13"/>
  <c r="AV105" i="13"/>
  <c r="AY105" i="13"/>
  <c r="G106" i="13"/>
  <c r="U106" i="13"/>
  <c r="Y106" i="13" s="1"/>
  <c r="V106" i="13"/>
  <c r="X106" i="13"/>
  <c r="AG106" i="13"/>
  <c r="AL106" i="13"/>
  <c r="AO106" i="13"/>
  <c r="AU106" i="13"/>
  <c r="AV106" i="13"/>
  <c r="AY106" i="13"/>
  <c r="G107" i="13"/>
  <c r="U107" i="13"/>
  <c r="AG107" i="13" s="1"/>
  <c r="V107" i="13"/>
  <c r="AL107" i="13"/>
  <c r="AO107" i="13"/>
  <c r="AU107" i="13"/>
  <c r="AV107" i="13"/>
  <c r="AY107" i="13"/>
  <c r="G108" i="13"/>
  <c r="U108" i="13"/>
  <c r="Y108" i="13" s="1"/>
  <c r="AC108" i="13" s="1"/>
  <c r="V108" i="13"/>
  <c r="X108" i="13"/>
  <c r="AG108" i="13"/>
  <c r="AL108" i="13"/>
  <c r="AO108" i="13"/>
  <c r="AU108" i="13"/>
  <c r="AV108" i="13"/>
  <c r="AY108" i="13"/>
  <c r="G109" i="13"/>
  <c r="U109" i="13"/>
  <c r="AG109" i="13" s="1"/>
  <c r="V109" i="13"/>
  <c r="AL109" i="13"/>
  <c r="AO109" i="13"/>
  <c r="AU109" i="13"/>
  <c r="AV109" i="13"/>
  <c r="AY109" i="13"/>
  <c r="G110" i="13"/>
  <c r="U110" i="13"/>
  <c r="Y110" i="13" s="1"/>
  <c r="AC110" i="13" s="1"/>
  <c r="V110" i="13"/>
  <c r="X110" i="13"/>
  <c r="AG110" i="13"/>
  <c r="AL110" i="13"/>
  <c r="AO110" i="13"/>
  <c r="AU110" i="13"/>
  <c r="AV110" i="13"/>
  <c r="AY110" i="13"/>
  <c r="G111" i="13"/>
  <c r="U111" i="13"/>
  <c r="AG111" i="13" s="1"/>
  <c r="V111" i="13"/>
  <c r="AL111" i="13"/>
  <c r="AO111" i="13"/>
  <c r="AU111" i="13"/>
  <c r="AV111" i="13"/>
  <c r="AY111" i="13"/>
  <c r="G112" i="13"/>
  <c r="U112" i="13"/>
  <c r="Y112" i="13" s="1"/>
  <c r="AC112" i="13" s="1"/>
  <c r="V112" i="13"/>
  <c r="X112" i="13"/>
  <c r="AG112" i="13"/>
  <c r="AL112" i="13"/>
  <c r="AO112" i="13"/>
  <c r="AU112" i="13"/>
  <c r="AV112" i="13"/>
  <c r="AY112" i="13"/>
  <c r="G113" i="13"/>
  <c r="U113" i="13"/>
  <c r="AG113" i="13" s="1"/>
  <c r="V113" i="13"/>
  <c r="AL113" i="13"/>
  <c r="AO113" i="13"/>
  <c r="AU113" i="13"/>
  <c r="AV113" i="13"/>
  <c r="AY113" i="13"/>
  <c r="G114" i="13"/>
  <c r="U114" i="13"/>
  <c r="X114" i="13" s="1"/>
  <c r="V114" i="13"/>
  <c r="AG114" i="13"/>
  <c r="AL114" i="13"/>
  <c r="AO114" i="13"/>
  <c r="AU114" i="13"/>
  <c r="AV114" i="13"/>
  <c r="AY114" i="13"/>
  <c r="G115" i="13"/>
  <c r="U115" i="13"/>
  <c r="AG115" i="13" s="1"/>
  <c r="V115" i="13"/>
  <c r="AL115" i="13"/>
  <c r="AO115" i="13"/>
  <c r="AU115" i="13"/>
  <c r="AV115" i="13"/>
  <c r="AY115" i="13"/>
  <c r="G116" i="13"/>
  <c r="U116" i="13"/>
  <c r="X116" i="13" s="1"/>
  <c r="V116" i="13"/>
  <c r="AG116" i="13"/>
  <c r="AL116" i="13"/>
  <c r="AO116" i="13"/>
  <c r="AU116" i="13"/>
  <c r="AV116" i="13"/>
  <c r="AY116" i="13"/>
  <c r="G117" i="13"/>
  <c r="U117" i="13"/>
  <c r="AG117" i="13" s="1"/>
  <c r="V117" i="13"/>
  <c r="AL117" i="13"/>
  <c r="AO117" i="13"/>
  <c r="AU117" i="13"/>
  <c r="AV117" i="13"/>
  <c r="AY117" i="13"/>
  <c r="G118" i="13"/>
  <c r="U118" i="13"/>
  <c r="X118" i="13" s="1"/>
  <c r="V118" i="13"/>
  <c r="AG118" i="13"/>
  <c r="AL118" i="13"/>
  <c r="AO118" i="13"/>
  <c r="AU118" i="13"/>
  <c r="AV118" i="13"/>
  <c r="AY118" i="13"/>
  <c r="G61" i="13"/>
  <c r="U61" i="13"/>
  <c r="X61" i="13" s="1"/>
  <c r="V61" i="13"/>
  <c r="AG61" i="13"/>
  <c r="AL61" i="13"/>
  <c r="AO61" i="13"/>
  <c r="AU61" i="13"/>
  <c r="AV61" i="13"/>
  <c r="AY61" i="13"/>
  <c r="G62" i="13"/>
  <c r="U62" i="13"/>
  <c r="AG62" i="13" s="1"/>
  <c r="V62" i="13"/>
  <c r="Y62" i="13"/>
  <c r="AL62" i="13"/>
  <c r="AO62" i="13"/>
  <c r="AU62" i="13"/>
  <c r="AV62" i="13"/>
  <c r="AY62" i="13"/>
  <c r="G63" i="13"/>
  <c r="U63" i="13"/>
  <c r="X63" i="13" s="1"/>
  <c r="V63" i="13"/>
  <c r="AG63" i="13"/>
  <c r="AL63" i="13"/>
  <c r="AO63" i="13"/>
  <c r="AU63" i="13"/>
  <c r="AV63" i="13"/>
  <c r="AY63" i="13"/>
  <c r="G64" i="13"/>
  <c r="U64" i="13"/>
  <c r="AG64" i="13" s="1"/>
  <c r="V64" i="13"/>
  <c r="Y64" i="13"/>
  <c r="AL64" i="13"/>
  <c r="AO64" i="13"/>
  <c r="AU64" i="13"/>
  <c r="AV64" i="13"/>
  <c r="AY64" i="13"/>
  <c r="G65" i="13"/>
  <c r="U65" i="13"/>
  <c r="X65" i="13" s="1"/>
  <c r="V65" i="13"/>
  <c r="AG65" i="13"/>
  <c r="AL65" i="13"/>
  <c r="AO65" i="13"/>
  <c r="AU65" i="13"/>
  <c r="AV65" i="13"/>
  <c r="AY65" i="13"/>
  <c r="G66" i="13"/>
  <c r="U66" i="13"/>
  <c r="AG66" i="13" s="1"/>
  <c r="V66" i="13"/>
  <c r="Y66" i="13"/>
  <c r="AL66" i="13"/>
  <c r="AO66" i="13"/>
  <c r="AU66" i="13"/>
  <c r="AV66" i="13"/>
  <c r="AY66" i="13"/>
  <c r="G67" i="13"/>
  <c r="U67" i="13"/>
  <c r="X67" i="13" s="1"/>
  <c r="V67" i="13"/>
  <c r="AG67" i="13"/>
  <c r="AL67" i="13"/>
  <c r="AO67" i="13"/>
  <c r="AU67" i="13"/>
  <c r="AV67" i="13"/>
  <c r="AY67" i="13"/>
  <c r="G68" i="13"/>
  <c r="U68" i="13"/>
  <c r="AG68" i="13" s="1"/>
  <c r="V68" i="13"/>
  <c r="Y68" i="13"/>
  <c r="AL68" i="13"/>
  <c r="AO68" i="13"/>
  <c r="AU68" i="13"/>
  <c r="AV68" i="13"/>
  <c r="AY68" i="13"/>
  <c r="G69" i="13"/>
  <c r="U69" i="13"/>
  <c r="X69" i="13" s="1"/>
  <c r="V69" i="13"/>
  <c r="AG69" i="13"/>
  <c r="AL69" i="13"/>
  <c r="AO69" i="13"/>
  <c r="AU69" i="13"/>
  <c r="AV69" i="13"/>
  <c r="AY69" i="13"/>
  <c r="G70" i="13"/>
  <c r="U70" i="13"/>
  <c r="AG70" i="13" s="1"/>
  <c r="V70" i="13"/>
  <c r="Y70" i="13"/>
  <c r="AL70" i="13"/>
  <c r="AO70" i="13"/>
  <c r="AU70" i="13"/>
  <c r="AV70" i="13"/>
  <c r="AY70" i="13"/>
  <c r="G71" i="13"/>
  <c r="U71" i="13"/>
  <c r="X71" i="13" s="1"/>
  <c r="V71" i="13"/>
  <c r="AG71" i="13"/>
  <c r="AL71" i="13"/>
  <c r="AO71" i="13"/>
  <c r="AU71" i="13"/>
  <c r="AV71" i="13"/>
  <c r="AY71" i="13"/>
  <c r="G72" i="13"/>
  <c r="U72" i="13"/>
  <c r="AG72" i="13" s="1"/>
  <c r="V72" i="13"/>
  <c r="Y72" i="13"/>
  <c r="AL72" i="13"/>
  <c r="AO72" i="13"/>
  <c r="AU72" i="13"/>
  <c r="AV72" i="13"/>
  <c r="AY72" i="13"/>
  <c r="G73" i="13"/>
  <c r="U73" i="13"/>
  <c r="X73" i="13" s="1"/>
  <c r="V73" i="13"/>
  <c r="AG73" i="13"/>
  <c r="AL73" i="13"/>
  <c r="AO73" i="13"/>
  <c r="AU73" i="13"/>
  <c r="AV73" i="13"/>
  <c r="AY73" i="13"/>
  <c r="G74" i="13"/>
  <c r="U74" i="13"/>
  <c r="AG74" i="13" s="1"/>
  <c r="V74" i="13"/>
  <c r="Y74" i="13"/>
  <c r="AL74" i="13"/>
  <c r="AO74" i="13"/>
  <c r="AU74" i="13"/>
  <c r="AV74" i="13"/>
  <c r="AY74" i="13"/>
  <c r="G75" i="13"/>
  <c r="U75" i="13"/>
  <c r="X75" i="13" s="1"/>
  <c r="V75" i="13"/>
  <c r="AG75" i="13"/>
  <c r="AL75" i="13"/>
  <c r="AO75" i="13"/>
  <c r="AU75" i="13"/>
  <c r="AV75" i="13"/>
  <c r="AY75" i="13"/>
  <c r="G76" i="13"/>
  <c r="U76" i="13"/>
  <c r="AG76" i="13" s="1"/>
  <c r="V76" i="13"/>
  <c r="Y76" i="13"/>
  <c r="AL76" i="13"/>
  <c r="AO76" i="13"/>
  <c r="AU76" i="13"/>
  <c r="AV76" i="13"/>
  <c r="AY76" i="13"/>
  <c r="G77" i="13"/>
  <c r="U77" i="13"/>
  <c r="X77" i="13" s="1"/>
  <c r="V77" i="13"/>
  <c r="AG77" i="13"/>
  <c r="AL77" i="13"/>
  <c r="AO77" i="13"/>
  <c r="AU77" i="13"/>
  <c r="AV77" i="13"/>
  <c r="AY77" i="13"/>
  <c r="G78" i="13"/>
  <c r="U78" i="13"/>
  <c r="AG78" i="13" s="1"/>
  <c r="V78" i="13"/>
  <c r="Y78" i="13"/>
  <c r="AL78" i="13"/>
  <c r="AO78" i="13"/>
  <c r="AU78" i="13"/>
  <c r="AV78" i="13"/>
  <c r="AY78" i="13"/>
  <c r="G79" i="13"/>
  <c r="U79" i="13"/>
  <c r="X79" i="13" s="1"/>
  <c r="V79" i="13"/>
  <c r="AG79" i="13"/>
  <c r="AL79" i="13"/>
  <c r="AO79" i="13"/>
  <c r="AU79" i="13"/>
  <c r="AV79" i="13"/>
  <c r="AY79" i="13"/>
  <c r="G80" i="13"/>
  <c r="U80" i="13"/>
  <c r="AG80" i="13" s="1"/>
  <c r="V80" i="13"/>
  <c r="Y80" i="13"/>
  <c r="AL80" i="13"/>
  <c r="AO80" i="13"/>
  <c r="AU80" i="13"/>
  <c r="AV80" i="13"/>
  <c r="AY80" i="13"/>
  <c r="G81" i="13"/>
  <c r="U81" i="13"/>
  <c r="X81" i="13" s="1"/>
  <c r="V81" i="13"/>
  <c r="AG81" i="13"/>
  <c r="AL81" i="13"/>
  <c r="AO81" i="13"/>
  <c r="AU81" i="13"/>
  <c r="AV81" i="13"/>
  <c r="AY81" i="13"/>
  <c r="G82" i="13"/>
  <c r="U82" i="13"/>
  <c r="AG82" i="13" s="1"/>
  <c r="V82" i="13"/>
  <c r="Y82" i="13"/>
  <c r="AL82" i="13"/>
  <c r="AO82" i="13"/>
  <c r="AU82" i="13"/>
  <c r="AV82" i="13"/>
  <c r="AY82" i="13"/>
  <c r="G83" i="13"/>
  <c r="U83" i="13"/>
  <c r="X83" i="13" s="1"/>
  <c r="V83" i="13"/>
  <c r="AG83" i="13"/>
  <c r="AL83" i="13"/>
  <c r="AO83" i="13"/>
  <c r="AU83" i="13"/>
  <c r="AV83" i="13"/>
  <c r="AY83" i="13"/>
  <c r="G84" i="13"/>
  <c r="U84" i="13"/>
  <c r="AG84" i="13" s="1"/>
  <c r="V84" i="13"/>
  <c r="Y84" i="13"/>
  <c r="AL84" i="13"/>
  <c r="AO84" i="13"/>
  <c r="AU84" i="13"/>
  <c r="AV84" i="13"/>
  <c r="AY84" i="13"/>
  <c r="G85" i="13"/>
  <c r="U85" i="13"/>
  <c r="X85" i="13" s="1"/>
  <c r="V85" i="13"/>
  <c r="AG85" i="13"/>
  <c r="AL85" i="13"/>
  <c r="AO85" i="13"/>
  <c r="AU85" i="13"/>
  <c r="AV85" i="13"/>
  <c r="AY85" i="13"/>
  <c r="G86" i="13"/>
  <c r="U86" i="13"/>
  <c r="AG86" i="13" s="1"/>
  <c r="V86" i="13"/>
  <c r="Y86" i="13"/>
  <c r="AL86" i="13"/>
  <c r="AO86" i="13"/>
  <c r="AU86" i="13"/>
  <c r="AV86" i="13"/>
  <c r="AY86" i="13"/>
  <c r="G87" i="13"/>
  <c r="U87" i="13"/>
  <c r="X87" i="13" s="1"/>
  <c r="V87" i="13"/>
  <c r="AG87" i="13"/>
  <c r="AL87" i="13"/>
  <c r="AO87" i="13"/>
  <c r="AU87" i="13"/>
  <c r="AV87" i="13"/>
  <c r="AY87" i="13"/>
  <c r="G88" i="13"/>
  <c r="U88" i="13"/>
  <c r="AG88" i="13" s="1"/>
  <c r="V88" i="13"/>
  <c r="Y88" i="13"/>
  <c r="AL88" i="13"/>
  <c r="AO88" i="13"/>
  <c r="AU88" i="13"/>
  <c r="AV88" i="13"/>
  <c r="AY88" i="13"/>
  <c r="G89" i="13"/>
  <c r="U89" i="13"/>
  <c r="X89" i="13" s="1"/>
  <c r="V89" i="13"/>
  <c r="AG89" i="13"/>
  <c r="AL89" i="13"/>
  <c r="AO89" i="13"/>
  <c r="AU89" i="13"/>
  <c r="AV89" i="13"/>
  <c r="AY89" i="13"/>
  <c r="G32" i="13"/>
  <c r="U32" i="13"/>
  <c r="X32" i="13" s="1"/>
  <c r="V32" i="13"/>
  <c r="AL32" i="13"/>
  <c r="AO32" i="13"/>
  <c r="AU32" i="13"/>
  <c r="AV32" i="13"/>
  <c r="AY32" i="13"/>
  <c r="G33" i="13"/>
  <c r="U33" i="13"/>
  <c r="X33" i="13" s="1"/>
  <c r="V33" i="13"/>
  <c r="AG33" i="13"/>
  <c r="AL33" i="13"/>
  <c r="AO33" i="13"/>
  <c r="AU33" i="13"/>
  <c r="AV33" i="13"/>
  <c r="AY33" i="13"/>
  <c r="G34" i="13"/>
  <c r="U34" i="13"/>
  <c r="X34" i="13" s="1"/>
  <c r="V34" i="13"/>
  <c r="AL34" i="13"/>
  <c r="AO34" i="13"/>
  <c r="AU34" i="13"/>
  <c r="AV34" i="13"/>
  <c r="AY34" i="13"/>
  <c r="G35" i="13"/>
  <c r="U35" i="13"/>
  <c r="X35" i="13" s="1"/>
  <c r="V35" i="13"/>
  <c r="AG35" i="13"/>
  <c r="AL35" i="13"/>
  <c r="AO35" i="13"/>
  <c r="AU35" i="13"/>
  <c r="AV35" i="13"/>
  <c r="AY35" i="13"/>
  <c r="G36" i="13"/>
  <c r="U36" i="13"/>
  <c r="X36" i="13" s="1"/>
  <c r="V36" i="13"/>
  <c r="AL36" i="13"/>
  <c r="AO36" i="13"/>
  <c r="AU36" i="13"/>
  <c r="AV36" i="13"/>
  <c r="AY36" i="13"/>
  <c r="G37" i="13"/>
  <c r="U37" i="13"/>
  <c r="X37" i="13" s="1"/>
  <c r="V37" i="13"/>
  <c r="AG37" i="13"/>
  <c r="AL37" i="13"/>
  <c r="AO37" i="13"/>
  <c r="AU37" i="13"/>
  <c r="AV37" i="13"/>
  <c r="AY37" i="13"/>
  <c r="G38" i="13"/>
  <c r="U38" i="13"/>
  <c r="X38" i="13" s="1"/>
  <c r="V38" i="13"/>
  <c r="AL38" i="13"/>
  <c r="AO38" i="13"/>
  <c r="AU38" i="13"/>
  <c r="AV38" i="13"/>
  <c r="AY38" i="13"/>
  <c r="G39" i="13"/>
  <c r="U39" i="13"/>
  <c r="X39" i="13" s="1"/>
  <c r="V39" i="13"/>
  <c r="AG39" i="13"/>
  <c r="AL39" i="13"/>
  <c r="AO39" i="13"/>
  <c r="AU39" i="13"/>
  <c r="AV39" i="13"/>
  <c r="AY39" i="13"/>
  <c r="G40" i="13"/>
  <c r="U40" i="13"/>
  <c r="X40" i="13" s="1"/>
  <c r="V40" i="13"/>
  <c r="AL40" i="13"/>
  <c r="AO40" i="13"/>
  <c r="AU40" i="13"/>
  <c r="AV40" i="13"/>
  <c r="AY40" i="13"/>
  <c r="G41" i="13"/>
  <c r="U41" i="13"/>
  <c r="X41" i="13" s="1"/>
  <c r="V41" i="13"/>
  <c r="AG41" i="13"/>
  <c r="AL41" i="13"/>
  <c r="AO41" i="13"/>
  <c r="AU41" i="13"/>
  <c r="AV41" i="13"/>
  <c r="AY41" i="13"/>
  <c r="G42" i="13"/>
  <c r="U42" i="13"/>
  <c r="X42" i="13" s="1"/>
  <c r="V42" i="13"/>
  <c r="AL42" i="13"/>
  <c r="AO42" i="13"/>
  <c r="AU42" i="13"/>
  <c r="AV42" i="13"/>
  <c r="AY42" i="13"/>
  <c r="G43" i="13"/>
  <c r="U43" i="13"/>
  <c r="X43" i="13" s="1"/>
  <c r="V43" i="13"/>
  <c r="AG43" i="13"/>
  <c r="AL43" i="13"/>
  <c r="AO43" i="13"/>
  <c r="AU43" i="13"/>
  <c r="AV43" i="13"/>
  <c r="AY43" i="13"/>
  <c r="G44" i="13"/>
  <c r="U44" i="13"/>
  <c r="X44" i="13" s="1"/>
  <c r="V44" i="13"/>
  <c r="AL44" i="13"/>
  <c r="AO44" i="13"/>
  <c r="AU44" i="13"/>
  <c r="AV44" i="13"/>
  <c r="AY44" i="13"/>
  <c r="G45" i="13"/>
  <c r="U45" i="13"/>
  <c r="X45" i="13" s="1"/>
  <c r="V45" i="13"/>
  <c r="AG45" i="13"/>
  <c r="AL45" i="13"/>
  <c r="AO45" i="13"/>
  <c r="AU45" i="13"/>
  <c r="AV45" i="13"/>
  <c r="AY45" i="13"/>
  <c r="G46" i="13"/>
  <c r="U46" i="13"/>
  <c r="X46" i="13" s="1"/>
  <c r="V46" i="13"/>
  <c r="AL46" i="13"/>
  <c r="AO46" i="13"/>
  <c r="AU46" i="13"/>
  <c r="AV46" i="13"/>
  <c r="AY46" i="13"/>
  <c r="G47" i="13"/>
  <c r="U47" i="13"/>
  <c r="X47" i="13" s="1"/>
  <c r="V47" i="13"/>
  <c r="AG47" i="13"/>
  <c r="AL47" i="13"/>
  <c r="AO47" i="13"/>
  <c r="AU47" i="13"/>
  <c r="AV47" i="13"/>
  <c r="AY47" i="13"/>
  <c r="G48" i="13"/>
  <c r="U48" i="13"/>
  <c r="X48" i="13" s="1"/>
  <c r="V48" i="13"/>
  <c r="AL48" i="13"/>
  <c r="AO48" i="13"/>
  <c r="AU48" i="13"/>
  <c r="AV48" i="13"/>
  <c r="AY48" i="13"/>
  <c r="G49" i="13"/>
  <c r="U49" i="13"/>
  <c r="X49" i="13" s="1"/>
  <c r="V49" i="13"/>
  <c r="AG49" i="13"/>
  <c r="AL49" i="13"/>
  <c r="AO49" i="13"/>
  <c r="AU49" i="13"/>
  <c r="AV49" i="13"/>
  <c r="AY49" i="13"/>
  <c r="G50" i="13"/>
  <c r="U50" i="13"/>
  <c r="X50" i="13" s="1"/>
  <c r="V50" i="13"/>
  <c r="AL50" i="13"/>
  <c r="AO50" i="13"/>
  <c r="AU50" i="13"/>
  <c r="AV50" i="13"/>
  <c r="AY50" i="13"/>
  <c r="G51" i="13"/>
  <c r="U51" i="13"/>
  <c r="X51" i="13" s="1"/>
  <c r="V51" i="13"/>
  <c r="AG51" i="13"/>
  <c r="AL51" i="13"/>
  <c r="AO51" i="13"/>
  <c r="AU51" i="13"/>
  <c r="AV51" i="13"/>
  <c r="AY51" i="13"/>
  <c r="G52" i="13"/>
  <c r="U52" i="13"/>
  <c r="X52" i="13" s="1"/>
  <c r="V52" i="13"/>
  <c r="AL52" i="13"/>
  <c r="AO52" i="13"/>
  <c r="AU52" i="13"/>
  <c r="AV52" i="13"/>
  <c r="AY52" i="13"/>
  <c r="G53" i="13"/>
  <c r="U53" i="13"/>
  <c r="X53" i="13" s="1"/>
  <c r="V53" i="13"/>
  <c r="AG53" i="13"/>
  <c r="AL53" i="13"/>
  <c r="AO53" i="13"/>
  <c r="AU53" i="13"/>
  <c r="AV53" i="13"/>
  <c r="AY53" i="13"/>
  <c r="G54" i="13"/>
  <c r="U54" i="13"/>
  <c r="X54" i="13" s="1"/>
  <c r="V54" i="13"/>
  <c r="AL54" i="13"/>
  <c r="AO54" i="13"/>
  <c r="AU54" i="13"/>
  <c r="AV54" i="13"/>
  <c r="AY54" i="13"/>
  <c r="G55" i="13"/>
  <c r="U55" i="13"/>
  <c r="X55" i="13" s="1"/>
  <c r="V55" i="13"/>
  <c r="AG55" i="13"/>
  <c r="AL55" i="13"/>
  <c r="AO55" i="13"/>
  <c r="AU55" i="13"/>
  <c r="AV55" i="13"/>
  <c r="AY55" i="13"/>
  <c r="G56" i="13"/>
  <c r="U56" i="13"/>
  <c r="X56" i="13" s="1"/>
  <c r="V56" i="13"/>
  <c r="AL56" i="13"/>
  <c r="AO56" i="13"/>
  <c r="AU56" i="13"/>
  <c r="AV56" i="13"/>
  <c r="AY56" i="13"/>
  <c r="G57" i="13"/>
  <c r="U57" i="13"/>
  <c r="X57" i="13" s="1"/>
  <c r="V57" i="13"/>
  <c r="AG57" i="13"/>
  <c r="AL57" i="13"/>
  <c r="AO57" i="13"/>
  <c r="AU57" i="13"/>
  <c r="AV57" i="13"/>
  <c r="AY57" i="13"/>
  <c r="G58" i="13"/>
  <c r="U58" i="13"/>
  <c r="X58" i="13" s="1"/>
  <c r="V58" i="13"/>
  <c r="AL58" i="13"/>
  <c r="AO58" i="13"/>
  <c r="AU58" i="13"/>
  <c r="AV58" i="13"/>
  <c r="AY58" i="13"/>
  <c r="G59" i="13"/>
  <c r="U59" i="13"/>
  <c r="X59" i="13" s="1"/>
  <c r="V59" i="13"/>
  <c r="AG59" i="13"/>
  <c r="AL59" i="13"/>
  <c r="AO59" i="13"/>
  <c r="AU59" i="13"/>
  <c r="AV59" i="13"/>
  <c r="AY59" i="13"/>
  <c r="G60" i="13"/>
  <c r="U60" i="13"/>
  <c r="X60" i="13" s="1"/>
  <c r="V60" i="13"/>
  <c r="AL60" i="13"/>
  <c r="AO60" i="13"/>
  <c r="AU60" i="13"/>
  <c r="AV60" i="13"/>
  <c r="AY60" i="13"/>
  <c r="G3" i="13"/>
  <c r="U3" i="13"/>
  <c r="X3" i="13" s="1"/>
  <c r="V3" i="13"/>
  <c r="AL3" i="13"/>
  <c r="AO3" i="13"/>
  <c r="AU3" i="13"/>
  <c r="AV3" i="13"/>
  <c r="AY3" i="13"/>
  <c r="G4" i="13"/>
  <c r="U4" i="13"/>
  <c r="AG4" i="13" s="1"/>
  <c r="V4" i="13"/>
  <c r="AL4" i="13"/>
  <c r="AO4" i="13"/>
  <c r="AU4" i="13"/>
  <c r="AV4" i="13"/>
  <c r="AY4" i="13"/>
  <c r="G5" i="13"/>
  <c r="U5" i="13"/>
  <c r="X5" i="13" s="1"/>
  <c r="V5" i="13"/>
  <c r="AL5" i="13"/>
  <c r="AO5" i="13"/>
  <c r="AU5" i="13"/>
  <c r="AV5" i="13"/>
  <c r="AY5" i="13"/>
  <c r="G6" i="13"/>
  <c r="U6" i="13"/>
  <c r="AG6" i="13" s="1"/>
  <c r="V6" i="13"/>
  <c r="Y6" i="13"/>
  <c r="AA6" i="13"/>
  <c r="AL6" i="13"/>
  <c r="AO6" i="13"/>
  <c r="AU6" i="13"/>
  <c r="AV6" i="13"/>
  <c r="AY6" i="13"/>
  <c r="G7" i="13"/>
  <c r="U7" i="13"/>
  <c r="X7" i="13" s="1"/>
  <c r="AC7" i="13" s="1"/>
  <c r="V7" i="13"/>
  <c r="Y7" i="13"/>
  <c r="AA7" i="13"/>
  <c r="AL7" i="13"/>
  <c r="AO7" i="13"/>
  <c r="AU7" i="13"/>
  <c r="AV7" i="13"/>
  <c r="AY7" i="13"/>
  <c r="G8" i="13"/>
  <c r="U8" i="13"/>
  <c r="AG8" i="13" s="1"/>
  <c r="V8" i="13"/>
  <c r="X8" i="13"/>
  <c r="Y8" i="13"/>
  <c r="AC8" i="13" s="1"/>
  <c r="AA8" i="13"/>
  <c r="AL8" i="13"/>
  <c r="AO8" i="13"/>
  <c r="AU8" i="13"/>
  <c r="AV8" i="13"/>
  <c r="AY8" i="13"/>
  <c r="G9" i="13"/>
  <c r="U9" i="13"/>
  <c r="V9" i="13"/>
  <c r="AG9" i="13" s="1"/>
  <c r="X9" i="13"/>
  <c r="Y9" i="13"/>
  <c r="AA9" i="13"/>
  <c r="AC9" i="13"/>
  <c r="AL9" i="13"/>
  <c r="AO9" i="13"/>
  <c r="AU9" i="13"/>
  <c r="AV9" i="13"/>
  <c r="AY9" i="13"/>
  <c r="G10" i="13"/>
  <c r="U10" i="13"/>
  <c r="X10" i="13" s="1"/>
  <c r="V10" i="13"/>
  <c r="AY10" i="13" s="1"/>
  <c r="Y10" i="13"/>
  <c r="AL10" i="13"/>
  <c r="AO10" i="13"/>
  <c r="AU10" i="13"/>
  <c r="AV10" i="13"/>
  <c r="G11" i="13"/>
  <c r="U11" i="13"/>
  <c r="AG11" i="13" s="1"/>
  <c r="V11" i="13"/>
  <c r="Y11" i="13"/>
  <c r="AA11" i="13"/>
  <c r="AL11" i="13"/>
  <c r="AO11" i="13"/>
  <c r="AU11" i="13"/>
  <c r="AV11" i="13"/>
  <c r="AY11" i="13"/>
  <c r="G12" i="13"/>
  <c r="U12" i="13"/>
  <c r="X12" i="13" s="1"/>
  <c r="V12" i="13"/>
  <c r="Y12" i="13"/>
  <c r="AL12" i="13"/>
  <c r="AO12" i="13"/>
  <c r="AU12" i="13"/>
  <c r="AV12" i="13"/>
  <c r="AY12" i="13"/>
  <c r="G13" i="13"/>
  <c r="U13" i="13"/>
  <c r="AG13" i="13" s="1"/>
  <c r="V13" i="13"/>
  <c r="AC13" i="13" s="1"/>
  <c r="X13" i="13"/>
  <c r="Y13" i="13"/>
  <c r="AA13" i="13"/>
  <c r="AL13" i="13"/>
  <c r="AO13" i="13"/>
  <c r="AU13" i="13"/>
  <c r="AV13" i="13"/>
  <c r="G14" i="13"/>
  <c r="U14" i="13"/>
  <c r="X14" i="13" s="1"/>
  <c r="AC14" i="13" s="1"/>
  <c r="V14" i="13"/>
  <c r="AY14" i="13" s="1"/>
  <c r="Y14" i="13"/>
  <c r="AA14" i="13"/>
  <c r="AL14" i="13"/>
  <c r="AO14" i="13"/>
  <c r="AU14" i="13"/>
  <c r="AV14" i="13"/>
  <c r="G15" i="13"/>
  <c r="U15" i="13"/>
  <c r="AG15" i="13" s="1"/>
  <c r="V15" i="13"/>
  <c r="AY15" i="13" s="1"/>
  <c r="X15" i="13"/>
  <c r="Y15" i="13"/>
  <c r="AA15" i="13"/>
  <c r="AC15" i="13"/>
  <c r="AD15" i="13" s="1"/>
  <c r="AI15" i="13" s="1"/>
  <c r="AK15" i="13"/>
  <c r="AL15" i="13"/>
  <c r="AO15" i="13"/>
  <c r="AU15" i="13"/>
  <c r="AV15" i="13"/>
  <c r="G16" i="13"/>
  <c r="U16" i="13"/>
  <c r="V16" i="13"/>
  <c r="AG16" i="13" s="1"/>
  <c r="X16" i="13"/>
  <c r="Y16" i="13"/>
  <c r="AC16" i="13" s="1"/>
  <c r="AA16" i="13"/>
  <c r="AL16" i="13"/>
  <c r="AO16" i="13"/>
  <c r="AU16" i="13"/>
  <c r="AV16" i="13"/>
  <c r="AY16" i="13"/>
  <c r="G17" i="13"/>
  <c r="U17" i="13"/>
  <c r="V17" i="13"/>
  <c r="AC17" i="13" s="1"/>
  <c r="X17" i="13"/>
  <c r="Y17" i="13"/>
  <c r="AA17" i="13"/>
  <c r="AL17" i="13"/>
  <c r="AO17" i="13"/>
  <c r="AU17" i="13"/>
  <c r="AV17" i="13"/>
  <c r="G18" i="13"/>
  <c r="U18" i="13"/>
  <c r="V18" i="13"/>
  <c r="AG18" i="13" s="1"/>
  <c r="X18" i="13"/>
  <c r="Y18" i="13"/>
  <c r="AA18" i="13"/>
  <c r="AC18" i="13"/>
  <c r="AL18" i="13"/>
  <c r="AO18" i="13"/>
  <c r="AU18" i="13"/>
  <c r="AV18" i="13"/>
  <c r="AY18" i="13"/>
  <c r="G19" i="13"/>
  <c r="U19" i="13"/>
  <c r="X19" i="13" s="1"/>
  <c r="V19" i="13"/>
  <c r="AA19" i="13"/>
  <c r="AL19" i="13"/>
  <c r="AO19" i="13"/>
  <c r="AU19" i="13"/>
  <c r="AV19" i="13"/>
  <c r="AY19" i="13"/>
  <c r="G20" i="13"/>
  <c r="U20" i="13"/>
  <c r="AG20" i="13" s="1"/>
  <c r="V20" i="13"/>
  <c r="X20" i="13"/>
  <c r="Y20" i="13"/>
  <c r="AA20" i="13"/>
  <c r="AC20" i="13"/>
  <c r="AD20" i="13" s="1"/>
  <c r="AI20" i="13" s="1"/>
  <c r="AL20" i="13"/>
  <c r="AO20" i="13"/>
  <c r="AU20" i="13"/>
  <c r="AV20" i="13"/>
  <c r="AY20" i="13"/>
  <c r="G21" i="13"/>
  <c r="U21" i="13"/>
  <c r="AA21" i="13" s="1"/>
  <c r="AC21" i="13" s="1"/>
  <c r="V21" i="13"/>
  <c r="X21" i="13"/>
  <c r="Y21" i="13"/>
  <c r="AG21" i="13"/>
  <c r="AL21" i="13"/>
  <c r="AO21" i="13"/>
  <c r="AU21" i="13"/>
  <c r="AV21" i="13"/>
  <c r="AY21" i="13"/>
  <c r="G22" i="13"/>
  <c r="U22" i="13"/>
  <c r="AA22" i="13" s="1"/>
  <c r="V22" i="13"/>
  <c r="Y22" i="13"/>
  <c r="AL22" i="13"/>
  <c r="AO22" i="13"/>
  <c r="AU22" i="13"/>
  <c r="AV22" i="13"/>
  <c r="AY22" i="13"/>
  <c r="G23" i="13"/>
  <c r="U23" i="13"/>
  <c r="X23" i="13" s="1"/>
  <c r="AC23" i="13" s="1"/>
  <c r="V23" i="13"/>
  <c r="Y23" i="13"/>
  <c r="AA23" i="13"/>
  <c r="AL23" i="13"/>
  <c r="AO23" i="13"/>
  <c r="AU23" i="13"/>
  <c r="AV23" i="13"/>
  <c r="AY23" i="13"/>
  <c r="G24" i="13"/>
  <c r="U24" i="13"/>
  <c r="AG24" i="13" s="1"/>
  <c r="V24" i="13"/>
  <c r="X24" i="13"/>
  <c r="Y24" i="13"/>
  <c r="AC24" i="13" s="1"/>
  <c r="AA24" i="13"/>
  <c r="AL24" i="13"/>
  <c r="AO24" i="13"/>
  <c r="AU24" i="13"/>
  <c r="AV24" i="13"/>
  <c r="AY24" i="13"/>
  <c r="G25" i="13"/>
  <c r="U25" i="13"/>
  <c r="V25" i="13"/>
  <c r="AG25" i="13" s="1"/>
  <c r="X25" i="13"/>
  <c r="Y25" i="13"/>
  <c r="AA25" i="13"/>
  <c r="AL25" i="13"/>
  <c r="AO25" i="13"/>
  <c r="AU25" i="13"/>
  <c r="AV25" i="13"/>
  <c r="AY25" i="13"/>
  <c r="G26" i="13"/>
  <c r="U26" i="13"/>
  <c r="X26" i="13" s="1"/>
  <c r="V26" i="13"/>
  <c r="Y26" i="13"/>
  <c r="AL26" i="13"/>
  <c r="AO26" i="13"/>
  <c r="AU26" i="13"/>
  <c r="AV26" i="13"/>
  <c r="G27" i="13"/>
  <c r="U27" i="13"/>
  <c r="AG27" i="13" s="1"/>
  <c r="V27" i="13"/>
  <c r="AY27" i="13" s="1"/>
  <c r="Y27" i="13"/>
  <c r="AA27" i="13"/>
  <c r="AL27" i="13"/>
  <c r="AO27" i="13"/>
  <c r="AU27" i="13"/>
  <c r="AV27" i="13"/>
  <c r="G28" i="13"/>
  <c r="U28" i="13"/>
  <c r="X28" i="13" s="1"/>
  <c r="V28" i="13"/>
  <c r="Y28" i="13"/>
  <c r="AG28" i="13"/>
  <c r="AL28" i="13"/>
  <c r="AO28" i="13"/>
  <c r="AU28" i="13"/>
  <c r="AV28" i="13"/>
  <c r="AY28" i="13"/>
  <c r="G29" i="13"/>
  <c r="U29" i="13"/>
  <c r="AG29" i="13" s="1"/>
  <c r="V29" i="13"/>
  <c r="AL29" i="13"/>
  <c r="AO29" i="13"/>
  <c r="AU29" i="13"/>
  <c r="AV29" i="13"/>
  <c r="AY29" i="13"/>
  <c r="G30" i="13"/>
  <c r="U30" i="13"/>
  <c r="X30" i="13" s="1"/>
  <c r="V30" i="13"/>
  <c r="Y30" i="13"/>
  <c r="AG30" i="13"/>
  <c r="AL30" i="13"/>
  <c r="AO30" i="13"/>
  <c r="AU30" i="13"/>
  <c r="AV30" i="13"/>
  <c r="AY30" i="13"/>
  <c r="G31" i="13"/>
  <c r="U31" i="13"/>
  <c r="AG31" i="13" s="1"/>
  <c r="V31" i="13"/>
  <c r="AL31" i="13"/>
  <c r="AO31" i="13"/>
  <c r="AU31" i="13"/>
  <c r="AV31" i="13"/>
  <c r="AY31" i="13"/>
  <c r="AH37" i="11"/>
  <c r="W135" i="11"/>
  <c r="Y135" i="11"/>
  <c r="AB135" i="11"/>
  <c r="AG135" i="11"/>
  <c r="AK135" i="11" s="1"/>
  <c r="AI135" i="11"/>
  <c r="AJ135" i="11"/>
  <c r="AS135" i="11"/>
  <c r="BP135" i="11"/>
  <c r="W136" i="11"/>
  <c r="Y136" i="11"/>
  <c r="AB136" i="11"/>
  <c r="AG136" i="11"/>
  <c r="AN135" i="11" s="1"/>
  <c r="AI136" i="11"/>
  <c r="AO135" i="11" s="1"/>
  <c r="AJ136" i="11"/>
  <c r="AP135" i="11" s="1"/>
  <c r="AN136" i="11"/>
  <c r="AP136" i="11"/>
  <c r="AS136" i="11"/>
  <c r="BP136" i="11"/>
  <c r="W137" i="11"/>
  <c r="Y137" i="11"/>
  <c r="AB137" i="11"/>
  <c r="AG137" i="11"/>
  <c r="AL137" i="11" s="1"/>
  <c r="BD137" i="11" s="1"/>
  <c r="AI137" i="11"/>
  <c r="AO137" i="11" s="1"/>
  <c r="AJ137" i="11"/>
  <c r="AK137" i="11"/>
  <c r="BE137" i="11" s="1"/>
  <c r="AP137" i="11"/>
  <c r="AS137" i="11"/>
  <c r="BP137" i="11"/>
  <c r="W138" i="11"/>
  <c r="Y138" i="11"/>
  <c r="AB138" i="11"/>
  <c r="AG138" i="11"/>
  <c r="AL138" i="11" s="1"/>
  <c r="BD138" i="11" s="1"/>
  <c r="AI138" i="11"/>
  <c r="AO138" i="11" s="1"/>
  <c r="AJ138" i="11"/>
  <c r="AK138" i="11"/>
  <c r="AQ138" i="11" s="1"/>
  <c r="AN138" i="11"/>
  <c r="AP138" i="11"/>
  <c r="AS138" i="11"/>
  <c r="BP138" i="11"/>
  <c r="W139" i="11"/>
  <c r="Y139" i="11"/>
  <c r="AB139" i="11"/>
  <c r="AG139" i="11"/>
  <c r="AL139" i="11" s="1"/>
  <c r="BD139" i="11" s="1"/>
  <c r="AI139" i="11"/>
  <c r="AO139" i="11" s="1"/>
  <c r="AJ139" i="11"/>
  <c r="AK139" i="11"/>
  <c r="BE139" i="11" s="1"/>
  <c r="AN139" i="11"/>
  <c r="AP139" i="11"/>
  <c r="AS139" i="11"/>
  <c r="BP139" i="11"/>
  <c r="W140" i="11"/>
  <c r="Y140" i="11"/>
  <c r="AB140" i="11"/>
  <c r="AG140" i="11"/>
  <c r="AI140" i="11"/>
  <c r="AO142" i="11" s="1"/>
  <c r="AJ140" i="11"/>
  <c r="AK140" i="11"/>
  <c r="AQ140" i="11" s="1"/>
  <c r="AN140" i="11"/>
  <c r="AP140" i="11"/>
  <c r="AS140" i="11"/>
  <c r="BP140" i="11"/>
  <c r="W141" i="11"/>
  <c r="Y141" i="11"/>
  <c r="AB141" i="11"/>
  <c r="AG141" i="11"/>
  <c r="AL141" i="11" s="1"/>
  <c r="BD141" i="11" s="1"/>
  <c r="AI141" i="11"/>
  <c r="AO141" i="11" s="1"/>
  <c r="AJ141" i="11"/>
  <c r="AK141" i="11"/>
  <c r="BE141" i="11" s="1"/>
  <c r="AN141" i="11"/>
  <c r="AP141" i="11"/>
  <c r="AS141" i="11"/>
  <c r="BP141" i="11"/>
  <c r="W142" i="11"/>
  <c r="Y142" i="11"/>
  <c r="AB142" i="11"/>
  <c r="AG142" i="11"/>
  <c r="AL142" i="11" s="1"/>
  <c r="BD142" i="11" s="1"/>
  <c r="AI142" i="11"/>
  <c r="AJ142" i="11"/>
  <c r="AK142" i="11"/>
  <c r="BE142" i="11" s="1"/>
  <c r="AN142" i="11"/>
  <c r="AP142" i="11"/>
  <c r="AS142" i="11"/>
  <c r="BP142" i="11"/>
  <c r="U143" i="11" a="1"/>
  <c r="U143" i="11" s="1"/>
  <c r="W143" i="11"/>
  <c r="Y143" i="11"/>
  <c r="AB143" i="11"/>
  <c r="AG143" i="11"/>
  <c r="AL143" i="11" s="1"/>
  <c r="BD143" i="11" s="1"/>
  <c r="AI143" i="11"/>
  <c r="AJ143" i="11"/>
  <c r="AK143" i="11"/>
  <c r="BE143" i="11" s="1"/>
  <c r="AN143" i="11"/>
  <c r="AP143" i="11"/>
  <c r="AS143" i="11"/>
  <c r="BP143" i="11"/>
  <c r="W144" i="11"/>
  <c r="Y144" i="11"/>
  <c r="AB144" i="11"/>
  <c r="AG144" i="11"/>
  <c r="AI144" i="11"/>
  <c r="AL144" i="11" s="1"/>
  <c r="BD144" i="11" s="1"/>
  <c r="AJ144" i="11"/>
  <c r="AK144" i="11"/>
  <c r="AQ144" i="11" s="1"/>
  <c r="AN144" i="11"/>
  <c r="AP144" i="11"/>
  <c r="AS144" i="11"/>
  <c r="BP144" i="11"/>
  <c r="W145" i="11"/>
  <c r="Y145" i="11"/>
  <c r="AB145" i="11"/>
  <c r="AG145" i="11"/>
  <c r="AL145" i="11" s="1"/>
  <c r="BD145" i="11" s="1"/>
  <c r="AI145" i="11"/>
  <c r="AO145" i="11" s="1"/>
  <c r="AJ145" i="11"/>
  <c r="AK145" i="11"/>
  <c r="AQ145" i="11" s="1"/>
  <c r="AN145" i="11"/>
  <c r="AP145" i="11"/>
  <c r="AS145" i="11"/>
  <c r="BP145" i="11"/>
  <c r="W146" i="11"/>
  <c r="Y146" i="11"/>
  <c r="AB146" i="11"/>
  <c r="AG146" i="11"/>
  <c r="AL146" i="11" s="1"/>
  <c r="BD146" i="11" s="1"/>
  <c r="AI146" i="11"/>
  <c r="AO146" i="11" s="1"/>
  <c r="AJ146" i="11"/>
  <c r="AK146" i="11"/>
  <c r="AQ146" i="11" s="1"/>
  <c r="AN146" i="11"/>
  <c r="AP146" i="11"/>
  <c r="AS146" i="11"/>
  <c r="BP146" i="11"/>
  <c r="U147" i="11" a="1"/>
  <c r="U147" i="11" s="1"/>
  <c r="W147" i="11"/>
  <c r="Y147" i="11"/>
  <c r="AB147" i="11"/>
  <c r="AG147" i="11"/>
  <c r="AL147" i="11" s="1"/>
  <c r="BD147" i="11" s="1"/>
  <c r="AI147" i="11"/>
  <c r="AO147" i="11" s="1"/>
  <c r="AJ147" i="11"/>
  <c r="AK147" i="11"/>
  <c r="BE147" i="11" s="1"/>
  <c r="AN147" i="11"/>
  <c r="AP147" i="11"/>
  <c r="AS147" i="11"/>
  <c r="BP147" i="11"/>
  <c r="W113" i="11"/>
  <c r="Y113" i="11"/>
  <c r="AB113" i="11"/>
  <c r="AG113" i="11"/>
  <c r="AK113" i="11" s="1"/>
  <c r="AI113" i="11"/>
  <c r="AO113" i="11" s="1"/>
  <c r="AJ113" i="11"/>
  <c r="AP113" i="11" s="1"/>
  <c r="AS113" i="11"/>
  <c r="BP113" i="11"/>
  <c r="W114" i="11"/>
  <c r="Y114" i="11"/>
  <c r="AB114" i="11"/>
  <c r="AG114" i="11"/>
  <c r="AI114" i="11"/>
  <c r="AK114" i="11" s="1"/>
  <c r="AJ114" i="11"/>
  <c r="AN114" i="11"/>
  <c r="AO114" i="11"/>
  <c r="AP114" i="11"/>
  <c r="AS114" i="11"/>
  <c r="BP114" i="11"/>
  <c r="W115" i="11"/>
  <c r="Y115" i="11"/>
  <c r="AB115" i="11"/>
  <c r="AG115" i="11"/>
  <c r="AI115" i="11"/>
  <c r="AK115" i="11" s="1"/>
  <c r="AJ115" i="11"/>
  <c r="AN115" i="11"/>
  <c r="AP115" i="11"/>
  <c r="AS115" i="11"/>
  <c r="BP115" i="11"/>
  <c r="W116" i="11"/>
  <c r="Y116" i="11"/>
  <c r="AB116" i="11"/>
  <c r="AG116" i="11"/>
  <c r="AI116" i="11"/>
  <c r="AL116" i="11" s="1"/>
  <c r="BD116" i="11" s="1"/>
  <c r="AJ116" i="11"/>
  <c r="AK116" i="11"/>
  <c r="AN116" i="11"/>
  <c r="AP116" i="11"/>
  <c r="AS116" i="11"/>
  <c r="BE116" i="11"/>
  <c r="BP116" i="11"/>
  <c r="W117" i="11"/>
  <c r="Y117" i="11"/>
  <c r="AB117" i="11"/>
  <c r="AG117" i="11"/>
  <c r="AL117" i="11" s="1"/>
  <c r="BD117" i="11" s="1"/>
  <c r="AI117" i="11"/>
  <c r="AJ117" i="11"/>
  <c r="AK117" i="11"/>
  <c r="BE117" i="11" s="1"/>
  <c r="AN117" i="11"/>
  <c r="AP117" i="11"/>
  <c r="AS117" i="11"/>
  <c r="BP117" i="11"/>
  <c r="W118" i="11"/>
  <c r="Y118" i="11"/>
  <c r="AB118" i="11"/>
  <c r="AG118" i="11"/>
  <c r="AL118" i="11" s="1"/>
  <c r="BD118" i="11" s="1"/>
  <c r="AI118" i="11"/>
  <c r="AJ118" i="11"/>
  <c r="AK118" i="11"/>
  <c r="BE118" i="11" s="1"/>
  <c r="AN118" i="11"/>
  <c r="AP118" i="11"/>
  <c r="AS118" i="11"/>
  <c r="BP118" i="11"/>
  <c r="W119" i="11"/>
  <c r="Y119" i="11"/>
  <c r="AB119" i="11"/>
  <c r="AG119" i="11"/>
  <c r="AL119" i="11" s="1"/>
  <c r="BD119" i="11" s="1"/>
  <c r="AI119" i="11"/>
  <c r="AO119" i="11" s="1"/>
  <c r="AJ119" i="11"/>
  <c r="AK119" i="11"/>
  <c r="AQ119" i="11" s="1"/>
  <c r="AN119" i="11"/>
  <c r="AP119" i="11"/>
  <c r="AS119" i="11"/>
  <c r="BP119" i="11"/>
  <c r="W120" i="11"/>
  <c r="Y120" i="11"/>
  <c r="AB120" i="11"/>
  <c r="AG120" i="11"/>
  <c r="AI120" i="11"/>
  <c r="AL120" i="11" s="1"/>
  <c r="BD120" i="11" s="1"/>
  <c r="AJ120" i="11"/>
  <c r="AK120" i="11"/>
  <c r="BM146" i="9" s="1"/>
  <c r="AX146" i="9" s="1"/>
  <c r="AN120" i="11"/>
  <c r="AP120" i="11"/>
  <c r="AS120" i="11"/>
  <c r="BP120" i="11"/>
  <c r="W121" i="11"/>
  <c r="Y121" i="11"/>
  <c r="AB121" i="11"/>
  <c r="AG121" i="11"/>
  <c r="AL121" i="11" s="1"/>
  <c r="BD121" i="11" s="1"/>
  <c r="AI121" i="11"/>
  <c r="AO121" i="11" s="1"/>
  <c r="AJ121" i="11"/>
  <c r="AK121" i="11"/>
  <c r="BE121" i="11" s="1"/>
  <c r="AN121" i="11"/>
  <c r="AP121" i="11"/>
  <c r="AS121" i="11"/>
  <c r="BP121" i="11"/>
  <c r="W122" i="11"/>
  <c r="Y122" i="11"/>
  <c r="AB122" i="11"/>
  <c r="AG122" i="11"/>
  <c r="AL122" i="11" s="1"/>
  <c r="BD122" i="11" s="1"/>
  <c r="AI122" i="11"/>
  <c r="AO122" i="11" s="1"/>
  <c r="AJ122" i="11"/>
  <c r="AK122" i="11"/>
  <c r="AQ122" i="11" s="1"/>
  <c r="AN122" i="11"/>
  <c r="AP122" i="11"/>
  <c r="AS122" i="11"/>
  <c r="BP122" i="11"/>
  <c r="W123" i="11"/>
  <c r="Y123" i="11"/>
  <c r="AB123" i="11"/>
  <c r="AG123" i="11"/>
  <c r="AL123" i="11" s="1"/>
  <c r="BD123" i="11" s="1"/>
  <c r="AI123" i="11"/>
  <c r="AO123" i="11" s="1"/>
  <c r="AJ123" i="11"/>
  <c r="AK123" i="11"/>
  <c r="AQ123" i="11" s="1"/>
  <c r="AN123" i="11"/>
  <c r="AP123" i="11"/>
  <c r="AS123" i="11"/>
  <c r="BP123" i="11"/>
  <c r="U124" i="11" a="1"/>
  <c r="U124" i="11" s="1"/>
  <c r="W124" i="11"/>
  <c r="Y124" i="11"/>
  <c r="AB124" i="11"/>
  <c r="AG124" i="11"/>
  <c r="AI124" i="11"/>
  <c r="AL124" i="11" s="1"/>
  <c r="BD124" i="11" s="1"/>
  <c r="AJ124" i="11"/>
  <c r="AK124" i="11"/>
  <c r="AQ124" i="11" s="1"/>
  <c r="AN124" i="11"/>
  <c r="AP124" i="11"/>
  <c r="AS124" i="11"/>
  <c r="BP124" i="11"/>
  <c r="W125" i="11"/>
  <c r="Y125" i="11"/>
  <c r="AB125" i="11"/>
  <c r="AG125" i="11"/>
  <c r="AL125" i="11" s="1"/>
  <c r="BD125" i="11" s="1"/>
  <c r="AI125" i="11"/>
  <c r="AO125" i="11" s="1"/>
  <c r="AJ125" i="11"/>
  <c r="AK125" i="11"/>
  <c r="BE125" i="11" s="1"/>
  <c r="AN125" i="11"/>
  <c r="AP125" i="11"/>
  <c r="AS125" i="11"/>
  <c r="BP125" i="11"/>
  <c r="W126" i="11"/>
  <c r="Y126" i="11"/>
  <c r="AB126" i="11"/>
  <c r="AG126" i="11"/>
  <c r="AL126" i="11" s="1"/>
  <c r="BD126" i="11" s="1"/>
  <c r="AI126" i="11"/>
  <c r="AO126" i="11" s="1"/>
  <c r="AJ126" i="11"/>
  <c r="AK126" i="11"/>
  <c r="AQ126" i="11" s="1"/>
  <c r="AN126" i="11"/>
  <c r="AP126" i="11"/>
  <c r="AS126" i="11"/>
  <c r="BP126" i="11"/>
  <c r="W127" i="11"/>
  <c r="Y127" i="11"/>
  <c r="AB127" i="11"/>
  <c r="AG127" i="11"/>
  <c r="AL127" i="11" s="1"/>
  <c r="BD127" i="11" s="1"/>
  <c r="AI127" i="11"/>
  <c r="AO127" i="11" s="1"/>
  <c r="AJ127" i="11"/>
  <c r="AK127" i="11"/>
  <c r="AQ127" i="11" s="1"/>
  <c r="AN127" i="11"/>
  <c r="AP127" i="11"/>
  <c r="AS127" i="11"/>
  <c r="BP127" i="11"/>
  <c r="U128" i="11" a="1"/>
  <c r="U128" i="11" s="1"/>
  <c r="W128" i="11"/>
  <c r="Y128" i="11"/>
  <c r="AB128" i="11"/>
  <c r="AG128" i="11"/>
  <c r="AI128" i="11"/>
  <c r="AL128" i="11" s="1"/>
  <c r="BD128" i="11" s="1"/>
  <c r="AJ128" i="11"/>
  <c r="AK128" i="11"/>
  <c r="BM156" i="9" s="1"/>
  <c r="AY156" i="9" s="1"/>
  <c r="AN128" i="11"/>
  <c r="AP128" i="11"/>
  <c r="AS128" i="11"/>
  <c r="BP128" i="11"/>
  <c r="W129" i="11"/>
  <c r="Y129" i="11"/>
  <c r="AB129" i="11"/>
  <c r="AG129" i="11"/>
  <c r="AL129" i="11" s="1"/>
  <c r="BD129" i="11" s="1"/>
  <c r="AI129" i="11"/>
  <c r="AO129" i="11" s="1"/>
  <c r="AJ129" i="11"/>
  <c r="AK129" i="11"/>
  <c r="BE129" i="11" s="1"/>
  <c r="AN129" i="11"/>
  <c r="AP129" i="11"/>
  <c r="AS129" i="11"/>
  <c r="BP129" i="11"/>
  <c r="U130" i="11" a="1"/>
  <c r="U130" i="11" s="1"/>
  <c r="W130" i="11"/>
  <c r="Y130" i="11"/>
  <c r="AB130" i="11"/>
  <c r="AG130" i="11"/>
  <c r="AL130" i="11" s="1"/>
  <c r="BD130" i="11" s="1"/>
  <c r="AI130" i="11"/>
  <c r="AO130" i="11" s="1"/>
  <c r="AJ130" i="11"/>
  <c r="AK130" i="11"/>
  <c r="AQ130" i="11" s="1"/>
  <c r="AN130" i="11"/>
  <c r="AP130" i="11"/>
  <c r="AS130" i="11"/>
  <c r="BP130" i="11"/>
  <c r="W131" i="11"/>
  <c r="Y131" i="11"/>
  <c r="AB131" i="11"/>
  <c r="AG131" i="11"/>
  <c r="AL131" i="11" s="1"/>
  <c r="BD131" i="11" s="1"/>
  <c r="AI131" i="11"/>
  <c r="AO131" i="11" s="1"/>
  <c r="AJ131" i="11"/>
  <c r="AK131" i="11"/>
  <c r="AQ131" i="11" s="1"/>
  <c r="AN131" i="11"/>
  <c r="AP131" i="11"/>
  <c r="AS131" i="11"/>
  <c r="BP131" i="11"/>
  <c r="U132" i="11" a="1"/>
  <c r="U132" i="11" s="1"/>
  <c r="W132" i="11"/>
  <c r="Y132" i="11"/>
  <c r="AB132" i="11"/>
  <c r="AG132" i="11"/>
  <c r="AI132" i="11"/>
  <c r="AL132" i="11" s="1"/>
  <c r="BD132" i="11" s="1"/>
  <c r="AJ132" i="11"/>
  <c r="AK132" i="11"/>
  <c r="BM162" i="9" s="1"/>
  <c r="AX162" i="9" s="1"/>
  <c r="AN132" i="11"/>
  <c r="AP132" i="11"/>
  <c r="AS132" i="11"/>
  <c r="BP132" i="11"/>
  <c r="W133" i="11"/>
  <c r="Y133" i="11"/>
  <c r="AB133" i="11"/>
  <c r="AG133" i="11"/>
  <c r="AL133" i="11" s="1"/>
  <c r="BD133" i="11" s="1"/>
  <c r="AI133" i="11"/>
  <c r="AO133" i="11" s="1"/>
  <c r="AJ133" i="11"/>
  <c r="AK133" i="11"/>
  <c r="BE133" i="11" s="1"/>
  <c r="AN133" i="11"/>
  <c r="AP133" i="11"/>
  <c r="AS133" i="11"/>
  <c r="BP133" i="11"/>
  <c r="U134" i="11" a="1"/>
  <c r="U134" i="11" s="1"/>
  <c r="W134" i="11"/>
  <c r="Y134" i="11"/>
  <c r="AB134" i="11"/>
  <c r="AG134" i="11"/>
  <c r="AL134" i="11" s="1"/>
  <c r="BD134" i="11" s="1"/>
  <c r="AI134" i="11"/>
  <c r="AJ134" i="11"/>
  <c r="AK134" i="11"/>
  <c r="AN134" i="11"/>
  <c r="AP134" i="11"/>
  <c r="AS134" i="11"/>
  <c r="BP134" i="11"/>
  <c r="U91" i="11" a="1"/>
  <c r="U91" i="11" s="1"/>
  <c r="W91" i="11"/>
  <c r="Y91" i="11"/>
  <c r="AB91" i="11"/>
  <c r="AG91" i="11"/>
  <c r="AK91" i="11" s="1"/>
  <c r="AI91" i="11"/>
  <c r="AJ91" i="11"/>
  <c r="AS91" i="11"/>
  <c r="BP91" i="11"/>
  <c r="W92" i="11"/>
  <c r="Y92" i="11"/>
  <c r="AB92" i="11"/>
  <c r="AG92" i="11"/>
  <c r="AN91" i="11" s="1"/>
  <c r="AI92" i="11"/>
  <c r="AO91" i="11" s="1"/>
  <c r="AJ92" i="11"/>
  <c r="AP91" i="11" s="1"/>
  <c r="AN92" i="11"/>
  <c r="AO92" i="11"/>
  <c r="AP92" i="11"/>
  <c r="AS92" i="11"/>
  <c r="BP92" i="11"/>
  <c r="W93" i="11"/>
  <c r="Y93" i="11"/>
  <c r="AB93" i="11"/>
  <c r="AG93" i="11"/>
  <c r="AL93" i="11" s="1"/>
  <c r="BD93" i="11" s="1"/>
  <c r="AI93" i="11"/>
  <c r="AO93" i="11" s="1"/>
  <c r="AJ93" i="11"/>
  <c r="AK93" i="11"/>
  <c r="AQ93" i="11" s="1"/>
  <c r="AN93" i="11"/>
  <c r="AP93" i="11"/>
  <c r="AS93" i="11"/>
  <c r="BP93" i="11"/>
  <c r="W94" i="11"/>
  <c r="Y94" i="11"/>
  <c r="AB94" i="11"/>
  <c r="AG94" i="11"/>
  <c r="AI94" i="11"/>
  <c r="AL94" i="11" s="1"/>
  <c r="BD94" i="11" s="1"/>
  <c r="AJ94" i="11"/>
  <c r="AK94" i="11"/>
  <c r="AQ94" i="11" s="1"/>
  <c r="AN94" i="11"/>
  <c r="AP94" i="11"/>
  <c r="AS94" i="11"/>
  <c r="BP94" i="11"/>
  <c r="U95" i="11" a="1"/>
  <c r="U95" i="11" s="1"/>
  <c r="W95" i="11"/>
  <c r="Y95" i="11"/>
  <c r="AB95" i="11"/>
  <c r="AG95" i="11"/>
  <c r="AL95" i="11" s="1"/>
  <c r="BD95" i="11" s="1"/>
  <c r="AI95" i="11"/>
  <c r="AJ95" i="11"/>
  <c r="AK95" i="11"/>
  <c r="BE95" i="11" s="1"/>
  <c r="AN95" i="11"/>
  <c r="AO95" i="11"/>
  <c r="AP95" i="11"/>
  <c r="AS95" i="11"/>
  <c r="BP95" i="11"/>
  <c r="W96" i="11"/>
  <c r="Y96" i="11"/>
  <c r="AB96" i="11"/>
  <c r="AG96" i="11"/>
  <c r="AI96" i="11"/>
  <c r="AL96" i="11" s="1"/>
  <c r="BD96" i="11" s="1"/>
  <c r="AJ96" i="11"/>
  <c r="AK96" i="11"/>
  <c r="AQ96" i="11" s="1"/>
  <c r="AN96" i="11"/>
  <c r="AO96" i="11"/>
  <c r="AP96" i="11"/>
  <c r="AS96" i="11"/>
  <c r="BP96" i="11"/>
  <c r="W97" i="11"/>
  <c r="Y97" i="11"/>
  <c r="AB97" i="11"/>
  <c r="AG97" i="11"/>
  <c r="AL97" i="11" s="1"/>
  <c r="BD97" i="11" s="1"/>
  <c r="AI97" i="11"/>
  <c r="AO97" i="11" s="1"/>
  <c r="AJ97" i="11"/>
  <c r="AK97" i="11"/>
  <c r="AQ100" i="11" s="1"/>
  <c r="AN97" i="11"/>
  <c r="AP97" i="11"/>
  <c r="AS97" i="11"/>
  <c r="BP97" i="11"/>
  <c r="W98" i="11"/>
  <c r="Y98" i="11"/>
  <c r="AB98" i="11"/>
  <c r="AG98" i="11"/>
  <c r="AI98" i="11"/>
  <c r="AL98" i="11" s="1"/>
  <c r="BD98" i="11" s="1"/>
  <c r="AJ98" i="11"/>
  <c r="AK98" i="11"/>
  <c r="BE98" i="11" s="1"/>
  <c r="AN98" i="11"/>
  <c r="AP98" i="11"/>
  <c r="AS98" i="11"/>
  <c r="BP98" i="11"/>
  <c r="U99" i="11" a="1"/>
  <c r="U99" i="11" s="1"/>
  <c r="W99" i="11"/>
  <c r="Y99" i="11"/>
  <c r="AB99" i="11"/>
  <c r="AG99" i="11"/>
  <c r="AL99" i="11" s="1"/>
  <c r="BD99" i="11" s="1"/>
  <c r="AI99" i="11"/>
  <c r="AJ99" i="11"/>
  <c r="AK99" i="11"/>
  <c r="BE99" i="11" s="1"/>
  <c r="AN99" i="11"/>
  <c r="AP99" i="11"/>
  <c r="AS99" i="11"/>
  <c r="BP99" i="11"/>
  <c r="W100" i="11"/>
  <c r="Y100" i="11"/>
  <c r="AB100" i="11"/>
  <c r="AG100" i="11"/>
  <c r="AI100" i="11"/>
  <c r="AL100" i="11" s="1"/>
  <c r="BD100" i="11" s="1"/>
  <c r="AJ100" i="11"/>
  <c r="AK100" i="11"/>
  <c r="BE100" i="11" s="1"/>
  <c r="AN100" i="11"/>
  <c r="AP100" i="11"/>
  <c r="AS100" i="11"/>
  <c r="BP100" i="11"/>
  <c r="W101" i="11"/>
  <c r="Y101" i="11"/>
  <c r="AB101" i="11"/>
  <c r="AG101" i="11"/>
  <c r="AL101" i="11" s="1"/>
  <c r="BD101" i="11" s="1"/>
  <c r="AI101" i="11"/>
  <c r="AO101" i="11" s="1"/>
  <c r="AJ101" i="11"/>
  <c r="AK101" i="11"/>
  <c r="AQ104" i="11" s="1"/>
  <c r="AN101" i="11"/>
  <c r="AP101" i="11"/>
  <c r="AS101" i="11"/>
  <c r="BP101" i="11"/>
  <c r="W102" i="11"/>
  <c r="Y102" i="11"/>
  <c r="AB102" i="11"/>
  <c r="AG102" i="11"/>
  <c r="AI102" i="11"/>
  <c r="AL102" i="11" s="1"/>
  <c r="BD102" i="11" s="1"/>
  <c r="AJ102" i="11"/>
  <c r="AK102" i="11"/>
  <c r="BE102" i="11" s="1"/>
  <c r="AN102" i="11"/>
  <c r="AP102" i="11"/>
  <c r="AS102" i="11"/>
  <c r="BP102" i="11"/>
  <c r="U103" i="11" a="1"/>
  <c r="U103" i="11" s="1"/>
  <c r="W103" i="11"/>
  <c r="Y103" i="11"/>
  <c r="AB103" i="11"/>
  <c r="AG103" i="11"/>
  <c r="AL103" i="11" s="1"/>
  <c r="BD103" i="11" s="1"/>
  <c r="AI103" i="11"/>
  <c r="AJ103" i="11"/>
  <c r="AK103" i="11"/>
  <c r="BE103" i="11" s="1"/>
  <c r="AN103" i="11"/>
  <c r="AP103" i="11"/>
  <c r="AS103" i="11"/>
  <c r="BP103" i="11"/>
  <c r="W104" i="11"/>
  <c r="Y104" i="11"/>
  <c r="AB104" i="11"/>
  <c r="AG104" i="11"/>
  <c r="AI104" i="11"/>
  <c r="AL104" i="11" s="1"/>
  <c r="BD104" i="11" s="1"/>
  <c r="AJ104" i="11"/>
  <c r="AK104" i="11"/>
  <c r="BE104" i="11" s="1"/>
  <c r="AN104" i="11"/>
  <c r="AP104" i="11"/>
  <c r="AS104" i="11"/>
  <c r="BP104" i="11"/>
  <c r="W105" i="11"/>
  <c r="Y105" i="11"/>
  <c r="AB105" i="11"/>
  <c r="AG105" i="11"/>
  <c r="AL105" i="11" s="1"/>
  <c r="BD105" i="11" s="1"/>
  <c r="AI105" i="11"/>
  <c r="AO105" i="11" s="1"/>
  <c r="AJ105" i="11"/>
  <c r="AK105" i="11"/>
  <c r="AQ105" i="11" s="1"/>
  <c r="AN105" i="11"/>
  <c r="AP105" i="11"/>
  <c r="AS105" i="11"/>
  <c r="BP105" i="11"/>
  <c r="U106" i="11" a="1"/>
  <c r="U106" i="11" s="1"/>
  <c r="W106" i="11"/>
  <c r="Y106" i="11"/>
  <c r="AB106" i="11"/>
  <c r="AG106" i="11"/>
  <c r="AI106" i="11"/>
  <c r="AL106" i="11" s="1"/>
  <c r="BD106" i="11" s="1"/>
  <c r="AJ106" i="11"/>
  <c r="AK106" i="11"/>
  <c r="AQ106" i="11" s="1"/>
  <c r="AN106" i="11"/>
  <c r="AP106" i="11"/>
  <c r="AS106" i="11"/>
  <c r="BP106" i="11"/>
  <c r="U107" i="11" a="1"/>
  <c r="U107" i="11" s="1"/>
  <c r="W107" i="11"/>
  <c r="Y107" i="11"/>
  <c r="AB107" i="11"/>
  <c r="AG107" i="11"/>
  <c r="AL107" i="11" s="1"/>
  <c r="BD107" i="11" s="1"/>
  <c r="AI107" i="11"/>
  <c r="AO109" i="11" s="1"/>
  <c r="AJ107" i="11"/>
  <c r="AK107" i="11"/>
  <c r="AQ108" i="11" s="1"/>
  <c r="AN107" i="11"/>
  <c r="AP107" i="11"/>
  <c r="AS107" i="11"/>
  <c r="BP107" i="11"/>
  <c r="W108" i="11"/>
  <c r="Y108" i="11"/>
  <c r="AB108" i="11"/>
  <c r="AG108" i="11"/>
  <c r="AI108" i="11"/>
  <c r="AL108" i="11" s="1"/>
  <c r="BD108" i="11" s="1"/>
  <c r="AJ108" i="11"/>
  <c r="AK108" i="11"/>
  <c r="BE108" i="11" s="1"/>
  <c r="AN108" i="11"/>
  <c r="AP108" i="11"/>
  <c r="AS108" i="11"/>
  <c r="BP108" i="11"/>
  <c r="W109" i="11"/>
  <c r="Y109" i="11"/>
  <c r="AB109" i="11"/>
  <c r="AG109" i="11"/>
  <c r="AL109" i="11" s="1"/>
  <c r="BD109" i="11" s="1"/>
  <c r="AI109" i="11"/>
  <c r="AJ109" i="11"/>
  <c r="AK109" i="11"/>
  <c r="BE109" i="11" s="1"/>
  <c r="AN109" i="11"/>
  <c r="AP109" i="11"/>
  <c r="AS109" i="11"/>
  <c r="BP109" i="11"/>
  <c r="U110" i="11" a="1"/>
  <c r="U110" i="11" s="1"/>
  <c r="W110" i="11"/>
  <c r="Y110" i="11"/>
  <c r="AB110" i="11"/>
  <c r="AG110" i="11"/>
  <c r="AI110" i="11"/>
  <c r="AL110" i="11" s="1"/>
  <c r="BD110" i="11" s="1"/>
  <c r="AJ110" i="11"/>
  <c r="AK110" i="11"/>
  <c r="BE110" i="11" s="1"/>
  <c r="AN110" i="11"/>
  <c r="AP110" i="11"/>
  <c r="AS110" i="11"/>
  <c r="BP110" i="11"/>
  <c r="U111" i="11" a="1"/>
  <c r="U111" i="11" s="1"/>
  <c r="W111" i="11"/>
  <c r="Y111" i="11"/>
  <c r="AB111" i="11"/>
  <c r="AG111" i="11"/>
  <c r="AL111" i="11" s="1"/>
  <c r="BD111" i="11" s="1"/>
  <c r="AI111" i="11"/>
  <c r="AO111" i="11" s="1"/>
  <c r="AJ111" i="11"/>
  <c r="AK111" i="11"/>
  <c r="BE111" i="11" s="1"/>
  <c r="AN111" i="11"/>
  <c r="AP111" i="11"/>
  <c r="AS111" i="11"/>
  <c r="BP111" i="11"/>
  <c r="U112" i="11" a="1"/>
  <c r="U112" i="11" s="1"/>
  <c r="W112" i="11"/>
  <c r="Y112" i="11"/>
  <c r="AB112" i="11"/>
  <c r="AG112" i="11"/>
  <c r="AI112" i="11"/>
  <c r="AL112" i="11" s="1"/>
  <c r="BD112" i="11" s="1"/>
  <c r="AJ112" i="11"/>
  <c r="AK112" i="11"/>
  <c r="AQ112" i="11" s="1"/>
  <c r="AN112" i="11"/>
  <c r="AP112" i="11"/>
  <c r="AS112" i="11"/>
  <c r="BP112" i="11"/>
  <c r="W69" i="11"/>
  <c r="Y69" i="11"/>
  <c r="AB69" i="11"/>
  <c r="AG69" i="11"/>
  <c r="AK69" i="11" s="1"/>
  <c r="AI69" i="11"/>
  <c r="AO69" i="11" s="1"/>
  <c r="AJ69" i="11"/>
  <c r="AN69" i="11"/>
  <c r="AP69" i="11"/>
  <c r="AS69" i="11"/>
  <c r="BP69" i="11"/>
  <c r="W70" i="11"/>
  <c r="Y70" i="11"/>
  <c r="AB70" i="11"/>
  <c r="AG70" i="11"/>
  <c r="AN70" i="11" s="1"/>
  <c r="AI70" i="11"/>
  <c r="AK70" i="11" s="1"/>
  <c r="AJ70" i="11"/>
  <c r="AO70" i="11"/>
  <c r="AP70" i="11"/>
  <c r="AS70" i="11"/>
  <c r="BP70" i="11"/>
  <c r="U71" i="11" a="1"/>
  <c r="U71" i="11" s="1"/>
  <c r="W71" i="11"/>
  <c r="Y71" i="11"/>
  <c r="AB71" i="11"/>
  <c r="AG71" i="11"/>
  <c r="AL71" i="11" s="1"/>
  <c r="BD71" i="11" s="1"/>
  <c r="AI71" i="11"/>
  <c r="AJ71" i="11"/>
  <c r="AK71" i="11"/>
  <c r="AQ71" i="11" s="1"/>
  <c r="AN71" i="11"/>
  <c r="AO71" i="11"/>
  <c r="AP71" i="11"/>
  <c r="AS71" i="11"/>
  <c r="BP71" i="11"/>
  <c r="W72" i="11"/>
  <c r="Y72" i="11"/>
  <c r="AB72" i="11"/>
  <c r="AG72" i="11"/>
  <c r="AL72" i="11" s="1"/>
  <c r="BD72" i="11" s="1"/>
  <c r="AI72" i="11"/>
  <c r="AO72" i="11" s="1"/>
  <c r="AJ72" i="11"/>
  <c r="AK72" i="11"/>
  <c r="AQ72" i="11" s="1"/>
  <c r="AN72" i="11"/>
  <c r="AP72" i="11"/>
  <c r="AS72" i="11"/>
  <c r="BP72" i="11"/>
  <c r="W73" i="11"/>
  <c r="Y73" i="11"/>
  <c r="AB73" i="11"/>
  <c r="AG73" i="11"/>
  <c r="AL73" i="11" s="1"/>
  <c r="BD73" i="11" s="1"/>
  <c r="AI73" i="11"/>
  <c r="AO73" i="11" s="1"/>
  <c r="AJ73" i="11"/>
  <c r="AK73" i="11"/>
  <c r="BE73" i="11" s="1"/>
  <c r="AN73" i="11"/>
  <c r="AP73" i="11"/>
  <c r="AS73" i="11"/>
  <c r="BP73" i="11"/>
  <c r="AB74" i="11"/>
  <c r="AG74" i="11"/>
  <c r="AL74" i="11" s="1"/>
  <c r="AK74" i="11"/>
  <c r="AQ74" i="11" s="1"/>
  <c r="AN74" i="11"/>
  <c r="AO74" i="11"/>
  <c r="AP74" i="11"/>
  <c r="BE74" i="11"/>
  <c r="BP74" i="11"/>
  <c r="U75" i="11" a="1"/>
  <c r="U75" i="11" s="1"/>
  <c r="W75" i="11"/>
  <c r="Y75" i="11"/>
  <c r="AB75" i="11"/>
  <c r="AG75" i="11"/>
  <c r="AL75" i="11" s="1"/>
  <c r="BD75" i="11" s="1"/>
  <c r="AI75" i="11"/>
  <c r="AK75" i="11" s="1"/>
  <c r="AJ75" i="11"/>
  <c r="AN75" i="11"/>
  <c r="AP75" i="11"/>
  <c r="AS75" i="11"/>
  <c r="BP75" i="11"/>
  <c r="W76" i="11"/>
  <c r="Y76" i="11"/>
  <c r="AB76" i="11"/>
  <c r="AG76" i="11"/>
  <c r="AK76" i="11" s="1"/>
  <c r="AI76" i="11"/>
  <c r="AO76" i="11" s="1"/>
  <c r="AJ76" i="11"/>
  <c r="AN76" i="11"/>
  <c r="AP76" i="11"/>
  <c r="AS76" i="11"/>
  <c r="BP76" i="11"/>
  <c r="W77" i="11"/>
  <c r="Y77" i="11"/>
  <c r="AB77" i="11"/>
  <c r="AG77" i="11"/>
  <c r="AI77" i="11"/>
  <c r="AK77" i="11" s="1"/>
  <c r="AJ77" i="11"/>
  <c r="AN77" i="11"/>
  <c r="AP77" i="11"/>
  <c r="AS77" i="11"/>
  <c r="BP77" i="11"/>
  <c r="U78" i="11" a="1"/>
  <c r="U78" i="11" s="1"/>
  <c r="W78" i="11"/>
  <c r="Y78" i="11"/>
  <c r="AB78" i="11"/>
  <c r="AG78" i="11"/>
  <c r="AI78" i="11"/>
  <c r="AO80" i="11" s="1"/>
  <c r="AJ78" i="11"/>
  <c r="AN78" i="11"/>
  <c r="AP78" i="11"/>
  <c r="AS78" i="11"/>
  <c r="BP78" i="11"/>
  <c r="W79" i="11"/>
  <c r="Y79" i="11"/>
  <c r="AB79" i="11"/>
  <c r="AG79" i="11"/>
  <c r="AI79" i="11"/>
  <c r="AK79" i="11" s="1"/>
  <c r="AJ79" i="11"/>
  <c r="AN79" i="11"/>
  <c r="AP79" i="11"/>
  <c r="AS79" i="11"/>
  <c r="BP79" i="11"/>
  <c r="W80" i="11"/>
  <c r="Y80" i="11"/>
  <c r="AB80" i="11"/>
  <c r="AG80" i="11"/>
  <c r="AI80" i="11"/>
  <c r="AK80" i="11" s="1"/>
  <c r="AJ80" i="11"/>
  <c r="AN80" i="11"/>
  <c r="AP80" i="11"/>
  <c r="AS80" i="11"/>
  <c r="BP80" i="11"/>
  <c r="U81" i="11" a="1"/>
  <c r="U81" i="11" s="1"/>
  <c r="W81" i="11"/>
  <c r="Y81" i="11"/>
  <c r="AB81" i="11"/>
  <c r="AG81" i="11"/>
  <c r="AL81" i="11" s="1"/>
  <c r="BD81" i="11" s="1"/>
  <c r="AI81" i="11"/>
  <c r="AJ81" i="11"/>
  <c r="AK81" i="11"/>
  <c r="BM129" i="9" s="1"/>
  <c r="AY129" i="9" s="1"/>
  <c r="AN81" i="11"/>
  <c r="AP81" i="11"/>
  <c r="AS81" i="11"/>
  <c r="BP81" i="11"/>
  <c r="W82" i="11"/>
  <c r="Y82" i="11"/>
  <c r="AB82" i="11"/>
  <c r="AG82" i="11"/>
  <c r="AL82" i="11" s="1"/>
  <c r="BD82" i="11" s="1"/>
  <c r="AI82" i="11"/>
  <c r="AO82" i="11" s="1"/>
  <c r="AJ82" i="11"/>
  <c r="AK82" i="11"/>
  <c r="AQ82" i="11" s="1"/>
  <c r="AN82" i="11"/>
  <c r="AP82" i="11"/>
  <c r="AS82" i="11"/>
  <c r="BP82" i="11"/>
  <c r="W83" i="11"/>
  <c r="Y83" i="11"/>
  <c r="AB83" i="11"/>
  <c r="AG83" i="11"/>
  <c r="AL83" i="11" s="1"/>
  <c r="BD83" i="11" s="1"/>
  <c r="AI83" i="11"/>
  <c r="AO83" i="11" s="1"/>
  <c r="AJ83" i="11"/>
  <c r="AK83" i="11"/>
  <c r="BM125" i="9" s="1"/>
  <c r="AY125" i="9" s="1"/>
  <c r="AN83" i="11"/>
  <c r="AP83" i="11"/>
  <c r="AS83" i="11"/>
  <c r="BP83" i="11"/>
  <c r="W84" i="11"/>
  <c r="Y84" i="11"/>
  <c r="AB84" i="11"/>
  <c r="AG84" i="11"/>
  <c r="AI84" i="11"/>
  <c r="AO84" i="11" s="1"/>
  <c r="AJ84" i="11"/>
  <c r="AK84" i="11"/>
  <c r="AQ84" i="11" s="1"/>
  <c r="AN84" i="11"/>
  <c r="AP84" i="11"/>
  <c r="AS84" i="11"/>
  <c r="BP84" i="11"/>
  <c r="U85" i="11" a="1"/>
  <c r="U85" i="11" s="1"/>
  <c r="W85" i="11"/>
  <c r="Y85" i="11"/>
  <c r="AB85" i="11"/>
  <c r="AG85" i="11"/>
  <c r="AL85" i="11" s="1"/>
  <c r="BD85" i="11" s="1"/>
  <c r="AI85" i="11"/>
  <c r="AO88" i="11" s="1"/>
  <c r="AJ85" i="11"/>
  <c r="AK85" i="11"/>
  <c r="BM18" i="9" s="1"/>
  <c r="AX18" i="9" s="1"/>
  <c r="AN85" i="11"/>
  <c r="AP85" i="11"/>
  <c r="AS85" i="11"/>
  <c r="BP85" i="11"/>
  <c r="W86" i="11"/>
  <c r="Y86" i="11"/>
  <c r="AB86" i="11"/>
  <c r="AG86" i="11"/>
  <c r="AI86" i="11"/>
  <c r="AL86" i="11" s="1"/>
  <c r="BD86" i="11" s="1"/>
  <c r="AJ86" i="11"/>
  <c r="AK86" i="11"/>
  <c r="BE86" i="11" s="1"/>
  <c r="AN86" i="11"/>
  <c r="AP86" i="11"/>
  <c r="AS86" i="11"/>
  <c r="BP86" i="11"/>
  <c r="W87" i="11"/>
  <c r="Y87" i="11"/>
  <c r="AB87" i="11"/>
  <c r="AG87" i="11"/>
  <c r="AL87" i="11" s="1"/>
  <c r="BD87" i="11" s="1"/>
  <c r="AI87" i="11"/>
  <c r="AJ87" i="11"/>
  <c r="AK87" i="11"/>
  <c r="BE87" i="11" s="1"/>
  <c r="AN87" i="11"/>
  <c r="AP87" i="11"/>
  <c r="AS87" i="11"/>
  <c r="BP87" i="11"/>
  <c r="W88" i="11"/>
  <c r="Y88" i="11"/>
  <c r="AB88" i="11"/>
  <c r="AG88" i="11"/>
  <c r="AI88" i="11"/>
  <c r="AL88" i="11" s="1"/>
  <c r="BD88" i="11" s="1"/>
  <c r="AJ88" i="11"/>
  <c r="AK88" i="11"/>
  <c r="BE88" i="11" s="1"/>
  <c r="AN88" i="11"/>
  <c r="AP88" i="11"/>
  <c r="AS88" i="11"/>
  <c r="BP88" i="11"/>
  <c r="U89" i="11" a="1"/>
  <c r="U89" i="11" s="1"/>
  <c r="W89" i="11"/>
  <c r="Y89" i="11"/>
  <c r="AB89" i="11"/>
  <c r="AG89" i="11"/>
  <c r="AL89" i="11" s="1"/>
  <c r="BD89" i="11" s="1"/>
  <c r="AI89" i="11"/>
  <c r="AO89" i="11" s="1"/>
  <c r="AJ89" i="11"/>
  <c r="AK89" i="11"/>
  <c r="BM20" i="9" s="1"/>
  <c r="AY20" i="9" s="1"/>
  <c r="AN89" i="11"/>
  <c r="AP89" i="11"/>
  <c r="AS89" i="11"/>
  <c r="BP89" i="11"/>
  <c r="W90" i="11"/>
  <c r="Y90" i="11"/>
  <c r="AB90" i="11"/>
  <c r="AG90" i="11"/>
  <c r="AI90" i="11"/>
  <c r="AL90" i="11" s="1"/>
  <c r="BD90" i="11" s="1"/>
  <c r="AJ90" i="11"/>
  <c r="AK90" i="11"/>
  <c r="BM49" i="9" s="1"/>
  <c r="AY49" i="9" s="1"/>
  <c r="AN90" i="11"/>
  <c r="AP90" i="11"/>
  <c r="AS90" i="11"/>
  <c r="BP90" i="11"/>
  <c r="W47" i="11"/>
  <c r="Y47" i="11"/>
  <c r="AB47" i="11"/>
  <c r="AG47" i="11"/>
  <c r="AK47" i="11" s="1"/>
  <c r="AI47" i="11"/>
  <c r="AO47" i="11" s="1"/>
  <c r="AJ47" i="11"/>
  <c r="AS47" i="11"/>
  <c r="BP47" i="11"/>
  <c r="W48" i="11"/>
  <c r="Y48" i="11"/>
  <c r="AB48" i="11"/>
  <c r="AG48" i="11"/>
  <c r="AI48" i="11"/>
  <c r="AK48" i="11" s="1"/>
  <c r="AJ48" i="11"/>
  <c r="AP47" i="11" s="1"/>
  <c r="AP48" i="11"/>
  <c r="AS48" i="11"/>
  <c r="BP48" i="11"/>
  <c r="U49" i="11" a="1"/>
  <c r="U49" i="11" s="1"/>
  <c r="W49" i="11"/>
  <c r="Y49" i="11"/>
  <c r="AB49" i="11"/>
  <c r="AG49" i="11"/>
  <c r="AL49" i="11" s="1"/>
  <c r="BD49" i="11" s="1"/>
  <c r="AI49" i="11"/>
  <c r="AJ49" i="11"/>
  <c r="AK49" i="11"/>
  <c r="BE49" i="11" s="1"/>
  <c r="AN49" i="11"/>
  <c r="AP49" i="11"/>
  <c r="AS49" i="11"/>
  <c r="BP49" i="11"/>
  <c r="U50" i="11" a="1"/>
  <c r="U50" i="11" s="1"/>
  <c r="W50" i="11"/>
  <c r="Y50" i="11"/>
  <c r="AB50" i="11"/>
  <c r="AG50" i="11"/>
  <c r="AI50" i="11"/>
  <c r="AO49" i="11" s="1"/>
  <c r="AJ50" i="11"/>
  <c r="AK50" i="11"/>
  <c r="BE50" i="11" s="1"/>
  <c r="AN50" i="11"/>
  <c r="AP50" i="11"/>
  <c r="AS50" i="11"/>
  <c r="BP50" i="11"/>
  <c r="U51" i="11" a="1"/>
  <c r="U51" i="11" s="1"/>
  <c r="W51" i="11"/>
  <c r="Y51" i="11"/>
  <c r="AB51" i="11"/>
  <c r="AG51" i="11"/>
  <c r="AL51" i="11" s="1"/>
  <c r="BD51" i="11" s="1"/>
  <c r="AI51" i="11"/>
  <c r="AO54" i="11" s="1"/>
  <c r="AJ51" i="11"/>
  <c r="AK51" i="11"/>
  <c r="AQ52" i="11" s="1"/>
  <c r="AN51" i="11"/>
  <c r="AP51" i="11"/>
  <c r="AS51" i="11"/>
  <c r="BP51" i="11"/>
  <c r="U52" i="11" a="1"/>
  <c r="U52" i="11" s="1"/>
  <c r="W52" i="11"/>
  <c r="Y52" i="11"/>
  <c r="AB52" i="11"/>
  <c r="AG52" i="11"/>
  <c r="AI52" i="11"/>
  <c r="AL52" i="11" s="1"/>
  <c r="BD52" i="11" s="1"/>
  <c r="AJ52" i="11"/>
  <c r="AK52" i="11"/>
  <c r="BE52" i="11" s="1"/>
  <c r="AN52" i="11"/>
  <c r="AP52" i="11"/>
  <c r="AS52" i="11"/>
  <c r="BP52" i="11"/>
  <c r="U53" i="11" a="1"/>
  <c r="U53" i="11" s="1"/>
  <c r="W53" i="11"/>
  <c r="Y53" i="11"/>
  <c r="AB53" i="11"/>
  <c r="AG53" i="11"/>
  <c r="AL53" i="11" s="1"/>
  <c r="BD53" i="11" s="1"/>
  <c r="AI53" i="11"/>
  <c r="AO53" i="11" s="1"/>
  <c r="AJ53" i="11"/>
  <c r="AK53" i="11"/>
  <c r="BE53" i="11" s="1"/>
  <c r="AN53" i="11"/>
  <c r="AP53" i="11"/>
  <c r="AS53" i="11"/>
  <c r="BP53" i="11"/>
  <c r="U54" i="11" a="1"/>
  <c r="U54" i="11" s="1"/>
  <c r="W54" i="11"/>
  <c r="Y54" i="11"/>
  <c r="AB54" i="11"/>
  <c r="AG54" i="11"/>
  <c r="AI54" i="11"/>
  <c r="AL54" i="11" s="1"/>
  <c r="BD54" i="11" s="1"/>
  <c r="AJ54" i="11"/>
  <c r="AK54" i="11"/>
  <c r="BE54" i="11" s="1"/>
  <c r="AN54" i="11"/>
  <c r="AP54" i="11"/>
  <c r="AS54" i="11"/>
  <c r="BP54" i="11"/>
  <c r="U55" i="11" a="1"/>
  <c r="U55" i="11" s="1"/>
  <c r="W55" i="11"/>
  <c r="Y55" i="11"/>
  <c r="AB55" i="11"/>
  <c r="AG55" i="11"/>
  <c r="AL55" i="11" s="1"/>
  <c r="BD55" i="11" s="1"/>
  <c r="AI55" i="11"/>
  <c r="AO55" i="11" s="1"/>
  <c r="AJ55" i="11"/>
  <c r="AK55" i="11"/>
  <c r="BE55" i="11" s="1"/>
  <c r="AN55" i="11"/>
  <c r="AP55" i="11"/>
  <c r="AS55" i="11"/>
  <c r="BP55" i="11"/>
  <c r="U56" i="11" a="1"/>
  <c r="U56" i="11" s="1"/>
  <c r="W56" i="11"/>
  <c r="Y56" i="11"/>
  <c r="AB56" i="11"/>
  <c r="AG56" i="11"/>
  <c r="AI56" i="11"/>
  <c r="AL56" i="11" s="1"/>
  <c r="BD56" i="11" s="1"/>
  <c r="AJ56" i="11"/>
  <c r="AK56" i="11"/>
  <c r="AQ56" i="11" s="1"/>
  <c r="AN56" i="11"/>
  <c r="AP56" i="11"/>
  <c r="AS56" i="11"/>
  <c r="BP56" i="11"/>
  <c r="U57" i="11" a="1"/>
  <c r="U57" i="11" s="1"/>
  <c r="W57" i="11"/>
  <c r="Y57" i="11"/>
  <c r="AB57" i="11"/>
  <c r="AG57" i="11"/>
  <c r="AL57" i="11" s="1"/>
  <c r="BD57" i="11" s="1"/>
  <c r="AI57" i="11"/>
  <c r="AO57" i="11" s="1"/>
  <c r="AJ57" i="11"/>
  <c r="AK57" i="11"/>
  <c r="AQ57" i="11" s="1"/>
  <c r="AN57" i="11"/>
  <c r="AP57" i="11"/>
  <c r="AS57" i="11"/>
  <c r="BP57" i="11"/>
  <c r="U58" i="11" a="1"/>
  <c r="U58" i="11" s="1"/>
  <c r="W58" i="11"/>
  <c r="Y58" i="11"/>
  <c r="AB58" i="11"/>
  <c r="AG58" i="11"/>
  <c r="AI58" i="11"/>
  <c r="AL58" i="11" s="1"/>
  <c r="BD58" i="11" s="1"/>
  <c r="AJ58" i="11"/>
  <c r="AK58" i="11"/>
  <c r="BM100" i="9" s="1"/>
  <c r="AY100" i="9" s="1"/>
  <c r="AN58" i="11"/>
  <c r="AP58" i="11"/>
  <c r="AS58" i="11"/>
  <c r="BP58" i="11"/>
  <c r="U59" i="11" a="1"/>
  <c r="U59" i="11" s="1"/>
  <c r="W59" i="11"/>
  <c r="Y59" i="11"/>
  <c r="AB59" i="11"/>
  <c r="AG59" i="11"/>
  <c r="AL59" i="11" s="1"/>
  <c r="BD59" i="11" s="1"/>
  <c r="AI59" i="11"/>
  <c r="AO59" i="11" s="1"/>
  <c r="AJ59" i="11"/>
  <c r="AK59" i="11"/>
  <c r="BE59" i="11" s="1"/>
  <c r="AN59" i="11"/>
  <c r="AP59" i="11"/>
  <c r="AS59" i="11"/>
  <c r="BP59" i="11"/>
  <c r="U60" i="11" a="1"/>
  <c r="U60" i="11" s="1"/>
  <c r="W60" i="11"/>
  <c r="Y60" i="11"/>
  <c r="AB60" i="11"/>
  <c r="AG60" i="11"/>
  <c r="AI60" i="11"/>
  <c r="AO61" i="11" s="1"/>
  <c r="AJ60" i="11"/>
  <c r="AK60" i="11"/>
  <c r="AQ60" i="11" s="1"/>
  <c r="AN60" i="11"/>
  <c r="AP60" i="11"/>
  <c r="AS60" i="11"/>
  <c r="BP60" i="11"/>
  <c r="U61" i="11" a="1"/>
  <c r="U61" i="11" s="1"/>
  <c r="W61" i="11"/>
  <c r="Y61" i="11"/>
  <c r="AB61" i="11"/>
  <c r="AG61" i="11"/>
  <c r="AL61" i="11" s="1"/>
  <c r="BD61" i="11" s="1"/>
  <c r="AI61" i="11"/>
  <c r="AJ61" i="11"/>
  <c r="AK61" i="11"/>
  <c r="BE61" i="11" s="1"/>
  <c r="AN61" i="11"/>
  <c r="AP61" i="11"/>
  <c r="AS61" i="11"/>
  <c r="BP61" i="11"/>
  <c r="U62" i="11" a="1"/>
  <c r="U62" i="11" s="1"/>
  <c r="W62" i="11"/>
  <c r="Y62" i="11"/>
  <c r="AB62" i="11"/>
  <c r="AG62" i="11"/>
  <c r="AI62" i="11"/>
  <c r="AL62" i="11" s="1"/>
  <c r="BD62" i="11" s="1"/>
  <c r="AJ62" i="11"/>
  <c r="AK62" i="11"/>
  <c r="BM62" i="9" s="1"/>
  <c r="AY62" i="9" s="1"/>
  <c r="AN62" i="11"/>
  <c r="AP62" i="11"/>
  <c r="AS62" i="11"/>
  <c r="BP62" i="11"/>
  <c r="U63" i="11" a="1"/>
  <c r="U63" i="11" s="1"/>
  <c r="W63" i="11"/>
  <c r="Y63" i="11"/>
  <c r="AB63" i="11"/>
  <c r="AG63" i="11"/>
  <c r="AL63" i="11" s="1"/>
  <c r="BD63" i="11" s="1"/>
  <c r="AI63" i="11"/>
  <c r="AJ63" i="11"/>
  <c r="AK63" i="11"/>
  <c r="BE63" i="11" s="1"/>
  <c r="AN63" i="11"/>
  <c r="AP63" i="11"/>
  <c r="AS63" i="11"/>
  <c r="BP63" i="11"/>
  <c r="U64" i="11" a="1"/>
  <c r="U64" i="11" s="1"/>
  <c r="W64" i="11"/>
  <c r="Y64" i="11"/>
  <c r="AB64" i="11"/>
  <c r="AG64" i="11"/>
  <c r="AI64" i="11"/>
  <c r="AL64" i="11" s="1"/>
  <c r="BD64" i="11" s="1"/>
  <c r="AJ64" i="11"/>
  <c r="AK64" i="11"/>
  <c r="AQ64" i="11" s="1"/>
  <c r="AN64" i="11"/>
  <c r="AP64" i="11"/>
  <c r="AS64" i="11"/>
  <c r="BP64" i="11"/>
  <c r="U65" i="11" a="1"/>
  <c r="U65" i="11" s="1"/>
  <c r="W65" i="11"/>
  <c r="Y65" i="11"/>
  <c r="AB65" i="11"/>
  <c r="AG65" i="11"/>
  <c r="AL65" i="11" s="1"/>
  <c r="BD65" i="11" s="1"/>
  <c r="AI65" i="11"/>
  <c r="AO65" i="11" s="1"/>
  <c r="AJ65" i="11"/>
  <c r="AK65" i="11"/>
  <c r="AQ65" i="11" s="1"/>
  <c r="AN65" i="11"/>
  <c r="AP65" i="11"/>
  <c r="AS65" i="11"/>
  <c r="BP65" i="11"/>
  <c r="U66" i="11" a="1"/>
  <c r="U66" i="11" s="1"/>
  <c r="W66" i="11"/>
  <c r="Y66" i="11"/>
  <c r="AB66" i="11"/>
  <c r="AG66" i="11"/>
  <c r="AI66" i="11"/>
  <c r="AL66" i="11" s="1"/>
  <c r="BD66" i="11" s="1"/>
  <c r="AJ66" i="11"/>
  <c r="AK66" i="11"/>
  <c r="AN66" i="11"/>
  <c r="AP66" i="11"/>
  <c r="AS66" i="11"/>
  <c r="BP66" i="11"/>
  <c r="U67" i="11" a="1"/>
  <c r="U67" i="11" s="1"/>
  <c r="W67" i="11"/>
  <c r="Y67" i="11"/>
  <c r="AB67" i="11"/>
  <c r="AG67" i="11"/>
  <c r="AL67" i="11" s="1"/>
  <c r="BD67" i="11" s="1"/>
  <c r="AI67" i="11"/>
  <c r="AJ67" i="11"/>
  <c r="AK67" i="11"/>
  <c r="BE67" i="11" s="1"/>
  <c r="AN67" i="11"/>
  <c r="AP67" i="11"/>
  <c r="AS67" i="11"/>
  <c r="BP67" i="11"/>
  <c r="U68" i="11" a="1"/>
  <c r="U68" i="11" s="1"/>
  <c r="W68" i="11"/>
  <c r="Y68" i="11"/>
  <c r="AB68" i="11"/>
  <c r="AG68" i="11"/>
  <c r="AI68" i="11"/>
  <c r="AL68" i="11" s="1"/>
  <c r="BD68" i="11" s="1"/>
  <c r="AJ68" i="11"/>
  <c r="AK68" i="11"/>
  <c r="BE68" i="11" s="1"/>
  <c r="AN68" i="11"/>
  <c r="AP68" i="11"/>
  <c r="AS68" i="11"/>
  <c r="BP68" i="11"/>
  <c r="W25" i="11"/>
  <c r="Y25" i="11"/>
  <c r="AB25" i="11"/>
  <c r="AG25" i="11"/>
  <c r="AK25" i="11" s="1"/>
  <c r="AI25" i="11"/>
  <c r="AJ25" i="11"/>
  <c r="AS25" i="11"/>
  <c r="BP25" i="11"/>
  <c r="W26" i="11"/>
  <c r="Y26" i="11"/>
  <c r="AB26" i="11"/>
  <c r="AG26" i="11"/>
  <c r="AI26" i="11"/>
  <c r="AO27" i="11" s="1"/>
  <c r="AJ26" i="11"/>
  <c r="AP25" i="11" s="1"/>
  <c r="AP26" i="11"/>
  <c r="AS26" i="11"/>
  <c r="BP26" i="11"/>
  <c r="W27" i="11"/>
  <c r="Y27" i="11"/>
  <c r="AB27" i="11"/>
  <c r="AG27" i="11"/>
  <c r="AL27" i="11" s="1"/>
  <c r="BD27" i="11" s="1"/>
  <c r="AI27" i="11"/>
  <c r="AJ27" i="11"/>
  <c r="AK27" i="11"/>
  <c r="BE27" i="11" s="1"/>
  <c r="AN27" i="11"/>
  <c r="AP27" i="11"/>
  <c r="AS27" i="11"/>
  <c r="BP27" i="11"/>
  <c r="W28" i="11"/>
  <c r="Y28" i="11"/>
  <c r="AB28" i="11"/>
  <c r="AG28" i="11"/>
  <c r="AI28" i="11"/>
  <c r="AL28" i="11" s="1"/>
  <c r="BD28" i="11" s="1"/>
  <c r="AJ28" i="11"/>
  <c r="AK28" i="11"/>
  <c r="AQ28" i="11" s="1"/>
  <c r="AN28" i="11"/>
  <c r="AP28" i="11"/>
  <c r="AS28" i="11"/>
  <c r="BP28" i="11"/>
  <c r="W29" i="11"/>
  <c r="Y29" i="11"/>
  <c r="AB29" i="11"/>
  <c r="AG29" i="11"/>
  <c r="AL29" i="11" s="1"/>
  <c r="BD29" i="11" s="1"/>
  <c r="AI29" i="11"/>
  <c r="AO31" i="11" s="1"/>
  <c r="AJ29" i="11"/>
  <c r="AK29" i="11"/>
  <c r="AQ30" i="11" s="1"/>
  <c r="AN29" i="11"/>
  <c r="AP29" i="11"/>
  <c r="AS29" i="11"/>
  <c r="BP29" i="11"/>
  <c r="W30" i="11"/>
  <c r="Y30" i="11"/>
  <c r="AB30" i="11"/>
  <c r="AG30" i="11"/>
  <c r="AI30" i="11"/>
  <c r="AL30" i="11" s="1"/>
  <c r="BD30" i="11" s="1"/>
  <c r="AJ30" i="11"/>
  <c r="AK30" i="11"/>
  <c r="BE30" i="11" s="1"/>
  <c r="AN30" i="11"/>
  <c r="AP30" i="11"/>
  <c r="AS30" i="11"/>
  <c r="BP30" i="11"/>
  <c r="W31" i="11"/>
  <c r="Y31" i="11"/>
  <c r="AB31" i="11"/>
  <c r="AG31" i="11"/>
  <c r="AL31" i="11" s="1"/>
  <c r="BD31" i="11" s="1"/>
  <c r="AI31" i="11"/>
  <c r="AJ31" i="11"/>
  <c r="AK31" i="11"/>
  <c r="BE31" i="11" s="1"/>
  <c r="AN31" i="11"/>
  <c r="AP31" i="11"/>
  <c r="AS31" i="11"/>
  <c r="BP31" i="11"/>
  <c r="W32" i="11"/>
  <c r="Y32" i="11"/>
  <c r="AB32" i="11"/>
  <c r="AG32" i="11"/>
  <c r="AI32" i="11"/>
  <c r="AL32" i="11" s="1"/>
  <c r="BD32" i="11" s="1"/>
  <c r="AJ32" i="11"/>
  <c r="AK32" i="11"/>
  <c r="BM67" i="9" s="1"/>
  <c r="AN32" i="11"/>
  <c r="AP32" i="11"/>
  <c r="AS32" i="11"/>
  <c r="BP32" i="11"/>
  <c r="W33" i="11"/>
  <c r="Y33" i="11"/>
  <c r="AB33" i="11"/>
  <c r="AG33" i="11"/>
  <c r="AL33" i="11" s="1"/>
  <c r="BD33" i="11" s="1"/>
  <c r="AI33" i="11"/>
  <c r="AO35" i="11" s="1"/>
  <c r="AJ33" i="11"/>
  <c r="AK33" i="11"/>
  <c r="AQ34" i="11" s="1"/>
  <c r="AN33" i="11"/>
  <c r="AP33" i="11"/>
  <c r="AS33" i="11"/>
  <c r="BP33" i="11"/>
  <c r="W34" i="11"/>
  <c r="Y34" i="11"/>
  <c r="AB34" i="11"/>
  <c r="AG34" i="11"/>
  <c r="AI34" i="11"/>
  <c r="AL34" i="11" s="1"/>
  <c r="BD34" i="11" s="1"/>
  <c r="AJ34" i="11"/>
  <c r="AK34" i="11"/>
  <c r="BE34" i="11" s="1"/>
  <c r="AN34" i="11"/>
  <c r="AP34" i="11"/>
  <c r="AS34" i="11"/>
  <c r="BP34" i="11"/>
  <c r="W35" i="11"/>
  <c r="Y35" i="11"/>
  <c r="AB35" i="11"/>
  <c r="AG35" i="11"/>
  <c r="AL35" i="11" s="1"/>
  <c r="BD35" i="11" s="1"/>
  <c r="AI35" i="11"/>
  <c r="AJ35" i="11"/>
  <c r="AK35" i="11"/>
  <c r="BE35" i="11" s="1"/>
  <c r="AN35" i="11"/>
  <c r="AP35" i="11"/>
  <c r="AS35" i="11"/>
  <c r="BP35" i="11"/>
  <c r="W36" i="11"/>
  <c r="Y36" i="11"/>
  <c r="AB36" i="11"/>
  <c r="AG36" i="11"/>
  <c r="AI36" i="11"/>
  <c r="AL36" i="11" s="1"/>
  <c r="BD36" i="11" s="1"/>
  <c r="AJ36" i="11"/>
  <c r="AK36" i="11"/>
  <c r="BE36" i="11" s="1"/>
  <c r="AN36" i="11"/>
  <c r="AP36" i="11"/>
  <c r="AS36" i="11"/>
  <c r="BP36" i="11"/>
  <c r="W37" i="11"/>
  <c r="Y37" i="11"/>
  <c r="AB37" i="11"/>
  <c r="AG37" i="11"/>
  <c r="AK37" i="11"/>
  <c r="U138" i="11" s="1" a="1"/>
  <c r="U138" i="11" s="1"/>
  <c r="AN37" i="11"/>
  <c r="AO37" i="11"/>
  <c r="AP37" i="11"/>
  <c r="AS37" i="11"/>
  <c r="BP37" i="11"/>
  <c r="W38" i="11"/>
  <c r="Y38" i="11"/>
  <c r="AB38" i="11"/>
  <c r="AG38" i="11"/>
  <c r="AI38" i="11"/>
  <c r="AO39" i="11" s="1"/>
  <c r="AJ38" i="11"/>
  <c r="AK38" i="11"/>
  <c r="AQ38" i="11" s="1"/>
  <c r="AN38" i="11"/>
  <c r="AP38" i="11"/>
  <c r="AS38" i="11"/>
  <c r="BP38" i="11"/>
  <c r="W39" i="11"/>
  <c r="Y39" i="11"/>
  <c r="AB39" i="11"/>
  <c r="AG39" i="11"/>
  <c r="AL39" i="11" s="1"/>
  <c r="BD39" i="11" s="1"/>
  <c r="AI39" i="11"/>
  <c r="AJ39" i="11"/>
  <c r="AK39" i="11"/>
  <c r="BE39" i="11" s="1"/>
  <c r="AN39" i="11"/>
  <c r="AP39" i="11"/>
  <c r="AS39" i="11"/>
  <c r="BP39" i="11"/>
  <c r="W40" i="11"/>
  <c r="Y40" i="11"/>
  <c r="AB40" i="11"/>
  <c r="AG40" i="11"/>
  <c r="AI40" i="11"/>
  <c r="AL40" i="11" s="1"/>
  <c r="BD40" i="11" s="1"/>
  <c r="AJ40" i="11"/>
  <c r="AK40" i="11"/>
  <c r="BE40" i="11" s="1"/>
  <c r="AN40" i="11"/>
  <c r="AP40" i="11"/>
  <c r="AS40" i="11"/>
  <c r="BP40" i="11"/>
  <c r="W41" i="11"/>
  <c r="Y41" i="11"/>
  <c r="AB41" i="11"/>
  <c r="AG41" i="11"/>
  <c r="AL41" i="11" s="1"/>
  <c r="BD41" i="11" s="1"/>
  <c r="AI41" i="11"/>
  <c r="AJ41" i="11"/>
  <c r="AK41" i="11"/>
  <c r="BE41" i="11" s="1"/>
  <c r="AN41" i="11"/>
  <c r="AP41" i="11"/>
  <c r="AS41" i="11"/>
  <c r="BP41" i="11"/>
  <c r="W42" i="11"/>
  <c r="Y42" i="11"/>
  <c r="AB42" i="11"/>
  <c r="AG42" i="11"/>
  <c r="AI42" i="11"/>
  <c r="AO43" i="11" s="1"/>
  <c r="AJ42" i="11"/>
  <c r="AP44" i="11" s="1"/>
  <c r="AK42" i="11"/>
  <c r="AP42" i="11"/>
  <c r="AS42" i="11"/>
  <c r="BP42" i="11"/>
  <c r="W43" i="11"/>
  <c r="Y43" i="11"/>
  <c r="AB43" i="11"/>
  <c r="AG43" i="11"/>
  <c r="AL43" i="11" s="1"/>
  <c r="BD43" i="11" s="1"/>
  <c r="AI43" i="11"/>
  <c r="AJ43" i="11"/>
  <c r="AK43" i="11"/>
  <c r="BE43" i="11" s="1"/>
  <c r="AP43" i="11"/>
  <c r="AS43" i="11"/>
  <c r="BP43" i="11"/>
  <c r="W44" i="11"/>
  <c r="Y44" i="11"/>
  <c r="AB44" i="11"/>
  <c r="AG44" i="11"/>
  <c r="AI44" i="11"/>
  <c r="BE44" i="11" s="1"/>
  <c r="AJ44" i="11"/>
  <c r="AL44" i="11"/>
  <c r="BD44" i="11" s="1"/>
  <c r="AO44" i="11"/>
  <c r="AS44" i="11"/>
  <c r="BP44" i="11"/>
  <c r="W45" i="11"/>
  <c r="Y45" i="11"/>
  <c r="AB45" i="11"/>
  <c r="AG45" i="11"/>
  <c r="AN43" i="11" s="1"/>
  <c r="AI45" i="11"/>
  <c r="AJ45" i="11"/>
  <c r="AP45" i="11" s="1"/>
  <c r="AO45" i="11"/>
  <c r="AS45" i="11"/>
  <c r="BP45" i="11"/>
  <c r="W46" i="11"/>
  <c r="Y46" i="11"/>
  <c r="AB46" i="11"/>
  <c r="AG46" i="11"/>
  <c r="AK46" i="11" s="1"/>
  <c r="AI46" i="11"/>
  <c r="AJ46" i="11"/>
  <c r="AO46" i="11"/>
  <c r="AP46" i="11"/>
  <c r="AS46" i="11"/>
  <c r="BP46" i="11"/>
  <c r="W3" i="11"/>
  <c r="Y3" i="11"/>
  <c r="AB3" i="11"/>
  <c r="AG3" i="11"/>
  <c r="AK3" i="11" s="1"/>
  <c r="AI3" i="11"/>
  <c r="AJ3" i="11"/>
  <c r="AS3" i="11"/>
  <c r="BP3" i="11"/>
  <c r="W4" i="11"/>
  <c r="Y4" i="11"/>
  <c r="AB4" i="11"/>
  <c r="AG4" i="11"/>
  <c r="AI4" i="11"/>
  <c r="AO3" i="11" s="1"/>
  <c r="AJ4" i="11"/>
  <c r="AP3" i="11" s="1"/>
  <c r="AN4" i="11"/>
  <c r="AP4" i="11"/>
  <c r="AS4" i="11"/>
  <c r="BP4" i="11"/>
  <c r="W5" i="11"/>
  <c r="Y5" i="11"/>
  <c r="AB5" i="11"/>
  <c r="AG5" i="11"/>
  <c r="AL5" i="11" s="1"/>
  <c r="BD5" i="11" s="1"/>
  <c r="AI5" i="11"/>
  <c r="AJ5" i="11"/>
  <c r="AK5" i="11"/>
  <c r="BE5" i="11" s="1"/>
  <c r="AN5" i="11"/>
  <c r="AP5" i="11"/>
  <c r="AS5" i="11"/>
  <c r="BP5" i="11"/>
  <c r="W6" i="11"/>
  <c r="Y6" i="11"/>
  <c r="AB6" i="11"/>
  <c r="AG6" i="11"/>
  <c r="AI6" i="11"/>
  <c r="AO5" i="11" s="1"/>
  <c r="AJ6" i="11"/>
  <c r="AK6" i="11"/>
  <c r="BE6" i="11" s="1"/>
  <c r="AN6" i="11"/>
  <c r="AP6" i="11"/>
  <c r="AS6" i="11"/>
  <c r="BP6" i="11"/>
  <c r="AB7" i="11"/>
  <c r="AG7" i="11"/>
  <c r="AL7" i="11" s="1"/>
  <c r="AK7" i="11"/>
  <c r="AQ7" i="11" s="1"/>
  <c r="AN7" i="11"/>
  <c r="AO7" i="11"/>
  <c r="AP7" i="11"/>
  <c r="BE7" i="11"/>
  <c r="BP7" i="11"/>
  <c r="W8" i="11"/>
  <c r="Y8" i="11"/>
  <c r="AB8" i="11"/>
  <c r="AG8" i="11"/>
  <c r="AI8" i="11"/>
  <c r="AO10" i="11" s="1"/>
  <c r="AJ8" i="11"/>
  <c r="AN8" i="11"/>
  <c r="AS8" i="11"/>
  <c r="BP8" i="11"/>
  <c r="W9" i="11"/>
  <c r="Y9" i="11"/>
  <c r="AB9" i="11"/>
  <c r="AG9" i="11"/>
  <c r="AK9" i="11" s="1"/>
  <c r="AI9" i="11"/>
  <c r="AJ9" i="11"/>
  <c r="AN9" i="11"/>
  <c r="AP9" i="11"/>
  <c r="AS9" i="11"/>
  <c r="BP9" i="11"/>
  <c r="W10" i="11"/>
  <c r="Y10" i="11"/>
  <c r="AB10" i="11"/>
  <c r="AG10" i="11"/>
  <c r="AI10" i="11"/>
  <c r="AK10" i="11" s="1"/>
  <c r="AJ10" i="11"/>
  <c r="AP8" i="11" s="1"/>
  <c r="AN10" i="11"/>
  <c r="AP10" i="11"/>
  <c r="AS10" i="11"/>
  <c r="BP10" i="11"/>
  <c r="W11" i="11"/>
  <c r="Y11" i="11"/>
  <c r="AB11" i="11"/>
  <c r="AG11" i="11"/>
  <c r="AI11" i="11"/>
  <c r="AK11" i="11" s="1"/>
  <c r="AJ11" i="11"/>
  <c r="AN11" i="11"/>
  <c r="AP11" i="11"/>
  <c r="AS11" i="11"/>
  <c r="BP11" i="11"/>
  <c r="W12" i="11"/>
  <c r="Y12" i="11"/>
  <c r="AB12" i="11"/>
  <c r="AG12" i="11"/>
  <c r="AI12" i="11"/>
  <c r="AO14" i="11" s="1"/>
  <c r="AJ12" i="11"/>
  <c r="AK12" i="11"/>
  <c r="AN12" i="11"/>
  <c r="AP12" i="11"/>
  <c r="AS12" i="11"/>
  <c r="BE12" i="11"/>
  <c r="BP12" i="11"/>
  <c r="W13" i="11"/>
  <c r="Y13" i="11"/>
  <c r="AB13" i="11"/>
  <c r="AG13" i="11"/>
  <c r="AL13" i="11" s="1"/>
  <c r="BD13" i="11" s="1"/>
  <c r="AI13" i="11"/>
  <c r="AJ13" i="11"/>
  <c r="AK13" i="11"/>
  <c r="BM13" i="9" s="1"/>
  <c r="AN13" i="11"/>
  <c r="AP13" i="11"/>
  <c r="AS13" i="11"/>
  <c r="BP13" i="11"/>
  <c r="W14" i="11"/>
  <c r="Y14" i="11"/>
  <c r="AB14" i="11"/>
  <c r="AG14" i="11"/>
  <c r="AI14" i="11"/>
  <c r="AL14" i="11" s="1"/>
  <c r="BD14" i="11" s="1"/>
  <c r="AJ14" i="11"/>
  <c r="AK14" i="11"/>
  <c r="BE14" i="11" s="1"/>
  <c r="AN14" i="11"/>
  <c r="AP14" i="11"/>
  <c r="AS14" i="11"/>
  <c r="BP14" i="11"/>
  <c r="W15" i="11"/>
  <c r="Y15" i="11"/>
  <c r="AB15" i="11"/>
  <c r="AG15" i="11"/>
  <c r="AI15" i="11"/>
  <c r="AK15" i="11" s="1"/>
  <c r="AJ15" i="11"/>
  <c r="AN15" i="11"/>
  <c r="AP15" i="11"/>
  <c r="AS15" i="11"/>
  <c r="BP15" i="11"/>
  <c r="W16" i="11"/>
  <c r="Y16" i="11"/>
  <c r="AB16" i="11"/>
  <c r="AG16" i="11"/>
  <c r="AI16" i="11"/>
  <c r="AO18" i="11" s="1"/>
  <c r="AJ16" i="11"/>
  <c r="AK16" i="11"/>
  <c r="AQ18" i="11" s="1"/>
  <c r="AN16" i="11"/>
  <c r="AP16" i="11"/>
  <c r="AS16" i="11"/>
  <c r="BP16" i="11"/>
  <c r="W17" i="11"/>
  <c r="Y17" i="11"/>
  <c r="AB17" i="11"/>
  <c r="AG17" i="11"/>
  <c r="AL17" i="11" s="1"/>
  <c r="BD17" i="11" s="1"/>
  <c r="AI17" i="11"/>
  <c r="AJ17" i="11"/>
  <c r="AK17" i="11"/>
  <c r="BE17" i="11" s="1"/>
  <c r="AN17" i="11"/>
  <c r="AP17" i="11"/>
  <c r="AS17" i="11"/>
  <c r="BP17" i="11"/>
  <c r="W18" i="11"/>
  <c r="Y18" i="11"/>
  <c r="AB18" i="11"/>
  <c r="AG18" i="11"/>
  <c r="AI18" i="11"/>
  <c r="AL18" i="11" s="1"/>
  <c r="BD18" i="11" s="1"/>
  <c r="AJ18" i="11"/>
  <c r="AK18" i="11"/>
  <c r="BM37" i="9" s="1"/>
  <c r="AN18" i="11"/>
  <c r="AP18" i="11"/>
  <c r="AS18" i="11"/>
  <c r="BP18" i="11"/>
  <c r="W19" i="11"/>
  <c r="Y19" i="11"/>
  <c r="AB19" i="11"/>
  <c r="AG19" i="11"/>
  <c r="AL19" i="11" s="1"/>
  <c r="BD19" i="11" s="1"/>
  <c r="AI19" i="11"/>
  <c r="AJ19" i="11"/>
  <c r="AK19" i="11"/>
  <c r="BE19" i="11" s="1"/>
  <c r="AN19" i="11"/>
  <c r="AP19" i="11"/>
  <c r="AS19" i="11"/>
  <c r="BP19" i="11"/>
  <c r="W20" i="11"/>
  <c r="Y20" i="11"/>
  <c r="AB20" i="11"/>
  <c r="AG20" i="11"/>
  <c r="AI20" i="11"/>
  <c r="AO22" i="11" s="1"/>
  <c r="AJ20" i="11"/>
  <c r="AK20" i="11"/>
  <c r="AQ22" i="11" s="1"/>
  <c r="AN20" i="11"/>
  <c r="AP20" i="11"/>
  <c r="AS20" i="11"/>
  <c r="BP20" i="11"/>
  <c r="W21" i="11"/>
  <c r="Y21" i="11"/>
  <c r="AB21" i="11"/>
  <c r="AG21" i="11"/>
  <c r="AL21" i="11" s="1"/>
  <c r="BD21" i="11" s="1"/>
  <c r="AI21" i="11"/>
  <c r="AJ21" i="11"/>
  <c r="AK21" i="11"/>
  <c r="BE21" i="11" s="1"/>
  <c r="AN21" i="11"/>
  <c r="AP21" i="11"/>
  <c r="AS21" i="11"/>
  <c r="BP21" i="11"/>
  <c r="W22" i="11"/>
  <c r="Y22" i="11"/>
  <c r="AB22" i="11"/>
  <c r="AG22" i="11"/>
  <c r="AI22" i="11"/>
  <c r="AL22" i="11" s="1"/>
  <c r="BD22" i="11" s="1"/>
  <c r="AJ22" i="11"/>
  <c r="AK22" i="11"/>
  <c r="BE22" i="11" s="1"/>
  <c r="AN22" i="11"/>
  <c r="AP22" i="11"/>
  <c r="AS22" i="11"/>
  <c r="BP22" i="11"/>
  <c r="W23" i="11"/>
  <c r="Y23" i="11"/>
  <c r="AB23" i="11"/>
  <c r="AG23" i="11"/>
  <c r="AL23" i="11" s="1"/>
  <c r="BD23" i="11" s="1"/>
  <c r="AI23" i="11"/>
  <c r="AJ23" i="11"/>
  <c r="AK23" i="11"/>
  <c r="BM65" i="9" s="1"/>
  <c r="AN23" i="11"/>
  <c r="AP23" i="11"/>
  <c r="AS23" i="11"/>
  <c r="BP23" i="11"/>
  <c r="W24" i="11"/>
  <c r="Y24" i="11"/>
  <c r="AB24" i="11"/>
  <c r="AG24" i="11"/>
  <c r="AI24" i="11"/>
  <c r="AL24" i="11" s="1"/>
  <c r="BD24" i="11" s="1"/>
  <c r="AJ24" i="11"/>
  <c r="AK24" i="11"/>
  <c r="AN24" i="11"/>
  <c r="AP24" i="11"/>
  <c r="AS24" i="11"/>
  <c r="BP24" i="11"/>
  <c r="K174" i="9"/>
  <c r="AM174" i="9"/>
  <c r="AN174" i="9" s="1"/>
  <c r="AO174" i="9"/>
  <c r="AP174" i="9"/>
  <c r="AR174" i="9"/>
  <c r="BG174" i="9"/>
  <c r="BJ174" i="9"/>
  <c r="BM174" i="9"/>
  <c r="AX174" i="9" s="1"/>
  <c r="BQ174" i="9"/>
  <c r="BR174" i="9" s="1"/>
  <c r="BW174" i="9" a="1"/>
  <c r="BW174" i="9" s="1"/>
  <c r="K175" i="9"/>
  <c r="AJ175" i="9"/>
  <c r="AK175" i="9" s="1"/>
  <c r="AM175" i="9" s="1"/>
  <c r="AN175" i="9" s="1"/>
  <c r="AQ175" i="9" s="1"/>
  <c r="BE175" i="9" s="1"/>
  <c r="AO175" i="9"/>
  <c r="AR175" i="9"/>
  <c r="BG175" i="9"/>
  <c r="BJ175" i="9"/>
  <c r="BM175" i="9"/>
  <c r="AY175" i="9" s="1"/>
  <c r="BQ175" i="9"/>
  <c r="BR175" i="9"/>
  <c r="BW175" i="9" a="1"/>
  <c r="BW175" i="9" s="1"/>
  <c r="K176" i="9"/>
  <c r="AJ176" i="9"/>
  <c r="AK176" i="9"/>
  <c r="AM176" i="9" s="1"/>
  <c r="AN176" i="9" s="1"/>
  <c r="AQ176" i="9" s="1"/>
  <c r="BE176" i="9" s="1"/>
  <c r="AO176" i="9"/>
  <c r="AR176" i="9"/>
  <c r="BG176" i="9"/>
  <c r="BJ176" i="9"/>
  <c r="BM176" i="9"/>
  <c r="AX176" i="9" s="1"/>
  <c r="BQ176" i="9"/>
  <c r="BR176" i="9"/>
  <c r="BW176" i="9" a="1"/>
  <c r="BW176" i="9" s="1"/>
  <c r="K177" i="9"/>
  <c r="AM177" i="9"/>
  <c r="AN177" i="9" s="1"/>
  <c r="AQ177" i="9" s="1"/>
  <c r="BE177" i="9" s="1"/>
  <c r="AO177" i="9"/>
  <c r="AR177" i="9"/>
  <c r="AY177" i="9"/>
  <c r="BG177" i="9"/>
  <c r="BJ177" i="9"/>
  <c r="BM177" i="9"/>
  <c r="AX177" i="9" s="1"/>
  <c r="BQ177" i="9"/>
  <c r="BR177" i="9" s="1"/>
  <c r="BW177" i="9" a="1"/>
  <c r="BW177" i="9" s="1"/>
  <c r="K178" i="9"/>
  <c r="AM178" i="9"/>
  <c r="AN178" i="9" s="1"/>
  <c r="AO178" i="9"/>
  <c r="AP178" i="9"/>
  <c r="AR178" i="9" s="1"/>
  <c r="BG178" i="9"/>
  <c r="BJ178" i="9"/>
  <c r="BM178" i="9"/>
  <c r="AX178" i="9" s="1"/>
  <c r="BQ178" i="9"/>
  <c r="BR178" i="9" s="1"/>
  <c r="BW178" i="9" a="1"/>
  <c r="BW178" i="9" s="1"/>
  <c r="K179" i="9"/>
  <c r="AM179" i="9"/>
  <c r="AN179" i="9" s="1"/>
  <c r="AO179" i="9"/>
  <c r="AP179" i="9"/>
  <c r="AR179" i="9"/>
  <c r="AY179" i="9"/>
  <c r="BG179" i="9"/>
  <c r="BJ179" i="9"/>
  <c r="BM179" i="9"/>
  <c r="AX179" i="9" s="1"/>
  <c r="BQ179" i="9"/>
  <c r="BR179" i="9" s="1"/>
  <c r="BW179" i="9" a="1"/>
  <c r="BW179" i="9" s="1"/>
  <c r="K180" i="9"/>
  <c r="AM180" i="9"/>
  <c r="AN180" i="9" s="1"/>
  <c r="AO180" i="9"/>
  <c r="AP180" i="9"/>
  <c r="AR180" i="9" s="1"/>
  <c r="BG180" i="9"/>
  <c r="BJ180" i="9"/>
  <c r="BM180" i="9"/>
  <c r="AX180" i="9" s="1"/>
  <c r="BQ180" i="9"/>
  <c r="BR180" i="9" s="1"/>
  <c r="BW180" i="9" a="1"/>
  <c r="BW180" i="9" s="1"/>
  <c r="K181" i="9"/>
  <c r="AM181" i="9"/>
  <c r="AN181" i="9"/>
  <c r="AO181" i="9"/>
  <c r="AP181" i="9"/>
  <c r="AR181" i="9" s="1"/>
  <c r="BG181" i="9"/>
  <c r="BJ181" i="9"/>
  <c r="BM181" i="9"/>
  <c r="AX181" i="9" s="1"/>
  <c r="BQ181" i="9"/>
  <c r="BR181" i="9" s="1"/>
  <c r="BW181" i="9" a="1"/>
  <c r="BW181" i="9" s="1"/>
  <c r="K182" i="9"/>
  <c r="AM182" i="9"/>
  <c r="AN182" i="9"/>
  <c r="AQ182" i="9" s="1"/>
  <c r="BE182" i="9" s="1"/>
  <c r="AO182" i="9"/>
  <c r="AR182" i="9"/>
  <c r="BG182" i="9"/>
  <c r="BJ182" i="9"/>
  <c r="BM182" i="9"/>
  <c r="AY182" i="9" s="1"/>
  <c r="BQ182" i="9"/>
  <c r="BR182" i="9" s="1"/>
  <c r="BW182" i="9" a="1"/>
  <c r="BW182" i="9" s="1"/>
  <c r="K155" i="9"/>
  <c r="AM155" i="9"/>
  <c r="AN155" i="9"/>
  <c r="AQ155" i="9" s="1"/>
  <c r="BE155" i="9" s="1"/>
  <c r="AO155" i="9"/>
  <c r="AR155" i="9"/>
  <c r="BG155" i="9"/>
  <c r="BJ155" i="9"/>
  <c r="BM155" i="9"/>
  <c r="AX155" i="9" s="1"/>
  <c r="BQ155" i="9"/>
  <c r="BR155" i="9" s="1"/>
  <c r="BW155" i="9" a="1"/>
  <c r="BW155" i="9" s="1"/>
  <c r="K156" i="9"/>
  <c r="AM156" i="9"/>
  <c r="AN156" i="9"/>
  <c r="AQ156" i="9" s="1"/>
  <c r="BE156" i="9" s="1"/>
  <c r="AO156" i="9"/>
  <c r="AR156" i="9"/>
  <c r="BG156" i="9"/>
  <c r="BJ156" i="9"/>
  <c r="BQ156" i="9"/>
  <c r="BR156" i="9" s="1"/>
  <c r="BW156" i="9" a="1"/>
  <c r="BW156" i="9" s="1"/>
  <c r="K157" i="9"/>
  <c r="AM157" i="9"/>
  <c r="AN157" i="9"/>
  <c r="AO157" i="9"/>
  <c r="AP157" i="9"/>
  <c r="AQ157" i="9"/>
  <c r="BE157" i="9" s="1"/>
  <c r="AR157" i="9"/>
  <c r="BG157" i="9"/>
  <c r="BJ157" i="9"/>
  <c r="BM157" i="9"/>
  <c r="AX157" i="9" s="1"/>
  <c r="BQ157" i="9"/>
  <c r="BR157" i="9" s="1"/>
  <c r="BW157" i="9" a="1"/>
  <c r="BW157" i="9" s="1"/>
  <c r="K158" i="9"/>
  <c r="AM158" i="9"/>
  <c r="AN158" i="9" s="1"/>
  <c r="AO158" i="9"/>
  <c r="AP158" i="9"/>
  <c r="AR158" i="9" s="1"/>
  <c r="BG158" i="9"/>
  <c r="BJ158" i="9"/>
  <c r="BM158" i="9"/>
  <c r="AX158" i="9" s="1"/>
  <c r="BQ158" i="9"/>
  <c r="BR158" i="9" s="1"/>
  <c r="BW158" i="9" a="1"/>
  <c r="BW158" i="9" s="1"/>
  <c r="K159" i="9"/>
  <c r="AM159" i="9"/>
  <c r="AN159" i="9" s="1"/>
  <c r="AO159" i="9"/>
  <c r="AP159" i="9"/>
  <c r="AR159" i="9"/>
  <c r="BG159" i="9"/>
  <c r="BJ159" i="9"/>
  <c r="BQ159" i="9"/>
  <c r="BR159" i="9" s="1"/>
  <c r="BW159" i="9" a="1"/>
  <c r="BW159" i="9" s="1"/>
  <c r="K160" i="9"/>
  <c r="AJ160" i="9"/>
  <c r="AK160" i="9" s="1"/>
  <c r="AM160" i="9" s="1"/>
  <c r="AN160" i="9" s="1"/>
  <c r="AQ160" i="9" s="1"/>
  <c r="BE160" i="9" s="1"/>
  <c r="AO160" i="9"/>
  <c r="AR160" i="9"/>
  <c r="BG160" i="9"/>
  <c r="BJ160" i="9"/>
  <c r="BQ160" i="9"/>
  <c r="BR160" i="9"/>
  <c r="BW160" i="9" a="1"/>
  <c r="BW160" i="9" s="1"/>
  <c r="K161" i="9"/>
  <c r="AM161" i="9"/>
  <c r="AN161" i="9" s="1"/>
  <c r="AO161" i="9"/>
  <c r="AR161" i="9"/>
  <c r="BG161" i="9"/>
  <c r="BJ161" i="9"/>
  <c r="BM161" i="9"/>
  <c r="AY161" i="9" s="1"/>
  <c r="BQ161" i="9"/>
  <c r="BR161" i="9" s="1"/>
  <c r="BW161" i="9" a="1"/>
  <c r="BW161" i="9" s="1"/>
  <c r="K162" i="9"/>
  <c r="AM162" i="9"/>
  <c r="AN162" i="9"/>
  <c r="AO162" i="9"/>
  <c r="AR162" i="9"/>
  <c r="BG162" i="9"/>
  <c r="BJ162" i="9"/>
  <c r="BQ162" i="9"/>
  <c r="BR162" i="9" s="1"/>
  <c r="BW162" i="9" a="1"/>
  <c r="BW162" i="9" s="1"/>
  <c r="K163" i="9"/>
  <c r="AM163" i="9"/>
  <c r="AN163" i="9" s="1"/>
  <c r="AQ163" i="9" s="1"/>
  <c r="BE163" i="9" s="1"/>
  <c r="AO163" i="9"/>
  <c r="AR163" i="9"/>
  <c r="BG163" i="9"/>
  <c r="BJ163" i="9"/>
  <c r="BM163" i="9"/>
  <c r="AY163" i="9" s="1"/>
  <c r="BQ163" i="9"/>
  <c r="BR163" i="9" s="1"/>
  <c r="BW163" i="9" a="1"/>
  <c r="BW163" i="9" s="1"/>
  <c r="K164" i="9"/>
  <c r="AM164" i="9"/>
  <c r="AN164" i="9"/>
  <c r="AO164" i="9"/>
  <c r="AP164" i="9"/>
  <c r="AQ164" i="9"/>
  <c r="BE164" i="9" s="1"/>
  <c r="AR164" i="9"/>
  <c r="BG164" i="9"/>
  <c r="BJ164" i="9"/>
  <c r="BM164" i="9"/>
  <c r="AX164" i="9" s="1"/>
  <c r="BQ164" i="9"/>
  <c r="BR164" i="9" s="1"/>
  <c r="BW164" i="9" a="1"/>
  <c r="BW164" i="9" s="1"/>
  <c r="K165" i="9"/>
  <c r="AM165" i="9"/>
  <c r="AN165" i="9"/>
  <c r="AQ165" i="9" s="1"/>
  <c r="BE165" i="9" s="1"/>
  <c r="AO165" i="9"/>
  <c r="AP165" i="9"/>
  <c r="AR165" i="9"/>
  <c r="BG165" i="9"/>
  <c r="BJ165" i="9"/>
  <c r="BM165" i="9"/>
  <c r="AX165" i="9" s="1"/>
  <c r="BQ165" i="9"/>
  <c r="BR165" i="9" s="1"/>
  <c r="BW165" i="9" a="1"/>
  <c r="BW165" i="9" s="1"/>
  <c r="K166" i="9"/>
  <c r="AJ166" i="9"/>
  <c r="AK166" i="9" s="1"/>
  <c r="AM166" i="9" s="1"/>
  <c r="AN166" i="9" s="1"/>
  <c r="AQ166" i="9" s="1"/>
  <c r="BE166" i="9" s="1"/>
  <c r="AO166" i="9"/>
  <c r="AR166" i="9"/>
  <c r="BG166" i="9"/>
  <c r="BJ166" i="9"/>
  <c r="BM166" i="9"/>
  <c r="AY166" i="9" s="1"/>
  <c r="BQ166" i="9"/>
  <c r="BR166" i="9"/>
  <c r="BW166" i="9" a="1"/>
  <c r="BW166" i="9" s="1"/>
  <c r="K167" i="9"/>
  <c r="AJ167" i="9"/>
  <c r="AK167" i="9"/>
  <c r="AM167" i="9" s="1"/>
  <c r="AN167" i="9" s="1"/>
  <c r="AQ167" i="9" s="1"/>
  <c r="BE167" i="9" s="1"/>
  <c r="AO167" i="9"/>
  <c r="AR167" i="9"/>
  <c r="BG167" i="9"/>
  <c r="BJ167" i="9"/>
  <c r="BM167" i="9"/>
  <c r="AX167" i="9" s="1"/>
  <c r="BQ167" i="9"/>
  <c r="BR167" i="9" s="1"/>
  <c r="BW167" i="9" a="1"/>
  <c r="BW167" i="9" s="1"/>
  <c r="K168" i="9"/>
  <c r="AM168" i="9"/>
  <c r="AN168" i="9"/>
  <c r="AQ168" i="9" s="1"/>
  <c r="BE168" i="9" s="1"/>
  <c r="AO168" i="9"/>
  <c r="AR168" i="9"/>
  <c r="BG168" i="9"/>
  <c r="BJ168" i="9"/>
  <c r="BM168" i="9"/>
  <c r="AY168" i="9" s="1"/>
  <c r="BQ168" i="9"/>
  <c r="BR168" i="9" s="1"/>
  <c r="BW168" i="9" a="1"/>
  <c r="BW168" i="9" s="1"/>
  <c r="K169" i="9"/>
  <c r="AM169" i="9"/>
  <c r="AN169" i="9" s="1"/>
  <c r="AQ169" i="9" s="1"/>
  <c r="BE169" i="9" s="1"/>
  <c r="AO169" i="9"/>
  <c r="AR169" i="9"/>
  <c r="BG169" i="9"/>
  <c r="BJ169" i="9"/>
  <c r="BM169" i="9"/>
  <c r="AY169" i="9" s="1"/>
  <c r="BQ169" i="9"/>
  <c r="BR169" i="9" s="1"/>
  <c r="BW169" i="9" a="1"/>
  <c r="BW169" i="9" s="1"/>
  <c r="K170" i="9"/>
  <c r="AM170" i="9"/>
  <c r="AN170" i="9"/>
  <c r="AQ171" i="9" s="1"/>
  <c r="BE171" i="9" s="1"/>
  <c r="AO170" i="9"/>
  <c r="AR170" i="9"/>
  <c r="BG170" i="9"/>
  <c r="BJ170" i="9"/>
  <c r="BM170" i="9"/>
  <c r="AX170" i="9" s="1"/>
  <c r="BQ170" i="9"/>
  <c r="BR170" i="9" s="1"/>
  <c r="BW170" i="9" a="1"/>
  <c r="BW170" i="9" s="1"/>
  <c r="K171" i="9"/>
  <c r="AM171" i="9"/>
  <c r="AN171" i="9"/>
  <c r="AO171" i="9"/>
  <c r="AR171" i="9"/>
  <c r="BG171" i="9"/>
  <c r="BJ171" i="9"/>
  <c r="BQ171" i="9"/>
  <c r="BR171" i="9" s="1"/>
  <c r="BW171" i="9" a="1"/>
  <c r="BW171" i="9" s="1"/>
  <c r="K172" i="9"/>
  <c r="AM172" i="9"/>
  <c r="AN172" i="9"/>
  <c r="AO172" i="9"/>
  <c r="AP172" i="9"/>
  <c r="AQ172" i="9"/>
  <c r="AR172" i="9"/>
  <c r="BE172" i="9"/>
  <c r="BG172" i="9"/>
  <c r="BJ172" i="9"/>
  <c r="BM172" i="9"/>
  <c r="AX172" i="9" s="1"/>
  <c r="BQ172" i="9"/>
  <c r="BR172" i="9" s="1"/>
  <c r="BW172" i="9" a="1"/>
  <c r="BW172" i="9" s="1"/>
  <c r="K173" i="9"/>
  <c r="AM173" i="9"/>
  <c r="AN173" i="9" s="1"/>
  <c r="AO173" i="9"/>
  <c r="AP173" i="9"/>
  <c r="AR173" i="9" s="1"/>
  <c r="BG173" i="9"/>
  <c r="BJ173" i="9"/>
  <c r="BM173" i="9"/>
  <c r="AX173" i="9" s="1"/>
  <c r="BQ173" i="9"/>
  <c r="BR173" i="9" s="1"/>
  <c r="BW173" i="9" a="1"/>
  <c r="BW173" i="9" s="1"/>
  <c r="K136" i="9"/>
  <c r="AM136" i="9"/>
  <c r="AN136" i="9"/>
  <c r="AO136" i="9"/>
  <c r="AP136" i="9"/>
  <c r="AQ136" i="9"/>
  <c r="BE136" i="9" s="1"/>
  <c r="AR136" i="9"/>
  <c r="BG136" i="9"/>
  <c r="BJ136" i="9"/>
  <c r="BM136" i="9"/>
  <c r="AX136" i="9" s="1"/>
  <c r="BQ136" i="9"/>
  <c r="BR136" i="9" s="1"/>
  <c r="BW136" i="9" a="1"/>
  <c r="BW136" i="9" s="1"/>
  <c r="K137" i="9"/>
  <c r="AJ137" i="9"/>
  <c r="AK137" i="9" s="1"/>
  <c r="AM137" i="9" s="1"/>
  <c r="AN137" i="9" s="1"/>
  <c r="AO137" i="9"/>
  <c r="AR137" i="9"/>
  <c r="BG137" i="9"/>
  <c r="BJ137" i="9"/>
  <c r="BM137" i="9"/>
  <c r="AX137" i="9" s="1"/>
  <c r="BQ137" i="9"/>
  <c r="BR137" i="9"/>
  <c r="BW137" i="9" a="1"/>
  <c r="BW137" i="9" s="1"/>
  <c r="K138" i="9"/>
  <c r="AM138" i="9"/>
  <c r="AN138" i="9"/>
  <c r="AQ138" i="9" s="1"/>
  <c r="BE138" i="9" s="1"/>
  <c r="AO138" i="9"/>
  <c r="AR138" i="9"/>
  <c r="BG138" i="9"/>
  <c r="BJ138" i="9"/>
  <c r="BM138" i="9"/>
  <c r="AY138" i="9" s="1"/>
  <c r="BQ138" i="9"/>
  <c r="BR138" i="9" s="1"/>
  <c r="BW138" i="9" a="1"/>
  <c r="BW138" i="9" s="1"/>
  <c r="K139" i="9"/>
  <c r="AM139" i="9"/>
  <c r="AN139" i="9"/>
  <c r="AQ139" i="9" s="1"/>
  <c r="BE139" i="9" s="1"/>
  <c r="AO139" i="9"/>
  <c r="AR139" i="9"/>
  <c r="BG139" i="9"/>
  <c r="BJ139" i="9"/>
  <c r="BQ139" i="9"/>
  <c r="BR139" i="9" s="1"/>
  <c r="BW139" i="9" a="1"/>
  <c r="BW139" i="9" s="1"/>
  <c r="K140" i="9"/>
  <c r="AM140" i="9"/>
  <c r="AN140" i="9" s="1"/>
  <c r="AQ140" i="9" s="1"/>
  <c r="BE140" i="9" s="1"/>
  <c r="AO140" i="9"/>
  <c r="AR140" i="9"/>
  <c r="BG140" i="9"/>
  <c r="BJ140" i="9"/>
  <c r="BM140" i="9"/>
  <c r="AX140" i="9" s="1"/>
  <c r="BQ140" i="9"/>
  <c r="BR140" i="9" s="1"/>
  <c r="BW140" i="9" a="1"/>
  <c r="BW140" i="9" s="1"/>
  <c r="K141" i="9"/>
  <c r="AM141" i="9"/>
  <c r="AN141" i="9"/>
  <c r="AQ141" i="9" s="1"/>
  <c r="BE141" i="9" s="1"/>
  <c r="AO141" i="9"/>
  <c r="AP141" i="9"/>
  <c r="AR141" i="9"/>
  <c r="BG141" i="9"/>
  <c r="BJ141" i="9"/>
  <c r="BQ141" i="9"/>
  <c r="BR141" i="9"/>
  <c r="BW141" i="9" a="1"/>
  <c r="BW141" i="9" s="1"/>
  <c r="K142" i="9"/>
  <c r="AM142" i="9"/>
  <c r="AN142" i="9"/>
  <c r="AO142" i="9"/>
  <c r="AP142" i="9"/>
  <c r="AQ142" i="9"/>
  <c r="BE142" i="9" s="1"/>
  <c r="AR142" i="9"/>
  <c r="BG142" i="9"/>
  <c r="BJ142" i="9"/>
  <c r="BM142" i="9"/>
  <c r="AX142" i="9" s="1"/>
  <c r="BQ142" i="9"/>
  <c r="BR142" i="9"/>
  <c r="BW142" i="9" a="1"/>
  <c r="BW142" i="9" s="1"/>
  <c r="K143" i="9"/>
  <c r="AM143" i="9"/>
  <c r="AN143" i="9" s="1"/>
  <c r="AQ143" i="9" s="1"/>
  <c r="BE143" i="9" s="1"/>
  <c r="AO143" i="9"/>
  <c r="AP143" i="9"/>
  <c r="AR143" i="9"/>
  <c r="BG143" i="9"/>
  <c r="BJ143" i="9"/>
  <c r="BM143" i="9"/>
  <c r="AY143" i="9" s="1"/>
  <c r="BQ143" i="9"/>
  <c r="BR143" i="9" s="1"/>
  <c r="BW143" i="9" a="1"/>
  <c r="BW143" i="9" s="1"/>
  <c r="K144" i="9"/>
  <c r="AJ144" i="9"/>
  <c r="AK144" i="9" s="1"/>
  <c r="AM144" i="9" s="1"/>
  <c r="AN144" i="9" s="1"/>
  <c r="AQ144" i="9" s="1"/>
  <c r="BE144" i="9" s="1"/>
  <c r="AO144" i="9"/>
  <c r="AR144" i="9"/>
  <c r="BG144" i="9"/>
  <c r="BJ144" i="9"/>
  <c r="BM144" i="9"/>
  <c r="AX144" i="9" s="1"/>
  <c r="BQ144" i="9"/>
  <c r="BR144" i="9"/>
  <c r="BW144" i="9" a="1"/>
  <c r="BW144" i="9" s="1"/>
  <c r="K145" i="9"/>
  <c r="AJ145" i="9"/>
  <c r="AK145" i="9" s="1"/>
  <c r="AM145" i="9" s="1"/>
  <c r="AN145" i="9" s="1"/>
  <c r="AQ145" i="9" s="1"/>
  <c r="BE145" i="9" s="1"/>
  <c r="AO145" i="9"/>
  <c r="AR145" i="9"/>
  <c r="BG145" i="9"/>
  <c r="BJ145" i="9"/>
  <c r="BM145" i="9"/>
  <c r="AX145" i="9" s="1"/>
  <c r="BQ145" i="9"/>
  <c r="BR145" i="9" s="1"/>
  <c r="BW145" i="9" a="1"/>
  <c r="BW145" i="9" s="1"/>
  <c r="K146" i="9"/>
  <c r="AJ146" i="9"/>
  <c r="AK146" i="9" s="1"/>
  <c r="AM146" i="9" s="1"/>
  <c r="AN146" i="9" s="1"/>
  <c r="AQ146" i="9" s="1"/>
  <c r="BE146" i="9" s="1"/>
  <c r="AO146" i="9"/>
  <c r="AR146" i="9"/>
  <c r="BG146" i="9"/>
  <c r="BJ146" i="9"/>
  <c r="BQ146" i="9"/>
  <c r="BR146" i="9"/>
  <c r="BW146" i="9" a="1"/>
  <c r="BW146" i="9" s="1"/>
  <c r="K147" i="9"/>
  <c r="AM147" i="9"/>
  <c r="AN147" i="9"/>
  <c r="AQ147" i="9" s="1"/>
  <c r="BE147" i="9" s="1"/>
  <c r="AO147" i="9"/>
  <c r="AR147" i="9"/>
  <c r="BG147" i="9"/>
  <c r="BJ147" i="9"/>
  <c r="BQ147" i="9"/>
  <c r="BR147" i="9" s="1"/>
  <c r="BW147" i="9" a="1"/>
  <c r="BW147" i="9" s="1"/>
  <c r="K148" i="9"/>
  <c r="AM148" i="9"/>
  <c r="AN148" i="9"/>
  <c r="AO148" i="9"/>
  <c r="AQ148" i="9"/>
  <c r="BE148" i="9" s="1"/>
  <c r="AR148" i="9"/>
  <c r="BG148" i="9"/>
  <c r="BJ148" i="9"/>
  <c r="BM148" i="9"/>
  <c r="AX148" i="9" s="1"/>
  <c r="BQ148" i="9"/>
  <c r="BR148" i="9" s="1"/>
  <c r="BW148" i="9" a="1"/>
  <c r="BW148" i="9" s="1"/>
  <c r="K149" i="9"/>
  <c r="AM149" i="9"/>
  <c r="AN149" i="9"/>
  <c r="AO149" i="9"/>
  <c r="AP149" i="9"/>
  <c r="AQ149" i="9"/>
  <c r="BE149" i="9" s="1"/>
  <c r="AR149" i="9"/>
  <c r="BG149" i="9"/>
  <c r="BJ149" i="9"/>
  <c r="BM149" i="9"/>
  <c r="AX149" i="9" s="1"/>
  <c r="BQ149" i="9"/>
  <c r="BR149" i="9" s="1"/>
  <c r="BW149" i="9" a="1"/>
  <c r="BW149" i="9" s="1"/>
  <c r="K150" i="9"/>
  <c r="AM150" i="9"/>
  <c r="AN150" i="9" s="1"/>
  <c r="AQ150" i="9" s="1"/>
  <c r="BE150" i="9" s="1"/>
  <c r="AO150" i="9"/>
  <c r="AP150" i="9"/>
  <c r="AR150" i="9" s="1"/>
  <c r="BG150" i="9"/>
  <c r="BJ150" i="9"/>
  <c r="BM150" i="9"/>
  <c r="AX150" i="9" s="1"/>
  <c r="BQ150" i="9"/>
  <c r="BR150" i="9"/>
  <c r="BW150" i="9" a="1"/>
  <c r="BW150" i="9" s="1"/>
  <c r="K151" i="9"/>
  <c r="AJ151" i="9"/>
  <c r="AK151" i="9" s="1"/>
  <c r="AM151" i="9" s="1"/>
  <c r="AN151" i="9" s="1"/>
  <c r="AQ151" i="9" s="1"/>
  <c r="BE151" i="9" s="1"/>
  <c r="AO151" i="9"/>
  <c r="AR151" i="9"/>
  <c r="BG151" i="9"/>
  <c r="BJ151" i="9"/>
  <c r="BM151" i="9"/>
  <c r="AY151" i="9" s="1"/>
  <c r="BQ151" i="9"/>
  <c r="BR151" i="9"/>
  <c r="BW151" i="9" a="1"/>
  <c r="BW151" i="9" s="1"/>
  <c r="K152" i="9"/>
  <c r="AJ152" i="9"/>
  <c r="AK152" i="9" s="1"/>
  <c r="AM152" i="9" s="1"/>
  <c r="AN152" i="9" s="1"/>
  <c r="AQ152" i="9" s="1"/>
  <c r="BE152" i="9" s="1"/>
  <c r="AO152" i="9"/>
  <c r="AR152" i="9"/>
  <c r="BG152" i="9"/>
  <c r="BJ152" i="9"/>
  <c r="BM152" i="9"/>
  <c r="AX152" i="9" s="1"/>
  <c r="BQ152" i="9"/>
  <c r="BR152" i="9"/>
  <c r="BW152" i="9" a="1"/>
  <c r="BW152" i="9" s="1"/>
  <c r="K153" i="9"/>
  <c r="AJ153" i="9"/>
  <c r="AK153" i="9"/>
  <c r="AM153" i="9" s="1"/>
  <c r="AN153" i="9" s="1"/>
  <c r="AQ153" i="9" s="1"/>
  <c r="BE153" i="9" s="1"/>
  <c r="AO153" i="9"/>
  <c r="AR153" i="9"/>
  <c r="BG153" i="9"/>
  <c r="BJ153" i="9"/>
  <c r="BM153" i="9"/>
  <c r="AX153" i="9" s="1"/>
  <c r="BQ153" i="9"/>
  <c r="BR153" i="9" s="1"/>
  <c r="BW153" i="9" a="1"/>
  <c r="BW153" i="9"/>
  <c r="K154" i="9"/>
  <c r="AM154" i="9"/>
  <c r="AN154" i="9" s="1"/>
  <c r="AQ154" i="9" s="1"/>
  <c r="BE154" i="9" s="1"/>
  <c r="AO154" i="9"/>
  <c r="AR154" i="9"/>
  <c r="BG154" i="9"/>
  <c r="BJ154" i="9"/>
  <c r="BQ154" i="9"/>
  <c r="BR154" i="9"/>
  <c r="BW154" i="9" a="1"/>
  <c r="BW154" i="9" s="1"/>
  <c r="K117" i="9"/>
  <c r="AM117" i="9"/>
  <c r="AN117" i="9" s="1"/>
  <c r="AO117" i="9"/>
  <c r="AR117" i="9"/>
  <c r="BG117" i="9"/>
  <c r="BJ117" i="9"/>
  <c r="BM117" i="9"/>
  <c r="AX117" i="9" s="1"/>
  <c r="BQ117" i="9"/>
  <c r="BR117" i="9" s="1"/>
  <c r="BW117" i="9" a="1"/>
  <c r="BW117" i="9" s="1"/>
  <c r="K118" i="9"/>
  <c r="AM118" i="9"/>
  <c r="AN118" i="9"/>
  <c r="AO118" i="9"/>
  <c r="AQ118" i="9"/>
  <c r="AR118" i="9"/>
  <c r="BE118" i="9"/>
  <c r="BG118" i="9"/>
  <c r="BJ118" i="9"/>
  <c r="BM118" i="9"/>
  <c r="AY118" i="9" s="1"/>
  <c r="BQ118" i="9"/>
  <c r="BR118" i="9" s="1"/>
  <c r="BW118" i="9" a="1"/>
  <c r="BW118" i="9" s="1"/>
  <c r="K119" i="9"/>
  <c r="AM119" i="9"/>
  <c r="AN119" i="9"/>
  <c r="AQ119" i="9" s="1"/>
  <c r="BE119" i="9" s="1"/>
  <c r="AO119" i="9"/>
  <c r="AP119" i="9"/>
  <c r="AR119" i="9"/>
  <c r="BG119" i="9"/>
  <c r="BJ119" i="9"/>
  <c r="BQ119" i="9"/>
  <c r="BR119" i="9" s="1"/>
  <c r="BW119" i="9" a="1"/>
  <c r="BW119" i="9" s="1"/>
  <c r="K120" i="9"/>
  <c r="AM120" i="9"/>
  <c r="AN120" i="9" s="1"/>
  <c r="AQ120" i="9" s="1"/>
  <c r="BE120" i="9" s="1"/>
  <c r="AO120" i="9"/>
  <c r="AP120" i="9"/>
  <c r="AR120" i="9" s="1"/>
  <c r="BG120" i="9"/>
  <c r="BJ120" i="9"/>
  <c r="BM120" i="9"/>
  <c r="AX120" i="9" s="1"/>
  <c r="BQ120" i="9"/>
  <c r="BR120" i="9" s="1"/>
  <c r="BW120" i="9" a="1"/>
  <c r="BW120" i="9" s="1"/>
  <c r="K121" i="9"/>
  <c r="AM121" i="9"/>
  <c r="AN121" i="9" s="1"/>
  <c r="AO121" i="9"/>
  <c r="AP121" i="9"/>
  <c r="AR121" i="9"/>
  <c r="BG121" i="9"/>
  <c r="BJ121" i="9"/>
  <c r="BQ121" i="9"/>
  <c r="BR121" i="9" s="1"/>
  <c r="BW121" i="9" a="1"/>
  <c r="BW121" i="9" s="1"/>
  <c r="K122" i="9"/>
  <c r="AM122" i="9"/>
  <c r="AN122" i="9"/>
  <c r="AO122" i="9"/>
  <c r="AP122" i="9"/>
  <c r="AR122" i="9"/>
  <c r="BG122" i="9"/>
  <c r="BJ122" i="9"/>
  <c r="BQ122" i="9"/>
  <c r="BR122" i="9" s="1"/>
  <c r="BW122" i="9" a="1"/>
  <c r="BW122" i="9" s="1"/>
  <c r="K123" i="9"/>
  <c r="AJ123" i="9"/>
  <c r="AK123" i="9"/>
  <c r="AM123" i="9" s="1"/>
  <c r="AN123" i="9" s="1"/>
  <c r="AQ123" i="9" s="1"/>
  <c r="BE123" i="9" s="1"/>
  <c r="AO123" i="9"/>
  <c r="AR123" i="9"/>
  <c r="BG123" i="9"/>
  <c r="BJ123" i="9"/>
  <c r="BM123" i="9"/>
  <c r="AX123" i="9" s="1"/>
  <c r="BQ123" i="9"/>
  <c r="BR123" i="9"/>
  <c r="BW123" i="9" a="1"/>
  <c r="BW123" i="9" s="1"/>
  <c r="K124" i="9"/>
  <c r="AJ124" i="9"/>
  <c r="AK124" i="9" s="1"/>
  <c r="AM124" i="9" s="1"/>
  <c r="AN124" i="9" s="1"/>
  <c r="AQ124" i="9" s="1"/>
  <c r="BE124" i="9" s="1"/>
  <c r="AO124" i="9"/>
  <c r="AR124" i="9"/>
  <c r="BG124" i="9"/>
  <c r="BJ124" i="9"/>
  <c r="BQ124" i="9"/>
  <c r="BR124" i="9"/>
  <c r="BW124" i="9" a="1"/>
  <c r="BW124" i="9" s="1"/>
  <c r="K125" i="9"/>
  <c r="AJ125" i="9"/>
  <c r="AK125" i="9"/>
  <c r="AM125" i="9" s="1"/>
  <c r="AN125" i="9" s="1"/>
  <c r="AQ125" i="9" s="1"/>
  <c r="BE125" i="9" s="1"/>
  <c r="AO125" i="9"/>
  <c r="AR125" i="9"/>
  <c r="BG125" i="9"/>
  <c r="BJ125" i="9"/>
  <c r="BQ125" i="9"/>
  <c r="BR125" i="9" s="1"/>
  <c r="BW125" i="9" a="1"/>
  <c r="BW125" i="9" s="1"/>
  <c r="K126" i="9"/>
  <c r="AM126" i="9"/>
  <c r="AN126" i="9" s="1"/>
  <c r="AO126" i="9"/>
  <c r="AR126" i="9"/>
  <c r="BG126" i="9"/>
  <c r="BJ126" i="9"/>
  <c r="BQ126" i="9"/>
  <c r="BR126" i="9" s="1"/>
  <c r="BW126" i="9" a="1"/>
  <c r="BW126" i="9" s="1"/>
  <c r="K127" i="9"/>
  <c r="AM127" i="9"/>
  <c r="AN127" i="9"/>
  <c r="AO127" i="9"/>
  <c r="AR127" i="9"/>
  <c r="BG127" i="9"/>
  <c r="BJ127" i="9"/>
  <c r="BQ127" i="9"/>
  <c r="BR127" i="9" s="1"/>
  <c r="BW127" i="9" a="1"/>
  <c r="BW127" i="9" s="1"/>
  <c r="K128" i="9"/>
  <c r="AM128" i="9"/>
  <c r="AN128" i="9"/>
  <c r="AQ128" i="9" s="1"/>
  <c r="BE128" i="9" s="1"/>
  <c r="AO128" i="9"/>
  <c r="AR128" i="9"/>
  <c r="BG128" i="9"/>
  <c r="BJ128" i="9"/>
  <c r="BQ128" i="9"/>
  <c r="BR128" i="9" s="1"/>
  <c r="BW128" i="9" a="1"/>
  <c r="BW128" i="9" s="1"/>
  <c r="K129" i="9"/>
  <c r="AM129" i="9"/>
  <c r="AN129" i="9" s="1"/>
  <c r="AQ129" i="9" s="1"/>
  <c r="BE129" i="9" s="1"/>
  <c r="AO129" i="9"/>
  <c r="AR129" i="9"/>
  <c r="BG129" i="9"/>
  <c r="BJ129" i="9"/>
  <c r="BQ129" i="9"/>
  <c r="BR129" i="9"/>
  <c r="BW129" i="9" a="1"/>
  <c r="BW129" i="9" s="1"/>
  <c r="K130" i="9"/>
  <c r="AM130" i="9"/>
  <c r="AN130" i="9" s="1"/>
  <c r="AQ130" i="9" s="1"/>
  <c r="BE130" i="9" s="1"/>
  <c r="AO130" i="9"/>
  <c r="AP130" i="9"/>
  <c r="AR130" i="9"/>
  <c r="BG130" i="9"/>
  <c r="BJ130" i="9"/>
  <c r="BM130" i="9"/>
  <c r="AY130" i="9" s="1"/>
  <c r="BQ130" i="9"/>
  <c r="BR130" i="9"/>
  <c r="BW130" i="9" a="1"/>
  <c r="BW130" i="9" s="1"/>
  <c r="K131" i="9"/>
  <c r="AJ131" i="9"/>
  <c r="AK131" i="9" s="1"/>
  <c r="AM131" i="9" s="1"/>
  <c r="AN131" i="9" s="1"/>
  <c r="AQ131" i="9" s="1"/>
  <c r="BE131" i="9" s="1"/>
  <c r="AO131" i="9"/>
  <c r="AR131" i="9"/>
  <c r="BG131" i="9"/>
  <c r="BJ131" i="9"/>
  <c r="BM131" i="9"/>
  <c r="AX131" i="9" s="1"/>
  <c r="BQ131" i="9"/>
  <c r="BR131" i="9"/>
  <c r="BW131" i="9" a="1"/>
  <c r="BW131" i="9" s="1"/>
  <c r="K132" i="9"/>
  <c r="AJ132" i="9"/>
  <c r="AK132" i="9"/>
  <c r="AM132" i="9" s="1"/>
  <c r="AN132" i="9" s="1"/>
  <c r="AQ132" i="9" s="1"/>
  <c r="BE132" i="9" s="1"/>
  <c r="AO132" i="9"/>
  <c r="AR132" i="9"/>
  <c r="BG132" i="9"/>
  <c r="BJ132" i="9"/>
  <c r="BM132" i="9"/>
  <c r="AX132" i="9" s="1"/>
  <c r="BQ132" i="9"/>
  <c r="BR132" i="9"/>
  <c r="BW132" i="9" a="1"/>
  <c r="BW132" i="9" s="1"/>
  <c r="K133" i="9"/>
  <c r="AM133" i="9"/>
  <c r="AN133" i="9" s="1"/>
  <c r="AO133" i="9"/>
  <c r="AR133" i="9"/>
  <c r="BG133" i="9"/>
  <c r="BJ133" i="9"/>
  <c r="BM133" i="9"/>
  <c r="AY133" i="9" s="1"/>
  <c r="BQ133" i="9"/>
  <c r="BR133" i="9" s="1"/>
  <c r="BW133" i="9" a="1"/>
  <c r="BW133" i="9" s="1"/>
  <c r="K134" i="9"/>
  <c r="AM134" i="9"/>
  <c r="AN134" i="9"/>
  <c r="AO134" i="9"/>
  <c r="AR134" i="9"/>
  <c r="BG134" i="9"/>
  <c r="BJ134" i="9"/>
  <c r="BM134" i="9"/>
  <c r="AX134" i="9" s="1"/>
  <c r="BQ134" i="9"/>
  <c r="BR134" i="9" s="1"/>
  <c r="BW134" i="9" a="1"/>
  <c r="BW134" i="9" s="1"/>
  <c r="K135" i="9"/>
  <c r="AM135" i="9"/>
  <c r="AN135" i="9"/>
  <c r="AQ135" i="9" s="1"/>
  <c r="BE135" i="9" s="1"/>
  <c r="AO135" i="9"/>
  <c r="AR135" i="9"/>
  <c r="BG135" i="9"/>
  <c r="BJ135" i="9"/>
  <c r="BM135" i="9"/>
  <c r="AY135" i="9" s="1"/>
  <c r="BQ135" i="9"/>
  <c r="BR135" i="9" s="1"/>
  <c r="BW135" i="9" a="1"/>
  <c r="BW135" i="9" s="1"/>
  <c r="K98" i="9"/>
  <c r="AM98" i="9"/>
  <c r="AN98" i="9" s="1"/>
  <c r="AO98" i="9"/>
  <c r="AP98" i="9"/>
  <c r="AR98" i="9"/>
  <c r="BG98" i="9"/>
  <c r="BJ98" i="9"/>
  <c r="BM98" i="9"/>
  <c r="AX98" i="9" s="1"/>
  <c r="BQ98" i="9"/>
  <c r="BR98" i="9" s="1"/>
  <c r="BW98" i="9" a="1"/>
  <c r="BW98" i="9" s="1"/>
  <c r="K99" i="9"/>
  <c r="AM99" i="9"/>
  <c r="AN99" i="9" s="1"/>
  <c r="AO99" i="9"/>
  <c r="AP99" i="9"/>
  <c r="AR99" i="9"/>
  <c r="BG99" i="9"/>
  <c r="BJ99" i="9"/>
  <c r="BM99" i="9"/>
  <c r="AX99" i="9" s="1"/>
  <c r="BQ99" i="9"/>
  <c r="BR99" i="9" s="1"/>
  <c r="BW99" i="9" a="1"/>
  <c r="BW99" i="9" s="1"/>
  <c r="K100" i="9"/>
  <c r="AJ100" i="9"/>
  <c r="AK100" i="9" s="1"/>
  <c r="AM100" i="9" s="1"/>
  <c r="AN100" i="9" s="1"/>
  <c r="AQ100" i="9" s="1"/>
  <c r="BE100" i="9" s="1"/>
  <c r="AO100" i="9"/>
  <c r="AR100" i="9"/>
  <c r="BG100" i="9"/>
  <c r="BJ100" i="9"/>
  <c r="BQ100" i="9"/>
  <c r="BR100" i="9" s="1"/>
  <c r="BW100" i="9" a="1"/>
  <c r="BW100" i="9" s="1"/>
  <c r="K101" i="9"/>
  <c r="AJ101" i="9"/>
  <c r="AK101" i="9" s="1"/>
  <c r="AM101" i="9" s="1"/>
  <c r="AN101" i="9" s="1"/>
  <c r="AQ101" i="9" s="1"/>
  <c r="BE101" i="9" s="1"/>
  <c r="AO101" i="9"/>
  <c r="AR101" i="9"/>
  <c r="BG101" i="9"/>
  <c r="BJ101" i="9"/>
  <c r="BQ101" i="9"/>
  <c r="BR101" i="9" s="1"/>
  <c r="BW101" i="9" a="1"/>
  <c r="BW101" i="9" s="1"/>
  <c r="K102" i="9"/>
  <c r="AJ102" i="9"/>
  <c r="AK102" i="9"/>
  <c r="AM102" i="9" s="1"/>
  <c r="AN102" i="9" s="1"/>
  <c r="AQ102" i="9" s="1"/>
  <c r="BE102" i="9" s="1"/>
  <c r="AO102" i="9"/>
  <c r="AR102" i="9"/>
  <c r="BG102" i="9"/>
  <c r="BJ102" i="9"/>
  <c r="BQ102" i="9"/>
  <c r="BR102" i="9" s="1"/>
  <c r="BW102" i="9" a="1"/>
  <c r="BW102" i="9" s="1"/>
  <c r="K103" i="9"/>
  <c r="AM103" i="9"/>
  <c r="AN103" i="9" s="1"/>
  <c r="AQ103" i="9" s="1"/>
  <c r="BE103" i="9" s="1"/>
  <c r="AO103" i="9"/>
  <c r="AR103" i="9"/>
  <c r="BG103" i="9"/>
  <c r="BJ103" i="9"/>
  <c r="BQ103" i="9"/>
  <c r="BR103" i="9" s="1"/>
  <c r="BW103" i="9" a="1"/>
  <c r="BW103" i="9" s="1"/>
  <c r="K104" i="9"/>
  <c r="AM104" i="9"/>
  <c r="AN104" i="9"/>
  <c r="AO104" i="9"/>
  <c r="AQ104" i="9"/>
  <c r="BE104" i="9" s="1"/>
  <c r="AR104" i="9"/>
  <c r="BG104" i="9"/>
  <c r="BJ104" i="9"/>
  <c r="BM104" i="9"/>
  <c r="AX104" i="9" s="1"/>
  <c r="BQ104" i="9"/>
  <c r="BR104" i="9" s="1"/>
  <c r="BW104" i="9" a="1"/>
  <c r="BW104" i="9" s="1"/>
  <c r="K105" i="9"/>
  <c r="AM105" i="9"/>
  <c r="AN105" i="9"/>
  <c r="AQ107" i="9" s="1"/>
  <c r="BE107" i="9" s="1"/>
  <c r="AO105" i="9"/>
  <c r="AP105" i="9"/>
  <c r="AR105" i="9" s="1"/>
  <c r="BG105" i="9"/>
  <c r="BJ105" i="9"/>
  <c r="BM105" i="9"/>
  <c r="AX105" i="9" s="1"/>
  <c r="BQ105" i="9"/>
  <c r="BR105" i="9"/>
  <c r="BW105" i="9" a="1"/>
  <c r="BW105" i="9" s="1"/>
  <c r="K106" i="9"/>
  <c r="AM106" i="9"/>
  <c r="AN106" i="9"/>
  <c r="AO106" i="9"/>
  <c r="AP106" i="9"/>
  <c r="AR106" i="9" s="1"/>
  <c r="BG106" i="9"/>
  <c r="BJ106" i="9"/>
  <c r="BM106" i="9"/>
  <c r="AY106" i="9" s="1"/>
  <c r="BQ106" i="9"/>
  <c r="BR106" i="9"/>
  <c r="BW106" i="9" a="1"/>
  <c r="BW106" i="9" s="1"/>
  <c r="K107" i="9"/>
  <c r="AM107" i="9"/>
  <c r="AN107" i="9" s="1"/>
  <c r="AO107" i="9"/>
  <c r="AP107" i="9"/>
  <c r="AR107" i="9"/>
  <c r="BG107" i="9"/>
  <c r="BJ107" i="9"/>
  <c r="BQ107" i="9"/>
  <c r="BR107" i="9"/>
  <c r="BW107" i="9" a="1"/>
  <c r="BW107" i="9" s="1"/>
  <c r="K108" i="9"/>
  <c r="AM108" i="9"/>
  <c r="AN108" i="9"/>
  <c r="AQ108" i="9" s="1"/>
  <c r="BE108" i="9" s="1"/>
  <c r="AO108" i="9"/>
  <c r="AP108" i="9"/>
  <c r="AR108" i="9"/>
  <c r="BG108" i="9"/>
  <c r="BJ108" i="9"/>
  <c r="BQ108" i="9"/>
  <c r="BR108" i="9" s="1"/>
  <c r="BW108" i="9" a="1"/>
  <c r="BW108" i="9" s="1"/>
  <c r="K109" i="9"/>
  <c r="AJ109" i="9"/>
  <c r="AK109" i="9" s="1"/>
  <c r="AM109" i="9" s="1"/>
  <c r="AN109" i="9" s="1"/>
  <c r="AQ109" i="9" s="1"/>
  <c r="BE109" i="9" s="1"/>
  <c r="AO109" i="9"/>
  <c r="AR109" i="9"/>
  <c r="BG109" i="9"/>
  <c r="BJ109" i="9"/>
  <c r="BM109" i="9"/>
  <c r="AX109" i="9" s="1"/>
  <c r="BQ109" i="9"/>
  <c r="BR109" i="9"/>
  <c r="BW109" i="9" a="1"/>
  <c r="BW109" i="9" s="1"/>
  <c r="K110" i="9"/>
  <c r="AJ110" i="9"/>
  <c r="AK110" i="9"/>
  <c r="AM110" i="9" s="1"/>
  <c r="AN110" i="9" s="1"/>
  <c r="AQ110" i="9" s="1"/>
  <c r="BE110" i="9" s="1"/>
  <c r="AO110" i="9"/>
  <c r="AR110" i="9"/>
  <c r="BG110" i="9"/>
  <c r="BJ110" i="9"/>
  <c r="BQ110" i="9"/>
  <c r="BR110" i="9" s="1"/>
  <c r="BW110" i="9" a="1"/>
  <c r="BW110" i="9" s="1"/>
  <c r="K111" i="9"/>
  <c r="AJ111" i="9"/>
  <c r="AK111" i="9" s="1"/>
  <c r="AM111" i="9" s="1"/>
  <c r="AN111" i="9" s="1"/>
  <c r="AQ111" i="9" s="1"/>
  <c r="BE111" i="9" s="1"/>
  <c r="AO111" i="9"/>
  <c r="AR111" i="9"/>
  <c r="BG111" i="9"/>
  <c r="BJ111" i="9"/>
  <c r="BM111" i="9"/>
  <c r="AX111" i="9" s="1"/>
  <c r="BQ111" i="9"/>
  <c r="BR111" i="9"/>
  <c r="BW111" i="9" a="1"/>
  <c r="BW111" i="9" s="1"/>
  <c r="K112" i="9"/>
  <c r="AM112" i="9"/>
  <c r="AN112" i="9"/>
  <c r="AO112" i="9"/>
  <c r="AQ112" i="9"/>
  <c r="BE112" i="9" s="1"/>
  <c r="AR112" i="9"/>
  <c r="BG112" i="9"/>
  <c r="BJ112" i="9"/>
  <c r="BQ112" i="9"/>
  <c r="BR112" i="9" s="1"/>
  <c r="BW112" i="9" a="1"/>
  <c r="BW112" i="9" s="1"/>
  <c r="K113" i="9"/>
  <c r="AM113" i="9"/>
  <c r="AN113" i="9" s="1"/>
  <c r="AQ113" i="9" s="1"/>
  <c r="BE113" i="9" s="1"/>
  <c r="AO113" i="9"/>
  <c r="AR113" i="9"/>
  <c r="BG113" i="9"/>
  <c r="BJ113" i="9"/>
  <c r="BQ113" i="9"/>
  <c r="BR113" i="9" s="1"/>
  <c r="BW113" i="9" a="1"/>
  <c r="BW113" i="9" s="1"/>
  <c r="K114" i="9"/>
  <c r="AM114" i="9"/>
  <c r="AN114" i="9"/>
  <c r="AQ114" i="9" s="1"/>
  <c r="BE114" i="9" s="1"/>
  <c r="AO114" i="9"/>
  <c r="AR114" i="9"/>
  <c r="BG114" i="9"/>
  <c r="BJ114" i="9"/>
  <c r="BQ114" i="9"/>
  <c r="BR114" i="9"/>
  <c r="BW114" i="9" a="1"/>
  <c r="BW114" i="9" s="1"/>
  <c r="K115" i="9"/>
  <c r="AM115" i="9"/>
  <c r="AN115" i="9" s="1"/>
  <c r="AQ115" i="9" s="1"/>
  <c r="BE115" i="9" s="1"/>
  <c r="AO115" i="9"/>
  <c r="AP115" i="9"/>
  <c r="AR115" i="9"/>
  <c r="BG115" i="9"/>
  <c r="BJ115" i="9"/>
  <c r="BM115" i="9"/>
  <c r="AY115" i="9" s="1"/>
  <c r="BQ115" i="9"/>
  <c r="BR115" i="9" s="1"/>
  <c r="BW115" i="9" a="1"/>
  <c r="BW115" i="9" s="1"/>
  <c r="K116" i="9"/>
  <c r="AJ116" i="9"/>
  <c r="AK116" i="9"/>
  <c r="AM116" i="9" s="1"/>
  <c r="AN116" i="9" s="1"/>
  <c r="AQ116" i="9" s="1"/>
  <c r="BE116" i="9" s="1"/>
  <c r="AO116" i="9"/>
  <c r="AR116" i="9"/>
  <c r="BG116" i="9"/>
  <c r="BJ116" i="9"/>
  <c r="BQ116" i="9"/>
  <c r="BR116" i="9" s="1"/>
  <c r="BW116" i="9" a="1"/>
  <c r="BW116" i="9" s="1"/>
  <c r="K79" i="9"/>
  <c r="AM79" i="9"/>
  <c r="AN79" i="9" s="1"/>
  <c r="AO79" i="9"/>
  <c r="AR79" i="9"/>
  <c r="BG79" i="9"/>
  <c r="BJ79" i="9"/>
  <c r="BQ79" i="9"/>
  <c r="BR79" i="9" s="1"/>
  <c r="BW79" i="9" a="1"/>
  <c r="BW79" i="9" s="1"/>
  <c r="K80" i="9"/>
  <c r="AM80" i="9"/>
  <c r="AN80" i="9"/>
  <c r="AQ80" i="9" s="1"/>
  <c r="BE80" i="9" s="1"/>
  <c r="AO80" i="9"/>
  <c r="AR80" i="9"/>
  <c r="BG80" i="9"/>
  <c r="BJ80" i="9"/>
  <c r="BM80" i="9"/>
  <c r="AX80" i="9" s="1"/>
  <c r="BQ80" i="9"/>
  <c r="BR80" i="9" s="1"/>
  <c r="BW80" i="9" a="1"/>
  <c r="BW80" i="9" s="1"/>
  <c r="K81" i="9"/>
  <c r="AM81" i="9"/>
  <c r="AN81" i="9"/>
  <c r="AO81" i="9"/>
  <c r="AP81" i="9"/>
  <c r="AR81" i="9"/>
  <c r="BG81" i="9"/>
  <c r="BJ81" i="9"/>
  <c r="BM81" i="9"/>
  <c r="AX81" i="9" s="1"/>
  <c r="BQ81" i="9"/>
  <c r="BR81" i="9" s="1"/>
  <c r="BW81" i="9" a="1"/>
  <c r="BW81" i="9" s="1"/>
  <c r="K82" i="9"/>
  <c r="AM82" i="9"/>
  <c r="AN82" i="9" s="1"/>
  <c r="AO82" i="9"/>
  <c r="AP82" i="9"/>
  <c r="AR82" i="9" s="1"/>
  <c r="BG82" i="9"/>
  <c r="BJ82" i="9"/>
  <c r="BM82" i="9"/>
  <c r="AX82" i="9" s="1"/>
  <c r="BQ82" i="9"/>
  <c r="BR82" i="9" s="1"/>
  <c r="BW82" i="9" a="1"/>
  <c r="BW82" i="9" s="1"/>
  <c r="K83" i="9"/>
  <c r="AM83" i="9"/>
  <c r="AN83" i="9" s="1"/>
  <c r="AO83" i="9"/>
  <c r="AP83" i="9"/>
  <c r="AR83" i="9"/>
  <c r="BG83" i="9"/>
  <c r="BJ83" i="9"/>
  <c r="BQ83" i="9"/>
  <c r="BR83" i="9" s="1"/>
  <c r="BW83" i="9" a="1"/>
  <c r="BW83" i="9" s="1"/>
  <c r="K84" i="9"/>
  <c r="AM84" i="9"/>
  <c r="AN84" i="9"/>
  <c r="AO84" i="9"/>
  <c r="AP84" i="9"/>
  <c r="AR84" i="9"/>
  <c r="BG84" i="9"/>
  <c r="BJ84" i="9"/>
  <c r="BQ84" i="9"/>
  <c r="BR84" i="9" s="1"/>
  <c r="BW84" i="9" a="1"/>
  <c r="BW84" i="9" s="1"/>
  <c r="K85" i="9"/>
  <c r="AJ85" i="9"/>
  <c r="AK85" i="9"/>
  <c r="AM85" i="9" s="1"/>
  <c r="AN85" i="9" s="1"/>
  <c r="AQ85" i="9" s="1"/>
  <c r="BE85" i="9" s="1"/>
  <c r="AO85" i="9"/>
  <c r="AR85" i="9"/>
  <c r="BG85" i="9"/>
  <c r="BJ85" i="9"/>
  <c r="BQ85" i="9"/>
  <c r="BR85" i="9"/>
  <c r="BW85" i="9" a="1"/>
  <c r="BW85" i="9" s="1"/>
  <c r="K86" i="9"/>
  <c r="AJ86" i="9"/>
  <c r="AK86" i="9" s="1"/>
  <c r="AM86" i="9" s="1"/>
  <c r="AN86" i="9" s="1"/>
  <c r="AQ86" i="9" s="1"/>
  <c r="BE86" i="9" s="1"/>
  <c r="AO86" i="9"/>
  <c r="AR86" i="9"/>
  <c r="BG86" i="9"/>
  <c r="BJ86" i="9"/>
  <c r="BM86" i="9"/>
  <c r="AY86" i="9" s="1"/>
  <c r="BQ86" i="9"/>
  <c r="BR86" i="9"/>
  <c r="BW86" i="9" a="1"/>
  <c r="BW86" i="9" s="1"/>
  <c r="K87" i="9"/>
  <c r="AM87" i="9"/>
  <c r="AN87" i="9"/>
  <c r="AQ87" i="9" s="1"/>
  <c r="BE87" i="9" s="1"/>
  <c r="AO87" i="9"/>
  <c r="AR87" i="9"/>
  <c r="BG87" i="9"/>
  <c r="BJ87" i="9"/>
  <c r="BQ87" i="9"/>
  <c r="BR87" i="9" s="1"/>
  <c r="BW87" i="9" a="1"/>
  <c r="BW87" i="9" s="1"/>
  <c r="K88" i="9"/>
  <c r="AM88" i="9"/>
  <c r="AN88" i="9" s="1"/>
  <c r="AO88" i="9"/>
  <c r="AR88" i="9"/>
  <c r="BG88" i="9"/>
  <c r="BJ88" i="9"/>
  <c r="BQ88" i="9"/>
  <c r="BR88" i="9" s="1"/>
  <c r="BW88" i="9" a="1"/>
  <c r="BW88" i="9" s="1"/>
  <c r="K89" i="9"/>
  <c r="AM89" i="9"/>
  <c r="AN89" i="9"/>
  <c r="AO89" i="9"/>
  <c r="AR89" i="9"/>
  <c r="BG89" i="9"/>
  <c r="BJ89" i="9"/>
  <c r="BQ89" i="9"/>
  <c r="BR89" i="9"/>
  <c r="BW89" i="9" a="1"/>
  <c r="BW89" i="9" s="1"/>
  <c r="K90" i="9"/>
  <c r="AM90" i="9"/>
  <c r="AN90" i="9"/>
  <c r="AO90" i="9"/>
  <c r="AP90" i="9"/>
  <c r="AR90" i="9" s="1"/>
  <c r="BG90" i="9"/>
  <c r="BJ90" i="9"/>
  <c r="BM90" i="9"/>
  <c r="AX90" i="9" s="1"/>
  <c r="BQ90" i="9"/>
  <c r="BR90" i="9"/>
  <c r="BW90" i="9" a="1"/>
  <c r="BW90" i="9" s="1"/>
  <c r="K91" i="9"/>
  <c r="AM91" i="9"/>
  <c r="AN91" i="9"/>
  <c r="AQ91" i="9" s="1"/>
  <c r="BE91" i="9" s="1"/>
  <c r="AO91" i="9"/>
  <c r="AP91" i="9"/>
  <c r="AR91" i="9"/>
  <c r="BG91" i="9"/>
  <c r="BJ91" i="9"/>
  <c r="BM91" i="9"/>
  <c r="AX91" i="9" s="1"/>
  <c r="BQ91" i="9"/>
  <c r="BR91" i="9"/>
  <c r="BW91" i="9" a="1"/>
  <c r="BW91" i="9" s="1"/>
  <c r="K92" i="9"/>
  <c r="AJ92" i="9"/>
  <c r="AK92" i="9" s="1"/>
  <c r="AM92" i="9" s="1"/>
  <c r="AN92" i="9" s="1"/>
  <c r="AQ92" i="9" s="1"/>
  <c r="BE92" i="9" s="1"/>
  <c r="AO92" i="9"/>
  <c r="AR92" i="9"/>
  <c r="BG92" i="9"/>
  <c r="BJ92" i="9"/>
  <c r="BQ92" i="9"/>
  <c r="BR92" i="9" s="1"/>
  <c r="BW92" i="9" a="1"/>
  <c r="BW92" i="9" s="1"/>
  <c r="K93" i="9"/>
  <c r="AJ93" i="9"/>
  <c r="AK93" i="9"/>
  <c r="AM93" i="9" s="1"/>
  <c r="AN93" i="9" s="1"/>
  <c r="AQ93" i="9" s="1"/>
  <c r="BE93" i="9" s="1"/>
  <c r="AO93" i="9"/>
  <c r="AR93" i="9"/>
  <c r="BG93" i="9"/>
  <c r="BJ93" i="9"/>
  <c r="BQ93" i="9"/>
  <c r="BR93" i="9"/>
  <c r="BW93" i="9" a="1"/>
  <c r="BW93" i="9" s="1"/>
  <c r="K94" i="9"/>
  <c r="AM94" i="9"/>
  <c r="AN94" i="9" s="1"/>
  <c r="AQ94" i="9" s="1"/>
  <c r="BE94" i="9" s="1"/>
  <c r="AO94" i="9"/>
  <c r="AR94" i="9"/>
  <c r="BG94" i="9"/>
  <c r="BJ94" i="9"/>
  <c r="BM94" i="9"/>
  <c r="AY94" i="9" s="1"/>
  <c r="BQ94" i="9"/>
  <c r="BR94" i="9" s="1"/>
  <c r="BW94" i="9" a="1"/>
  <c r="BW94" i="9" s="1"/>
  <c r="K95" i="9"/>
  <c r="AM95" i="9"/>
  <c r="AN95" i="9"/>
  <c r="AO95" i="9"/>
  <c r="AR95" i="9"/>
  <c r="BG95" i="9"/>
  <c r="BJ95" i="9"/>
  <c r="BM95" i="9"/>
  <c r="AX95" i="9" s="1"/>
  <c r="BQ95" i="9"/>
  <c r="BR95" i="9" s="1"/>
  <c r="BW95" i="9" a="1"/>
  <c r="BW95" i="9" s="1"/>
  <c r="K96" i="9"/>
  <c r="AM96" i="9"/>
  <c r="AN96" i="9" s="1"/>
  <c r="AO96" i="9"/>
  <c r="AR96" i="9"/>
  <c r="BG96" i="9"/>
  <c r="BJ96" i="9"/>
  <c r="BM96" i="9"/>
  <c r="AX96" i="9" s="1"/>
  <c r="BQ96" i="9"/>
  <c r="BR96" i="9" s="1"/>
  <c r="BW96" i="9" a="1"/>
  <c r="BW96" i="9" s="1"/>
  <c r="K97" i="9"/>
  <c r="AM97" i="9"/>
  <c r="AN97" i="9"/>
  <c r="AO97" i="9"/>
  <c r="AQ97" i="9"/>
  <c r="BE97" i="9" s="1"/>
  <c r="AR97" i="9"/>
  <c r="BG97" i="9"/>
  <c r="BJ97" i="9"/>
  <c r="BM97" i="9"/>
  <c r="AX97" i="9" s="1"/>
  <c r="BQ97" i="9"/>
  <c r="BR97" i="9" s="1"/>
  <c r="BW97" i="9" a="1"/>
  <c r="BW97" i="9" s="1"/>
  <c r="K60" i="9"/>
  <c r="AM60" i="9"/>
  <c r="AN60" i="9"/>
  <c r="AQ60" i="9" s="1"/>
  <c r="BE60" i="9" s="1"/>
  <c r="AO60" i="9"/>
  <c r="AP60" i="9"/>
  <c r="AR60" i="9"/>
  <c r="BG60" i="9"/>
  <c r="BJ60" i="9"/>
  <c r="BQ60" i="9"/>
  <c r="BR60" i="9" s="1"/>
  <c r="BW60" i="9" a="1"/>
  <c r="BW60" i="9" s="1"/>
  <c r="K61" i="9"/>
  <c r="AM61" i="9"/>
  <c r="AN61" i="9" s="1"/>
  <c r="AO61" i="9"/>
  <c r="AP61" i="9"/>
  <c r="AR61" i="9" s="1"/>
  <c r="BG61" i="9"/>
  <c r="BJ61" i="9"/>
  <c r="BM61" i="9"/>
  <c r="AX61" i="9" s="1"/>
  <c r="BQ61" i="9"/>
  <c r="BR61" i="9" s="1"/>
  <c r="BW61" i="9" a="1"/>
  <c r="BW61" i="9" s="1"/>
  <c r="K62" i="9"/>
  <c r="AJ62" i="9"/>
  <c r="AK62" i="9" s="1"/>
  <c r="AM62" i="9" s="1"/>
  <c r="AN62" i="9" s="1"/>
  <c r="AQ62" i="9" s="1"/>
  <c r="BE62" i="9" s="1"/>
  <c r="AO62" i="9"/>
  <c r="AR62" i="9"/>
  <c r="BG62" i="9"/>
  <c r="BJ62" i="9"/>
  <c r="BQ62" i="9"/>
  <c r="BR62" i="9"/>
  <c r="BW62" i="9" a="1"/>
  <c r="BW62" i="9" s="1"/>
  <c r="K63" i="9"/>
  <c r="AM63" i="9"/>
  <c r="AN63" i="9"/>
  <c r="AQ63" i="9" s="1"/>
  <c r="BE63" i="9" s="1"/>
  <c r="AO63" i="9"/>
  <c r="AR63" i="9"/>
  <c r="BG63" i="9"/>
  <c r="BJ63" i="9"/>
  <c r="BQ63" i="9"/>
  <c r="BR63" i="9" s="1"/>
  <c r="BW63" i="9" a="1"/>
  <c r="BW63" i="9" s="1"/>
  <c r="K64" i="9"/>
  <c r="AM64" i="9"/>
  <c r="AN64" i="9"/>
  <c r="AQ64" i="9" s="1"/>
  <c r="BE64" i="9" s="1"/>
  <c r="AO64" i="9"/>
  <c r="AR64" i="9"/>
  <c r="BG64" i="9"/>
  <c r="BJ64" i="9"/>
  <c r="BM64" i="9"/>
  <c r="AX64" i="9" s="1"/>
  <c r="BQ64" i="9"/>
  <c r="BR64" i="9" s="1"/>
  <c r="BW64" i="9" a="1"/>
  <c r="BW64" i="9"/>
  <c r="K65" i="9"/>
  <c r="AM65" i="9"/>
  <c r="AN65" i="9" s="1"/>
  <c r="AQ65" i="9" s="1"/>
  <c r="BE65" i="9" s="1"/>
  <c r="AO65" i="9"/>
  <c r="AR65" i="9"/>
  <c r="BG65" i="9"/>
  <c r="BJ65" i="9"/>
  <c r="BQ65" i="9"/>
  <c r="BR65" i="9" s="1"/>
  <c r="BW65" i="9" a="1"/>
  <c r="BW65" i="9" s="1"/>
  <c r="K66" i="9"/>
  <c r="AM66" i="9"/>
  <c r="AN66" i="9"/>
  <c r="AO66" i="9"/>
  <c r="AP66" i="9"/>
  <c r="AR66" i="9"/>
  <c r="BG66" i="9"/>
  <c r="BJ66" i="9"/>
  <c r="BQ66" i="9"/>
  <c r="BR66" i="9" s="1"/>
  <c r="BW66" i="9" a="1"/>
  <c r="BW66" i="9" s="1"/>
  <c r="K67" i="9"/>
  <c r="AM67" i="9"/>
  <c r="AN67" i="9"/>
  <c r="AQ67" i="9" s="1"/>
  <c r="BE67" i="9" s="1"/>
  <c r="AO67" i="9"/>
  <c r="AP67" i="9"/>
  <c r="AR67" i="9"/>
  <c r="BG67" i="9"/>
  <c r="BJ67" i="9"/>
  <c r="BQ67" i="9"/>
  <c r="BR67" i="9" s="1"/>
  <c r="BW67" i="9" a="1"/>
  <c r="BW67" i="9" s="1"/>
  <c r="K68" i="9"/>
  <c r="AJ68" i="9"/>
  <c r="AK68" i="9" s="1"/>
  <c r="AM68" i="9" s="1"/>
  <c r="AN68" i="9" s="1"/>
  <c r="AQ68" i="9" s="1"/>
  <c r="BE68" i="9" s="1"/>
  <c r="AO68" i="9"/>
  <c r="AR68" i="9"/>
  <c r="BG68" i="9"/>
  <c r="BJ68" i="9"/>
  <c r="BM68" i="9"/>
  <c r="AY68" i="9" s="1"/>
  <c r="BQ68" i="9"/>
  <c r="BR68" i="9"/>
  <c r="BW68" i="9" a="1"/>
  <c r="BW68" i="9" s="1"/>
  <c r="K69" i="9"/>
  <c r="AJ69" i="9"/>
  <c r="AK69" i="9"/>
  <c r="AM69" i="9" s="1"/>
  <c r="AN69" i="9" s="1"/>
  <c r="AQ69" i="9" s="1"/>
  <c r="BE69" i="9" s="1"/>
  <c r="AO69" i="9"/>
  <c r="AR69" i="9"/>
  <c r="BG69" i="9"/>
  <c r="BJ69" i="9"/>
  <c r="BQ69" i="9"/>
  <c r="BR69" i="9" s="1"/>
  <c r="BW69" i="9" a="1"/>
  <c r="BW69" i="9" s="1"/>
  <c r="K70" i="9"/>
  <c r="AM70" i="9"/>
  <c r="AN70" i="9" s="1"/>
  <c r="AQ70" i="9" s="1"/>
  <c r="BE70" i="9" s="1"/>
  <c r="AO70" i="9"/>
  <c r="AR70" i="9"/>
  <c r="BG70" i="9"/>
  <c r="BJ70" i="9"/>
  <c r="BM70" i="9"/>
  <c r="AY70" i="9" s="1"/>
  <c r="BQ70" i="9"/>
  <c r="BR70" i="9" s="1"/>
  <c r="BW70" i="9" a="1"/>
  <c r="BW70" i="9" s="1"/>
  <c r="K71" i="9"/>
  <c r="AM71" i="9"/>
  <c r="AN71" i="9" s="1"/>
  <c r="AQ71" i="9" s="1"/>
  <c r="BE71" i="9" s="1"/>
  <c r="AO71" i="9"/>
  <c r="AR71" i="9"/>
  <c r="BG71" i="9"/>
  <c r="BJ71" i="9"/>
  <c r="BM71" i="9"/>
  <c r="AY71" i="9" s="1"/>
  <c r="BQ71" i="9"/>
  <c r="BR71" i="9" s="1"/>
  <c r="BW71" i="9" a="1"/>
  <c r="BW71" i="9" s="1"/>
  <c r="K72" i="9"/>
  <c r="AM72" i="9"/>
  <c r="AN72" i="9"/>
  <c r="AQ74" i="9" s="1"/>
  <c r="BE74" i="9" s="1"/>
  <c r="AO72" i="9"/>
  <c r="AP72" i="9"/>
  <c r="AR72" i="9" s="1"/>
  <c r="BG72" i="9"/>
  <c r="BJ72" i="9"/>
  <c r="BQ72" i="9"/>
  <c r="BR72" i="9" s="1"/>
  <c r="BW72" i="9" a="1"/>
  <c r="BW72" i="9" s="1"/>
  <c r="K73" i="9"/>
  <c r="AM73" i="9"/>
  <c r="AN73" i="9"/>
  <c r="AO73" i="9"/>
  <c r="AP73" i="9"/>
  <c r="AR73" i="9" s="1"/>
  <c r="BG73" i="9"/>
  <c r="BJ73" i="9"/>
  <c r="BQ73" i="9"/>
  <c r="BR73" i="9" s="1"/>
  <c r="BW73" i="9" a="1"/>
  <c r="BW73" i="9" s="1"/>
  <c r="K74" i="9"/>
  <c r="AM74" i="9"/>
  <c r="AN74" i="9" s="1"/>
  <c r="AO74" i="9"/>
  <c r="AP74" i="9"/>
  <c r="AR74" i="9"/>
  <c r="BG74" i="9"/>
  <c r="BJ74" i="9"/>
  <c r="BQ74" i="9"/>
  <c r="BR74" i="9" s="1"/>
  <c r="BW74" i="9" a="1"/>
  <c r="BW74" i="9" s="1"/>
  <c r="K75" i="9"/>
  <c r="AM75" i="9"/>
  <c r="AN75" i="9"/>
  <c r="AQ75" i="9" s="1"/>
  <c r="BE75" i="9" s="1"/>
  <c r="AO75" i="9"/>
  <c r="AP75" i="9"/>
  <c r="AR75" i="9"/>
  <c r="BG75" i="9"/>
  <c r="BJ75" i="9"/>
  <c r="BM75" i="9"/>
  <c r="AX75" i="9" s="1"/>
  <c r="BQ75" i="9"/>
  <c r="BR75" i="9" s="1"/>
  <c r="BW75" i="9" a="1"/>
  <c r="BW75" i="9" s="1"/>
  <c r="K76" i="9"/>
  <c r="AJ76" i="9"/>
  <c r="AK76" i="9" s="1"/>
  <c r="AM76" i="9" s="1"/>
  <c r="AN76" i="9" s="1"/>
  <c r="AQ76" i="9" s="1"/>
  <c r="BE76" i="9" s="1"/>
  <c r="AO76" i="9"/>
  <c r="AR76" i="9"/>
  <c r="BG76" i="9"/>
  <c r="BJ76" i="9"/>
  <c r="BM76" i="9"/>
  <c r="AY76" i="9" s="1"/>
  <c r="BQ76" i="9"/>
  <c r="BR76" i="9"/>
  <c r="BW76" i="9" a="1"/>
  <c r="BW76" i="9" s="1"/>
  <c r="K77" i="9"/>
  <c r="AJ77" i="9"/>
  <c r="AK77" i="9" s="1"/>
  <c r="AM77" i="9" s="1"/>
  <c r="AN77" i="9" s="1"/>
  <c r="AQ77" i="9" s="1"/>
  <c r="BE77" i="9" s="1"/>
  <c r="AO77" i="9"/>
  <c r="AR77" i="9"/>
  <c r="BG77" i="9"/>
  <c r="BJ77" i="9"/>
  <c r="BQ77" i="9"/>
  <c r="BR77" i="9"/>
  <c r="BW77" i="9" a="1"/>
  <c r="BW77" i="9" s="1"/>
  <c r="K78" i="9"/>
  <c r="AM78" i="9"/>
  <c r="AN78" i="9"/>
  <c r="AQ78" i="9" s="1"/>
  <c r="BE78" i="9" s="1"/>
  <c r="AO78" i="9"/>
  <c r="AR78" i="9"/>
  <c r="BG78" i="9"/>
  <c r="BJ78" i="9"/>
  <c r="BM78" i="9"/>
  <c r="AX78" i="9" s="1"/>
  <c r="BQ78" i="9"/>
  <c r="BR78" i="9" s="1"/>
  <c r="BW78" i="9" a="1"/>
  <c r="BW78" i="9" s="1"/>
  <c r="K41" i="9"/>
  <c r="AM41" i="9"/>
  <c r="AN41" i="9"/>
  <c r="AO41" i="9"/>
  <c r="AP41" i="9"/>
  <c r="AQ41" i="9"/>
  <c r="BE41" i="9" s="1"/>
  <c r="AR41" i="9"/>
  <c r="BG41" i="9"/>
  <c r="BJ41" i="9"/>
  <c r="BM41" i="9"/>
  <c r="AX41" i="9" s="1"/>
  <c r="BQ41" i="9"/>
  <c r="BR41" i="9" s="1"/>
  <c r="BW41" i="9" a="1"/>
  <c r="BW41" i="9" s="1"/>
  <c r="K42" i="9"/>
  <c r="AM42" i="9"/>
  <c r="AN42" i="9" s="1"/>
  <c r="AO42" i="9"/>
  <c r="AP42" i="9"/>
  <c r="AR42" i="9"/>
  <c r="BG42" i="9"/>
  <c r="BJ42" i="9"/>
  <c r="BQ42" i="9"/>
  <c r="BR42" i="9" s="1"/>
  <c r="BW42" i="9" a="1"/>
  <c r="BW42" i="9" s="1"/>
  <c r="K43" i="9"/>
  <c r="AM43" i="9"/>
  <c r="AN43" i="9" s="1"/>
  <c r="AO43" i="9"/>
  <c r="AP43" i="9"/>
  <c r="AR43" i="9"/>
  <c r="BG43" i="9"/>
  <c r="BJ43" i="9"/>
  <c r="BQ43" i="9"/>
  <c r="BR43" i="9" s="1"/>
  <c r="BW43" i="9" a="1"/>
  <c r="BW43" i="9" s="1"/>
  <c r="K44" i="9"/>
  <c r="AJ44" i="9"/>
  <c r="AK44" i="9"/>
  <c r="AM44" i="9" s="1"/>
  <c r="AN44" i="9" s="1"/>
  <c r="AQ44" i="9" s="1"/>
  <c r="BE44" i="9" s="1"/>
  <c r="AO44" i="9"/>
  <c r="AR44" i="9"/>
  <c r="BG44" i="9"/>
  <c r="BJ44" i="9"/>
  <c r="BM44" i="9"/>
  <c r="AY44" i="9" s="1"/>
  <c r="BQ44" i="9"/>
  <c r="BR44" i="9"/>
  <c r="BW44" i="9" a="1"/>
  <c r="BW44" i="9" s="1"/>
  <c r="K45" i="9"/>
  <c r="AJ45" i="9"/>
  <c r="AK45" i="9"/>
  <c r="AM45" i="9"/>
  <c r="AN45" i="9" s="1"/>
  <c r="AQ45" i="9" s="1"/>
  <c r="BE45" i="9" s="1"/>
  <c r="AO45" i="9"/>
  <c r="AR45" i="9"/>
  <c r="BG45" i="9"/>
  <c r="BJ45" i="9"/>
  <c r="BM45" i="9"/>
  <c r="AX45" i="9" s="1"/>
  <c r="BQ45" i="9"/>
  <c r="BR45" i="9"/>
  <c r="BW45" i="9" a="1"/>
  <c r="BW45" i="9" s="1"/>
  <c r="K46" i="9"/>
  <c r="AM46" i="9"/>
  <c r="AN46" i="9"/>
  <c r="AO46" i="9"/>
  <c r="AQ46" i="9"/>
  <c r="BE46" i="9" s="1"/>
  <c r="AR46" i="9"/>
  <c r="BG46" i="9"/>
  <c r="BJ46" i="9"/>
  <c r="BQ46" i="9"/>
  <c r="BR46" i="9" s="1"/>
  <c r="BW46" i="9" a="1"/>
  <c r="BW46" i="9" s="1"/>
  <c r="K47" i="9"/>
  <c r="AM47" i="9"/>
  <c r="AN47" i="9" s="1"/>
  <c r="AQ47" i="9" s="1"/>
  <c r="BE47" i="9" s="1"/>
  <c r="AO47" i="9"/>
  <c r="AR47" i="9"/>
  <c r="BG47" i="9"/>
  <c r="BJ47" i="9"/>
  <c r="BQ47" i="9"/>
  <c r="BR47" i="9" s="1"/>
  <c r="BW47" i="9" a="1"/>
  <c r="BW47" i="9" s="1"/>
  <c r="K48" i="9"/>
  <c r="AM48" i="9"/>
  <c r="AN48" i="9"/>
  <c r="AQ49" i="9" s="1"/>
  <c r="BE49" i="9" s="1"/>
  <c r="AO48" i="9"/>
  <c r="AQ48" i="9"/>
  <c r="BE48" i="9" s="1"/>
  <c r="AR48" i="9"/>
  <c r="BG48" i="9"/>
  <c r="BJ48" i="9"/>
  <c r="BQ48" i="9"/>
  <c r="BR48" i="9" s="1"/>
  <c r="BW48" i="9" a="1"/>
  <c r="BW48" i="9" s="1"/>
  <c r="K49" i="9"/>
  <c r="AM49" i="9"/>
  <c r="AN49" i="9"/>
  <c r="AO49" i="9"/>
  <c r="AR49" i="9"/>
  <c r="BG49" i="9"/>
  <c r="BJ49" i="9"/>
  <c r="BQ49" i="9"/>
  <c r="BR49" i="9" s="1"/>
  <c r="BW49" i="9" a="1"/>
  <c r="BW49" i="9" s="1"/>
  <c r="K50" i="9"/>
  <c r="AM50" i="9"/>
  <c r="AN50" i="9"/>
  <c r="AO50" i="9"/>
  <c r="AP50" i="9"/>
  <c r="AR50" i="9"/>
  <c r="BG50" i="9"/>
  <c r="BJ50" i="9"/>
  <c r="BQ50" i="9"/>
  <c r="BR50" i="9" s="1"/>
  <c r="BW50" i="9" a="1"/>
  <c r="BW50" i="9" s="1"/>
  <c r="K51" i="9"/>
  <c r="AM51" i="9"/>
  <c r="AN51" i="9"/>
  <c r="AQ51" i="9" s="1"/>
  <c r="BE51" i="9" s="1"/>
  <c r="AO51" i="9"/>
  <c r="AP51" i="9"/>
  <c r="AR51" i="9" s="1"/>
  <c r="BG51" i="9"/>
  <c r="BJ51" i="9"/>
  <c r="BM51" i="9"/>
  <c r="AX51" i="9" s="1"/>
  <c r="BQ51" i="9"/>
  <c r="BR51" i="9" s="1"/>
  <c r="BW51" i="9" a="1"/>
  <c r="BW51" i="9" s="1"/>
  <c r="K52" i="9"/>
  <c r="AM52" i="9"/>
  <c r="AN52" i="9" s="1"/>
  <c r="AQ52" i="9" s="1"/>
  <c r="BE52" i="9" s="1"/>
  <c r="AO52" i="9"/>
  <c r="AP52" i="9"/>
  <c r="AR52" i="9" s="1"/>
  <c r="BG52" i="9"/>
  <c r="BJ52" i="9"/>
  <c r="BM52" i="9"/>
  <c r="AX52" i="9" s="1"/>
  <c r="BQ52" i="9"/>
  <c r="BR52" i="9" s="1"/>
  <c r="BW52" i="9" a="1"/>
  <c r="BW52" i="9" s="1"/>
  <c r="K53" i="9"/>
  <c r="AM53" i="9"/>
  <c r="AN53" i="9"/>
  <c r="AQ53" i="9" s="1"/>
  <c r="BE53" i="9" s="1"/>
  <c r="AO53" i="9"/>
  <c r="AP53" i="9"/>
  <c r="AR53" i="9"/>
  <c r="BG53" i="9"/>
  <c r="BJ53" i="9"/>
  <c r="BM53" i="9"/>
  <c r="AX53" i="9" s="1"/>
  <c r="BQ53" i="9"/>
  <c r="BR53" i="9" s="1"/>
  <c r="BW53" i="9" a="1"/>
  <c r="BW53" i="9" s="1"/>
  <c r="K54" i="9"/>
  <c r="AJ54" i="9"/>
  <c r="AK54" i="9"/>
  <c r="AM54" i="9" s="1"/>
  <c r="AN54" i="9" s="1"/>
  <c r="AQ54" i="9" s="1"/>
  <c r="BE54" i="9" s="1"/>
  <c r="AO54" i="9"/>
  <c r="AR54" i="9"/>
  <c r="BG54" i="9"/>
  <c r="BJ54" i="9"/>
  <c r="BQ54" i="9"/>
  <c r="BR54" i="9"/>
  <c r="BW54" i="9" a="1"/>
  <c r="BW54" i="9" s="1"/>
  <c r="K55" i="9"/>
  <c r="AJ55" i="9"/>
  <c r="AK55" i="9" s="1"/>
  <c r="AM55" i="9" s="1"/>
  <c r="AN55" i="9" s="1"/>
  <c r="AQ55" i="9" s="1"/>
  <c r="BE55" i="9" s="1"/>
  <c r="AO55" i="9"/>
  <c r="AR55" i="9"/>
  <c r="BG55" i="9"/>
  <c r="BJ55" i="9"/>
  <c r="BQ55" i="9"/>
  <c r="BR55" i="9" s="1"/>
  <c r="BW55" i="9" a="1"/>
  <c r="BW55" i="9" s="1"/>
  <c r="K56" i="9"/>
  <c r="AM56" i="9"/>
  <c r="AN56" i="9"/>
  <c r="AQ57" i="9" s="1"/>
  <c r="BE57" i="9" s="1"/>
  <c r="AO56" i="9"/>
  <c r="AR56" i="9"/>
  <c r="BG56" i="9"/>
  <c r="BJ56" i="9"/>
  <c r="BM56" i="9"/>
  <c r="AY56" i="9" s="1"/>
  <c r="BQ56" i="9"/>
  <c r="BR56" i="9" s="1"/>
  <c r="BW56" i="9" a="1"/>
  <c r="BW56" i="9" s="1"/>
  <c r="K57" i="9"/>
  <c r="AM57" i="9"/>
  <c r="AN57" i="9" s="1"/>
  <c r="AO57" i="9"/>
  <c r="AR57" i="9"/>
  <c r="BG57" i="9"/>
  <c r="BJ57" i="9"/>
  <c r="BM57" i="9"/>
  <c r="AY57" i="9" s="1"/>
  <c r="BQ57" i="9"/>
  <c r="BR57" i="9" s="1"/>
  <c r="BW57" i="9" a="1"/>
  <c r="BW57" i="9"/>
  <c r="K58" i="9"/>
  <c r="AM58" i="9"/>
  <c r="AN58" i="9"/>
  <c r="AQ58" i="9" s="1"/>
  <c r="BE58" i="9" s="1"/>
  <c r="AO58" i="9"/>
  <c r="AR58" i="9"/>
  <c r="BG58" i="9"/>
  <c r="BJ58" i="9"/>
  <c r="BM58" i="9"/>
  <c r="AY58" i="9" s="1"/>
  <c r="BQ58" i="9"/>
  <c r="BR58" i="9"/>
  <c r="BW58" i="9" a="1"/>
  <c r="BW58" i="9" s="1"/>
  <c r="K59" i="9"/>
  <c r="AM59" i="9"/>
  <c r="AN59" i="9"/>
  <c r="AO59" i="9"/>
  <c r="AP59" i="9"/>
  <c r="AQ59" i="9"/>
  <c r="BE59" i="9" s="1"/>
  <c r="AR59" i="9"/>
  <c r="BG59" i="9"/>
  <c r="BJ59" i="9"/>
  <c r="BM59" i="9"/>
  <c r="AY59" i="9" s="1"/>
  <c r="BQ59" i="9"/>
  <c r="BR59" i="9"/>
  <c r="BW59" i="9" a="1"/>
  <c r="BW59" i="9" s="1"/>
  <c r="K22" i="9"/>
  <c r="AM22" i="9"/>
  <c r="AN22" i="9"/>
  <c r="AO22" i="9"/>
  <c r="AQ22" i="9"/>
  <c r="BE22" i="9" s="1"/>
  <c r="AR22" i="9"/>
  <c r="BG22" i="9"/>
  <c r="BJ22" i="9"/>
  <c r="BM22" i="9"/>
  <c r="AX22" i="9" s="1"/>
  <c r="BQ22" i="9"/>
  <c r="BR22" i="9" s="1"/>
  <c r="BW22" i="9" a="1"/>
  <c r="BW22" i="9" s="1"/>
  <c r="K23" i="9"/>
  <c r="AM23" i="9"/>
  <c r="AN23" i="9"/>
  <c r="AQ23" i="9" s="1"/>
  <c r="BE23" i="9" s="1"/>
  <c r="AO23" i="9"/>
  <c r="AP23" i="9"/>
  <c r="AR23" i="9"/>
  <c r="BG23" i="9"/>
  <c r="BJ23" i="9"/>
  <c r="BM23" i="9"/>
  <c r="AX23" i="9" s="1"/>
  <c r="BQ23" i="9"/>
  <c r="BR23" i="9" s="1"/>
  <c r="BW23" i="9" a="1"/>
  <c r="BW23" i="9" s="1"/>
  <c r="K24" i="9"/>
  <c r="AJ24" i="9"/>
  <c r="AK24" i="9"/>
  <c r="AM24" i="9" s="1"/>
  <c r="AN24" i="9" s="1"/>
  <c r="AO24" i="9"/>
  <c r="AR24" i="9"/>
  <c r="BG24" i="9"/>
  <c r="BJ24" i="9"/>
  <c r="BM24" i="9"/>
  <c r="AX24" i="9" s="1"/>
  <c r="BQ24" i="9"/>
  <c r="BR24" i="9"/>
  <c r="BW24" i="9" a="1"/>
  <c r="BW24" i="9" s="1"/>
  <c r="K25" i="9"/>
  <c r="AM25" i="9"/>
  <c r="AN25" i="9"/>
  <c r="AQ25" i="9" s="1"/>
  <c r="BE25" i="9" s="1"/>
  <c r="AO25" i="9"/>
  <c r="AR25" i="9"/>
  <c r="BG25" i="9"/>
  <c r="BJ25" i="9"/>
  <c r="BQ25" i="9"/>
  <c r="BR25" i="9" s="1"/>
  <c r="BW25" i="9" a="1"/>
  <c r="BW25" i="9" s="1"/>
  <c r="K26" i="9"/>
  <c r="AM26" i="9"/>
  <c r="AN26" i="9"/>
  <c r="AO26" i="9"/>
  <c r="AQ26" i="9"/>
  <c r="BE26" i="9" s="1"/>
  <c r="AR26" i="9"/>
  <c r="BG26" i="9"/>
  <c r="BJ26" i="9"/>
  <c r="BM26" i="9"/>
  <c r="AX26" i="9" s="1"/>
  <c r="BQ26" i="9"/>
  <c r="BR26" i="9" s="1"/>
  <c r="BW26" i="9" a="1"/>
  <c r="BW26" i="9" s="1"/>
  <c r="K27" i="9"/>
  <c r="AM27" i="9"/>
  <c r="AN27" i="9" s="1"/>
  <c r="AO27" i="9"/>
  <c r="AP27" i="9"/>
  <c r="AR27" i="9"/>
  <c r="BG27" i="9"/>
  <c r="BJ27" i="9"/>
  <c r="BQ27" i="9"/>
  <c r="BR27" i="9"/>
  <c r="BW27" i="9" a="1"/>
  <c r="BW27" i="9" s="1"/>
  <c r="K28" i="9"/>
  <c r="AM28" i="9"/>
  <c r="AN28" i="9"/>
  <c r="AO28" i="9"/>
  <c r="AP28" i="9"/>
  <c r="AR28" i="9"/>
  <c r="BG28" i="9"/>
  <c r="BJ28" i="9"/>
  <c r="BQ28" i="9"/>
  <c r="BR28" i="9"/>
  <c r="BW28" i="9" a="1"/>
  <c r="BW28" i="9" s="1"/>
  <c r="K29" i="9"/>
  <c r="AJ29" i="9"/>
  <c r="AK29" i="9" s="1"/>
  <c r="AM29" i="9" s="1"/>
  <c r="AN29" i="9" s="1"/>
  <c r="AQ29" i="9" s="1"/>
  <c r="BE29" i="9" s="1"/>
  <c r="AO29" i="9"/>
  <c r="AR29" i="9"/>
  <c r="BG29" i="9"/>
  <c r="BJ29" i="9"/>
  <c r="BM29" i="9"/>
  <c r="AX29" i="9" s="1"/>
  <c r="BQ29" i="9"/>
  <c r="BR29" i="9"/>
  <c r="BW29" i="9" a="1"/>
  <c r="BW29" i="9" s="1"/>
  <c r="K30" i="9"/>
  <c r="AJ30" i="9"/>
  <c r="AK30" i="9"/>
  <c r="AM30" i="9" s="1"/>
  <c r="AN30" i="9" s="1"/>
  <c r="AQ30" i="9" s="1"/>
  <c r="BE30" i="9" s="1"/>
  <c r="AO30" i="9"/>
  <c r="AR30" i="9"/>
  <c r="BG30" i="9"/>
  <c r="BJ30" i="9"/>
  <c r="BQ30" i="9"/>
  <c r="BR30" i="9"/>
  <c r="BW30" i="9" a="1"/>
  <c r="BW30" i="9" s="1"/>
  <c r="K31" i="9"/>
  <c r="AM31" i="9"/>
  <c r="AN31" i="9"/>
  <c r="AQ31" i="9" s="1"/>
  <c r="BE31" i="9" s="1"/>
  <c r="AO31" i="9"/>
  <c r="AR31" i="9"/>
  <c r="BG31" i="9"/>
  <c r="BJ31" i="9"/>
  <c r="BQ31" i="9"/>
  <c r="BR31" i="9" s="1"/>
  <c r="BW31" i="9" a="1"/>
  <c r="BW31" i="9" s="1"/>
  <c r="K32" i="9"/>
  <c r="AM32" i="9"/>
  <c r="AN32" i="9"/>
  <c r="AQ32" i="9" s="1"/>
  <c r="BE32" i="9" s="1"/>
  <c r="AO32" i="9"/>
  <c r="AR32" i="9"/>
  <c r="BG32" i="9"/>
  <c r="BJ32" i="9"/>
  <c r="BM32" i="9"/>
  <c r="AX32" i="9" s="1"/>
  <c r="BQ32" i="9"/>
  <c r="BR32" i="9" s="1"/>
  <c r="BW32" i="9" a="1"/>
  <c r="BW32" i="9" s="1"/>
  <c r="K33" i="9"/>
  <c r="AM33" i="9"/>
  <c r="AN33" i="9"/>
  <c r="AO33" i="9"/>
  <c r="AQ33" i="9"/>
  <c r="BE33" i="9" s="1"/>
  <c r="AR33" i="9"/>
  <c r="BG33" i="9"/>
  <c r="BJ33" i="9"/>
  <c r="BQ33" i="9"/>
  <c r="BR33" i="9" s="1"/>
  <c r="BW33" i="9" a="1"/>
  <c r="BW33" i="9" s="1"/>
  <c r="K34" i="9"/>
  <c r="AM34" i="9"/>
  <c r="AN34" i="9"/>
  <c r="AO34" i="9"/>
  <c r="AP34" i="9"/>
  <c r="AQ34" i="9"/>
  <c r="BE34" i="9" s="1"/>
  <c r="AR34" i="9"/>
  <c r="BG34" i="9"/>
  <c r="BJ34" i="9"/>
  <c r="BM34" i="9"/>
  <c r="AX34" i="9" s="1"/>
  <c r="BQ34" i="9"/>
  <c r="BR34" i="9" s="1"/>
  <c r="BW34" i="9" a="1"/>
  <c r="BW34" i="9" s="1"/>
  <c r="K35" i="9"/>
  <c r="AM35" i="9"/>
  <c r="AN35" i="9"/>
  <c r="AO35" i="9"/>
  <c r="AP35" i="9"/>
  <c r="AQ35" i="9"/>
  <c r="BE35" i="9" s="1"/>
  <c r="AR35" i="9"/>
  <c r="BG35" i="9"/>
  <c r="BJ35" i="9"/>
  <c r="BM35" i="9"/>
  <c r="AX35" i="9" s="1"/>
  <c r="BQ35" i="9"/>
  <c r="BR35" i="9"/>
  <c r="BW35" i="9" a="1"/>
  <c r="BW35" i="9" s="1"/>
  <c r="K36" i="9"/>
  <c r="AM36" i="9"/>
  <c r="AN36" i="9" s="1"/>
  <c r="AQ36" i="9" s="1"/>
  <c r="BE36" i="9" s="1"/>
  <c r="AO36" i="9"/>
  <c r="AP36" i="9"/>
  <c r="AR36" i="9"/>
  <c r="BG36" i="9"/>
  <c r="BJ36" i="9"/>
  <c r="BQ36" i="9"/>
  <c r="BR36" i="9"/>
  <c r="BW36" i="9" a="1"/>
  <c r="BW36" i="9" s="1"/>
  <c r="K37" i="9"/>
  <c r="AJ37" i="9"/>
  <c r="AK37" i="9"/>
  <c r="AM37" i="9" s="1"/>
  <c r="AN37" i="9" s="1"/>
  <c r="AQ37" i="9" s="1"/>
  <c r="BE37" i="9" s="1"/>
  <c r="AO37" i="9"/>
  <c r="AR37" i="9"/>
  <c r="BG37" i="9"/>
  <c r="BJ37" i="9"/>
  <c r="BQ37" i="9"/>
  <c r="BR37" i="9"/>
  <c r="BW37" i="9" a="1"/>
  <c r="BW37" i="9" s="1"/>
  <c r="K38" i="9"/>
  <c r="AJ38" i="9"/>
  <c r="AK38" i="9" s="1"/>
  <c r="AM38" i="9" s="1"/>
  <c r="AN38" i="9" s="1"/>
  <c r="AQ38" i="9" s="1"/>
  <c r="BE38" i="9" s="1"/>
  <c r="AO38" i="9"/>
  <c r="AR38" i="9"/>
  <c r="BG38" i="9"/>
  <c r="BJ38" i="9"/>
  <c r="BQ38" i="9"/>
  <c r="BR38" i="9"/>
  <c r="BW38" i="9" a="1"/>
  <c r="BW38" i="9" s="1"/>
  <c r="K39" i="9"/>
  <c r="AM39" i="9"/>
  <c r="AN39" i="9"/>
  <c r="AQ39" i="9" s="1"/>
  <c r="BE39" i="9" s="1"/>
  <c r="AO39" i="9"/>
  <c r="AR39" i="9"/>
  <c r="BG39" i="9"/>
  <c r="BJ39" i="9"/>
  <c r="BQ39" i="9"/>
  <c r="BR39" i="9"/>
  <c r="BW39" i="9" a="1"/>
  <c r="BW39" i="9" s="1"/>
  <c r="K40" i="9"/>
  <c r="AM40" i="9"/>
  <c r="AN40" i="9"/>
  <c r="AQ40" i="9" s="1"/>
  <c r="BE40" i="9" s="1"/>
  <c r="AO40" i="9"/>
  <c r="AR40" i="9"/>
  <c r="BG40" i="9"/>
  <c r="BJ40" i="9"/>
  <c r="BM40" i="9"/>
  <c r="AX40" i="9" s="1"/>
  <c r="BQ40" i="9"/>
  <c r="BR40" i="9" s="1"/>
  <c r="BW40" i="9" a="1"/>
  <c r="BW40" i="9" s="1"/>
  <c r="K3" i="9"/>
  <c r="AM3" i="9"/>
  <c r="AN3" i="9" s="1"/>
  <c r="AO3" i="9"/>
  <c r="AR3" i="9"/>
  <c r="BG3" i="9"/>
  <c r="BJ3" i="9"/>
  <c r="BM3" i="9"/>
  <c r="AX3" i="9" s="1"/>
  <c r="BQ3" i="9"/>
  <c r="BR3" i="9" s="1"/>
  <c r="BW3" i="9" a="1"/>
  <c r="BW3" i="9" s="1"/>
  <c r="K4" i="9"/>
  <c r="AM4" i="9"/>
  <c r="AN4" i="9"/>
  <c r="AQ4" i="9" s="1"/>
  <c r="BE4" i="9" s="1"/>
  <c r="AO4" i="9"/>
  <c r="AR4" i="9"/>
  <c r="BG4" i="9"/>
  <c r="BJ4" i="9"/>
  <c r="BQ4" i="9"/>
  <c r="BR4" i="9" s="1"/>
  <c r="BW4" i="9" a="1"/>
  <c r="BW4" i="9" s="1"/>
  <c r="K5" i="9"/>
  <c r="AM5" i="9"/>
  <c r="AN5" i="9"/>
  <c r="AQ5" i="9" s="1"/>
  <c r="BE5" i="9" s="1"/>
  <c r="AO5" i="9"/>
  <c r="AR5" i="9"/>
  <c r="BG5" i="9"/>
  <c r="BJ5" i="9"/>
  <c r="BM5" i="9"/>
  <c r="AY5" i="9" s="1"/>
  <c r="BQ5" i="9"/>
  <c r="BR5" i="9" s="1"/>
  <c r="BW5" i="9" a="1"/>
  <c r="BW5" i="9" s="1"/>
  <c r="K6" i="9"/>
  <c r="AM6" i="9"/>
  <c r="AN6" i="9"/>
  <c r="AQ7" i="9" s="1"/>
  <c r="BE7" i="9" s="1"/>
  <c r="AO6" i="9"/>
  <c r="AP6" i="9"/>
  <c r="BG6" i="9"/>
  <c r="BJ6" i="9"/>
  <c r="BQ6" i="9"/>
  <c r="BR6" i="9" s="1"/>
  <c r="BW6" i="9" a="1"/>
  <c r="BW6" i="9" s="1"/>
  <c r="K7" i="9"/>
  <c r="AM7" i="9"/>
  <c r="AN7" i="9"/>
  <c r="AO7" i="9"/>
  <c r="AP7" i="9"/>
  <c r="AR7" i="9" s="1"/>
  <c r="BG7" i="9"/>
  <c r="BJ7" i="9"/>
  <c r="BQ7" i="9"/>
  <c r="BR7" i="9" s="1"/>
  <c r="BW7" i="9" a="1"/>
  <c r="BW7" i="9" s="1"/>
  <c r="K8" i="9"/>
  <c r="AM8" i="9"/>
  <c r="AN8" i="9" s="1"/>
  <c r="AQ8" i="9" s="1"/>
  <c r="BE8" i="9" s="1"/>
  <c r="AO8" i="9"/>
  <c r="AP8" i="9"/>
  <c r="AR8" i="9" s="1"/>
  <c r="BG8" i="9"/>
  <c r="BJ8" i="9"/>
  <c r="BM8" i="9"/>
  <c r="AX8" i="9" s="1"/>
  <c r="BQ8" i="9"/>
  <c r="BR8" i="9" s="1"/>
  <c r="BW8" i="9" a="1"/>
  <c r="BW8" i="9" s="1"/>
  <c r="K9" i="9"/>
  <c r="AJ9" i="9"/>
  <c r="AK9" i="9"/>
  <c r="AM9" i="9"/>
  <c r="AN9" i="9" s="1"/>
  <c r="AQ9" i="9" s="1"/>
  <c r="BE9" i="9" s="1"/>
  <c r="AO9" i="9"/>
  <c r="AR9" i="9"/>
  <c r="BG9" i="9"/>
  <c r="BJ9" i="9"/>
  <c r="BM9" i="9"/>
  <c r="AY9" i="9" s="1"/>
  <c r="BQ9" i="9"/>
  <c r="BR9" i="9" s="1"/>
  <c r="BW9" i="9" a="1"/>
  <c r="BW9" i="9" s="1"/>
  <c r="K10" i="9"/>
  <c r="AJ10" i="9"/>
  <c r="AK10" i="9" s="1"/>
  <c r="AM10" i="9" s="1"/>
  <c r="AN10" i="9" s="1"/>
  <c r="AQ10" i="9" s="1"/>
  <c r="BE10" i="9" s="1"/>
  <c r="AO10" i="9"/>
  <c r="AR10" i="9"/>
  <c r="BG10" i="9"/>
  <c r="BJ10" i="9"/>
  <c r="BQ10" i="9"/>
  <c r="BR10" i="9"/>
  <c r="BW10" i="9" a="1"/>
  <c r="BW10" i="9" s="1"/>
  <c r="K11" i="9"/>
  <c r="AM11" i="9"/>
  <c r="AN11" i="9"/>
  <c r="AQ11" i="9" s="1"/>
  <c r="BE11" i="9" s="1"/>
  <c r="AO11" i="9"/>
  <c r="AR11" i="9"/>
  <c r="BG11" i="9"/>
  <c r="BJ11" i="9"/>
  <c r="BM11" i="9"/>
  <c r="AY11" i="9" s="1"/>
  <c r="BQ11" i="9"/>
  <c r="BR11" i="9" s="1"/>
  <c r="BW11" i="9" a="1"/>
  <c r="BW11" i="9" s="1"/>
  <c r="K12" i="9"/>
  <c r="AM12" i="9"/>
  <c r="AN12" i="9" s="1"/>
  <c r="AQ12" i="9" s="1"/>
  <c r="BE12" i="9" s="1"/>
  <c r="AO12" i="9"/>
  <c r="AR12" i="9"/>
  <c r="BG12" i="9"/>
  <c r="BJ12" i="9"/>
  <c r="BQ12" i="9"/>
  <c r="BR12" i="9" s="1"/>
  <c r="BW12" i="9" a="1"/>
  <c r="BW12" i="9" s="1"/>
  <c r="K13" i="9"/>
  <c r="AM13" i="9"/>
  <c r="AN13" i="9"/>
  <c r="AQ13" i="9" s="1"/>
  <c r="BE13" i="9" s="1"/>
  <c r="AO13" i="9"/>
  <c r="AP13" i="9"/>
  <c r="AR13" i="9" s="1"/>
  <c r="BG13" i="9"/>
  <c r="BJ13" i="9"/>
  <c r="BQ13" i="9"/>
  <c r="BR13" i="9" s="1"/>
  <c r="BW13" i="9" a="1"/>
  <c r="BW13" i="9" s="1"/>
  <c r="K14" i="9"/>
  <c r="AM14" i="9"/>
  <c r="AN14" i="9"/>
  <c r="AO14" i="9"/>
  <c r="AP14" i="9"/>
  <c r="AR14" i="9"/>
  <c r="BG14" i="9"/>
  <c r="BJ14" i="9"/>
  <c r="BQ14" i="9"/>
  <c r="BR14" i="9" s="1"/>
  <c r="BW14" i="9" a="1"/>
  <c r="BW14" i="9" s="1"/>
  <c r="K15" i="9"/>
  <c r="AM15" i="9"/>
  <c r="AN15" i="9" s="1"/>
  <c r="AQ15" i="9" s="1"/>
  <c r="BE15" i="9" s="1"/>
  <c r="AO15" i="9"/>
  <c r="AP15" i="9"/>
  <c r="AR15" i="9"/>
  <c r="BG15" i="9"/>
  <c r="BJ15" i="9"/>
  <c r="BQ15" i="9"/>
  <c r="BR15" i="9" s="1"/>
  <c r="BW15" i="9" a="1"/>
  <c r="BW15" i="9" s="1"/>
  <c r="K16" i="9"/>
  <c r="AJ16" i="9"/>
  <c r="AK16" i="9" s="1"/>
  <c r="AM16" i="9" s="1"/>
  <c r="AN16" i="9" s="1"/>
  <c r="AQ16" i="9" s="1"/>
  <c r="BE16" i="9" s="1"/>
  <c r="AO16" i="9"/>
  <c r="AR16" i="9"/>
  <c r="BG16" i="9"/>
  <c r="BJ16" i="9"/>
  <c r="BQ16" i="9"/>
  <c r="BR16" i="9"/>
  <c r="BW16" i="9" a="1"/>
  <c r="BW16" i="9" s="1"/>
  <c r="K17" i="9"/>
  <c r="AJ17" i="9"/>
  <c r="AK17" i="9" s="1"/>
  <c r="AM17" i="9" s="1"/>
  <c r="AN17" i="9" s="1"/>
  <c r="AQ17" i="9" s="1"/>
  <c r="BE17" i="9" s="1"/>
  <c r="AO17" i="9"/>
  <c r="AR17" i="9"/>
  <c r="BG17" i="9"/>
  <c r="BJ17" i="9"/>
  <c r="BQ17" i="9"/>
  <c r="BR17" i="9"/>
  <c r="BW17" i="9" a="1"/>
  <c r="BW17" i="9" s="1"/>
  <c r="K18" i="9"/>
  <c r="AM18" i="9"/>
  <c r="AN18" i="9"/>
  <c r="AQ18" i="9" s="1"/>
  <c r="BE18" i="9" s="1"/>
  <c r="AO18" i="9"/>
  <c r="AR18" i="9"/>
  <c r="BG18" i="9"/>
  <c r="BJ18" i="9"/>
  <c r="BQ18" i="9"/>
  <c r="BR18" i="9"/>
  <c r="BW18" i="9" a="1"/>
  <c r="BW18" i="9" s="1"/>
  <c r="K19" i="9"/>
  <c r="AM19" i="9"/>
  <c r="AN19" i="9" s="1"/>
  <c r="AO19" i="9"/>
  <c r="AR19" i="9"/>
  <c r="BG19" i="9"/>
  <c r="BJ19" i="9"/>
  <c r="BQ19" i="9"/>
  <c r="BR19" i="9"/>
  <c r="BW19" i="9" a="1"/>
  <c r="BW19" i="9" s="1"/>
  <c r="K20" i="9"/>
  <c r="AM20" i="9"/>
  <c r="AN20" i="9"/>
  <c r="AO20" i="9"/>
  <c r="AR20" i="9"/>
  <c r="BG20" i="9"/>
  <c r="BJ20" i="9"/>
  <c r="BQ20" i="9"/>
  <c r="BR20" i="9"/>
  <c r="BW20" i="9" a="1"/>
  <c r="BW20" i="9" s="1"/>
  <c r="K21" i="9"/>
  <c r="AM21" i="9"/>
  <c r="AN21" i="9"/>
  <c r="AO21" i="9"/>
  <c r="AQ21" i="9"/>
  <c r="BE21" i="9" s="1"/>
  <c r="AR21" i="9"/>
  <c r="BG21" i="9"/>
  <c r="BJ21" i="9"/>
  <c r="BM21" i="9"/>
  <c r="AX21" i="9" s="1"/>
  <c r="BQ21" i="9"/>
  <c r="BR21" i="9" s="1"/>
  <c r="BW21" i="9" a="1"/>
  <c r="BW21" i="9" s="1"/>
  <c r="Y44" i="16"/>
  <c r="BN44" i="16" s="1"/>
  <c r="AK44" i="16"/>
  <c r="AZ44" i="16"/>
  <c r="E45" i="16"/>
  <c r="F45" i="16" s="1"/>
  <c r="Y45" i="16"/>
  <c r="BN45" i="16" s="1"/>
  <c r="AZ45" i="16"/>
  <c r="BB45" i="16" s="1"/>
  <c r="BF45" i="16" s="1"/>
  <c r="BD45" i="16"/>
  <c r="BI45" i="16" s="1"/>
  <c r="Y46" i="16"/>
  <c r="BN46" i="16" s="1"/>
  <c r="AZ46" i="16"/>
  <c r="BB46" i="16" s="1"/>
  <c r="Y47" i="16"/>
  <c r="AK47" i="16"/>
  <c r="AZ47" i="16"/>
  <c r="BN47" i="16"/>
  <c r="E48" i="16"/>
  <c r="F48" i="16" s="1"/>
  <c r="Y48" i="16"/>
  <c r="BN48" i="16" s="1"/>
  <c r="AZ48" i="16"/>
  <c r="BB48" i="16" s="1"/>
  <c r="BD48" i="16"/>
  <c r="BI48" i="16" s="1"/>
  <c r="E49" i="16"/>
  <c r="F49" i="16"/>
  <c r="W49" i="16"/>
  <c r="AV49" i="16" s="1"/>
  <c r="AW49" i="16" s="1"/>
  <c r="AU49" i="16" s="1"/>
  <c r="Y49" i="16"/>
  <c r="BN49" i="16" s="1"/>
  <c r="AZ49" i="16"/>
  <c r="BB49" i="16" s="1"/>
  <c r="BF49" i="16" s="1"/>
  <c r="BD49" i="16"/>
  <c r="BI49" i="16" s="1"/>
  <c r="Y50" i="16"/>
  <c r="BN50" i="16" s="1"/>
  <c r="AK50" i="16"/>
  <c r="AZ50" i="16"/>
  <c r="Y51" i="16"/>
  <c r="BN51" i="16" s="1"/>
  <c r="AZ51" i="16"/>
  <c r="I52" i="16"/>
  <c r="AD52" i="16"/>
  <c r="AE52" i="16"/>
  <c r="Y52" i="16" s="1"/>
  <c r="BN52" i="16" s="1"/>
  <c r="AZ52" i="16"/>
  <c r="BB52" i="16" s="1"/>
  <c r="E53" i="16"/>
  <c r="W53" i="16" s="1"/>
  <c r="Y53" i="16"/>
  <c r="BN53" i="16" s="1"/>
  <c r="AK53" i="16"/>
  <c r="AZ53" i="16"/>
  <c r="BB53" i="16"/>
  <c r="BD53" i="16"/>
  <c r="E54" i="16"/>
  <c r="F54" i="16" s="1"/>
  <c r="Y54" i="16"/>
  <c r="BN54" i="16" s="1"/>
  <c r="AZ54" i="16"/>
  <c r="BB54" i="16" s="1"/>
  <c r="BF54" i="16" s="1"/>
  <c r="BD54" i="16"/>
  <c r="BI54" i="16" s="1"/>
  <c r="Y55" i="16"/>
  <c r="BN55" i="16" s="1"/>
  <c r="AZ55" i="16"/>
  <c r="Y56" i="16"/>
  <c r="BN56" i="16" s="1"/>
  <c r="AK56" i="16"/>
  <c r="AZ56" i="16"/>
  <c r="BB56" i="16" s="1"/>
  <c r="BC56" i="16" s="1"/>
  <c r="BA56" i="16"/>
  <c r="E57" i="16"/>
  <c r="F57" i="16" s="1"/>
  <c r="Y57" i="16"/>
  <c r="BN57" i="16" s="1"/>
  <c r="AZ57" i="16"/>
  <c r="BB57" i="16"/>
  <c r="BD57" i="16"/>
  <c r="AI60" i="12" s="1"/>
  <c r="E58" i="16"/>
  <c r="F58" i="16" s="1"/>
  <c r="Y58" i="16"/>
  <c r="AZ58" i="16"/>
  <c r="BB58" i="16" s="1"/>
  <c r="BF58" i="16" s="1"/>
  <c r="BD58" i="16"/>
  <c r="BA60" i="16" s="1"/>
  <c r="BB60" i="16" s="1"/>
  <c r="BI58" i="16"/>
  <c r="BN58" i="16"/>
  <c r="E59" i="16"/>
  <c r="F59" i="16" s="1"/>
  <c r="Y59" i="16"/>
  <c r="BN59" i="16" s="1"/>
  <c r="AK59" i="16"/>
  <c r="AZ59" i="16"/>
  <c r="BB59" i="16" s="1"/>
  <c r="BF59" i="16" s="1"/>
  <c r="BD59" i="16"/>
  <c r="AI61" i="12" s="1"/>
  <c r="BI59" i="16"/>
  <c r="Y60" i="16"/>
  <c r="BN60" i="16" s="1"/>
  <c r="AZ60" i="16"/>
  <c r="Y61" i="16"/>
  <c r="BN61" i="16" s="1"/>
  <c r="AZ61" i="16"/>
  <c r="BB61" i="16"/>
  <c r="BC61" i="16" s="1"/>
  <c r="E62" i="16"/>
  <c r="F62" i="16" s="1"/>
  <c r="Y62" i="16"/>
  <c r="AK62" i="16"/>
  <c r="AZ62" i="16"/>
  <c r="BB62" i="16"/>
  <c r="BF62" i="16" s="1"/>
  <c r="BD62" i="16"/>
  <c r="BI62" i="16" s="1"/>
  <c r="BN62" i="16"/>
  <c r="E23" i="16"/>
  <c r="F23" i="16" s="1"/>
  <c r="W23" i="16"/>
  <c r="AH23" i="16" s="1"/>
  <c r="Y23" i="16"/>
  <c r="BN23" i="16" s="1"/>
  <c r="AK23" i="16"/>
  <c r="AZ23" i="16"/>
  <c r="BB23" i="16" s="1"/>
  <c r="BF23" i="16" s="1"/>
  <c r="BD23" i="16"/>
  <c r="BI23" i="16" s="1"/>
  <c r="Y24" i="16"/>
  <c r="BN24" i="16" s="1"/>
  <c r="AZ24" i="16"/>
  <c r="Y25" i="16"/>
  <c r="AZ25" i="16"/>
  <c r="BB25" i="16"/>
  <c r="BC25" i="16" s="1"/>
  <c r="BN25" i="16"/>
  <c r="E26" i="16"/>
  <c r="W26" i="16" s="1"/>
  <c r="Y26" i="16"/>
  <c r="BN26" i="16" s="1"/>
  <c r="AK26" i="16"/>
  <c r="AZ26" i="16"/>
  <c r="BB26" i="16"/>
  <c r="BF26" i="16" s="1"/>
  <c r="BD26" i="16"/>
  <c r="BI26" i="16"/>
  <c r="Y27" i="16"/>
  <c r="AZ27" i="16"/>
  <c r="BB27" i="16" s="1"/>
  <c r="BC27" i="16" s="1"/>
  <c r="BA27" i="16"/>
  <c r="BN27" i="16"/>
  <c r="E28" i="16"/>
  <c r="F28" i="16" s="1"/>
  <c r="Y28" i="16"/>
  <c r="BN28" i="16" s="1"/>
  <c r="AZ28" i="16"/>
  <c r="BB28" i="16"/>
  <c r="BF28" i="16" s="1"/>
  <c r="BD28" i="16"/>
  <c r="BI28" i="16" s="1"/>
  <c r="Y29" i="16"/>
  <c r="AK29" i="16"/>
  <c r="AZ29" i="16"/>
  <c r="BN29" i="16"/>
  <c r="I30" i="16"/>
  <c r="AD30" i="16"/>
  <c r="AE30" i="16"/>
  <c r="Y30" i="16" s="1"/>
  <c r="BN30" i="16" s="1"/>
  <c r="AZ30" i="16"/>
  <c r="BB30" i="16" s="1"/>
  <c r="Y31" i="16"/>
  <c r="AZ31" i="16"/>
  <c r="BB31" i="16"/>
  <c r="BC31" i="16" s="1"/>
  <c r="BN31" i="16"/>
  <c r="E32" i="16"/>
  <c r="W32" i="16" s="1"/>
  <c r="AV32" i="16" s="1"/>
  <c r="AW32" i="16" s="1"/>
  <c r="AU32" i="16" s="1"/>
  <c r="I32" i="16"/>
  <c r="AD32" i="16"/>
  <c r="AE32" i="16"/>
  <c r="Y32" i="16" s="1"/>
  <c r="BN32" i="16" s="1"/>
  <c r="AZ32" i="16"/>
  <c r="BB32" i="16" s="1"/>
  <c r="BF32" i="16" s="1"/>
  <c r="BD32" i="16"/>
  <c r="BA34" i="16" s="1"/>
  <c r="BI32" i="16"/>
  <c r="E33" i="16"/>
  <c r="F33" i="16" s="1"/>
  <c r="Y33" i="16"/>
  <c r="BN33" i="16" s="1"/>
  <c r="AZ33" i="16"/>
  <c r="BB33" i="16"/>
  <c r="BD33" i="16"/>
  <c r="BI33" i="16" s="1"/>
  <c r="BF33" i="16"/>
  <c r="I34" i="16"/>
  <c r="AD34" i="16"/>
  <c r="AE34" i="16"/>
  <c r="Y34" i="16" s="1"/>
  <c r="BN34" i="16" s="1"/>
  <c r="AZ34" i="16"/>
  <c r="Y35" i="16"/>
  <c r="BN35" i="16" s="1"/>
  <c r="AK35" i="16"/>
  <c r="AZ35" i="16"/>
  <c r="E36" i="16"/>
  <c r="F36" i="16" s="1"/>
  <c r="Y36" i="16"/>
  <c r="BN36" i="16" s="1"/>
  <c r="AZ36" i="16"/>
  <c r="BB36" i="16" s="1"/>
  <c r="BD36" i="16"/>
  <c r="Y37" i="16"/>
  <c r="AK37" i="16"/>
  <c r="AZ37" i="16"/>
  <c r="BB37" i="16"/>
  <c r="BC37" i="16" s="1"/>
  <c r="BN37" i="16"/>
  <c r="Y38" i="16"/>
  <c r="BN38" i="16" s="1"/>
  <c r="AK38" i="16"/>
  <c r="AZ38" i="16"/>
  <c r="E39" i="16"/>
  <c r="F39" i="16" s="1"/>
  <c r="W39" i="16"/>
  <c r="AV39" i="16" s="1"/>
  <c r="AW39" i="16" s="1"/>
  <c r="AU39" i="16" s="1"/>
  <c r="Y39" i="16"/>
  <c r="BN39" i="16" s="1"/>
  <c r="AZ39" i="16"/>
  <c r="BB39" i="16" s="1"/>
  <c r="BF39" i="16" s="1"/>
  <c r="BD39" i="16"/>
  <c r="BI39" i="16" s="1"/>
  <c r="E40" i="16"/>
  <c r="W40" i="16" s="1"/>
  <c r="AV40" i="16" s="1"/>
  <c r="AW40" i="16" s="1"/>
  <c r="AU40" i="16" s="1"/>
  <c r="I40" i="16"/>
  <c r="AD40" i="16"/>
  <c r="AE40" i="16"/>
  <c r="Y40" i="16" s="1"/>
  <c r="BN40" i="16" s="1"/>
  <c r="AZ40" i="16"/>
  <c r="BB40" i="16"/>
  <c r="BF40" i="16" s="1"/>
  <c r="BD40" i="16"/>
  <c r="BI40" i="16" s="1"/>
  <c r="Y41" i="16"/>
  <c r="AK41" i="16"/>
  <c r="AZ41" i="16"/>
  <c r="BA41" i="16"/>
  <c r="BN41" i="16"/>
  <c r="I42" i="16"/>
  <c r="AD42" i="16"/>
  <c r="AE42" i="16"/>
  <c r="Y42" i="16" s="1"/>
  <c r="BN42" i="16" s="1"/>
  <c r="AZ42" i="16"/>
  <c r="E43" i="16"/>
  <c r="W43" i="16" s="1"/>
  <c r="F43" i="16"/>
  <c r="Y43" i="16"/>
  <c r="BN43" i="16" s="1"/>
  <c r="AZ43" i="16"/>
  <c r="BB43" i="16"/>
  <c r="BF43" i="16" s="1"/>
  <c r="BD43" i="16"/>
  <c r="BI43" i="16" s="1"/>
  <c r="E3" i="16"/>
  <c r="F3" i="16" s="1"/>
  <c r="Y3" i="16"/>
  <c r="BN3" i="16" s="1"/>
  <c r="AZ3" i="16"/>
  <c r="BB3" i="16" s="1"/>
  <c r="BD3" i="16"/>
  <c r="Y4" i="16"/>
  <c r="AZ4" i="16"/>
  <c r="BN4" i="16"/>
  <c r="Y5" i="16"/>
  <c r="BN5" i="16" s="1"/>
  <c r="AK5" i="16"/>
  <c r="AZ5" i="16"/>
  <c r="BB5" i="16" s="1"/>
  <c r="E6" i="16"/>
  <c r="F6" i="16" s="1"/>
  <c r="Y6" i="16"/>
  <c r="BN6" i="16" s="1"/>
  <c r="AZ6" i="16"/>
  <c r="BB6" i="16" s="1"/>
  <c r="BD6" i="16"/>
  <c r="BI6" i="16"/>
  <c r="Y7" i="16"/>
  <c r="BN7" i="16" s="1"/>
  <c r="AZ7" i="16"/>
  <c r="BA7" i="16"/>
  <c r="Y8" i="16"/>
  <c r="AK8" i="16"/>
  <c r="AZ8" i="16"/>
  <c r="BB8" i="16"/>
  <c r="BC8" i="16"/>
  <c r="E8" i="16" s="1"/>
  <c r="BN8" i="16"/>
  <c r="Y9" i="16"/>
  <c r="BN9" i="16" s="1"/>
  <c r="AZ9" i="16"/>
  <c r="BB9" i="16" s="1"/>
  <c r="E10" i="16"/>
  <c r="F10" i="16" s="1"/>
  <c r="Y10" i="16"/>
  <c r="BN10" i="16" s="1"/>
  <c r="AZ10" i="16"/>
  <c r="BB10" i="16" s="1"/>
  <c r="BF10" i="16" s="1"/>
  <c r="BD10" i="16"/>
  <c r="BI10" i="16" s="1"/>
  <c r="Y11" i="16"/>
  <c r="BN11" i="16" s="1"/>
  <c r="AK11" i="16"/>
  <c r="AZ11" i="16"/>
  <c r="E12" i="16"/>
  <c r="F12" i="16" s="1"/>
  <c r="W12" i="16"/>
  <c r="AS12" i="16" s="1"/>
  <c r="Y12" i="16"/>
  <c r="BN12" i="16" s="1"/>
  <c r="AV12" i="16"/>
  <c r="AW12" i="16"/>
  <c r="AU12" i="16" s="1"/>
  <c r="AZ12" i="16"/>
  <c r="BB12" i="16" s="1"/>
  <c r="BF12" i="16" s="1"/>
  <c r="BD12" i="16"/>
  <c r="BI12" i="16" s="1"/>
  <c r="Y13" i="16"/>
  <c r="BN13" i="16" s="1"/>
  <c r="AZ13" i="16"/>
  <c r="E14" i="16"/>
  <c r="F14" i="16" s="1"/>
  <c r="Y14" i="16"/>
  <c r="BN14" i="16" s="1"/>
  <c r="AK14" i="16"/>
  <c r="AZ14" i="16"/>
  <c r="BB14" i="16" s="1"/>
  <c r="BD14" i="16"/>
  <c r="BI14" i="16" s="1"/>
  <c r="Y15" i="16"/>
  <c r="BN15" i="16" s="1"/>
  <c r="AK15" i="16"/>
  <c r="AZ15" i="16"/>
  <c r="BB15" i="16" s="1"/>
  <c r="BC15" i="16" s="1"/>
  <c r="Y16" i="16"/>
  <c r="BN16" i="16" s="1"/>
  <c r="AZ16" i="16"/>
  <c r="E17" i="16"/>
  <c r="F17" i="16" s="1"/>
  <c r="Y17" i="16"/>
  <c r="BN17" i="16" s="1"/>
  <c r="AK17" i="16"/>
  <c r="AZ17" i="16"/>
  <c r="BB17" i="16" s="1"/>
  <c r="BF17" i="16" s="1"/>
  <c r="BD17" i="16"/>
  <c r="BI17" i="16" s="1"/>
  <c r="Y18" i="16"/>
  <c r="BN18" i="16" s="1"/>
  <c r="AZ18" i="16"/>
  <c r="E19" i="16"/>
  <c r="W19" i="16" s="1"/>
  <c r="AS19" i="16" s="1"/>
  <c r="F19" i="16"/>
  <c r="Y19" i="16"/>
  <c r="BN19" i="16" s="1"/>
  <c r="AZ19" i="16"/>
  <c r="BB19" i="16"/>
  <c r="BD19" i="16"/>
  <c r="BI19" i="16" s="1"/>
  <c r="E20" i="16"/>
  <c r="F20" i="16" s="1"/>
  <c r="Y20" i="16"/>
  <c r="AK20" i="16"/>
  <c r="AZ20" i="16"/>
  <c r="BB20" i="16"/>
  <c r="BD20" i="16"/>
  <c r="BA22" i="16" s="1"/>
  <c r="BN20" i="16"/>
  <c r="Y21" i="16"/>
  <c r="BN21" i="16" s="1"/>
  <c r="AZ21" i="16"/>
  <c r="Y22" i="16"/>
  <c r="BN22" i="16" s="1"/>
  <c r="AZ22" i="16"/>
  <c r="M39" i="12" a="1"/>
  <c r="M39" i="12" s="1"/>
  <c r="N39" i="12"/>
  <c r="T39" i="12"/>
  <c r="V39" i="12" s="1"/>
  <c r="W39" i="12" s="1"/>
  <c r="U39" i="12"/>
  <c r="X39" i="12"/>
  <c r="Z39" i="12"/>
  <c r="AG39" i="12"/>
  <c r="AH39" i="12"/>
  <c r="AK39" i="12" a="1"/>
  <c r="AK39" i="12" s="1"/>
  <c r="M40" i="12" a="1"/>
  <c r="M40" i="12" s="1"/>
  <c r="N40" i="12"/>
  <c r="T40" i="12"/>
  <c r="AA40" i="12" s="1"/>
  <c r="U40" i="12"/>
  <c r="X40" i="12"/>
  <c r="Z40" i="12"/>
  <c r="AG40" i="12"/>
  <c r="AK40" i="12" a="1"/>
  <c r="AK40" i="12" s="1"/>
  <c r="M41" i="12" a="1"/>
  <c r="M41" i="12" s="1"/>
  <c r="N41" i="12"/>
  <c r="T41" i="12"/>
  <c r="U41" i="12"/>
  <c r="V41" i="12"/>
  <c r="W41" i="12" s="1"/>
  <c r="X41" i="12"/>
  <c r="Y41" i="12"/>
  <c r="Z41" i="12"/>
  <c r="AG41" i="12"/>
  <c r="AK41" i="12" a="1"/>
  <c r="AK41" i="12" s="1"/>
  <c r="M42" i="12" a="1"/>
  <c r="M42" i="12" s="1"/>
  <c r="N42" i="12"/>
  <c r="T42" i="12"/>
  <c r="U42" i="12"/>
  <c r="V42" i="12"/>
  <c r="W42" i="12" s="1"/>
  <c r="X42" i="12"/>
  <c r="Y42" i="12"/>
  <c r="AC42" i="12" s="1"/>
  <c r="Z42" i="12"/>
  <c r="AA42" i="12"/>
  <c r="AG42" i="12"/>
  <c r="AH42" i="12"/>
  <c r="AK42" i="12" a="1"/>
  <c r="AK42" i="12" s="1"/>
  <c r="M43" i="12" a="1"/>
  <c r="M43" i="12"/>
  <c r="N43" i="12"/>
  <c r="T43" i="12"/>
  <c r="Y43" i="12" s="1"/>
  <c r="AC43" i="12" s="1"/>
  <c r="U43" i="12"/>
  <c r="X43" i="12"/>
  <c r="Z43" i="12"/>
  <c r="AG43" i="12"/>
  <c r="AH43" i="12"/>
  <c r="AK43" i="12" a="1"/>
  <c r="AK43" i="12" s="1"/>
  <c r="M44" i="12" a="1"/>
  <c r="M44" i="12" s="1"/>
  <c r="N44" i="12"/>
  <c r="T44" i="12"/>
  <c r="V44" i="12" s="1"/>
  <c r="W44" i="12" s="1"/>
  <c r="U44" i="12"/>
  <c r="X44" i="12"/>
  <c r="Z44" i="12"/>
  <c r="AG44" i="12"/>
  <c r="AH44" i="12"/>
  <c r="AK44" i="12" a="1"/>
  <c r="AK44" i="12" s="1"/>
  <c r="M45" i="12" a="1"/>
  <c r="M45" i="12" s="1"/>
  <c r="N45" i="12"/>
  <c r="T45" i="12"/>
  <c r="AA46" i="12" s="1"/>
  <c r="U45" i="12"/>
  <c r="V45" i="12"/>
  <c r="W45" i="12" s="1"/>
  <c r="X45" i="12"/>
  <c r="Z45" i="12"/>
  <c r="AG45" i="12"/>
  <c r="AH45" i="12"/>
  <c r="AK45" i="12" a="1"/>
  <c r="AK45" i="12" s="1"/>
  <c r="M46" i="12" a="1"/>
  <c r="M46" i="12"/>
  <c r="N46" i="12"/>
  <c r="T46" i="12"/>
  <c r="Y46" i="12" s="1"/>
  <c r="U46" i="12"/>
  <c r="V46" i="12"/>
  <c r="W46" i="12" s="1"/>
  <c r="X46" i="12"/>
  <c r="Z46" i="12"/>
  <c r="AG46" i="12"/>
  <c r="AH46" i="12"/>
  <c r="AK46" i="12" a="1"/>
  <c r="AK46" i="12" s="1"/>
  <c r="M47" i="12" a="1"/>
  <c r="M47" i="12"/>
  <c r="N47" i="12"/>
  <c r="T47" i="12"/>
  <c r="V47" i="12" s="1"/>
  <c r="W47" i="12" s="1"/>
  <c r="U47" i="12"/>
  <c r="X47" i="12"/>
  <c r="Z47" i="12"/>
  <c r="AG47" i="12"/>
  <c r="AH47" i="12"/>
  <c r="AK47" i="12" a="1"/>
  <c r="AK47" i="12" s="1"/>
  <c r="M48" i="12" a="1"/>
  <c r="M48" i="12" s="1"/>
  <c r="N48" i="12"/>
  <c r="T48" i="12"/>
  <c r="AA48" i="12" s="1"/>
  <c r="U48" i="12"/>
  <c r="X48" i="12"/>
  <c r="Z48" i="12"/>
  <c r="AG48" i="12"/>
  <c r="AH48" i="12"/>
  <c r="AK48" i="12" a="1"/>
  <c r="AK48" i="12" s="1"/>
  <c r="M49" i="12" a="1"/>
  <c r="M49" i="12" s="1"/>
  <c r="N49" i="12"/>
  <c r="T49" i="12"/>
  <c r="Y49" i="12" s="1"/>
  <c r="AC49" i="12" s="1"/>
  <c r="U49" i="12"/>
  <c r="V49" i="12"/>
  <c r="W49" i="12" s="1"/>
  <c r="X49" i="12"/>
  <c r="Z49" i="12"/>
  <c r="AA49" i="12"/>
  <c r="AG49" i="12"/>
  <c r="AH49" i="12"/>
  <c r="AK49" i="12" a="1"/>
  <c r="AK49" i="12" s="1"/>
  <c r="M50" i="12" a="1"/>
  <c r="M50" i="12"/>
  <c r="N50" i="12"/>
  <c r="T50" i="12"/>
  <c r="U50" i="12"/>
  <c r="V50" i="12"/>
  <c r="W50" i="12" s="1"/>
  <c r="X50" i="12"/>
  <c r="Y50" i="12"/>
  <c r="Z50" i="12"/>
  <c r="AG50" i="12"/>
  <c r="AH50" i="12"/>
  <c r="AK50" i="12" a="1"/>
  <c r="AK50" i="12" s="1"/>
  <c r="M51" i="12" a="1"/>
  <c r="M51" i="12"/>
  <c r="N51" i="12"/>
  <c r="T51" i="12"/>
  <c r="Y51" i="12" s="1"/>
  <c r="U51" i="12"/>
  <c r="X51" i="12"/>
  <c r="Z51" i="12"/>
  <c r="AG51" i="12"/>
  <c r="AH51" i="12"/>
  <c r="AK51" i="12" a="1"/>
  <c r="AK51" i="12" s="1"/>
  <c r="M52" i="12" a="1"/>
  <c r="M52" i="12"/>
  <c r="N52" i="12"/>
  <c r="T52" i="12"/>
  <c r="V52" i="12" s="1"/>
  <c r="W52" i="12" s="1"/>
  <c r="U52" i="12"/>
  <c r="X52" i="12"/>
  <c r="Z52" i="12"/>
  <c r="AG52" i="12"/>
  <c r="AH52" i="12"/>
  <c r="AK52" i="12" a="1"/>
  <c r="AK52" i="12" s="1"/>
  <c r="M53" i="12" a="1"/>
  <c r="M53" i="12" s="1"/>
  <c r="N53" i="12"/>
  <c r="T53" i="12"/>
  <c r="Y53" i="12" s="1"/>
  <c r="AC53" i="12" s="1"/>
  <c r="U53" i="12"/>
  <c r="V53" i="12"/>
  <c r="W53" i="12" s="1"/>
  <c r="X53" i="12"/>
  <c r="Z53" i="12"/>
  <c r="AG53" i="12"/>
  <c r="AH53" i="12"/>
  <c r="AK53" i="12" a="1"/>
  <c r="AK53" i="12" s="1"/>
  <c r="M54" i="12" a="1"/>
  <c r="M54" i="12" s="1"/>
  <c r="N54" i="12"/>
  <c r="T54" i="12"/>
  <c r="Y54" i="12" s="1"/>
  <c r="AC54" i="12" s="1"/>
  <c r="U54" i="12"/>
  <c r="V54" i="12"/>
  <c r="W54" i="12" s="1"/>
  <c r="X54" i="12"/>
  <c r="Z54" i="12"/>
  <c r="AG54" i="12"/>
  <c r="AH54" i="12"/>
  <c r="AK54" i="12" a="1"/>
  <c r="AK54" i="12"/>
  <c r="M55" i="12" a="1"/>
  <c r="M55" i="12"/>
  <c r="N55" i="12"/>
  <c r="T55" i="12"/>
  <c r="V55" i="12" s="1"/>
  <c r="W55" i="12" s="1"/>
  <c r="U55" i="12"/>
  <c r="X55" i="12"/>
  <c r="Z55" i="12"/>
  <c r="AA55" i="12"/>
  <c r="AG55" i="12"/>
  <c r="AH55" i="12"/>
  <c r="AK55" i="12" a="1"/>
  <c r="AK55" i="12" s="1"/>
  <c r="M56" i="12" a="1"/>
  <c r="M56" i="12" s="1"/>
  <c r="N56" i="12"/>
  <c r="T56" i="12"/>
  <c r="AA56" i="12" s="1"/>
  <c r="U56" i="12"/>
  <c r="X56" i="12"/>
  <c r="Z56" i="12"/>
  <c r="AG56" i="12"/>
  <c r="AH56" i="12"/>
  <c r="AK56" i="12" a="1"/>
  <c r="AK56" i="12" s="1"/>
  <c r="M57" i="12" a="1"/>
  <c r="M57" i="12"/>
  <c r="N57" i="12"/>
  <c r="T57" i="12"/>
  <c r="Y57" i="12" s="1"/>
  <c r="U57" i="12"/>
  <c r="V57" i="12"/>
  <c r="W57" i="12" s="1"/>
  <c r="X57" i="12"/>
  <c r="Z57" i="12"/>
  <c r="AG57" i="12"/>
  <c r="AH57" i="12"/>
  <c r="AK57" i="12" a="1"/>
  <c r="AK57" i="12" s="1"/>
  <c r="M58" i="12" a="1"/>
  <c r="M58" i="12" s="1"/>
  <c r="N58" i="12"/>
  <c r="T58" i="12"/>
  <c r="AA58" i="12" s="1"/>
  <c r="U58" i="12"/>
  <c r="V58" i="12" s="1"/>
  <c r="W58" i="12" s="1"/>
  <c r="X58" i="12"/>
  <c r="Y58" i="12"/>
  <c r="Z58" i="12"/>
  <c r="AG58" i="12"/>
  <c r="AH58" i="12"/>
  <c r="AK58" i="12" a="1"/>
  <c r="AK58" i="12" s="1"/>
  <c r="M59" i="12" a="1"/>
  <c r="M59" i="12"/>
  <c r="N59" i="12"/>
  <c r="T59" i="12"/>
  <c r="Y59" i="12" s="1"/>
  <c r="AC59" i="12" s="1"/>
  <c r="U59" i="12"/>
  <c r="X59" i="12"/>
  <c r="Z59" i="12"/>
  <c r="AG59" i="12"/>
  <c r="AH59" i="12"/>
  <c r="AK59" i="12" a="1"/>
  <c r="AK59" i="12" s="1"/>
  <c r="M60" i="12" a="1"/>
  <c r="M60" i="12"/>
  <c r="N60" i="12"/>
  <c r="T60" i="12"/>
  <c r="V60" i="12" s="1"/>
  <c r="W60" i="12" s="1"/>
  <c r="U60" i="12"/>
  <c r="X60" i="12"/>
  <c r="Z60" i="12"/>
  <c r="AG60" i="12"/>
  <c r="AH60" i="12"/>
  <c r="AK60" i="12" a="1"/>
  <c r="AK60" i="12" s="1"/>
  <c r="M61" i="12" a="1"/>
  <c r="M61" i="12" s="1"/>
  <c r="N61" i="12"/>
  <c r="T61" i="12"/>
  <c r="AA62" i="12" s="1"/>
  <c r="U61" i="12"/>
  <c r="V61" i="12"/>
  <c r="W61" i="12" s="1"/>
  <c r="X61" i="12"/>
  <c r="Z61" i="12"/>
  <c r="AG61" i="12"/>
  <c r="AH61" i="12"/>
  <c r="AK61" i="12" a="1"/>
  <c r="AK61" i="12" s="1"/>
  <c r="M62" i="12" a="1"/>
  <c r="M62" i="12" s="1"/>
  <c r="N62" i="12"/>
  <c r="T62" i="12"/>
  <c r="Y62" i="12" s="1"/>
  <c r="U62" i="12"/>
  <c r="V62" i="12"/>
  <c r="W62" i="12" s="1"/>
  <c r="X62" i="12"/>
  <c r="Z62" i="12"/>
  <c r="AG62" i="12"/>
  <c r="AH62" i="12"/>
  <c r="AI62" i="12"/>
  <c r="AK62" i="12" a="1"/>
  <c r="AK62" i="12" s="1"/>
  <c r="M63" i="12" a="1"/>
  <c r="M63" i="12"/>
  <c r="N63" i="12"/>
  <c r="T63" i="12"/>
  <c r="V63" i="12" s="1"/>
  <c r="W63" i="12" s="1"/>
  <c r="U63" i="12"/>
  <c r="X63" i="12"/>
  <c r="Z63" i="12"/>
  <c r="AA63" i="12"/>
  <c r="AG63" i="12"/>
  <c r="AH63" i="12"/>
  <c r="AK63" i="12" a="1"/>
  <c r="AK63" i="12" s="1"/>
  <c r="M64" i="12" a="1"/>
  <c r="M64" i="12" s="1"/>
  <c r="N64" i="12"/>
  <c r="T64" i="12"/>
  <c r="AA64" i="12" s="1"/>
  <c r="U64" i="12"/>
  <c r="X64" i="12"/>
  <c r="Z64" i="12"/>
  <c r="AG64" i="12"/>
  <c r="AH64" i="12"/>
  <c r="AK64" i="12" a="1"/>
  <c r="AK64" i="12" s="1"/>
  <c r="M65" i="12" a="1"/>
  <c r="M65" i="12"/>
  <c r="N65" i="12"/>
  <c r="T65" i="12"/>
  <c r="Y65" i="12" s="1"/>
  <c r="U65" i="12"/>
  <c r="V65" i="12"/>
  <c r="W65" i="12" s="1"/>
  <c r="X65" i="12"/>
  <c r="Z65" i="12"/>
  <c r="AG65" i="12"/>
  <c r="AH65" i="12"/>
  <c r="AK65" i="12" a="1"/>
  <c r="AK65" i="12" s="1"/>
  <c r="M66" i="12" a="1"/>
  <c r="M66" i="12" s="1"/>
  <c r="N66" i="12"/>
  <c r="T66" i="12"/>
  <c r="U66" i="12"/>
  <c r="V66" i="12"/>
  <c r="W66" i="12" s="1"/>
  <c r="X66" i="12"/>
  <c r="Y66" i="12"/>
  <c r="Z66" i="12"/>
  <c r="AA66" i="12"/>
  <c r="AC66" i="12"/>
  <c r="AG66" i="12"/>
  <c r="AK66" i="12" a="1"/>
  <c r="AK66" i="12" s="1"/>
  <c r="M67" i="12" a="1"/>
  <c r="M67" i="12"/>
  <c r="N67" i="12"/>
  <c r="T67" i="12"/>
  <c r="Y67" i="12" s="1"/>
  <c r="U67" i="12"/>
  <c r="X67" i="12"/>
  <c r="Z67" i="12"/>
  <c r="AG67" i="12"/>
  <c r="AH67" i="12"/>
  <c r="AI67" i="12"/>
  <c r="AK67" i="12" a="1"/>
  <c r="AK67" i="12" s="1"/>
  <c r="M68" i="12" a="1"/>
  <c r="M68" i="12"/>
  <c r="N68" i="12"/>
  <c r="T68" i="12"/>
  <c r="V68" i="12" s="1"/>
  <c r="W68" i="12" s="1"/>
  <c r="U68" i="12"/>
  <c r="X68" i="12"/>
  <c r="Z68" i="12"/>
  <c r="AG68" i="12"/>
  <c r="AH68" i="12"/>
  <c r="AI68" i="12"/>
  <c r="AK68" i="12" a="1"/>
  <c r="AK68" i="12" s="1"/>
  <c r="M69" i="12" a="1"/>
  <c r="M69" i="12" s="1"/>
  <c r="N69" i="12"/>
  <c r="T69" i="12"/>
  <c r="AA70" i="12" s="1"/>
  <c r="U69" i="12"/>
  <c r="V69" i="12"/>
  <c r="W69" i="12" s="1"/>
  <c r="X69" i="12"/>
  <c r="Z69" i="12"/>
  <c r="AG69" i="12"/>
  <c r="AH69" i="12"/>
  <c r="AI69" i="12"/>
  <c r="AK69" i="12" a="1"/>
  <c r="AK69" i="12" s="1"/>
  <c r="M70" i="12" a="1"/>
  <c r="M70" i="12" s="1"/>
  <c r="N70" i="12"/>
  <c r="T70" i="12"/>
  <c r="Y70" i="12" s="1"/>
  <c r="U70" i="12"/>
  <c r="V70" i="12"/>
  <c r="W70" i="12" s="1"/>
  <c r="X70" i="12"/>
  <c r="Z70" i="12"/>
  <c r="AG70" i="12"/>
  <c r="AH70" i="12"/>
  <c r="AI70" i="12"/>
  <c r="AK70" i="12" a="1"/>
  <c r="AK70" i="12" s="1"/>
  <c r="M71" i="12" a="1"/>
  <c r="M71" i="12"/>
  <c r="N71" i="12"/>
  <c r="T71" i="12"/>
  <c r="V71" i="12" s="1"/>
  <c r="W71" i="12" s="1"/>
  <c r="U71" i="12"/>
  <c r="X71" i="12"/>
  <c r="Z71" i="12"/>
  <c r="AA71" i="12"/>
  <c r="AG71" i="12"/>
  <c r="AH71" i="12"/>
  <c r="AI71" i="12"/>
  <c r="AK71" i="12" a="1"/>
  <c r="AK71" i="12"/>
  <c r="M3" i="12" a="1"/>
  <c r="M3" i="12" s="1"/>
  <c r="N3" i="12"/>
  <c r="T3" i="12"/>
  <c r="V3" i="12" s="1"/>
  <c r="W3" i="12" s="1"/>
  <c r="U3" i="12"/>
  <c r="X3" i="12"/>
  <c r="Z3" i="12"/>
  <c r="AG3" i="12"/>
  <c r="AH3" i="12"/>
  <c r="AK3" i="12" a="1"/>
  <c r="AK3" i="12" s="1"/>
  <c r="M4" i="12" a="1"/>
  <c r="M4" i="12" s="1"/>
  <c r="N4" i="12"/>
  <c r="T4" i="12"/>
  <c r="V4" i="12" s="1"/>
  <c r="W4" i="12" s="1"/>
  <c r="U4" i="12"/>
  <c r="X4" i="12"/>
  <c r="Z4" i="12"/>
  <c r="AA4" i="12"/>
  <c r="AG4" i="12"/>
  <c r="AH4" i="12"/>
  <c r="AK4" i="12" a="1"/>
  <c r="AK4" i="12" s="1"/>
  <c r="M5" i="12" a="1"/>
  <c r="M5" i="12" s="1"/>
  <c r="N5" i="12"/>
  <c r="T5" i="12"/>
  <c r="V5" i="12" s="1"/>
  <c r="W5" i="12" s="1"/>
  <c r="U5" i="12"/>
  <c r="X5" i="12"/>
  <c r="Y5" i="12"/>
  <c r="Z5" i="12"/>
  <c r="AA5" i="12"/>
  <c r="AG5" i="12"/>
  <c r="AH5" i="12"/>
  <c r="AK5" i="12" a="1"/>
  <c r="AK5" i="12" s="1"/>
  <c r="M6" i="12" a="1"/>
  <c r="M6" i="12" s="1"/>
  <c r="N6" i="12"/>
  <c r="T6" i="12"/>
  <c r="V6" i="12" s="1"/>
  <c r="W6" i="12" s="1"/>
  <c r="U6" i="12"/>
  <c r="X6" i="12"/>
  <c r="Y6" i="12"/>
  <c r="AC7" i="12" s="1"/>
  <c r="Z6" i="12"/>
  <c r="AA6" i="12"/>
  <c r="AG6" i="12"/>
  <c r="AH6" i="12"/>
  <c r="AK6" i="12" a="1"/>
  <c r="AK6" i="12" s="1"/>
  <c r="M7" i="12" a="1"/>
  <c r="M7" i="12" s="1"/>
  <c r="N7" i="12"/>
  <c r="T7" i="12"/>
  <c r="V7" i="12" s="1"/>
  <c r="W7" i="12" s="1"/>
  <c r="U7" i="12"/>
  <c r="X7" i="12"/>
  <c r="Y7" i="12"/>
  <c r="Z7" i="12"/>
  <c r="AA7" i="12"/>
  <c r="AG7" i="12"/>
  <c r="AH7" i="12"/>
  <c r="AK7" i="12" a="1"/>
  <c r="AK7" i="12" s="1"/>
  <c r="M8" i="12" a="1"/>
  <c r="M8" i="12" s="1"/>
  <c r="N8" i="12"/>
  <c r="T8" i="12"/>
  <c r="U8" i="12"/>
  <c r="V8" i="12" s="1"/>
  <c r="W8" i="12" s="1"/>
  <c r="X8" i="12"/>
  <c r="Y8" i="12"/>
  <c r="AC8" i="12" s="1"/>
  <c r="Z8" i="12"/>
  <c r="AA8" i="12"/>
  <c r="AG8" i="12"/>
  <c r="AH8" i="12"/>
  <c r="AK8" i="12" a="1"/>
  <c r="AK8" i="12" s="1"/>
  <c r="M9" i="12" a="1"/>
  <c r="M9" i="12" s="1"/>
  <c r="N9" i="12"/>
  <c r="T9" i="12"/>
  <c r="U9" i="12"/>
  <c r="V9" i="12" s="1"/>
  <c r="W9" i="12" s="1"/>
  <c r="X9" i="12"/>
  <c r="Y9" i="12"/>
  <c r="AC9" i="12" s="1"/>
  <c r="Z9" i="12"/>
  <c r="AA9" i="12"/>
  <c r="AG9" i="12"/>
  <c r="AH9" i="12"/>
  <c r="AK9" i="12" a="1"/>
  <c r="AK9" i="12" s="1"/>
  <c r="M10" i="12" a="1"/>
  <c r="M10" i="12" s="1"/>
  <c r="N10" i="12"/>
  <c r="T10" i="12"/>
  <c r="U10" i="12"/>
  <c r="V10" i="12" s="1"/>
  <c r="W10" i="12" s="1"/>
  <c r="X10" i="12"/>
  <c r="Y10" i="12"/>
  <c r="AC10" i="12" s="1"/>
  <c r="Z10" i="12"/>
  <c r="AA10" i="12"/>
  <c r="AG10" i="12"/>
  <c r="AH10" i="12"/>
  <c r="AK10" i="12" a="1"/>
  <c r="AK10" i="12" s="1"/>
  <c r="M11" i="12" a="1"/>
  <c r="M11" i="12" s="1"/>
  <c r="N11" i="12"/>
  <c r="T11" i="12"/>
  <c r="V11" i="12" s="1"/>
  <c r="W11" i="12" s="1"/>
  <c r="U11" i="12"/>
  <c r="X11" i="12"/>
  <c r="Y11" i="12"/>
  <c r="Z11" i="12"/>
  <c r="AA11" i="12"/>
  <c r="AG11" i="12"/>
  <c r="AH11" i="12"/>
  <c r="AK11" i="12" a="1"/>
  <c r="AK11" i="12" s="1"/>
  <c r="M12" i="12" a="1"/>
  <c r="M12" i="12" s="1"/>
  <c r="N12" i="12"/>
  <c r="T12" i="12"/>
  <c r="V12" i="12" s="1"/>
  <c r="W12" i="12" s="1"/>
  <c r="U12" i="12"/>
  <c r="X12" i="12"/>
  <c r="Y12" i="12"/>
  <c r="AC12" i="12" s="1"/>
  <c r="Z12" i="12"/>
  <c r="AA12" i="12"/>
  <c r="AG12" i="12"/>
  <c r="AK12" i="12" a="1"/>
  <c r="AK12" i="12" s="1"/>
  <c r="M13" i="12" a="1"/>
  <c r="M13" i="12" s="1"/>
  <c r="N13" i="12"/>
  <c r="T13" i="12"/>
  <c r="V13" i="12" s="1"/>
  <c r="W13" i="12" s="1"/>
  <c r="U13" i="12"/>
  <c r="X13" i="12"/>
  <c r="Y13" i="12"/>
  <c r="AC13" i="12" s="1"/>
  <c r="Z13" i="12"/>
  <c r="AA13" i="12"/>
  <c r="AG13" i="12"/>
  <c r="AH13" i="12"/>
  <c r="AK13" i="12" a="1"/>
  <c r="AK13" i="12" s="1"/>
  <c r="M14" i="12" a="1"/>
  <c r="M14" i="12" s="1"/>
  <c r="N14" i="12"/>
  <c r="T14" i="12"/>
  <c r="V14" i="12" s="1"/>
  <c r="W14" i="12" s="1"/>
  <c r="U14" i="12"/>
  <c r="X14" i="12"/>
  <c r="Y14" i="12"/>
  <c r="Z14" i="12"/>
  <c r="AA14" i="12"/>
  <c r="AG14" i="12"/>
  <c r="AH14" i="12"/>
  <c r="AK14" i="12" a="1"/>
  <c r="AK14" i="12" s="1"/>
  <c r="M15" i="12" a="1"/>
  <c r="M15" i="12" s="1"/>
  <c r="N15" i="12"/>
  <c r="T15" i="12"/>
  <c r="V15" i="12" s="1"/>
  <c r="W15" i="12" s="1"/>
  <c r="U15" i="12"/>
  <c r="X15" i="12"/>
  <c r="Y15" i="12"/>
  <c r="AC15" i="12" s="1"/>
  <c r="Z15" i="12"/>
  <c r="AA15" i="12"/>
  <c r="AG15" i="12"/>
  <c r="AH15" i="12"/>
  <c r="AK15" i="12" a="1"/>
  <c r="AK15" i="12" s="1"/>
  <c r="M16" i="12" a="1"/>
  <c r="M16" i="12" s="1"/>
  <c r="N16" i="12"/>
  <c r="T16" i="12"/>
  <c r="U16" i="12"/>
  <c r="V16" i="12" s="1"/>
  <c r="W16" i="12" s="1"/>
  <c r="X16" i="12"/>
  <c r="Y16" i="12"/>
  <c r="Z16" i="12"/>
  <c r="AA16" i="12"/>
  <c r="AG16" i="12"/>
  <c r="AH16" i="12"/>
  <c r="AK16" i="12" a="1"/>
  <c r="AK16" i="12" s="1"/>
  <c r="M17" i="12" a="1"/>
  <c r="M17" i="12" s="1"/>
  <c r="N17" i="12"/>
  <c r="T17" i="12"/>
  <c r="U17" i="12"/>
  <c r="V17" i="12" s="1"/>
  <c r="W17" i="12" s="1"/>
  <c r="X17" i="12"/>
  <c r="Y17" i="12"/>
  <c r="AC17" i="12" s="1"/>
  <c r="Z17" i="12"/>
  <c r="AA17" i="12"/>
  <c r="AG17" i="12"/>
  <c r="AH17" i="12"/>
  <c r="AK17" i="12" a="1"/>
  <c r="AK17" i="12" s="1"/>
  <c r="M18" i="12" a="1"/>
  <c r="M18" i="12" s="1"/>
  <c r="N18" i="12"/>
  <c r="T18" i="12"/>
  <c r="U18" i="12"/>
  <c r="V18" i="12" s="1"/>
  <c r="W18" i="12" s="1"/>
  <c r="X18" i="12"/>
  <c r="Y18" i="12"/>
  <c r="Z18" i="12"/>
  <c r="AA18" i="12"/>
  <c r="AG18" i="12"/>
  <c r="AH18" i="12"/>
  <c r="AK18" i="12" a="1"/>
  <c r="AK18" i="12" s="1"/>
  <c r="M19" i="12" a="1"/>
  <c r="M19" i="12" s="1"/>
  <c r="N19" i="12"/>
  <c r="T19" i="12"/>
  <c r="V19" i="12" s="1"/>
  <c r="W19" i="12" s="1"/>
  <c r="U19" i="12"/>
  <c r="X19" i="12"/>
  <c r="Y19" i="12"/>
  <c r="Z19" i="12"/>
  <c r="AA19" i="12"/>
  <c r="AG19" i="12"/>
  <c r="AH19" i="12"/>
  <c r="AK19" i="12" a="1"/>
  <c r="AK19" i="12" s="1"/>
  <c r="M20" i="12" a="1"/>
  <c r="M20" i="12" s="1"/>
  <c r="N20" i="12"/>
  <c r="T20" i="12"/>
  <c r="U20" i="12"/>
  <c r="V20" i="12" s="1"/>
  <c r="W20" i="12" s="1"/>
  <c r="X20" i="12"/>
  <c r="Y20" i="12"/>
  <c r="AC20" i="12" s="1"/>
  <c r="Z20" i="12"/>
  <c r="AA20" i="12"/>
  <c r="AG20" i="12"/>
  <c r="AH20" i="12"/>
  <c r="AK20" i="12" a="1"/>
  <c r="AK20" i="12" s="1"/>
  <c r="M21" i="12" a="1"/>
  <c r="M21" i="12" s="1"/>
  <c r="N21" i="12"/>
  <c r="T21" i="12"/>
  <c r="V21" i="12" s="1"/>
  <c r="W21" i="12" s="1"/>
  <c r="U21" i="12"/>
  <c r="X21" i="12"/>
  <c r="Y21" i="12"/>
  <c r="Z21" i="12"/>
  <c r="AA21" i="12"/>
  <c r="AG21" i="12"/>
  <c r="AH21" i="12"/>
  <c r="AK21" i="12" a="1"/>
  <c r="AK21" i="12" s="1"/>
  <c r="M22" i="12" a="1"/>
  <c r="M22" i="12" s="1"/>
  <c r="N22" i="12"/>
  <c r="T22" i="12"/>
  <c r="V22" i="12" s="1"/>
  <c r="W22" i="12" s="1"/>
  <c r="U22" i="12"/>
  <c r="X22" i="12"/>
  <c r="Y22" i="12"/>
  <c r="Z22" i="12"/>
  <c r="AA22" i="12"/>
  <c r="AG22" i="12"/>
  <c r="AH22" i="12"/>
  <c r="AK22" i="12" a="1"/>
  <c r="AK22" i="12" s="1"/>
  <c r="M23" i="12" a="1"/>
  <c r="M23" i="12" s="1"/>
  <c r="N23" i="12"/>
  <c r="T23" i="12"/>
  <c r="V23" i="12" s="1"/>
  <c r="W23" i="12" s="1"/>
  <c r="U23" i="12"/>
  <c r="X23" i="12"/>
  <c r="Y23" i="12"/>
  <c r="AC25" i="12" s="1"/>
  <c r="Z23" i="12"/>
  <c r="AA23" i="12"/>
  <c r="AG23" i="12"/>
  <c r="AH23" i="12"/>
  <c r="AK23" i="12" a="1"/>
  <c r="AK23" i="12" s="1"/>
  <c r="M24" i="12" a="1"/>
  <c r="M24" i="12" s="1"/>
  <c r="N24" i="12"/>
  <c r="T24" i="12"/>
  <c r="U24" i="12"/>
  <c r="V24" i="12" s="1"/>
  <c r="W24" i="12" s="1"/>
  <c r="X24" i="12"/>
  <c r="Y24" i="12"/>
  <c r="Z24" i="12"/>
  <c r="AA24" i="12"/>
  <c r="AG24" i="12"/>
  <c r="AH24" i="12"/>
  <c r="AK24" i="12" a="1"/>
  <c r="AK24" i="12" s="1"/>
  <c r="M25" i="12" a="1"/>
  <c r="M25" i="12" s="1"/>
  <c r="N25" i="12"/>
  <c r="T25" i="12"/>
  <c r="U25" i="12"/>
  <c r="V25" i="12" s="1"/>
  <c r="W25" i="12" s="1"/>
  <c r="X25" i="12"/>
  <c r="Y25" i="12"/>
  <c r="Z25" i="12"/>
  <c r="AA25" i="12"/>
  <c r="AG25" i="12"/>
  <c r="AH25" i="12"/>
  <c r="AK25" i="12" a="1"/>
  <c r="AK25" i="12" s="1"/>
  <c r="M26" i="12" a="1"/>
  <c r="M26" i="12" s="1"/>
  <c r="N26" i="12"/>
  <c r="T26" i="12"/>
  <c r="U26" i="12"/>
  <c r="V26" i="12" s="1"/>
  <c r="W26" i="12" s="1"/>
  <c r="X26" i="12"/>
  <c r="Y26" i="12"/>
  <c r="AC26" i="12" s="1"/>
  <c r="Z26" i="12"/>
  <c r="AA26" i="12"/>
  <c r="AG26" i="12"/>
  <c r="AH26" i="12"/>
  <c r="AK26" i="12" a="1"/>
  <c r="AK26" i="12" s="1"/>
  <c r="M27" i="12" a="1"/>
  <c r="M27" i="12" s="1"/>
  <c r="N27" i="12"/>
  <c r="T27" i="12"/>
  <c r="V27" i="12" s="1"/>
  <c r="W27" i="12" s="1"/>
  <c r="U27" i="12"/>
  <c r="X27" i="12"/>
  <c r="Y27" i="12"/>
  <c r="AC28" i="12" s="1"/>
  <c r="Z27" i="12"/>
  <c r="AA27" i="12"/>
  <c r="AG27" i="12"/>
  <c r="AH27" i="12"/>
  <c r="AK27" i="12" a="1"/>
  <c r="AK27" i="12" s="1"/>
  <c r="M28" i="12" a="1"/>
  <c r="M28" i="12" s="1"/>
  <c r="N28" i="12"/>
  <c r="T28" i="12"/>
  <c r="U28" i="12"/>
  <c r="V28" i="12" s="1"/>
  <c r="W28" i="12" s="1"/>
  <c r="X28" i="12"/>
  <c r="Y28" i="12"/>
  <c r="Z28" i="12"/>
  <c r="AA28" i="12"/>
  <c r="AG28" i="12"/>
  <c r="AH28" i="12"/>
  <c r="AK28" i="12" a="1"/>
  <c r="AK28" i="12" s="1"/>
  <c r="M29" i="12" a="1"/>
  <c r="M29" i="12" s="1"/>
  <c r="N29" i="12"/>
  <c r="T29" i="12"/>
  <c r="V29" i="12" s="1"/>
  <c r="W29" i="12" s="1"/>
  <c r="U29" i="12"/>
  <c r="X29" i="12"/>
  <c r="Y29" i="12"/>
  <c r="AC29" i="12" s="1"/>
  <c r="Z29" i="12"/>
  <c r="AA29" i="12"/>
  <c r="AG29" i="12"/>
  <c r="AH29" i="12"/>
  <c r="AK29" i="12" a="1"/>
  <c r="AK29" i="12" s="1"/>
  <c r="M30" i="12" a="1"/>
  <c r="M30" i="12" s="1"/>
  <c r="N30" i="12"/>
  <c r="T30" i="12"/>
  <c r="V30" i="12" s="1"/>
  <c r="W30" i="12" s="1"/>
  <c r="U30" i="12"/>
  <c r="X30" i="12"/>
  <c r="Y30" i="12"/>
  <c r="Z30" i="12"/>
  <c r="AA30" i="12"/>
  <c r="AG30" i="12"/>
  <c r="AH30" i="12"/>
  <c r="AK30" i="12" a="1"/>
  <c r="AK30" i="12" s="1"/>
  <c r="M31" i="12" a="1"/>
  <c r="M31" i="12" s="1"/>
  <c r="N31" i="12"/>
  <c r="T31" i="12"/>
  <c r="U31" i="12"/>
  <c r="V31" i="12" s="1"/>
  <c r="W31" i="12" s="1"/>
  <c r="X31" i="12"/>
  <c r="Y31" i="12"/>
  <c r="AC31" i="12" s="1"/>
  <c r="Z31" i="12"/>
  <c r="AA31" i="12"/>
  <c r="AG31" i="12"/>
  <c r="AH31" i="12"/>
  <c r="AK31" i="12" a="1"/>
  <c r="AK31" i="12" s="1"/>
  <c r="M32" i="12" a="1"/>
  <c r="M32" i="12" s="1"/>
  <c r="N32" i="12"/>
  <c r="T32" i="12"/>
  <c r="U32" i="12"/>
  <c r="V32" i="12" s="1"/>
  <c r="W32" i="12" s="1"/>
  <c r="X32" i="12"/>
  <c r="Y32" i="12"/>
  <c r="Z32" i="12"/>
  <c r="AA32" i="12"/>
  <c r="AG32" i="12"/>
  <c r="AH32" i="12"/>
  <c r="AK32" i="12" a="1"/>
  <c r="AK32" i="12" s="1"/>
  <c r="M33" i="12" a="1"/>
  <c r="M33" i="12" s="1"/>
  <c r="N33" i="12"/>
  <c r="T33" i="12"/>
  <c r="U33" i="12"/>
  <c r="V33" i="12" s="1"/>
  <c r="W33" i="12" s="1"/>
  <c r="X33" i="12"/>
  <c r="Y33" i="12"/>
  <c r="AC33" i="12" s="1"/>
  <c r="Z33" i="12"/>
  <c r="AA33" i="12"/>
  <c r="AG33" i="12"/>
  <c r="AH33" i="12"/>
  <c r="AK33" i="12" a="1"/>
  <c r="AK33" i="12" s="1"/>
  <c r="M34" i="12" a="1"/>
  <c r="M34" i="12" s="1"/>
  <c r="N34" i="12"/>
  <c r="T34" i="12"/>
  <c r="U34" i="12"/>
  <c r="V34" i="12" s="1"/>
  <c r="W34" i="12" s="1"/>
  <c r="X34" i="12"/>
  <c r="Y34" i="12"/>
  <c r="Z34" i="12"/>
  <c r="AA34" i="12"/>
  <c r="AG34" i="12"/>
  <c r="AH34" i="12"/>
  <c r="AK34" i="12" a="1"/>
  <c r="AK34" i="12" s="1"/>
  <c r="M35" i="12" a="1"/>
  <c r="M35" i="12" s="1"/>
  <c r="N35" i="12"/>
  <c r="T35" i="12"/>
  <c r="V35" i="12" s="1"/>
  <c r="W35" i="12" s="1"/>
  <c r="U35" i="12"/>
  <c r="X35" i="12"/>
  <c r="Y35" i="12"/>
  <c r="Z35" i="12"/>
  <c r="AA35" i="12"/>
  <c r="AG35" i="12"/>
  <c r="AH35" i="12"/>
  <c r="AK35" i="12" a="1"/>
  <c r="AK35" i="12" s="1"/>
  <c r="M36" i="12" a="1"/>
  <c r="M36" i="12" s="1"/>
  <c r="N36" i="12"/>
  <c r="T36" i="12"/>
  <c r="U36" i="12"/>
  <c r="V36" i="12" s="1"/>
  <c r="W36" i="12" s="1"/>
  <c r="X36" i="12"/>
  <c r="Y36" i="12"/>
  <c r="AC36" i="12" s="1"/>
  <c r="Z36" i="12"/>
  <c r="AA36" i="12"/>
  <c r="AG36" i="12"/>
  <c r="AH36" i="12"/>
  <c r="AK36" i="12" a="1"/>
  <c r="AK36" i="12" s="1"/>
  <c r="M37" i="12" a="1"/>
  <c r="M37" i="12" s="1"/>
  <c r="N37" i="12"/>
  <c r="T37" i="12"/>
  <c r="V37" i="12" s="1"/>
  <c r="W37" i="12" s="1"/>
  <c r="U37" i="12"/>
  <c r="X37" i="12"/>
  <c r="Y37" i="12"/>
  <c r="Z37" i="12"/>
  <c r="AA37" i="12"/>
  <c r="AG37" i="12"/>
  <c r="AH37" i="12"/>
  <c r="AK37" i="12" a="1"/>
  <c r="AK37" i="12" s="1"/>
  <c r="M38" i="12" a="1"/>
  <c r="M38" i="12" s="1"/>
  <c r="N38" i="12"/>
  <c r="T38" i="12"/>
  <c r="V38" i="12" s="1"/>
  <c r="W38" i="12" s="1"/>
  <c r="U38" i="12"/>
  <c r="X38" i="12"/>
  <c r="Y38" i="12"/>
  <c r="Z38" i="12"/>
  <c r="AA38" i="12"/>
  <c r="AG38" i="12"/>
  <c r="AH38" i="12"/>
  <c r="AK38" i="12" a="1"/>
  <c r="AK38" i="12" s="1"/>
  <c r="V318" i="15"/>
  <c r="AL318" i="15"/>
  <c r="AP318" i="15"/>
  <c r="V319" i="15"/>
  <c r="AL319" i="15"/>
  <c r="AP319" i="15"/>
  <c r="V320" i="15"/>
  <c r="AL320" i="15"/>
  <c r="AP320" i="15"/>
  <c r="V321" i="15"/>
  <c r="AL321" i="15"/>
  <c r="AP321" i="15"/>
  <c r="V322" i="15"/>
  <c r="AL322" i="15"/>
  <c r="AP322" i="15"/>
  <c r="V323" i="15"/>
  <c r="AL323" i="15"/>
  <c r="AP323" i="15"/>
  <c r="V324" i="15"/>
  <c r="AL324" i="15"/>
  <c r="AP324" i="15"/>
  <c r="V325" i="15"/>
  <c r="AL325" i="15"/>
  <c r="AP325" i="15"/>
  <c r="V326" i="15"/>
  <c r="AL326" i="15"/>
  <c r="AP326" i="15"/>
  <c r="V327" i="15"/>
  <c r="AL327" i="15"/>
  <c r="AP327" i="15"/>
  <c r="V328" i="15"/>
  <c r="AL328" i="15"/>
  <c r="AP328" i="15"/>
  <c r="V329" i="15"/>
  <c r="AL329" i="15"/>
  <c r="AP329" i="15"/>
  <c r="V330" i="15"/>
  <c r="AL330" i="15"/>
  <c r="AP330" i="15"/>
  <c r="V331" i="15"/>
  <c r="AL331" i="15"/>
  <c r="AP331" i="15"/>
  <c r="V332" i="15"/>
  <c r="AL332" i="15"/>
  <c r="AP332" i="15"/>
  <c r="V333" i="15"/>
  <c r="AL333" i="15"/>
  <c r="AP333" i="15"/>
  <c r="V334" i="15"/>
  <c r="AL334" i="15"/>
  <c r="AP334" i="15"/>
  <c r="V335" i="15"/>
  <c r="AL335" i="15"/>
  <c r="AP335" i="15"/>
  <c r="V336" i="15"/>
  <c r="AL336" i="15"/>
  <c r="AP336" i="15"/>
  <c r="V337" i="15"/>
  <c r="AL337" i="15"/>
  <c r="AP337" i="15"/>
  <c r="V338" i="15"/>
  <c r="V339" i="15"/>
  <c r="V283" i="15"/>
  <c r="AL283" i="15"/>
  <c r="AP283" i="15"/>
  <c r="V284" i="15"/>
  <c r="AL284" i="15"/>
  <c r="AP284" i="15"/>
  <c r="V285" i="15"/>
  <c r="AL285" i="15"/>
  <c r="AP285" i="15"/>
  <c r="V286" i="15"/>
  <c r="AL286" i="15"/>
  <c r="AP286" i="15"/>
  <c r="AL287" i="15"/>
  <c r="AP287" i="15"/>
  <c r="AL288" i="15"/>
  <c r="AP288" i="15"/>
  <c r="V289" i="15"/>
  <c r="AL289" i="15"/>
  <c r="AP289" i="15"/>
  <c r="AL290" i="15"/>
  <c r="AP290" i="15"/>
  <c r="V291" i="15"/>
  <c r="AL291" i="15"/>
  <c r="AP291" i="15"/>
  <c r="V292" i="15"/>
  <c r="AL292" i="15"/>
  <c r="AP292" i="15"/>
  <c r="AL293" i="15"/>
  <c r="AP293" i="15"/>
  <c r="V294" i="15"/>
  <c r="AL294" i="15"/>
  <c r="AP294" i="15"/>
  <c r="V295" i="15"/>
  <c r="AL295" i="15"/>
  <c r="AP295" i="15"/>
  <c r="AL296" i="15"/>
  <c r="AP296" i="15"/>
  <c r="AL297" i="15"/>
  <c r="AP297" i="15"/>
  <c r="V298" i="15"/>
  <c r="AL298" i="15"/>
  <c r="AP298" i="15"/>
  <c r="V299" i="15"/>
  <c r="AL299" i="15"/>
  <c r="AP299" i="15"/>
  <c r="AL300" i="15"/>
  <c r="AP300" i="15"/>
  <c r="AL301" i="15"/>
  <c r="AP301" i="15"/>
  <c r="AL302" i="15"/>
  <c r="AP302" i="15"/>
  <c r="AL303" i="15"/>
  <c r="AP303" i="15"/>
  <c r="V304" i="15"/>
  <c r="AL304" i="15"/>
  <c r="AP304" i="15"/>
  <c r="V305" i="15"/>
  <c r="AL305" i="15"/>
  <c r="AP305" i="15"/>
  <c r="V306" i="15"/>
  <c r="AL306" i="15"/>
  <c r="AP306" i="15"/>
  <c r="V307" i="15"/>
  <c r="AL307" i="15"/>
  <c r="AP307" i="15"/>
  <c r="V308" i="15"/>
  <c r="AL308" i="15"/>
  <c r="AP308" i="15"/>
  <c r="V309" i="15"/>
  <c r="AL309" i="15"/>
  <c r="AP309" i="15"/>
  <c r="V310" i="15"/>
  <c r="AL310" i="15"/>
  <c r="AP310" i="15"/>
  <c r="V311" i="15"/>
  <c r="AL311" i="15"/>
  <c r="AP311" i="15"/>
  <c r="V312" i="15"/>
  <c r="AL312" i="15"/>
  <c r="AP312" i="15"/>
  <c r="V313" i="15"/>
  <c r="AL313" i="15"/>
  <c r="AP313" i="15"/>
  <c r="V314" i="15"/>
  <c r="AL314" i="15"/>
  <c r="AP314" i="15"/>
  <c r="V315" i="15"/>
  <c r="AL315" i="15"/>
  <c r="AP315" i="15"/>
  <c r="V316" i="15"/>
  <c r="AL316" i="15"/>
  <c r="AP316" i="15"/>
  <c r="V317" i="15"/>
  <c r="AL317" i="15"/>
  <c r="AP317" i="15"/>
  <c r="V248" i="15"/>
  <c r="AL248" i="15"/>
  <c r="AP248" i="15"/>
  <c r="V249" i="15"/>
  <c r="AL249" i="15"/>
  <c r="AP249" i="15"/>
  <c r="V250" i="15"/>
  <c r="AL250" i="15"/>
  <c r="AP250" i="15"/>
  <c r="V251" i="15"/>
  <c r="AL251" i="15"/>
  <c r="AP251" i="15"/>
  <c r="V252" i="15"/>
  <c r="AL252" i="15"/>
  <c r="AP252" i="15"/>
  <c r="V253" i="15"/>
  <c r="AL253" i="15"/>
  <c r="AP253" i="15"/>
  <c r="V254" i="15"/>
  <c r="AL254" i="15"/>
  <c r="AP254" i="15"/>
  <c r="V255" i="15"/>
  <c r="AL255" i="15"/>
  <c r="AP255" i="15"/>
  <c r="V256" i="15"/>
  <c r="AL256" i="15"/>
  <c r="AP256" i="15"/>
  <c r="V257" i="15"/>
  <c r="AL257" i="15"/>
  <c r="AP257" i="15"/>
  <c r="V258" i="15"/>
  <c r="AL258" i="15"/>
  <c r="AP258" i="15"/>
  <c r="V259" i="15"/>
  <c r="AL259" i="15"/>
  <c r="AP259" i="15"/>
  <c r="V260" i="15"/>
  <c r="AL260" i="15"/>
  <c r="AP260" i="15"/>
  <c r="V261" i="15"/>
  <c r="AL261" i="15"/>
  <c r="AP261" i="15"/>
  <c r="V262" i="15"/>
  <c r="AL262" i="15"/>
  <c r="AP262" i="15"/>
  <c r="V263" i="15"/>
  <c r="AL263" i="15"/>
  <c r="AP263" i="15"/>
  <c r="V264" i="15"/>
  <c r="AL264" i="15"/>
  <c r="AP264" i="15"/>
  <c r="V265" i="15"/>
  <c r="AL265" i="15"/>
  <c r="AP265" i="15"/>
  <c r="V266" i="15"/>
  <c r="AL266" i="15"/>
  <c r="AP266" i="15"/>
  <c r="V267" i="15"/>
  <c r="AL267" i="15"/>
  <c r="AP267" i="15"/>
  <c r="V268" i="15"/>
  <c r="AL268" i="15"/>
  <c r="AP268" i="15"/>
  <c r="V269" i="15"/>
  <c r="AL269" i="15"/>
  <c r="AP269" i="15"/>
  <c r="V270" i="15"/>
  <c r="AL270" i="15"/>
  <c r="AP270" i="15"/>
  <c r="V271" i="15"/>
  <c r="AL271" i="15"/>
  <c r="AP271" i="15"/>
  <c r="V272" i="15"/>
  <c r="AL272" i="15"/>
  <c r="AP272" i="15"/>
  <c r="V273" i="15"/>
  <c r="AL273" i="15"/>
  <c r="AP273" i="15"/>
  <c r="V274" i="15"/>
  <c r="AL274" i="15"/>
  <c r="AP274" i="15"/>
  <c r="V275" i="15"/>
  <c r="AL275" i="15"/>
  <c r="AP275" i="15"/>
  <c r="V276" i="15"/>
  <c r="AL276" i="15"/>
  <c r="AP276" i="15"/>
  <c r="V277" i="15"/>
  <c r="AL277" i="15"/>
  <c r="AP277" i="15"/>
  <c r="V278" i="15"/>
  <c r="AL278" i="15"/>
  <c r="AP278" i="15"/>
  <c r="V279" i="15"/>
  <c r="AL279" i="15"/>
  <c r="AP279" i="15"/>
  <c r="V280" i="15"/>
  <c r="AL280" i="15"/>
  <c r="AP280" i="15"/>
  <c r="V281" i="15"/>
  <c r="AL281" i="15"/>
  <c r="AP281" i="15"/>
  <c r="V282" i="15"/>
  <c r="AL282" i="15"/>
  <c r="AP282" i="15"/>
  <c r="V213" i="15"/>
  <c r="AL213" i="15"/>
  <c r="AP213" i="15"/>
  <c r="V214" i="15"/>
  <c r="AL214" i="15"/>
  <c r="AP214" i="15"/>
  <c r="V215" i="15"/>
  <c r="AL215" i="15"/>
  <c r="AP215" i="15"/>
  <c r="V216" i="15"/>
  <c r="AL216" i="15"/>
  <c r="AP216" i="15"/>
  <c r="V217" i="15"/>
  <c r="AL217" i="15"/>
  <c r="AP217" i="15"/>
  <c r="V218" i="15"/>
  <c r="AL218" i="15"/>
  <c r="AP218" i="15"/>
  <c r="V219" i="15"/>
  <c r="AL219" i="15"/>
  <c r="AP219" i="15"/>
  <c r="V220" i="15"/>
  <c r="AL220" i="15"/>
  <c r="AP220" i="15"/>
  <c r="V221" i="15"/>
  <c r="AL221" i="15"/>
  <c r="AP221" i="15"/>
  <c r="V222" i="15"/>
  <c r="AL222" i="15"/>
  <c r="AP222" i="15"/>
  <c r="V223" i="15"/>
  <c r="AL223" i="15"/>
  <c r="AP223" i="15"/>
  <c r="V224" i="15"/>
  <c r="AL224" i="15"/>
  <c r="AP224" i="15"/>
  <c r="V225" i="15"/>
  <c r="AL225" i="15"/>
  <c r="AP225" i="15"/>
  <c r="V226" i="15"/>
  <c r="AL226" i="15"/>
  <c r="AP226" i="15"/>
  <c r="V227" i="15"/>
  <c r="AL227" i="15"/>
  <c r="AP227" i="15"/>
  <c r="V228" i="15"/>
  <c r="AL228" i="15"/>
  <c r="AP228" i="15"/>
  <c r="V229" i="15"/>
  <c r="AL229" i="15"/>
  <c r="AP229" i="15"/>
  <c r="V230" i="15"/>
  <c r="AL230" i="15"/>
  <c r="AP230" i="15"/>
  <c r="V231" i="15"/>
  <c r="AL231" i="15"/>
  <c r="AP231" i="15"/>
  <c r="V232" i="15"/>
  <c r="AL232" i="15"/>
  <c r="AP232" i="15"/>
  <c r="V233" i="15"/>
  <c r="AL233" i="15"/>
  <c r="AP233" i="15"/>
  <c r="V234" i="15"/>
  <c r="AL234" i="15"/>
  <c r="AP234" i="15"/>
  <c r="V235" i="15"/>
  <c r="AL235" i="15"/>
  <c r="AP235" i="15"/>
  <c r="V236" i="15"/>
  <c r="AL236" i="15"/>
  <c r="AP236" i="15"/>
  <c r="V237" i="15"/>
  <c r="AL237" i="15"/>
  <c r="AP237" i="15"/>
  <c r="V238" i="15"/>
  <c r="AL238" i="15"/>
  <c r="AP238" i="15"/>
  <c r="V239" i="15"/>
  <c r="AL239" i="15"/>
  <c r="AP239" i="15"/>
  <c r="V240" i="15"/>
  <c r="AL240" i="15"/>
  <c r="AP240" i="15"/>
  <c r="V241" i="15"/>
  <c r="AL241" i="15"/>
  <c r="AP241" i="15"/>
  <c r="V242" i="15"/>
  <c r="AL242" i="15"/>
  <c r="AP242" i="15"/>
  <c r="V243" i="15"/>
  <c r="AL243" i="15"/>
  <c r="AP243" i="15"/>
  <c r="V244" i="15"/>
  <c r="AL244" i="15"/>
  <c r="AP244" i="15"/>
  <c r="V245" i="15"/>
  <c r="AL245" i="15"/>
  <c r="AP245" i="15"/>
  <c r="V246" i="15"/>
  <c r="AL246" i="15"/>
  <c r="AP246" i="15"/>
  <c r="V247" i="15"/>
  <c r="AL247" i="15"/>
  <c r="AP247" i="15"/>
  <c r="V178" i="15"/>
  <c r="AL178" i="15"/>
  <c r="AP178" i="15"/>
  <c r="V179" i="15"/>
  <c r="AL179" i="15"/>
  <c r="AP179" i="15"/>
  <c r="V180" i="15"/>
  <c r="AL180" i="15"/>
  <c r="AP180" i="15"/>
  <c r="V181" i="15"/>
  <c r="AL181" i="15"/>
  <c r="AP181" i="15"/>
  <c r="V182" i="15"/>
  <c r="AL182" i="15"/>
  <c r="AP182" i="15"/>
  <c r="V183" i="15"/>
  <c r="AL183" i="15"/>
  <c r="AP183" i="15"/>
  <c r="V184" i="15"/>
  <c r="AL184" i="15"/>
  <c r="AP184" i="15"/>
  <c r="V185" i="15"/>
  <c r="AL185" i="15"/>
  <c r="AP185" i="15"/>
  <c r="V186" i="15"/>
  <c r="AL186" i="15"/>
  <c r="AP186" i="15"/>
  <c r="V187" i="15"/>
  <c r="AL187" i="15"/>
  <c r="AP187" i="15"/>
  <c r="V188" i="15"/>
  <c r="AL188" i="15"/>
  <c r="AP188" i="15"/>
  <c r="V189" i="15"/>
  <c r="AL189" i="15"/>
  <c r="AP189" i="15"/>
  <c r="V190" i="15"/>
  <c r="AL190" i="15"/>
  <c r="AP190" i="15"/>
  <c r="V191" i="15"/>
  <c r="AL191" i="15"/>
  <c r="AP191" i="15"/>
  <c r="V192" i="15"/>
  <c r="AL192" i="15"/>
  <c r="AP192" i="15"/>
  <c r="V193" i="15"/>
  <c r="AL193" i="15"/>
  <c r="AP193" i="15"/>
  <c r="V194" i="15"/>
  <c r="AL194" i="15"/>
  <c r="AP194" i="15"/>
  <c r="V195" i="15"/>
  <c r="AL195" i="15"/>
  <c r="AP195" i="15"/>
  <c r="V196" i="15"/>
  <c r="AL196" i="15"/>
  <c r="AP196" i="15"/>
  <c r="V197" i="15"/>
  <c r="AL197" i="15"/>
  <c r="AP197" i="15"/>
  <c r="V198" i="15"/>
  <c r="AL198" i="15"/>
  <c r="AP198" i="15"/>
  <c r="V199" i="15"/>
  <c r="AL199" i="15"/>
  <c r="AP199" i="15"/>
  <c r="V200" i="15"/>
  <c r="AL200" i="15"/>
  <c r="AP200" i="15"/>
  <c r="V201" i="15"/>
  <c r="AL201" i="15"/>
  <c r="AP201" i="15"/>
  <c r="V202" i="15"/>
  <c r="AL202" i="15"/>
  <c r="AP202" i="15"/>
  <c r="V203" i="15"/>
  <c r="AL203" i="15"/>
  <c r="AP203" i="15"/>
  <c r="V204" i="15"/>
  <c r="AL204" i="15"/>
  <c r="AP204" i="15"/>
  <c r="V205" i="15"/>
  <c r="AL205" i="15"/>
  <c r="AP205" i="15"/>
  <c r="V206" i="15"/>
  <c r="AL206" i="15"/>
  <c r="AP206" i="15"/>
  <c r="V207" i="15"/>
  <c r="AL207" i="15"/>
  <c r="AP207" i="15"/>
  <c r="V208" i="15"/>
  <c r="AL208" i="15"/>
  <c r="AP208" i="15"/>
  <c r="V209" i="15"/>
  <c r="AL209" i="15"/>
  <c r="AP209" i="15"/>
  <c r="V210" i="15"/>
  <c r="AL210" i="15"/>
  <c r="AP210" i="15"/>
  <c r="V211" i="15"/>
  <c r="AL211" i="15"/>
  <c r="AP211" i="15"/>
  <c r="V212" i="15"/>
  <c r="AL212" i="15"/>
  <c r="AP212" i="15"/>
  <c r="V143" i="15"/>
  <c r="AL143" i="15"/>
  <c r="AP143" i="15"/>
  <c r="V144" i="15"/>
  <c r="AL144" i="15"/>
  <c r="AP144" i="15"/>
  <c r="V145" i="15"/>
  <c r="AL145" i="15"/>
  <c r="AP145" i="15"/>
  <c r="V146" i="15"/>
  <c r="AL146" i="15"/>
  <c r="AP146" i="15"/>
  <c r="V147" i="15"/>
  <c r="AL147" i="15"/>
  <c r="AP147" i="15"/>
  <c r="V148" i="15"/>
  <c r="AL148" i="15"/>
  <c r="AP148" i="15"/>
  <c r="V149" i="15"/>
  <c r="AL149" i="15"/>
  <c r="AP149" i="15"/>
  <c r="V150" i="15"/>
  <c r="AL150" i="15"/>
  <c r="AP150" i="15"/>
  <c r="V151" i="15"/>
  <c r="AL151" i="15"/>
  <c r="AP151" i="15"/>
  <c r="V152" i="15"/>
  <c r="AL152" i="15"/>
  <c r="AP152" i="15"/>
  <c r="V153" i="15"/>
  <c r="AL153" i="15"/>
  <c r="AP153" i="15"/>
  <c r="V154" i="15"/>
  <c r="AL154" i="15"/>
  <c r="AP154" i="15"/>
  <c r="V155" i="15"/>
  <c r="AL155" i="15"/>
  <c r="AP155" i="15"/>
  <c r="V156" i="15"/>
  <c r="AL156" i="15"/>
  <c r="AP156" i="15"/>
  <c r="V157" i="15"/>
  <c r="AL157" i="15"/>
  <c r="AP157" i="15"/>
  <c r="V158" i="15"/>
  <c r="AL158" i="15"/>
  <c r="AP158" i="15"/>
  <c r="V159" i="15"/>
  <c r="AL159" i="15"/>
  <c r="AP159" i="15"/>
  <c r="V160" i="15"/>
  <c r="AL160" i="15"/>
  <c r="AP160" i="15"/>
  <c r="V161" i="15"/>
  <c r="AL161" i="15"/>
  <c r="AP161" i="15"/>
  <c r="V162" i="15"/>
  <c r="AL162" i="15"/>
  <c r="AP162" i="15"/>
  <c r="V163" i="15"/>
  <c r="AL163" i="15"/>
  <c r="AP163" i="15"/>
  <c r="V164" i="15"/>
  <c r="AL164" i="15"/>
  <c r="AP164" i="15"/>
  <c r="V165" i="15"/>
  <c r="AL165" i="15"/>
  <c r="AP165" i="15"/>
  <c r="V166" i="15"/>
  <c r="AL166" i="15"/>
  <c r="AP166" i="15"/>
  <c r="V167" i="15"/>
  <c r="AL167" i="15"/>
  <c r="AP167" i="15"/>
  <c r="V168" i="15"/>
  <c r="AL168" i="15"/>
  <c r="AP168" i="15"/>
  <c r="V169" i="15"/>
  <c r="AL169" i="15"/>
  <c r="AP169" i="15"/>
  <c r="V170" i="15"/>
  <c r="AL170" i="15"/>
  <c r="AP170" i="15"/>
  <c r="V171" i="15"/>
  <c r="AL171" i="15"/>
  <c r="AP171" i="15"/>
  <c r="V172" i="15"/>
  <c r="AL172" i="15"/>
  <c r="AP172" i="15"/>
  <c r="V173" i="15"/>
  <c r="AL173" i="15"/>
  <c r="AP173" i="15"/>
  <c r="V174" i="15"/>
  <c r="AL174" i="15"/>
  <c r="AP174" i="15"/>
  <c r="V175" i="15"/>
  <c r="AL175" i="15"/>
  <c r="AP175" i="15"/>
  <c r="V176" i="15"/>
  <c r="AL176" i="15"/>
  <c r="AP176" i="15"/>
  <c r="V177" i="15"/>
  <c r="AL177" i="15"/>
  <c r="AP177" i="15"/>
  <c r="V108" i="15"/>
  <c r="AL108" i="15"/>
  <c r="AP108" i="15"/>
  <c r="V109" i="15"/>
  <c r="AL109" i="15"/>
  <c r="AP109" i="15"/>
  <c r="AL110" i="15"/>
  <c r="AP110" i="15"/>
  <c r="AL111" i="15"/>
  <c r="AP111" i="15"/>
  <c r="V112" i="15"/>
  <c r="AL112" i="15"/>
  <c r="AP112" i="15"/>
  <c r="AL113" i="15"/>
  <c r="AP113" i="15"/>
  <c r="AL114" i="15"/>
  <c r="AP114" i="15"/>
  <c r="V115" i="15"/>
  <c r="AL115" i="15"/>
  <c r="AP115" i="15"/>
  <c r="V116" i="15"/>
  <c r="AL116" i="15"/>
  <c r="AP116" i="15"/>
  <c r="AL117" i="15"/>
  <c r="AP117" i="15"/>
  <c r="AL118" i="15"/>
  <c r="AP118" i="15"/>
  <c r="V119" i="15"/>
  <c r="AL119" i="15"/>
  <c r="AP119" i="15"/>
  <c r="V120" i="15"/>
  <c r="AL120" i="15"/>
  <c r="AP120" i="15"/>
  <c r="V121" i="15"/>
  <c r="AL121" i="15"/>
  <c r="AP121" i="15"/>
  <c r="V122" i="15"/>
  <c r="AL122" i="15"/>
  <c r="AP122" i="15"/>
  <c r="V123" i="15"/>
  <c r="AL123" i="15"/>
  <c r="AP123" i="15"/>
  <c r="V124" i="15"/>
  <c r="AL124" i="15"/>
  <c r="AP124" i="15"/>
  <c r="V125" i="15"/>
  <c r="AL125" i="15"/>
  <c r="AP125" i="15"/>
  <c r="V126" i="15"/>
  <c r="AL126" i="15"/>
  <c r="AP126" i="15"/>
  <c r="V127" i="15"/>
  <c r="AL127" i="15"/>
  <c r="AP127" i="15"/>
  <c r="V128" i="15"/>
  <c r="AL128" i="15"/>
  <c r="AP128" i="15"/>
  <c r="V129" i="15"/>
  <c r="AL129" i="15"/>
  <c r="AP129" i="15"/>
  <c r="V130" i="15"/>
  <c r="AL130" i="15"/>
  <c r="AP130" i="15"/>
  <c r="V131" i="15"/>
  <c r="AL131" i="15"/>
  <c r="AP131" i="15"/>
  <c r="V132" i="15"/>
  <c r="AL132" i="15"/>
  <c r="AP132" i="15"/>
  <c r="V133" i="15"/>
  <c r="AL133" i="15"/>
  <c r="AP133" i="15"/>
  <c r="V134" i="15"/>
  <c r="AL134" i="15"/>
  <c r="AP134" i="15"/>
  <c r="V135" i="15"/>
  <c r="AL135" i="15"/>
  <c r="AP135" i="15"/>
  <c r="V136" i="15"/>
  <c r="AL136" i="15"/>
  <c r="AP136" i="15"/>
  <c r="V137" i="15"/>
  <c r="AL137" i="15"/>
  <c r="AP137" i="15"/>
  <c r="V138" i="15"/>
  <c r="AL138" i="15"/>
  <c r="AP138" i="15"/>
  <c r="V139" i="15"/>
  <c r="AL139" i="15"/>
  <c r="AP139" i="15"/>
  <c r="V140" i="15"/>
  <c r="AL140" i="15"/>
  <c r="AP140" i="15"/>
  <c r="V141" i="15"/>
  <c r="AL141" i="15"/>
  <c r="AP141" i="15"/>
  <c r="V142" i="15"/>
  <c r="AL142" i="15"/>
  <c r="AP142" i="15"/>
  <c r="V73" i="15"/>
  <c r="AL73" i="15"/>
  <c r="AP73" i="15"/>
  <c r="V74" i="15"/>
  <c r="AL74" i="15"/>
  <c r="AP74" i="15"/>
  <c r="V75" i="15"/>
  <c r="AL75" i="15"/>
  <c r="AP75" i="15"/>
  <c r="AL76" i="15"/>
  <c r="AP76" i="15"/>
  <c r="AL77" i="15"/>
  <c r="AP77" i="15"/>
  <c r="V78" i="15"/>
  <c r="AL78" i="15"/>
  <c r="AP78" i="15"/>
  <c r="V79" i="15"/>
  <c r="AL79" i="15"/>
  <c r="AP79" i="15"/>
  <c r="V80" i="15"/>
  <c r="AL80" i="15"/>
  <c r="AP80" i="15"/>
  <c r="V81" i="15"/>
  <c r="AL81" i="15"/>
  <c r="AP81" i="15"/>
  <c r="V82" i="15"/>
  <c r="AL82" i="15"/>
  <c r="AP82" i="15"/>
  <c r="V83" i="15"/>
  <c r="AL83" i="15"/>
  <c r="AP83" i="15"/>
  <c r="AL84" i="15"/>
  <c r="AP84" i="15"/>
  <c r="AL85" i="15"/>
  <c r="AP85" i="15"/>
  <c r="AL86" i="15"/>
  <c r="AP86" i="15"/>
  <c r="V87" i="15"/>
  <c r="AL87" i="15"/>
  <c r="AP87" i="15"/>
  <c r="V88" i="15"/>
  <c r="AL88" i="15"/>
  <c r="AP88" i="15"/>
  <c r="AL89" i="15"/>
  <c r="AP89" i="15"/>
  <c r="AL90" i="15"/>
  <c r="AP90" i="15"/>
  <c r="V91" i="15"/>
  <c r="AL91" i="15"/>
  <c r="AP91" i="15"/>
  <c r="AL92" i="15"/>
  <c r="AP92" i="15"/>
  <c r="AL93" i="15"/>
  <c r="AP93" i="15"/>
  <c r="V94" i="15"/>
  <c r="AL94" i="15"/>
  <c r="AP94" i="15"/>
  <c r="V95" i="15"/>
  <c r="AL95" i="15"/>
  <c r="AP95" i="15"/>
  <c r="V96" i="15"/>
  <c r="AL96" i="15"/>
  <c r="AP96" i="15"/>
  <c r="V97" i="15"/>
  <c r="AL97" i="15"/>
  <c r="AP97" i="15"/>
  <c r="AL98" i="15"/>
  <c r="AP98" i="15"/>
  <c r="AL99" i="15"/>
  <c r="AP99" i="15"/>
  <c r="AL100" i="15"/>
  <c r="AP100" i="15"/>
  <c r="V101" i="15"/>
  <c r="AL101" i="15"/>
  <c r="AP101" i="15"/>
  <c r="AL102" i="15"/>
  <c r="AP102" i="15"/>
  <c r="V103" i="15"/>
  <c r="AL103" i="15"/>
  <c r="AP103" i="15"/>
  <c r="AL104" i="15"/>
  <c r="AP104" i="15"/>
  <c r="AL105" i="15"/>
  <c r="AP105" i="15"/>
  <c r="AL106" i="15"/>
  <c r="AP106" i="15"/>
  <c r="AL107" i="15"/>
  <c r="AP107" i="15"/>
  <c r="V38" i="15"/>
  <c r="AL38" i="15"/>
  <c r="AP38" i="15"/>
  <c r="V39" i="15"/>
  <c r="AL39" i="15"/>
  <c r="AP39" i="15"/>
  <c r="V40" i="15"/>
  <c r="AL40" i="15"/>
  <c r="AP40" i="15"/>
  <c r="V41" i="15"/>
  <c r="AL41" i="15"/>
  <c r="AP41" i="15"/>
  <c r="V42" i="15"/>
  <c r="AL42" i="15"/>
  <c r="AP42" i="15"/>
  <c r="V43" i="15"/>
  <c r="AL43" i="15"/>
  <c r="AP43" i="15"/>
  <c r="V44" i="15"/>
  <c r="AL44" i="15"/>
  <c r="AP44" i="15"/>
  <c r="V45" i="15"/>
  <c r="AL45" i="15"/>
  <c r="AP45" i="15"/>
  <c r="V46" i="15"/>
  <c r="AL46" i="15"/>
  <c r="AP46" i="15"/>
  <c r="V47" i="15"/>
  <c r="AL47" i="15"/>
  <c r="AP47" i="15"/>
  <c r="V48" i="15"/>
  <c r="AL48" i="15"/>
  <c r="AP48" i="15"/>
  <c r="V49" i="15"/>
  <c r="AL49" i="15"/>
  <c r="AP49" i="15"/>
  <c r="V50" i="15"/>
  <c r="AL50" i="15"/>
  <c r="AP50" i="15"/>
  <c r="V51" i="15"/>
  <c r="AL51" i="15"/>
  <c r="AP51" i="15"/>
  <c r="V52" i="15"/>
  <c r="AL52" i="15"/>
  <c r="AP52" i="15"/>
  <c r="V53" i="15"/>
  <c r="AL53" i="15"/>
  <c r="AP53" i="15"/>
  <c r="V54" i="15"/>
  <c r="AL54" i="15"/>
  <c r="AP54" i="15"/>
  <c r="V55" i="15"/>
  <c r="AL55" i="15"/>
  <c r="AP55" i="15"/>
  <c r="V56" i="15"/>
  <c r="AL56" i="15"/>
  <c r="AP56" i="15"/>
  <c r="V57" i="15"/>
  <c r="AL57" i="15"/>
  <c r="AP57" i="15"/>
  <c r="V58" i="15"/>
  <c r="AL58" i="15"/>
  <c r="AP58" i="15"/>
  <c r="V59" i="15"/>
  <c r="AL59" i="15"/>
  <c r="AP59" i="15"/>
  <c r="V60" i="15"/>
  <c r="AL60" i="15"/>
  <c r="AP60" i="15"/>
  <c r="V61" i="15"/>
  <c r="AL61" i="15"/>
  <c r="AP61" i="15"/>
  <c r="V62" i="15"/>
  <c r="AL62" i="15"/>
  <c r="AP62" i="15"/>
  <c r="V63" i="15"/>
  <c r="AL63" i="15"/>
  <c r="AP63" i="15"/>
  <c r="V64" i="15"/>
  <c r="AL64" i="15"/>
  <c r="AP64" i="15"/>
  <c r="V65" i="15"/>
  <c r="AL65" i="15"/>
  <c r="AP65" i="15"/>
  <c r="V66" i="15"/>
  <c r="AL66" i="15"/>
  <c r="AP66" i="15"/>
  <c r="V67" i="15"/>
  <c r="AL67" i="15"/>
  <c r="AP67" i="15"/>
  <c r="V68" i="15"/>
  <c r="AL68" i="15"/>
  <c r="AP68" i="15"/>
  <c r="V69" i="15"/>
  <c r="AL69" i="15"/>
  <c r="AP69" i="15"/>
  <c r="V70" i="15"/>
  <c r="AL70" i="15"/>
  <c r="AP70" i="15"/>
  <c r="V71" i="15"/>
  <c r="AL71" i="15"/>
  <c r="AP71" i="15"/>
  <c r="V72" i="15"/>
  <c r="AL72" i="15"/>
  <c r="AP72" i="15"/>
  <c r="V3" i="15"/>
  <c r="AL3" i="15"/>
  <c r="AP3" i="15"/>
  <c r="V4" i="15"/>
  <c r="AL4" i="15"/>
  <c r="AP4" i="15"/>
  <c r="V5" i="15"/>
  <c r="AL5" i="15"/>
  <c r="AP5" i="15"/>
  <c r="V6" i="15"/>
  <c r="AL6" i="15"/>
  <c r="AP6" i="15"/>
  <c r="V7" i="15"/>
  <c r="AL7" i="15"/>
  <c r="AP7" i="15"/>
  <c r="V8" i="15"/>
  <c r="AL8" i="15"/>
  <c r="AP8" i="15"/>
  <c r="V9" i="15"/>
  <c r="AL9" i="15"/>
  <c r="AP9" i="15"/>
  <c r="V10" i="15"/>
  <c r="AL10" i="15"/>
  <c r="AP10" i="15"/>
  <c r="V11" i="15"/>
  <c r="AL11" i="15"/>
  <c r="AP11" i="15"/>
  <c r="V12" i="15"/>
  <c r="AL12" i="15"/>
  <c r="AP12" i="15"/>
  <c r="V13" i="15"/>
  <c r="AL13" i="15"/>
  <c r="AP13" i="15"/>
  <c r="V14" i="15"/>
  <c r="AL14" i="15"/>
  <c r="AP14" i="15"/>
  <c r="V15" i="15"/>
  <c r="AL15" i="15"/>
  <c r="AP15" i="15"/>
  <c r="V16" i="15"/>
  <c r="AL16" i="15"/>
  <c r="AP16" i="15"/>
  <c r="V17" i="15"/>
  <c r="AL17" i="15"/>
  <c r="AP17" i="15"/>
  <c r="V18" i="15"/>
  <c r="AL18" i="15"/>
  <c r="AP18" i="15"/>
  <c r="V19" i="15"/>
  <c r="AL19" i="15"/>
  <c r="AP19" i="15"/>
  <c r="V20" i="15"/>
  <c r="AL20" i="15"/>
  <c r="AP20" i="15"/>
  <c r="V21" i="15"/>
  <c r="AL21" i="15"/>
  <c r="AP21" i="15"/>
  <c r="V22" i="15"/>
  <c r="AL22" i="15"/>
  <c r="AP22" i="15"/>
  <c r="V23" i="15"/>
  <c r="AL23" i="15"/>
  <c r="AP23" i="15"/>
  <c r="V24" i="15"/>
  <c r="AL24" i="15"/>
  <c r="AP24" i="15"/>
  <c r="V25" i="15"/>
  <c r="AL25" i="15"/>
  <c r="AP25" i="15"/>
  <c r="V26" i="15"/>
  <c r="AL26" i="15"/>
  <c r="AP26" i="15"/>
  <c r="V27" i="15"/>
  <c r="AL27" i="15"/>
  <c r="AP27" i="15"/>
  <c r="V28" i="15"/>
  <c r="AL28" i="15"/>
  <c r="AP28" i="15"/>
  <c r="V29" i="15"/>
  <c r="AL29" i="15"/>
  <c r="AP29" i="15"/>
  <c r="V30" i="15"/>
  <c r="AL30" i="15"/>
  <c r="AP30" i="15"/>
  <c r="V31" i="15"/>
  <c r="AL31" i="15"/>
  <c r="AP31" i="15"/>
  <c r="V32" i="15"/>
  <c r="AL32" i="15"/>
  <c r="AP32" i="15"/>
  <c r="V33" i="15"/>
  <c r="AL33" i="15"/>
  <c r="AP33" i="15"/>
  <c r="V34" i="15"/>
  <c r="AL34" i="15"/>
  <c r="AP34" i="15"/>
  <c r="V35" i="15"/>
  <c r="AL35" i="15"/>
  <c r="AP35" i="15"/>
  <c r="V36" i="15"/>
  <c r="AL36" i="15"/>
  <c r="AP36" i="15"/>
  <c r="V37" i="15"/>
  <c r="AL37" i="15"/>
  <c r="AP37" i="15"/>
  <c r="H79" i="10"/>
  <c r="I79" i="10" s="1"/>
  <c r="X79" i="10"/>
  <c r="Y79" i="10"/>
  <c r="Z79" i="10"/>
  <c r="AA79" i="10"/>
  <c r="AB79" i="10"/>
  <c r="AD79" i="10"/>
  <c r="H80" i="10"/>
  <c r="I80" i="10" s="1"/>
  <c r="X80" i="10"/>
  <c r="Y80" i="10"/>
  <c r="Z80" i="10"/>
  <c r="AA80" i="10"/>
  <c r="AB80" i="10"/>
  <c r="AD80" i="10"/>
  <c r="H81" i="10"/>
  <c r="I81" i="10"/>
  <c r="X81" i="10"/>
  <c r="Y81" i="10"/>
  <c r="Z81" i="10"/>
  <c r="AA81" i="10"/>
  <c r="AD81" i="10"/>
  <c r="H82" i="10"/>
  <c r="I82" i="10"/>
  <c r="X82" i="10"/>
  <c r="AC86" i="10" s="1" a="1"/>
  <c r="AC86" i="10" s="1"/>
  <c r="Y82" i="10"/>
  <c r="Z82" i="10"/>
  <c r="AA82" i="10"/>
  <c r="AD82" i="10"/>
  <c r="H83" i="10"/>
  <c r="I83" i="10" s="1"/>
  <c r="X83" i="10"/>
  <c r="Y83" i="10"/>
  <c r="Z83" i="10"/>
  <c r="AA83" i="10"/>
  <c r="AD83" i="10"/>
  <c r="H84" i="10"/>
  <c r="I84" i="10"/>
  <c r="X84" i="10"/>
  <c r="AB85" i="10" s="1"/>
  <c r="Y84" i="10"/>
  <c r="Z84" i="10"/>
  <c r="AD85" i="10" s="1"/>
  <c r="AA84" i="10"/>
  <c r="H85" i="10"/>
  <c r="I85" i="10" s="1"/>
  <c r="X85" i="10"/>
  <c r="Y85" i="10"/>
  <c r="Z85" i="10"/>
  <c r="AA85" i="10"/>
  <c r="H86" i="10"/>
  <c r="I86" i="10" s="1"/>
  <c r="J86" i="10" s="1"/>
  <c r="X86" i="10"/>
  <c r="AB86" i="10" s="1"/>
  <c r="Y86" i="10"/>
  <c r="Z86" i="10"/>
  <c r="AD86" i="10" s="1"/>
  <c r="AA86" i="10"/>
  <c r="H87" i="10"/>
  <c r="I87" i="10" s="1"/>
  <c r="J87" i="10" s="1"/>
  <c r="X87" i="10"/>
  <c r="AB87" i="10" s="1"/>
  <c r="Y87" i="10"/>
  <c r="Z87" i="10"/>
  <c r="AD87" i="10" s="1"/>
  <c r="AA87" i="10"/>
  <c r="H88" i="10"/>
  <c r="I88" i="10" s="1"/>
  <c r="J88" i="10" s="1"/>
  <c r="X88" i="10"/>
  <c r="Y88" i="10"/>
  <c r="Z88" i="10"/>
  <c r="AA88" i="10"/>
  <c r="H41" i="10"/>
  <c r="I41" i="10" s="1"/>
  <c r="X41" i="10"/>
  <c r="Y41" i="10"/>
  <c r="Z41" i="10"/>
  <c r="AA41" i="10"/>
  <c r="AB41" i="10"/>
  <c r="AD41" i="10"/>
  <c r="H42" i="10"/>
  <c r="I42" i="10" s="1"/>
  <c r="X42" i="10"/>
  <c r="Y42" i="10"/>
  <c r="Z42" i="10"/>
  <c r="AA42" i="10"/>
  <c r="AB42" i="10"/>
  <c r="AD42" i="10"/>
  <c r="H43" i="10"/>
  <c r="I43" i="10" s="1"/>
  <c r="X43" i="10"/>
  <c r="Y43" i="10"/>
  <c r="Z43" i="10"/>
  <c r="AA43" i="10"/>
  <c r="AB43" i="10"/>
  <c r="AD43" i="10"/>
  <c r="H44" i="10"/>
  <c r="I44" i="10"/>
  <c r="X44" i="10"/>
  <c r="Y44" i="10"/>
  <c r="Z44" i="10"/>
  <c r="AA44" i="10"/>
  <c r="AD44" i="10"/>
  <c r="H45" i="10"/>
  <c r="I45" i="10"/>
  <c r="X45" i="10"/>
  <c r="Y45" i="10"/>
  <c r="Z45" i="10"/>
  <c r="AA45" i="10"/>
  <c r="AD45" i="10"/>
  <c r="H46" i="10"/>
  <c r="I46" i="10"/>
  <c r="X46" i="10"/>
  <c r="Y46" i="10"/>
  <c r="Z46" i="10"/>
  <c r="AD46" i="10" s="1"/>
  <c r="AA46" i="10"/>
  <c r="H47" i="10"/>
  <c r="I47" i="10" s="1"/>
  <c r="X47" i="10"/>
  <c r="Y47" i="10"/>
  <c r="Z47" i="10"/>
  <c r="AD47" i="10" s="1"/>
  <c r="AA47" i="10"/>
  <c r="H48" i="10"/>
  <c r="I48" i="10"/>
  <c r="X48" i="10"/>
  <c r="AB49" i="10" s="1"/>
  <c r="Y48" i="10"/>
  <c r="Z48" i="10"/>
  <c r="AD49" i="10" s="1"/>
  <c r="AA48" i="10"/>
  <c r="H49" i="10"/>
  <c r="I49" i="10"/>
  <c r="X49" i="10"/>
  <c r="Y49" i="10"/>
  <c r="Z49" i="10"/>
  <c r="AA49" i="10"/>
  <c r="H50" i="10"/>
  <c r="I50" i="10" s="1"/>
  <c r="X50" i="10"/>
  <c r="Y50" i="10"/>
  <c r="Z50" i="10"/>
  <c r="AD50" i="10" s="1"/>
  <c r="AA50" i="10"/>
  <c r="AB50" i="10"/>
  <c r="H51" i="10"/>
  <c r="I51" i="10"/>
  <c r="X51" i="10"/>
  <c r="Y51" i="10"/>
  <c r="Z51" i="10"/>
  <c r="AD53" i="10" s="1"/>
  <c r="AA51" i="10"/>
  <c r="AB51" i="10"/>
  <c r="H52" i="10"/>
  <c r="I52" i="10"/>
  <c r="X52" i="10"/>
  <c r="Y52" i="10"/>
  <c r="Z52" i="10"/>
  <c r="AA52" i="10"/>
  <c r="AB52" i="10"/>
  <c r="H53" i="10"/>
  <c r="I53" i="10" s="1"/>
  <c r="X53" i="10"/>
  <c r="Y53" i="10"/>
  <c r="Z53" i="10"/>
  <c r="AA53" i="10"/>
  <c r="AB53" i="10"/>
  <c r="H54" i="10"/>
  <c r="I54" i="10"/>
  <c r="X54" i="10"/>
  <c r="AB54" i="10" s="1"/>
  <c r="Y54" i="10"/>
  <c r="Z54" i="10"/>
  <c r="AA54" i="10"/>
  <c r="AD54" i="10"/>
  <c r="H55" i="10"/>
  <c r="I55" i="10" s="1"/>
  <c r="X55" i="10"/>
  <c r="AB55" i="10" s="1"/>
  <c r="Y55" i="10"/>
  <c r="Z55" i="10"/>
  <c r="AA55" i="10"/>
  <c r="AD55" i="10"/>
  <c r="H56" i="10"/>
  <c r="I56" i="10"/>
  <c r="X56" i="10"/>
  <c r="Y56" i="10"/>
  <c r="Z56" i="10"/>
  <c r="AA56" i="10"/>
  <c r="AB56" i="10"/>
  <c r="AD56" i="10"/>
  <c r="H57" i="10"/>
  <c r="I57" i="10" s="1"/>
  <c r="X57" i="10"/>
  <c r="Y57" i="10"/>
  <c r="Z57" i="10"/>
  <c r="AA57" i="10"/>
  <c r="AB57" i="10"/>
  <c r="AD57" i="10"/>
  <c r="H58" i="10"/>
  <c r="I58" i="10" s="1"/>
  <c r="X58" i="10"/>
  <c r="Y58" i="10"/>
  <c r="Z58" i="10"/>
  <c r="AA58" i="10"/>
  <c r="AB58" i="10"/>
  <c r="AD58" i="10"/>
  <c r="H59" i="10"/>
  <c r="I59" i="10" s="1"/>
  <c r="J59" i="10" s="1"/>
  <c r="X59" i="10"/>
  <c r="Y59" i="10"/>
  <c r="Z59" i="10"/>
  <c r="AA59" i="10"/>
  <c r="AB59" i="10"/>
  <c r="AD59" i="10"/>
  <c r="H60" i="10"/>
  <c r="I60" i="10" s="1"/>
  <c r="X60" i="10"/>
  <c r="Y60" i="10"/>
  <c r="Z60" i="10"/>
  <c r="AA60" i="10"/>
  <c r="AB60" i="10"/>
  <c r="AD60" i="10"/>
  <c r="H61" i="10"/>
  <c r="I61" i="10"/>
  <c r="X61" i="10"/>
  <c r="AB61" i="10" s="1"/>
  <c r="Y61" i="10"/>
  <c r="Z61" i="10"/>
  <c r="AA61" i="10"/>
  <c r="AD61" i="10"/>
  <c r="H62" i="10"/>
  <c r="I62" i="10"/>
  <c r="X62" i="10"/>
  <c r="AB62" i="10" s="1"/>
  <c r="Y62" i="10"/>
  <c r="Z62" i="10"/>
  <c r="AA62" i="10"/>
  <c r="AD62" i="10"/>
  <c r="H63" i="10"/>
  <c r="I63" i="10" s="1"/>
  <c r="X63" i="10"/>
  <c r="AB64" i="10" s="1"/>
  <c r="Y63" i="10"/>
  <c r="Z63" i="10"/>
  <c r="AD64" i="10" s="1"/>
  <c r="AA63" i="10"/>
  <c r="H64" i="10"/>
  <c r="I64" i="10" s="1"/>
  <c r="X64" i="10"/>
  <c r="Y64" i="10"/>
  <c r="Z64" i="10"/>
  <c r="AA64" i="10"/>
  <c r="H65" i="10"/>
  <c r="I65" i="10" s="1"/>
  <c r="X65" i="10"/>
  <c r="AB65" i="10" s="1"/>
  <c r="Y65" i="10"/>
  <c r="Z65" i="10"/>
  <c r="AD65" i="10" s="1"/>
  <c r="AA65" i="10"/>
  <c r="H66" i="10"/>
  <c r="I66" i="10"/>
  <c r="X66" i="10"/>
  <c r="Y66" i="10"/>
  <c r="Z66" i="10"/>
  <c r="AD66" i="10" s="1"/>
  <c r="AA66" i="10"/>
  <c r="AB66" i="10"/>
  <c r="H67" i="10"/>
  <c r="I67" i="10"/>
  <c r="X67" i="10"/>
  <c r="Y67" i="10"/>
  <c r="Z67" i="10"/>
  <c r="AD67" i="10" s="1"/>
  <c r="AA67" i="10"/>
  <c r="AB67" i="10"/>
  <c r="H68" i="10"/>
  <c r="I68" i="10"/>
  <c r="X68" i="10"/>
  <c r="Y68" i="10"/>
  <c r="Z68" i="10"/>
  <c r="AD68" i="10" s="1"/>
  <c r="AA68" i="10"/>
  <c r="AB68" i="10"/>
  <c r="H69" i="10"/>
  <c r="I69" i="10"/>
  <c r="X69" i="10"/>
  <c r="Y69" i="10"/>
  <c r="Z69" i="10"/>
  <c r="AA69" i="10"/>
  <c r="AB69" i="10"/>
  <c r="AD69" i="10"/>
  <c r="H70" i="10"/>
  <c r="I70" i="10" s="1"/>
  <c r="X70" i="10"/>
  <c r="AB71" i="10" s="1"/>
  <c r="Y70" i="10"/>
  <c r="Z70" i="10"/>
  <c r="AA70" i="10"/>
  <c r="AB70" i="10"/>
  <c r="AD70" i="10"/>
  <c r="H71" i="10"/>
  <c r="I71" i="10"/>
  <c r="X71" i="10"/>
  <c r="Y71" i="10"/>
  <c r="Z71" i="10"/>
  <c r="AA71" i="10"/>
  <c r="AD71" i="10"/>
  <c r="H72" i="10"/>
  <c r="I72" i="10" s="1"/>
  <c r="X72" i="10"/>
  <c r="Y72" i="10"/>
  <c r="Z72" i="10"/>
  <c r="AA72" i="10"/>
  <c r="AB72" i="10"/>
  <c r="AD72" i="10"/>
  <c r="H73" i="10"/>
  <c r="I73" i="10" s="1"/>
  <c r="X73" i="10"/>
  <c r="Y73" i="10"/>
  <c r="Z73" i="10"/>
  <c r="AA73" i="10"/>
  <c r="AB73" i="10"/>
  <c r="AD73" i="10"/>
  <c r="H74" i="10"/>
  <c r="I74" i="10"/>
  <c r="X74" i="10"/>
  <c r="Y74" i="10"/>
  <c r="Z74" i="10"/>
  <c r="AD74" i="10" s="1"/>
  <c r="AA74" i="10"/>
  <c r="AB74" i="10"/>
  <c r="H75" i="10"/>
  <c r="I75" i="10"/>
  <c r="X75" i="10"/>
  <c r="Y75" i="10"/>
  <c r="Z75" i="10"/>
  <c r="AA75" i="10"/>
  <c r="AB75" i="10"/>
  <c r="AD75" i="10"/>
  <c r="H76" i="10"/>
  <c r="I76" i="10"/>
  <c r="X76" i="10"/>
  <c r="Y76" i="10"/>
  <c r="Z76" i="10"/>
  <c r="AA76" i="10"/>
  <c r="AD76" i="10"/>
  <c r="H77" i="10"/>
  <c r="I77" i="10"/>
  <c r="X77" i="10"/>
  <c r="Y77" i="10"/>
  <c r="Z77" i="10"/>
  <c r="AA77" i="10"/>
  <c r="AD77" i="10"/>
  <c r="H78" i="10"/>
  <c r="I78" i="10"/>
  <c r="X78" i="10"/>
  <c r="AB78" i="10" s="1"/>
  <c r="Y78" i="10"/>
  <c r="Z78" i="10"/>
  <c r="AA78" i="10"/>
  <c r="AD78" i="10"/>
  <c r="H3" i="10"/>
  <c r="I3" i="10" s="1"/>
  <c r="X3" i="10"/>
  <c r="Y3" i="10"/>
  <c r="Z3" i="10"/>
  <c r="AA3" i="10"/>
  <c r="AB3" i="10"/>
  <c r="AD3" i="10"/>
  <c r="H4" i="10"/>
  <c r="I4" i="10"/>
  <c r="X4" i="10"/>
  <c r="Y4" i="10"/>
  <c r="Z4" i="10"/>
  <c r="AA4" i="10"/>
  <c r="AB4" i="10"/>
  <c r="AD4" i="10"/>
  <c r="H5" i="10"/>
  <c r="I5" i="10"/>
  <c r="X5" i="10"/>
  <c r="Y5" i="10"/>
  <c r="Z5" i="10"/>
  <c r="AA5" i="10"/>
  <c r="AB5" i="10"/>
  <c r="AD5" i="10"/>
  <c r="H6" i="10"/>
  <c r="I6" i="10" s="1"/>
  <c r="X6" i="10"/>
  <c r="Y6" i="10"/>
  <c r="Z6" i="10"/>
  <c r="AA6" i="10"/>
  <c r="AD6" i="10"/>
  <c r="H7" i="10"/>
  <c r="I7" i="10" s="1"/>
  <c r="X7" i="10"/>
  <c r="AB8" i="10" s="1"/>
  <c r="Y7" i="10"/>
  <c r="Z7" i="10"/>
  <c r="AA7" i="10"/>
  <c r="H8" i="10"/>
  <c r="I8" i="10"/>
  <c r="X8" i="10"/>
  <c r="Y8" i="10"/>
  <c r="Z8" i="10"/>
  <c r="AD8" i="10" s="1"/>
  <c r="AA8" i="10"/>
  <c r="H9" i="10"/>
  <c r="I9" i="10" s="1"/>
  <c r="X9" i="10"/>
  <c r="AB9" i="10" s="1"/>
  <c r="Y9" i="10"/>
  <c r="Z9" i="10"/>
  <c r="AD9" i="10" s="1"/>
  <c r="AA9" i="10"/>
  <c r="H10" i="10"/>
  <c r="I10" i="10" s="1"/>
  <c r="X10" i="10"/>
  <c r="Y10" i="10"/>
  <c r="Z10" i="10"/>
  <c r="AD10" i="10" s="1"/>
  <c r="AA10" i="10"/>
  <c r="AB10" i="10"/>
  <c r="H11" i="10"/>
  <c r="I11" i="10"/>
  <c r="X11" i="10"/>
  <c r="AB11" i="10" s="1"/>
  <c r="Y11" i="10"/>
  <c r="Z11" i="10"/>
  <c r="AD12" i="10" s="1"/>
  <c r="AA11" i="10"/>
  <c r="H12" i="10"/>
  <c r="I12" i="10"/>
  <c r="X12" i="10"/>
  <c r="Y12" i="10"/>
  <c r="Z12" i="10"/>
  <c r="AA12" i="10"/>
  <c r="AB12" i="10"/>
  <c r="H13" i="10"/>
  <c r="I13" i="10" s="1"/>
  <c r="X13" i="10"/>
  <c r="Y13" i="10"/>
  <c r="Z13" i="10"/>
  <c r="AA13" i="10"/>
  <c r="AB13" i="10"/>
  <c r="AD13" i="10"/>
  <c r="H14" i="10"/>
  <c r="I14" i="10" s="1"/>
  <c r="X14" i="10"/>
  <c r="AB14" i="10" s="1"/>
  <c r="Y14" i="10"/>
  <c r="Z14" i="10"/>
  <c r="AD14" i="10" s="1"/>
  <c r="AA14" i="10"/>
  <c r="H15" i="10"/>
  <c r="I15" i="10"/>
  <c r="X15" i="10"/>
  <c r="AB15" i="10" s="1"/>
  <c r="Y15" i="10"/>
  <c r="Z15" i="10"/>
  <c r="AA15" i="10"/>
  <c r="AD15" i="10"/>
  <c r="H16" i="10"/>
  <c r="I16" i="10"/>
  <c r="X16" i="10"/>
  <c r="AB17" i="10" s="1"/>
  <c r="Y16" i="10"/>
  <c r="Z16" i="10"/>
  <c r="AA16" i="10"/>
  <c r="AD16" i="10"/>
  <c r="H17" i="10"/>
  <c r="I17" i="10" s="1"/>
  <c r="X17" i="10"/>
  <c r="Y17" i="10"/>
  <c r="Z17" i="10"/>
  <c r="AD17" i="10" s="1"/>
  <c r="AA17" i="10"/>
  <c r="H18" i="10"/>
  <c r="I18" i="10"/>
  <c r="X18" i="10"/>
  <c r="AB20" i="10" s="1"/>
  <c r="Y18" i="10"/>
  <c r="Z18" i="10"/>
  <c r="AA18" i="10"/>
  <c r="H19" i="10"/>
  <c r="I19" i="10" s="1"/>
  <c r="X19" i="10"/>
  <c r="Y19" i="10"/>
  <c r="Z19" i="10"/>
  <c r="AA19" i="10"/>
  <c r="H20" i="10"/>
  <c r="I20" i="10"/>
  <c r="X20" i="10"/>
  <c r="Y20" i="10"/>
  <c r="Z20" i="10"/>
  <c r="AD20" i="10" s="1"/>
  <c r="AA20" i="10"/>
  <c r="H21" i="10"/>
  <c r="I21" i="10"/>
  <c r="X21" i="10"/>
  <c r="Y21" i="10"/>
  <c r="Z21" i="10"/>
  <c r="AD21" i="10" s="1"/>
  <c r="AA21" i="10"/>
  <c r="H22" i="10"/>
  <c r="I22" i="10" s="1"/>
  <c r="X22" i="10"/>
  <c r="AB22" i="10" s="1"/>
  <c r="Y22" i="10"/>
  <c r="Z22" i="10"/>
  <c r="AA22" i="10"/>
  <c r="AD22" i="10"/>
  <c r="H23" i="10"/>
  <c r="I23" i="10"/>
  <c r="X23" i="10"/>
  <c r="AB25" i="10" s="1"/>
  <c r="Y23" i="10"/>
  <c r="Z23" i="10"/>
  <c r="AA23" i="10"/>
  <c r="H24" i="10"/>
  <c r="I24" i="10" s="1"/>
  <c r="X24" i="10"/>
  <c r="Y24" i="10"/>
  <c r="Z24" i="10"/>
  <c r="AD25" i="10" s="1"/>
  <c r="AA24" i="10"/>
  <c r="H25" i="10"/>
  <c r="I25" i="10"/>
  <c r="X25" i="10"/>
  <c r="Y25" i="10"/>
  <c r="Z25" i="10"/>
  <c r="AA25" i="10"/>
  <c r="H26" i="10"/>
  <c r="I26" i="10" s="1"/>
  <c r="X26" i="10"/>
  <c r="AB27" i="10" s="1"/>
  <c r="Y26" i="10"/>
  <c r="Z26" i="10"/>
  <c r="AD28" i="10" s="1"/>
  <c r="AA26" i="10"/>
  <c r="H27" i="10"/>
  <c r="I27" i="10"/>
  <c r="X27" i="10"/>
  <c r="Y27" i="10"/>
  <c r="Z27" i="10"/>
  <c r="AA27" i="10"/>
  <c r="H28" i="10"/>
  <c r="I28" i="10" s="1"/>
  <c r="X28" i="10"/>
  <c r="Y28" i="10"/>
  <c r="Z28" i="10"/>
  <c r="AA28" i="10"/>
  <c r="AB28" i="10"/>
  <c r="H29" i="10"/>
  <c r="I29" i="10" s="1"/>
  <c r="X29" i="10"/>
  <c r="AB30" i="10" s="1"/>
  <c r="Y29" i="10"/>
  <c r="Z29" i="10"/>
  <c r="AD30" i="10" s="1"/>
  <c r="AA29" i="10"/>
  <c r="AB29" i="10"/>
  <c r="AD29" i="10"/>
  <c r="H30" i="10"/>
  <c r="I30" i="10" s="1"/>
  <c r="X30" i="10"/>
  <c r="Y30" i="10"/>
  <c r="Z30" i="10"/>
  <c r="AA30" i="10"/>
  <c r="H31" i="10"/>
  <c r="I31" i="10"/>
  <c r="X31" i="10"/>
  <c r="AB31" i="10" s="1"/>
  <c r="Y31" i="10"/>
  <c r="Z31" i="10"/>
  <c r="AA31" i="10"/>
  <c r="AD31" i="10"/>
  <c r="H32" i="10"/>
  <c r="I32" i="10"/>
  <c r="X32" i="10"/>
  <c r="AB32" i="10" s="1"/>
  <c r="Y32" i="10"/>
  <c r="Z32" i="10"/>
  <c r="AA32" i="10"/>
  <c r="H33" i="10"/>
  <c r="I33" i="10" s="1"/>
  <c r="X33" i="10"/>
  <c r="AB33" i="10" s="1"/>
  <c r="Y33" i="10"/>
  <c r="Z33" i="10"/>
  <c r="AD32" i="10" s="1"/>
  <c r="AA33" i="10"/>
  <c r="H34" i="10"/>
  <c r="I34" i="10"/>
  <c r="X34" i="10"/>
  <c r="AB34" i="10" s="1"/>
  <c r="Y34" i="10"/>
  <c r="Z34" i="10"/>
  <c r="AD34" i="10" s="1"/>
  <c r="AA34" i="10"/>
  <c r="H35" i="10"/>
  <c r="I35" i="10" s="1"/>
  <c r="X35" i="10"/>
  <c r="Y35" i="10"/>
  <c r="Z35" i="10"/>
  <c r="AD35" i="10" s="1"/>
  <c r="AA35" i="10"/>
  <c r="AB35" i="10"/>
  <c r="H36" i="10"/>
  <c r="I36" i="10"/>
  <c r="X36" i="10"/>
  <c r="Y36" i="10"/>
  <c r="Z36" i="10"/>
  <c r="AD37" i="10" s="1"/>
  <c r="AA36" i="10"/>
  <c r="AB36" i="10"/>
  <c r="AD36" i="10"/>
  <c r="H37" i="10"/>
  <c r="I37" i="10"/>
  <c r="X37" i="10"/>
  <c r="Y37" i="10"/>
  <c r="Z37" i="10"/>
  <c r="AA37" i="10"/>
  <c r="AB37" i="10"/>
  <c r="H38" i="10"/>
  <c r="I38" i="10"/>
  <c r="X38" i="10"/>
  <c r="Y38" i="10"/>
  <c r="Z38" i="10"/>
  <c r="AA38" i="10"/>
  <c r="AB38" i="10"/>
  <c r="AD38" i="10"/>
  <c r="H39" i="10"/>
  <c r="I39" i="10" s="1"/>
  <c r="J39" i="10" s="1"/>
  <c r="X39" i="10"/>
  <c r="Y39" i="10"/>
  <c r="Z39" i="10"/>
  <c r="AA39" i="10"/>
  <c r="AB39" i="10"/>
  <c r="AD39" i="10"/>
  <c r="H40" i="10"/>
  <c r="I40" i="10" s="1"/>
  <c r="X40" i="10"/>
  <c r="Y40" i="10"/>
  <c r="Z40" i="10"/>
  <c r="AA40" i="10"/>
  <c r="AB40" i="10"/>
  <c r="AD40" i="10"/>
  <c r="G25" i="8"/>
  <c r="AD25" i="8"/>
  <c r="AQ25" i="8"/>
  <c r="AS25" i="8"/>
  <c r="AT25" i="8" s="1"/>
  <c r="BL25" i="8"/>
  <c r="BP25" i="8"/>
  <c r="G26" i="8"/>
  <c r="AD26" i="8"/>
  <c r="AQ26" i="8"/>
  <c r="AS26" i="8"/>
  <c r="AT26" i="8" s="1"/>
  <c r="BL26" i="8"/>
  <c r="BP26" i="8"/>
  <c r="G27" i="8"/>
  <c r="AD27" i="8"/>
  <c r="AQ27" i="8"/>
  <c r="AS27" i="8"/>
  <c r="AT27" i="8" s="1"/>
  <c r="BL27" i="8"/>
  <c r="BP27" i="8"/>
  <c r="G3" i="8"/>
  <c r="AD3" i="8"/>
  <c r="AQ3" i="8"/>
  <c r="AS3" i="8"/>
  <c r="AT3" i="8"/>
  <c r="G4" i="8"/>
  <c r="AD4" i="8"/>
  <c r="AQ4" i="8"/>
  <c r="AS4" i="8"/>
  <c r="AT4" i="8" s="1"/>
  <c r="G5" i="8"/>
  <c r="AD5" i="8"/>
  <c r="AQ5" i="8"/>
  <c r="AS5" i="8"/>
  <c r="AT5" i="8"/>
  <c r="G6" i="8"/>
  <c r="AD6" i="8"/>
  <c r="AQ6" i="8"/>
  <c r="AS6" i="8"/>
  <c r="AT6" i="8" s="1"/>
  <c r="G7" i="8"/>
  <c r="AD7" i="8"/>
  <c r="AQ7" i="8"/>
  <c r="AS7" i="8"/>
  <c r="AT7" i="8" s="1"/>
  <c r="G8" i="8"/>
  <c r="AD8" i="8"/>
  <c r="AQ8" i="8"/>
  <c r="AS8" i="8"/>
  <c r="AT8" i="8" s="1"/>
  <c r="G9" i="8"/>
  <c r="AD9" i="8"/>
  <c r="AQ9" i="8"/>
  <c r="AS9" i="8"/>
  <c r="AT9" i="8"/>
  <c r="G10" i="8"/>
  <c r="AD10" i="8"/>
  <c r="AQ10" i="8"/>
  <c r="AS10" i="8"/>
  <c r="AT10" i="8" s="1"/>
  <c r="G11" i="8"/>
  <c r="AD11" i="8"/>
  <c r="AQ11" i="8"/>
  <c r="AS11" i="8"/>
  <c r="AT11" i="8"/>
  <c r="G12" i="8"/>
  <c r="AD12" i="8"/>
  <c r="AQ12" i="8"/>
  <c r="AS12" i="8"/>
  <c r="AT12" i="8"/>
  <c r="G13" i="8"/>
  <c r="AD13" i="8"/>
  <c r="AQ13" i="8"/>
  <c r="AS13" i="8"/>
  <c r="AT13" i="8"/>
  <c r="G14" i="8"/>
  <c r="AD14" i="8"/>
  <c r="AQ14" i="8"/>
  <c r="AS14" i="8"/>
  <c r="AT14" i="8"/>
  <c r="G15" i="8"/>
  <c r="AD15" i="8"/>
  <c r="AQ15" i="8"/>
  <c r="AS15" i="8"/>
  <c r="AT15" i="8" s="1"/>
  <c r="G16" i="8"/>
  <c r="AD16" i="8"/>
  <c r="AQ16" i="8"/>
  <c r="AS16" i="8"/>
  <c r="AT16" i="8"/>
  <c r="G17" i="8"/>
  <c r="AD17" i="8"/>
  <c r="AQ17" i="8"/>
  <c r="AS17" i="8"/>
  <c r="AT17" i="8"/>
  <c r="G18" i="8"/>
  <c r="AD18" i="8"/>
  <c r="AQ18" i="8"/>
  <c r="AS18" i="8"/>
  <c r="AT18" i="8"/>
  <c r="G19" i="8"/>
  <c r="AD19" i="8"/>
  <c r="AQ19" i="8"/>
  <c r="AS19" i="8"/>
  <c r="AT19" i="8"/>
  <c r="G20" i="8"/>
  <c r="AD20" i="8"/>
  <c r="AQ20" i="8"/>
  <c r="AS20" i="8"/>
  <c r="AT20" i="8" s="1"/>
  <c r="BL20" i="8"/>
  <c r="BP20" i="8"/>
  <c r="G21" i="8"/>
  <c r="AD21" i="8"/>
  <c r="AQ21" i="8"/>
  <c r="AS21" i="8"/>
  <c r="AT21" i="8" s="1"/>
  <c r="BL21" i="8"/>
  <c r="BP21" i="8"/>
  <c r="G22" i="8"/>
  <c r="AD22" i="8"/>
  <c r="AQ22" i="8"/>
  <c r="AS22" i="8"/>
  <c r="AT22" i="8" s="1"/>
  <c r="BL22" i="8"/>
  <c r="BP22" i="8"/>
  <c r="G23" i="8"/>
  <c r="AD23" i="8"/>
  <c r="AQ23" i="8"/>
  <c r="AS23" i="8"/>
  <c r="AT23" i="8"/>
  <c r="BL23" i="8"/>
  <c r="BP23" i="8"/>
  <c r="G24" i="8"/>
  <c r="AD24" i="8"/>
  <c r="AQ24" i="8"/>
  <c r="AS24" i="8"/>
  <c r="AT24" i="8" s="1"/>
  <c r="BL24" i="8"/>
  <c r="BP24" i="8"/>
  <c r="S3" i="7"/>
  <c r="V3" i="7"/>
  <c r="X3" i="7"/>
  <c r="S4" i="7"/>
  <c r="V4" i="7"/>
  <c r="X4" i="7"/>
  <c r="S5" i="7"/>
  <c r="V5" i="7"/>
  <c r="X5" i="7"/>
  <c r="S6" i="7"/>
  <c r="V6" i="7"/>
  <c r="X6" i="7"/>
  <c r="S7" i="7"/>
  <c r="V7" i="7"/>
  <c r="X7" i="7"/>
  <c r="S8" i="7"/>
  <c r="V8" i="7"/>
  <c r="X8" i="7"/>
  <c r="S9" i="7"/>
  <c r="V9" i="7"/>
  <c r="X9" i="7"/>
  <c r="S10" i="7"/>
  <c r="V10" i="7"/>
  <c r="X10" i="7"/>
  <c r="S11" i="7"/>
  <c r="V11" i="7"/>
  <c r="X11" i="7"/>
  <c r="S12" i="7"/>
  <c r="V12" i="7"/>
  <c r="X12" i="7"/>
  <c r="S13" i="7"/>
  <c r="V13" i="7"/>
  <c r="X13" i="7"/>
  <c r="S14" i="7"/>
  <c r="V14" i="7"/>
  <c r="X14" i="7"/>
  <c r="S15" i="7"/>
  <c r="V15" i="7"/>
  <c r="X15" i="7"/>
  <c r="S16" i="7"/>
  <c r="V16" i="7"/>
  <c r="X16" i="7"/>
  <c r="S17" i="7"/>
  <c r="V17" i="7"/>
  <c r="X17" i="7"/>
  <c r="S18" i="7"/>
  <c r="V18" i="7"/>
  <c r="X18" i="7"/>
  <c r="S19" i="7"/>
  <c r="V19" i="7"/>
  <c r="X19" i="7"/>
  <c r="S20" i="7"/>
  <c r="V20" i="7"/>
  <c r="X20" i="7"/>
  <c r="S21" i="7"/>
  <c r="V21" i="7"/>
  <c r="X21" i="7"/>
  <c r="S22" i="7"/>
  <c r="V22" i="7"/>
  <c r="X22" i="7"/>
  <c r="Y126" i="13" l="1"/>
  <c r="AC126" i="13" s="1"/>
  <c r="Y124" i="13"/>
  <c r="AC124" i="13" s="1"/>
  <c r="Y122" i="13"/>
  <c r="AC122" i="13" s="1"/>
  <c r="Y120" i="13"/>
  <c r="AC120" i="13" s="1"/>
  <c r="AG127" i="13"/>
  <c r="AG125" i="13"/>
  <c r="AG123" i="13"/>
  <c r="AG121" i="13"/>
  <c r="AG119" i="13"/>
  <c r="AP107" i="13" s="1"/>
  <c r="AC127" i="13"/>
  <c r="Y127" i="13"/>
  <c r="Y125" i="13"/>
  <c r="AC125" i="13" s="1"/>
  <c r="Y123" i="13"/>
  <c r="AC123" i="13" s="1"/>
  <c r="Y121" i="13"/>
  <c r="AC121" i="13" s="1"/>
  <c r="Y119" i="13"/>
  <c r="AC119" i="13" s="1"/>
  <c r="AD110" i="13"/>
  <c r="AI110" i="13" s="1"/>
  <c r="AJ110" i="13" s="1"/>
  <c r="AK110" i="13"/>
  <c r="AD108" i="13"/>
  <c r="AI108" i="13" s="1"/>
  <c r="AJ108" i="13" s="1"/>
  <c r="AK108" i="13"/>
  <c r="AD94" i="13"/>
  <c r="AI94" i="13" s="1"/>
  <c r="AJ94" i="13"/>
  <c r="AK94" i="13"/>
  <c r="AD92" i="13"/>
  <c r="AI92" i="13" s="1"/>
  <c r="AJ92" i="13"/>
  <c r="AK92" i="13"/>
  <c r="AC114" i="13"/>
  <c r="AD112" i="13"/>
  <c r="AI112" i="13" s="1"/>
  <c r="AJ112" i="13" s="1"/>
  <c r="AK112" i="13"/>
  <c r="AP104" i="13"/>
  <c r="AP106" i="13"/>
  <c r="AP108" i="13"/>
  <c r="AP110" i="13"/>
  <c r="AP114" i="13"/>
  <c r="AP116" i="13"/>
  <c r="AP118" i="13"/>
  <c r="AP103" i="13"/>
  <c r="AP105" i="13"/>
  <c r="AP113" i="13"/>
  <c r="AP115" i="13"/>
  <c r="AP117" i="13"/>
  <c r="AD90" i="13"/>
  <c r="AK90" i="13"/>
  <c r="AP90" i="13"/>
  <c r="AP92" i="13"/>
  <c r="AP94" i="13"/>
  <c r="AP96" i="13"/>
  <c r="AP98" i="13"/>
  <c r="AP100" i="13"/>
  <c r="AP102" i="13"/>
  <c r="AP91" i="13"/>
  <c r="AP93" i="13"/>
  <c r="AP95" i="13"/>
  <c r="AP97" i="13"/>
  <c r="AP99" i="13"/>
  <c r="AP101" i="13"/>
  <c r="AD93" i="13"/>
  <c r="AI93" i="13" s="1"/>
  <c r="AJ93" i="13" s="1"/>
  <c r="AD91" i="13"/>
  <c r="AI91" i="13" s="1"/>
  <c r="AJ91" i="13" s="1"/>
  <c r="AC105" i="13"/>
  <c r="AC99" i="13"/>
  <c r="AC97" i="13"/>
  <c r="Y117" i="13"/>
  <c r="Y115" i="13"/>
  <c r="Y113" i="13"/>
  <c r="Y111" i="13"/>
  <c r="Y109" i="13"/>
  <c r="Y107" i="13"/>
  <c r="Y105" i="13"/>
  <c r="Y103" i="13"/>
  <c r="Y101" i="13"/>
  <c r="Y99" i="13"/>
  <c r="Y97" i="13"/>
  <c r="Y95" i="13"/>
  <c r="AC95" i="13" s="1"/>
  <c r="X117" i="13"/>
  <c r="AC117" i="13" s="1"/>
  <c r="X115" i="13"/>
  <c r="AC115" i="13" s="1"/>
  <c r="X113" i="13"/>
  <c r="AC113" i="13" s="1"/>
  <c r="X111" i="13"/>
  <c r="AC111" i="13" s="1"/>
  <c r="X109" i="13"/>
  <c r="AC109" i="13" s="1"/>
  <c r="X107" i="13"/>
  <c r="AC107" i="13" s="1"/>
  <c r="X105" i="13"/>
  <c r="X103" i="13"/>
  <c r="AC103" i="13" s="1"/>
  <c r="X101" i="13"/>
  <c r="AC101" i="13" s="1"/>
  <c r="X99" i="13"/>
  <c r="X97" i="13"/>
  <c r="AC106" i="13"/>
  <c r="AC104" i="13"/>
  <c r="AC102" i="13"/>
  <c r="AC100" i="13"/>
  <c r="AC98" i="13"/>
  <c r="AC96" i="13"/>
  <c r="Y118" i="13"/>
  <c r="AC118" i="13" s="1"/>
  <c r="Y116" i="13"/>
  <c r="AC116" i="13" s="1"/>
  <c r="Y114" i="13"/>
  <c r="AK93" i="13"/>
  <c r="AK91" i="13"/>
  <c r="AP79" i="13"/>
  <c r="AP81" i="13"/>
  <c r="AP83" i="13"/>
  <c r="AP85" i="13"/>
  <c r="AP87" i="13"/>
  <c r="AP89" i="13"/>
  <c r="AP78" i="13"/>
  <c r="AP80" i="13"/>
  <c r="AP82" i="13"/>
  <c r="AP84" i="13"/>
  <c r="AP86" i="13"/>
  <c r="AP88" i="13"/>
  <c r="AP62" i="13"/>
  <c r="AP64" i="13"/>
  <c r="AP66" i="13"/>
  <c r="AP68" i="13"/>
  <c r="AP70" i="13"/>
  <c r="AP72" i="13"/>
  <c r="AP74" i="13"/>
  <c r="AP76" i="13"/>
  <c r="AP61" i="13"/>
  <c r="X88" i="13"/>
  <c r="AC88" i="13" s="1"/>
  <c r="X86" i="13"/>
  <c r="AC86" i="13" s="1"/>
  <c r="X84" i="13"/>
  <c r="AC84" i="13" s="1"/>
  <c r="X82" i="13"/>
  <c r="AC82" i="13" s="1"/>
  <c r="X80" i="13"/>
  <c r="AC80" i="13" s="1"/>
  <c r="X78" i="13"/>
  <c r="AC78" i="13" s="1"/>
  <c r="X76" i="13"/>
  <c r="AC76" i="13" s="1"/>
  <c r="X74" i="13"/>
  <c r="AC74" i="13" s="1"/>
  <c r="X72" i="13"/>
  <c r="AC72" i="13" s="1"/>
  <c r="X70" i="13"/>
  <c r="AC70" i="13" s="1"/>
  <c r="X68" i="13"/>
  <c r="AC68" i="13" s="1"/>
  <c r="X66" i="13"/>
  <c r="AC66" i="13" s="1"/>
  <c r="X64" i="13"/>
  <c r="AC64" i="13" s="1"/>
  <c r="X62" i="13"/>
  <c r="AC62" i="13" s="1"/>
  <c r="AC83" i="13"/>
  <c r="AC81" i="13"/>
  <c r="AC79" i="13"/>
  <c r="AC75" i="13"/>
  <c r="AC73" i="13"/>
  <c r="AC67" i="13"/>
  <c r="AC65" i="13"/>
  <c r="AC61" i="13"/>
  <c r="Y89" i="13"/>
  <c r="AC89" i="13" s="1"/>
  <c r="Y87" i="13"/>
  <c r="AC87" i="13" s="1"/>
  <c r="Y85" i="13"/>
  <c r="AC85" i="13" s="1"/>
  <c r="Y83" i="13"/>
  <c r="Y81" i="13"/>
  <c r="Y79" i="13"/>
  <c r="Y77" i="13"/>
  <c r="AC77" i="13" s="1"/>
  <c r="Y75" i="13"/>
  <c r="Y73" i="13"/>
  <c r="Y71" i="13"/>
  <c r="AC71" i="13" s="1"/>
  <c r="Y69" i="13"/>
  <c r="AC69" i="13" s="1"/>
  <c r="Y67" i="13"/>
  <c r="Y65" i="13"/>
  <c r="Y63" i="13"/>
  <c r="AC63" i="13" s="1"/>
  <c r="Y61" i="13"/>
  <c r="AP77" i="13"/>
  <c r="AP75" i="13"/>
  <c r="AP73" i="13"/>
  <c r="AP71" i="13"/>
  <c r="AP69" i="13"/>
  <c r="AP67" i="13"/>
  <c r="AP65" i="13"/>
  <c r="AP63" i="13"/>
  <c r="AC41" i="13"/>
  <c r="AC53" i="13"/>
  <c r="AC51" i="13"/>
  <c r="AC49" i="13"/>
  <c r="AC35" i="13"/>
  <c r="AC47" i="13"/>
  <c r="Y59" i="13"/>
  <c r="AC59" i="13" s="1"/>
  <c r="Y57" i="13"/>
  <c r="AC57" i="13" s="1"/>
  <c r="Y55" i="13"/>
  <c r="AC55" i="13" s="1"/>
  <c r="Y53" i="13"/>
  <c r="Y51" i="13"/>
  <c r="Y49" i="13"/>
  <c r="Y47" i="13"/>
  <c r="Y45" i="13"/>
  <c r="AC45" i="13" s="1"/>
  <c r="Y43" i="13"/>
  <c r="AC43" i="13" s="1"/>
  <c r="Y41" i="13"/>
  <c r="Y39" i="13"/>
  <c r="AC39" i="13" s="1"/>
  <c r="Y37" i="13"/>
  <c r="AC37" i="13" s="1"/>
  <c r="Y35" i="13"/>
  <c r="Y33" i="13"/>
  <c r="AC33" i="13" s="1"/>
  <c r="AG60" i="13"/>
  <c r="AG58" i="13"/>
  <c r="AG56" i="13"/>
  <c r="AG54" i="13"/>
  <c r="AP53" i="13" s="1"/>
  <c r="AG52" i="13"/>
  <c r="AG50" i="13"/>
  <c r="AG48" i="13"/>
  <c r="AG46" i="13"/>
  <c r="AG44" i="13"/>
  <c r="AG42" i="13"/>
  <c r="AG40" i="13"/>
  <c r="AG38" i="13"/>
  <c r="AG36" i="13"/>
  <c r="AG34" i="13"/>
  <c r="AP29" i="13" s="1"/>
  <c r="AG32" i="13"/>
  <c r="Y60" i="13"/>
  <c r="AC60" i="13" s="1"/>
  <c r="Y58" i="13"/>
  <c r="AC58" i="13" s="1"/>
  <c r="Y56" i="13"/>
  <c r="AC56" i="13" s="1"/>
  <c r="Y54" i="13"/>
  <c r="AC54" i="13" s="1"/>
  <c r="Y52" i="13"/>
  <c r="AC52" i="13" s="1"/>
  <c r="Y50" i="13"/>
  <c r="AC50" i="13" s="1"/>
  <c r="Y48" i="13"/>
  <c r="AC48" i="13" s="1"/>
  <c r="Y46" i="13"/>
  <c r="AC46" i="13" s="1"/>
  <c r="Y44" i="13"/>
  <c r="AC44" i="13" s="1"/>
  <c r="Y42" i="13"/>
  <c r="AC42" i="13" s="1"/>
  <c r="Y40" i="13"/>
  <c r="AC40" i="13" s="1"/>
  <c r="Y38" i="13"/>
  <c r="AC38" i="13" s="1"/>
  <c r="Y36" i="13"/>
  <c r="AC36" i="13" s="1"/>
  <c r="Y34" i="13"/>
  <c r="AC34" i="13" s="1"/>
  <c r="Y32" i="13"/>
  <c r="AC32" i="13" s="1"/>
  <c r="AD17" i="13"/>
  <c r="AK17" i="13"/>
  <c r="AK14" i="13"/>
  <c r="AD14" i="13"/>
  <c r="AK23" i="13"/>
  <c r="AD23" i="13"/>
  <c r="AI23" i="13" s="1"/>
  <c r="AJ23" i="13" s="1"/>
  <c r="AJ18" i="13"/>
  <c r="AC12" i="13"/>
  <c r="AD24" i="13"/>
  <c r="AI24" i="13" s="1"/>
  <c r="AJ24" i="13"/>
  <c r="AK24" i="13"/>
  <c r="AD21" i="13"/>
  <c r="AI21" i="13" s="1"/>
  <c r="AJ21" i="13" s="1"/>
  <c r="AK21" i="13"/>
  <c r="AK7" i="13"/>
  <c r="AD7" i="13"/>
  <c r="AI7" i="13" s="1"/>
  <c r="AJ7" i="13" s="1"/>
  <c r="AK16" i="13"/>
  <c r="AD16" i="13"/>
  <c r="AI16" i="13" s="1"/>
  <c r="AJ16" i="13" s="1"/>
  <c r="AC5" i="13"/>
  <c r="AD13" i="13"/>
  <c r="AI13" i="13" s="1"/>
  <c r="AJ13" i="13" s="1"/>
  <c r="AK13" i="13"/>
  <c r="AD8" i="13"/>
  <c r="AI8" i="13" s="1"/>
  <c r="AJ8" i="13"/>
  <c r="AK8" i="13"/>
  <c r="AG23" i="13"/>
  <c r="X22" i="13"/>
  <c r="AC22" i="13" s="1"/>
  <c r="AD18" i="13"/>
  <c r="AI18" i="13" s="1"/>
  <c r="AG7" i="13"/>
  <c r="X6" i="13"/>
  <c r="AC6" i="13" s="1"/>
  <c r="AA4" i="13"/>
  <c r="Y31" i="13"/>
  <c r="Y29" i="13"/>
  <c r="AG14" i="13"/>
  <c r="AD9" i="13"/>
  <c r="AI9" i="13" s="1"/>
  <c r="AJ9" i="13" s="1"/>
  <c r="Y4" i="13"/>
  <c r="AG5" i="13"/>
  <c r="X4" i="13"/>
  <c r="X31" i="13"/>
  <c r="X29" i="13"/>
  <c r="AC25" i="13"/>
  <c r="X27" i="13"/>
  <c r="AC27" i="13" s="1"/>
  <c r="AG12" i="13"/>
  <c r="X11" i="13"/>
  <c r="AC11" i="13" s="1"/>
  <c r="AG19" i="13"/>
  <c r="AG3" i="13"/>
  <c r="AG26" i="13"/>
  <c r="AG10" i="13"/>
  <c r="AG17" i="13"/>
  <c r="AJ15" i="13"/>
  <c r="AA5" i="13"/>
  <c r="AY26" i="13"/>
  <c r="AC30" i="13"/>
  <c r="AC28" i="13"/>
  <c r="AK20" i="13"/>
  <c r="AY17" i="13"/>
  <c r="AA12" i="13"/>
  <c r="Y5" i="13"/>
  <c r="AC3" i="13"/>
  <c r="AG22" i="13"/>
  <c r="AJ20" i="13"/>
  <c r="AA3" i="13"/>
  <c r="AA26" i="13"/>
  <c r="AC26" i="13" s="1"/>
  <c r="Y19" i="13"/>
  <c r="AC19" i="13" s="1"/>
  <c r="AK18" i="13"/>
  <c r="AA10" i="13"/>
  <c r="AC10" i="13" s="1"/>
  <c r="Y3" i="13"/>
  <c r="AK9" i="13"/>
  <c r="AY13" i="13"/>
  <c r="U102" i="11" a="1"/>
  <c r="U102" i="11" s="1"/>
  <c r="U80" i="11" a="1"/>
  <c r="U80" i="11" s="1"/>
  <c r="U74" i="11" a="1"/>
  <c r="U74" i="11" s="1"/>
  <c r="U70" i="11" a="1"/>
  <c r="U70" i="11" s="1"/>
  <c r="U88" i="11" a="1"/>
  <c r="U88" i="11" s="1"/>
  <c r="U84" i="11" a="1"/>
  <c r="U84" i="11" s="1"/>
  <c r="U77" i="11" a="1"/>
  <c r="U77" i="11" s="1"/>
  <c r="U94" i="11" a="1"/>
  <c r="U94" i="11" s="1"/>
  <c r="U131" i="11" a="1"/>
  <c r="U131" i="11" s="1"/>
  <c r="U127" i="11" a="1"/>
  <c r="U127" i="11" s="1"/>
  <c r="U123" i="11" a="1"/>
  <c r="U123" i="11" s="1"/>
  <c r="U119" i="11" a="1"/>
  <c r="U119" i="11" s="1"/>
  <c r="U115" i="11" a="1"/>
  <c r="U115" i="11" s="1"/>
  <c r="U139" i="11" a="1"/>
  <c r="U139" i="11" s="1"/>
  <c r="U48" i="11" a="1"/>
  <c r="U48" i="11" s="1"/>
  <c r="U136" i="11" a="1"/>
  <c r="U136" i="11" s="1"/>
  <c r="U120" i="11" a="1"/>
  <c r="U120" i="11" s="1"/>
  <c r="U100" i="11" a="1"/>
  <c r="U100" i="11" s="1"/>
  <c r="U113" i="11" a="1"/>
  <c r="U113" i="11" s="1"/>
  <c r="U144" i="11" a="1"/>
  <c r="U144" i="11" s="1"/>
  <c r="U140" i="11" a="1"/>
  <c r="U140" i="11" s="1"/>
  <c r="U104" i="11" a="1"/>
  <c r="U104" i="11" s="1"/>
  <c r="U116" i="11" a="1"/>
  <c r="U116" i="11" s="1"/>
  <c r="AL37" i="11"/>
  <c r="BD37" i="11" s="1"/>
  <c r="U72" i="11" a="1"/>
  <c r="U72" i="11" s="1"/>
  <c r="U96" i="11" a="1"/>
  <c r="U96" i="11" s="1"/>
  <c r="U108" i="11" a="1"/>
  <c r="U108" i="11" s="1"/>
  <c r="U90" i="11" a="1"/>
  <c r="U90" i="11" s="1"/>
  <c r="U86" i="11" a="1"/>
  <c r="U86" i="11" s="1"/>
  <c r="U82" i="11" a="1"/>
  <c r="U82" i="11" s="1"/>
  <c r="U92" i="11" a="1"/>
  <c r="U92" i="11" s="1"/>
  <c r="U133" i="11" a="1"/>
  <c r="U133" i="11" s="1"/>
  <c r="U129" i="11" a="1"/>
  <c r="U129" i="11" s="1"/>
  <c r="U125" i="11" a="1"/>
  <c r="U125" i="11" s="1"/>
  <c r="U121" i="11" a="1"/>
  <c r="U121" i="11" s="1"/>
  <c r="U117" i="11" a="1"/>
  <c r="U117" i="11" s="1"/>
  <c r="U137" i="11" a="1"/>
  <c r="U137" i="11" s="1"/>
  <c r="U109" i="11" a="1"/>
  <c r="U109" i="11" s="1"/>
  <c r="U105" i="11" a="1"/>
  <c r="U105" i="11" s="1"/>
  <c r="U97" i="11" a="1"/>
  <c r="U97" i="11" s="1"/>
  <c r="U145" i="11" a="1"/>
  <c r="U145" i="11" s="1"/>
  <c r="U141" i="11" a="1"/>
  <c r="U141" i="11" s="1"/>
  <c r="U69" i="11" a="1"/>
  <c r="U69" i="11" s="1"/>
  <c r="U101" i="11" a="1"/>
  <c r="U101" i="11" s="1"/>
  <c r="U76" i="11" a="1"/>
  <c r="U76" i="11" s="1"/>
  <c r="U73" i="11" a="1"/>
  <c r="U73" i="11" s="1"/>
  <c r="U79" i="11" a="1"/>
  <c r="U79" i="11" s="1"/>
  <c r="U47" i="11" a="1"/>
  <c r="U47" i="11" s="1"/>
  <c r="U87" i="11" a="1"/>
  <c r="U87" i="11" s="1"/>
  <c r="U83" i="11" a="1"/>
  <c r="U83" i="11" s="1"/>
  <c r="U93" i="11" a="1"/>
  <c r="U93" i="11" s="1"/>
  <c r="U126" i="11" a="1"/>
  <c r="U126" i="11" s="1"/>
  <c r="U122" i="11" a="1"/>
  <c r="U122" i="11" s="1"/>
  <c r="U118" i="11" a="1"/>
  <c r="U118" i="11" s="1"/>
  <c r="U114" i="11" a="1"/>
  <c r="U114" i="11" s="1"/>
  <c r="U135" i="11" a="1"/>
  <c r="U135" i="11" s="1"/>
  <c r="U98" i="11" a="1"/>
  <c r="U98" i="11" s="1"/>
  <c r="U146" i="11" a="1"/>
  <c r="U146" i="11" s="1"/>
  <c r="U142" i="11" a="1"/>
  <c r="U142" i="11" s="1"/>
  <c r="AR144" i="11"/>
  <c r="AX144" i="11"/>
  <c r="AR140" i="11"/>
  <c r="AX140" i="11"/>
  <c r="AR145" i="11"/>
  <c r="AX145" i="11"/>
  <c r="AR146" i="11"/>
  <c r="AX146" i="11"/>
  <c r="AR138" i="11"/>
  <c r="AX138" i="11"/>
  <c r="AQ136" i="11"/>
  <c r="BE135" i="11"/>
  <c r="AQ137" i="11"/>
  <c r="BM103" i="9"/>
  <c r="AX103" i="9" s="1"/>
  <c r="AQ135" i="11"/>
  <c r="AO144" i="11"/>
  <c r="AO140" i="11"/>
  <c r="AO136" i="11"/>
  <c r="BE146" i="11"/>
  <c r="BE138" i="11"/>
  <c r="AQ147" i="11"/>
  <c r="AQ143" i="11"/>
  <c r="AL140" i="11"/>
  <c r="BD140" i="11" s="1"/>
  <c r="AQ139" i="11"/>
  <c r="AL136" i="11"/>
  <c r="BD136" i="11" s="1"/>
  <c r="AK136" i="11"/>
  <c r="BM171" i="9"/>
  <c r="AY171" i="9" s="1"/>
  <c r="AO143" i="11"/>
  <c r="BE145" i="11"/>
  <c r="AQ142" i="11"/>
  <c r="AL135" i="11"/>
  <c r="BD135" i="11" s="1"/>
  <c r="AX11" i="9"/>
  <c r="BE144" i="11"/>
  <c r="BE140" i="11"/>
  <c r="AQ141" i="11"/>
  <c r="AQ134" i="11"/>
  <c r="AR134" i="11" s="1"/>
  <c r="AO134" i="11"/>
  <c r="AN137" i="11"/>
  <c r="AR130" i="11"/>
  <c r="AX130" i="11"/>
  <c r="AR131" i="11"/>
  <c r="AX131" i="11"/>
  <c r="AR127" i="11"/>
  <c r="AX127" i="11"/>
  <c r="AR123" i="11"/>
  <c r="AX123" i="11"/>
  <c r="AR119" i="11"/>
  <c r="AX119" i="11"/>
  <c r="BM147" i="9"/>
  <c r="AX147" i="9" s="1"/>
  <c r="BE114" i="11"/>
  <c r="AQ118" i="11"/>
  <c r="BM79" i="9"/>
  <c r="AX79" i="9" s="1"/>
  <c r="AQ115" i="11"/>
  <c r="AQ116" i="11"/>
  <c r="BE115" i="11"/>
  <c r="AQ117" i="11"/>
  <c r="AL115" i="11"/>
  <c r="BD115" i="11" s="1"/>
  <c r="AR124" i="11"/>
  <c r="AX124" i="11"/>
  <c r="AQ114" i="11"/>
  <c r="BE113" i="11"/>
  <c r="AQ113" i="11"/>
  <c r="BM139" i="9"/>
  <c r="AX139" i="9" s="1"/>
  <c r="AX134" i="11"/>
  <c r="AR126" i="11"/>
  <c r="AX126" i="11"/>
  <c r="AR122" i="11"/>
  <c r="AX122" i="11"/>
  <c r="AO118" i="11"/>
  <c r="BM160" i="9"/>
  <c r="AY160" i="9" s="1"/>
  <c r="AY23" i="9"/>
  <c r="BE132" i="11"/>
  <c r="BE128" i="11"/>
  <c r="BE124" i="11"/>
  <c r="BE120" i="11"/>
  <c r="AQ133" i="11"/>
  <c r="AQ129" i="11"/>
  <c r="AQ125" i="11"/>
  <c r="AQ121" i="11"/>
  <c r="AL114" i="11"/>
  <c r="BD114" i="11" s="1"/>
  <c r="AO117" i="11"/>
  <c r="BM154" i="9"/>
  <c r="AY154" i="9" s="1"/>
  <c r="BE131" i="11"/>
  <c r="BE127" i="11"/>
  <c r="BE123" i="11"/>
  <c r="BE119" i="11"/>
  <c r="AN113" i="11"/>
  <c r="AQ132" i="11"/>
  <c r="AQ128" i="11"/>
  <c r="AQ120" i="11"/>
  <c r="AL113" i="11"/>
  <c r="BD113" i="11" s="1"/>
  <c r="AO132" i="11"/>
  <c r="AO128" i="11"/>
  <c r="AO124" i="11"/>
  <c r="AO120" i="11"/>
  <c r="AO116" i="11"/>
  <c r="AY78" i="9"/>
  <c r="AY81" i="9"/>
  <c r="BM159" i="9"/>
  <c r="AX159" i="9" s="1"/>
  <c r="BE134" i="11"/>
  <c r="BE130" i="11"/>
  <c r="BE126" i="11"/>
  <c r="BE122" i="11"/>
  <c r="AO115" i="11"/>
  <c r="AR105" i="11"/>
  <c r="AX105" i="11"/>
  <c r="AR100" i="11"/>
  <c r="AX100" i="11"/>
  <c r="AR104" i="11"/>
  <c r="AX104" i="11"/>
  <c r="AR93" i="11"/>
  <c r="AX93" i="11"/>
  <c r="AR94" i="11"/>
  <c r="AX94" i="11"/>
  <c r="AR108" i="11"/>
  <c r="AX108" i="11"/>
  <c r="AR106" i="11"/>
  <c r="AX106" i="11"/>
  <c r="AQ92" i="11"/>
  <c r="BM89" i="9"/>
  <c r="BE91" i="11"/>
  <c r="BM88" i="9"/>
  <c r="AY88" i="9" s="1"/>
  <c r="AX112" i="11"/>
  <c r="AR112" i="11"/>
  <c r="AR96" i="11"/>
  <c r="AX96" i="11"/>
  <c r="AX143" i="9"/>
  <c r="AX135" i="9"/>
  <c r="BM113" i="9"/>
  <c r="AX113" i="9" s="1"/>
  <c r="AO112" i="11"/>
  <c r="AO108" i="11"/>
  <c r="AO104" i="11"/>
  <c r="AO100" i="11"/>
  <c r="BE106" i="11"/>
  <c r="BE94" i="11"/>
  <c r="AQ111" i="11"/>
  <c r="AQ107" i="11"/>
  <c r="AQ103" i="11"/>
  <c r="AQ99" i="11"/>
  <c r="AQ95" i="11"/>
  <c r="AK92" i="11"/>
  <c r="BM141" i="9"/>
  <c r="AX141" i="9" s="1"/>
  <c r="AO107" i="11"/>
  <c r="AO103" i="11"/>
  <c r="AO99" i="11"/>
  <c r="BE105" i="11"/>
  <c r="BE101" i="11"/>
  <c r="BE97" i="11"/>
  <c r="BE93" i="11"/>
  <c r="AQ110" i="11"/>
  <c r="AQ102" i="11"/>
  <c r="AQ98" i="11"/>
  <c r="AL91" i="11"/>
  <c r="BD91" i="11" s="1"/>
  <c r="AO110" i="11"/>
  <c r="AO106" i="11"/>
  <c r="AO102" i="11"/>
  <c r="AO98" i="11"/>
  <c r="AO94" i="11"/>
  <c r="AY180" i="9"/>
  <c r="BE112" i="11"/>
  <c r="BE96" i="11"/>
  <c r="AQ109" i="11"/>
  <c r="AQ101" i="11"/>
  <c r="AQ97" i="11"/>
  <c r="BE107" i="11"/>
  <c r="BM119" i="9"/>
  <c r="AX119" i="9" s="1"/>
  <c r="AQ77" i="11"/>
  <c r="BE77" i="11"/>
  <c r="AL77" i="11"/>
  <c r="BD77" i="11" s="1"/>
  <c r="AR74" i="11"/>
  <c r="AX74" i="11"/>
  <c r="AR71" i="11"/>
  <c r="AX71" i="11"/>
  <c r="AR72" i="11"/>
  <c r="AX72" i="11"/>
  <c r="AR82" i="11"/>
  <c r="AX82" i="11"/>
  <c r="BE75" i="11"/>
  <c r="BM116" i="9"/>
  <c r="AQ75" i="11"/>
  <c r="BE69" i="11"/>
  <c r="AQ69" i="11"/>
  <c r="BM114" i="9"/>
  <c r="AX114" i="9" s="1"/>
  <c r="AQ76" i="11"/>
  <c r="BM122" i="9"/>
  <c r="AX122" i="9" s="1"/>
  <c r="BE76" i="11"/>
  <c r="BM121" i="9"/>
  <c r="AX121" i="9" s="1"/>
  <c r="AR84" i="11"/>
  <c r="AX84" i="11"/>
  <c r="BE79" i="11"/>
  <c r="BM46" i="9"/>
  <c r="AX46" i="9" s="1"/>
  <c r="BE80" i="11"/>
  <c r="BM87" i="9"/>
  <c r="AX87" i="9" s="1"/>
  <c r="AQ70" i="11"/>
  <c r="BE70" i="11"/>
  <c r="BM110" i="9"/>
  <c r="AX110" i="9" s="1"/>
  <c r="BM128" i="9"/>
  <c r="AX128" i="9" s="1"/>
  <c r="BE90" i="11"/>
  <c r="BE82" i="11"/>
  <c r="AX58" i="9"/>
  <c r="BM48" i="9"/>
  <c r="AY48" i="9" s="1"/>
  <c r="AQ87" i="11"/>
  <c r="AL84" i="11"/>
  <c r="BD84" i="11" s="1"/>
  <c r="AQ83" i="11"/>
  <c r="AL80" i="11"/>
  <c r="BD80" i="11" s="1"/>
  <c r="AL76" i="11"/>
  <c r="BD76" i="11" s="1"/>
  <c r="BE72" i="11"/>
  <c r="AO87" i="11"/>
  <c r="AO79" i="11"/>
  <c r="AO75" i="11"/>
  <c r="AQ73" i="11"/>
  <c r="AL70" i="11"/>
  <c r="BD70" i="11" s="1"/>
  <c r="BE89" i="11"/>
  <c r="BE85" i="11"/>
  <c r="BE81" i="11"/>
  <c r="BM19" i="9"/>
  <c r="AY19" i="9" s="1"/>
  <c r="AQ90" i="11"/>
  <c r="AQ86" i="11"/>
  <c r="AL79" i="11"/>
  <c r="BD79" i="11" s="1"/>
  <c r="BE71" i="11"/>
  <c r="AO90" i="11"/>
  <c r="AO86" i="11"/>
  <c r="AO78" i="11"/>
  <c r="AL69" i="11"/>
  <c r="BD69" i="11" s="1"/>
  <c r="BE84" i="11"/>
  <c r="BM124" i="9"/>
  <c r="AX124" i="9" s="1"/>
  <c r="AQ68" i="11"/>
  <c r="AR68" i="11" s="1"/>
  <c r="AX182" i="9"/>
  <c r="AQ89" i="11"/>
  <c r="AQ85" i="11"/>
  <c r="AK78" i="11"/>
  <c r="AO85" i="11"/>
  <c r="AO81" i="11"/>
  <c r="AO77" i="11"/>
  <c r="BE83" i="11"/>
  <c r="AQ88" i="11"/>
  <c r="AX60" i="11"/>
  <c r="AR60" i="11"/>
  <c r="AR56" i="11"/>
  <c r="AX56" i="11"/>
  <c r="BE48" i="11"/>
  <c r="BM69" i="9"/>
  <c r="AX69" i="9" s="1"/>
  <c r="AR64" i="11"/>
  <c r="AX64" i="11"/>
  <c r="AR65" i="11"/>
  <c r="AX65" i="11"/>
  <c r="AX57" i="11"/>
  <c r="AR57" i="11"/>
  <c r="AQ48" i="11"/>
  <c r="BE47" i="11"/>
  <c r="AQ49" i="11"/>
  <c r="AQ50" i="11"/>
  <c r="AQ47" i="11"/>
  <c r="BM55" i="9"/>
  <c r="AX55" i="9" s="1"/>
  <c r="AR52" i="11"/>
  <c r="AX52" i="11"/>
  <c r="BM4" i="9"/>
  <c r="BM33" i="9"/>
  <c r="AX33" i="9" s="1"/>
  <c r="BM107" i="9"/>
  <c r="AY107" i="9" s="1"/>
  <c r="BM101" i="9"/>
  <c r="AY98" i="9"/>
  <c r="AX168" i="9"/>
  <c r="AO68" i="11"/>
  <c r="AO64" i="11"/>
  <c r="AO60" i="11"/>
  <c r="AO56" i="11"/>
  <c r="AO52" i="11"/>
  <c r="AO48" i="11"/>
  <c r="BM50" i="9"/>
  <c r="AX50" i="9" s="1"/>
  <c r="BM108" i="9"/>
  <c r="AX133" i="9"/>
  <c r="AY152" i="9"/>
  <c r="BE66" i="11"/>
  <c r="BE62" i="11"/>
  <c r="BE58" i="11"/>
  <c r="AN48" i="11"/>
  <c r="AX130" i="9"/>
  <c r="AY176" i="9"/>
  <c r="AQ67" i="11"/>
  <c r="AQ63" i="11"/>
  <c r="AL60" i="11"/>
  <c r="BD60" i="11" s="1"/>
  <c r="AQ59" i="11"/>
  <c r="AQ55" i="11"/>
  <c r="AQ51" i="11"/>
  <c r="AL48" i="11"/>
  <c r="BD48" i="11" s="1"/>
  <c r="AX94" i="9"/>
  <c r="AX118" i="9"/>
  <c r="AY146" i="9"/>
  <c r="AO67" i="11"/>
  <c r="AO63" i="11"/>
  <c r="AO51" i="11"/>
  <c r="AY82" i="9"/>
  <c r="AY111" i="9"/>
  <c r="BM102" i="9"/>
  <c r="AX125" i="9"/>
  <c r="AY153" i="9"/>
  <c r="BE65" i="11"/>
  <c r="BE57" i="11"/>
  <c r="AN47" i="11"/>
  <c r="AY122" i="9"/>
  <c r="AX169" i="9"/>
  <c r="AQ66" i="11"/>
  <c r="AQ62" i="11"/>
  <c r="AQ58" i="11"/>
  <c r="AQ54" i="11"/>
  <c r="AL47" i="11"/>
  <c r="BD47" i="11" s="1"/>
  <c r="BM92" i="9"/>
  <c r="AX92" i="9" s="1"/>
  <c r="AY147" i="9"/>
  <c r="AX163" i="9"/>
  <c r="AO66" i="11"/>
  <c r="AO62" i="11"/>
  <c r="AO58" i="11"/>
  <c r="AO50" i="11"/>
  <c r="BE64" i="11"/>
  <c r="BE60" i="11"/>
  <c r="BE56" i="11"/>
  <c r="AX70" i="9"/>
  <c r="AQ61" i="11"/>
  <c r="AQ53" i="11"/>
  <c r="AL50" i="11"/>
  <c r="BD50" i="11" s="1"/>
  <c r="BM93" i="9"/>
  <c r="AY132" i="9"/>
  <c r="AY120" i="9"/>
  <c r="BE51" i="11"/>
  <c r="AX106" i="9"/>
  <c r="AX67" i="9"/>
  <c r="AY67" i="9"/>
  <c r="AR38" i="11"/>
  <c r="AX38" i="11"/>
  <c r="AX30" i="11"/>
  <c r="AR30" i="11"/>
  <c r="AR34" i="11"/>
  <c r="AX34" i="11"/>
  <c r="BE46" i="11"/>
  <c r="AL46" i="11"/>
  <c r="BD46" i="11" s="1"/>
  <c r="BM85" i="9"/>
  <c r="AQ46" i="11"/>
  <c r="BE37" i="11"/>
  <c r="BM74" i="9"/>
  <c r="AX74" i="9" s="1"/>
  <c r="BM73" i="9"/>
  <c r="AQ37" i="11"/>
  <c r="BM72" i="9"/>
  <c r="BE25" i="11"/>
  <c r="BM31" i="9"/>
  <c r="AX31" i="9" s="1"/>
  <c r="U28" i="11" a="1"/>
  <c r="U28" i="11" s="1"/>
  <c r="U44" i="11" a="1"/>
  <c r="U44" i="11" s="1"/>
  <c r="U33" i="11" a="1"/>
  <c r="U33" i="11" s="1"/>
  <c r="U37" i="11" a="1"/>
  <c r="U37" i="11" s="1"/>
  <c r="AR28" i="11"/>
  <c r="AX28" i="11"/>
  <c r="AO42" i="11"/>
  <c r="AO38" i="11"/>
  <c r="AO34" i="11"/>
  <c r="AO30" i="11"/>
  <c r="AO26" i="11"/>
  <c r="BM60" i="9"/>
  <c r="AY60" i="9" s="1"/>
  <c r="AY22" i="9"/>
  <c r="BM47" i="9"/>
  <c r="BM66" i="9"/>
  <c r="AN42" i="11"/>
  <c r="BE32" i="11"/>
  <c r="BE28" i="11"/>
  <c r="AN26" i="11"/>
  <c r="AY53" i="9"/>
  <c r="BM63" i="9"/>
  <c r="AX63" i="9" s="1"/>
  <c r="AY123" i="9"/>
  <c r="AX156" i="9"/>
  <c r="AN46" i="11"/>
  <c r="AL42" i="11"/>
  <c r="BD42" i="11" s="1"/>
  <c r="AQ41" i="11"/>
  <c r="AL38" i="11"/>
  <c r="BD38" i="11" s="1"/>
  <c r="AQ33" i="11"/>
  <c r="AQ29" i="11"/>
  <c r="AK26" i="11"/>
  <c r="U25" i="11" s="1" a="1"/>
  <c r="U25" i="11" s="1"/>
  <c r="AY92" i="9"/>
  <c r="AX107" i="9"/>
  <c r="AY172" i="9"/>
  <c r="AY157" i="9"/>
  <c r="AX175" i="9"/>
  <c r="AO41" i="11"/>
  <c r="AO33" i="11"/>
  <c r="AO29" i="11"/>
  <c r="AO25" i="11"/>
  <c r="BM27" i="9"/>
  <c r="AX27" i="9" s="1"/>
  <c r="BM54" i="9"/>
  <c r="AY54" i="9" s="1"/>
  <c r="AN25" i="11"/>
  <c r="AN45" i="11"/>
  <c r="AQ40" i="11"/>
  <c r="AQ36" i="11"/>
  <c r="AQ32" i="11"/>
  <c r="AL25" i="11"/>
  <c r="BD25" i="11" s="1"/>
  <c r="AQ24" i="11"/>
  <c r="AX24" i="11" s="1"/>
  <c r="AX44" i="9"/>
  <c r="BM28" i="9"/>
  <c r="AX138" i="9"/>
  <c r="AK45" i="11"/>
  <c r="AQ42" i="11" s="1"/>
  <c r="AO40" i="11"/>
  <c r="AO36" i="11"/>
  <c r="AO32" i="11"/>
  <c r="AO28" i="11"/>
  <c r="AY64" i="9"/>
  <c r="AY109" i="9"/>
  <c r="BE42" i="11"/>
  <c r="BE38" i="11"/>
  <c r="AY24" i="9"/>
  <c r="AX57" i="9"/>
  <c r="BM77" i="9"/>
  <c r="AX77" i="9" s="1"/>
  <c r="AY158" i="9"/>
  <c r="AN44" i="11"/>
  <c r="AQ39" i="11"/>
  <c r="AQ35" i="11"/>
  <c r="AQ31" i="11"/>
  <c r="BE33" i="11"/>
  <c r="BE29" i="11"/>
  <c r="AY52" i="9"/>
  <c r="AX71" i="9"/>
  <c r="AX68" i="9"/>
  <c r="AX37" i="9"/>
  <c r="AY37" i="9"/>
  <c r="BM43" i="9"/>
  <c r="BE15" i="11"/>
  <c r="BM42" i="9"/>
  <c r="AQ14" i="11"/>
  <c r="AR22" i="11"/>
  <c r="AX22" i="11"/>
  <c r="AL15" i="11"/>
  <c r="BD15" i="11" s="1"/>
  <c r="BE9" i="11"/>
  <c r="BM16" i="9"/>
  <c r="AR7" i="11"/>
  <c r="AX7" i="11"/>
  <c r="AR18" i="11"/>
  <c r="AX18" i="11"/>
  <c r="AY13" i="9"/>
  <c r="AX13" i="9"/>
  <c r="BE10" i="11"/>
  <c r="BM30" i="9"/>
  <c r="AY65" i="9"/>
  <c r="AX65" i="9"/>
  <c r="BE3" i="11"/>
  <c r="BM7" i="9"/>
  <c r="U15" i="11" a="1"/>
  <c r="U15" i="11" s="1"/>
  <c r="U11" i="11" a="1"/>
  <c r="U11" i="11" s="1"/>
  <c r="U19" i="11" a="1"/>
  <c r="U19" i="11" s="1"/>
  <c r="BM6" i="9"/>
  <c r="U20" i="11" a="1"/>
  <c r="U20" i="11" s="1"/>
  <c r="AQ3" i="11"/>
  <c r="U12" i="11" a="1"/>
  <c r="U12" i="11" s="1"/>
  <c r="U8" i="11" a="1"/>
  <c r="U8" i="11" s="1"/>
  <c r="U16" i="11" a="1"/>
  <c r="U16" i="11" s="1"/>
  <c r="BM38" i="9"/>
  <c r="BE11" i="11"/>
  <c r="AL11" i="11"/>
  <c r="BD11" i="11" s="1"/>
  <c r="BE24" i="11"/>
  <c r="BE20" i="11"/>
  <c r="BE16" i="11"/>
  <c r="BM17" i="9"/>
  <c r="AX5" i="9"/>
  <c r="BM25" i="9"/>
  <c r="AX56" i="9"/>
  <c r="AX49" i="9"/>
  <c r="AY45" i="9"/>
  <c r="AY41" i="9"/>
  <c r="AX129" i="9"/>
  <c r="AX151" i="9"/>
  <c r="AY144" i="9"/>
  <c r="AY165" i="9"/>
  <c r="AQ21" i="11"/>
  <c r="AQ17" i="11"/>
  <c r="AQ13" i="11"/>
  <c r="AL10" i="11"/>
  <c r="BD10" i="11" s="1"/>
  <c r="AO4" i="11"/>
  <c r="AY21" i="9"/>
  <c r="BM14" i="9"/>
  <c r="AX9" i="9"/>
  <c r="AY40" i="9"/>
  <c r="AY29" i="9"/>
  <c r="AY75" i="9"/>
  <c r="AY155" i="9"/>
  <c r="AO21" i="11"/>
  <c r="AO17" i="11"/>
  <c r="AO13" i="11"/>
  <c r="AO9" i="11"/>
  <c r="AK4" i="11"/>
  <c r="U17" i="11" s="1" a="1"/>
  <c r="U17" i="11" s="1"/>
  <c r="BE23" i="11"/>
  <c r="AY91" i="9"/>
  <c r="AX100" i="9"/>
  <c r="AY145" i="9"/>
  <c r="AY173" i="9"/>
  <c r="AY159" i="9"/>
  <c r="AQ20" i="11"/>
  <c r="AQ16" i="11"/>
  <c r="AQ12" i="11"/>
  <c r="AL9" i="11"/>
  <c r="BD9" i="11" s="1"/>
  <c r="AN3" i="11"/>
  <c r="AY18" i="9"/>
  <c r="BM36" i="9"/>
  <c r="AX54" i="9"/>
  <c r="AY80" i="9"/>
  <c r="AY110" i="9"/>
  <c r="AY131" i="9"/>
  <c r="AY136" i="9"/>
  <c r="AX166" i="9"/>
  <c r="AO24" i="11"/>
  <c r="AO20" i="11"/>
  <c r="AO16" i="11"/>
  <c r="AO12" i="11"/>
  <c r="AO8" i="11"/>
  <c r="AL3" i="11"/>
  <c r="BD3" i="11" s="1"/>
  <c r="BE18" i="11"/>
  <c r="AY51" i="9"/>
  <c r="AX76" i="9"/>
  <c r="AY61" i="9"/>
  <c r="AY167" i="9"/>
  <c r="AQ23" i="11"/>
  <c r="AL20" i="11"/>
  <c r="BD20" i="11" s="1"/>
  <c r="AQ19" i="11"/>
  <c r="AL16" i="11"/>
  <c r="BD16" i="11" s="1"/>
  <c r="AQ15" i="11"/>
  <c r="AL12" i="11"/>
  <c r="BD12" i="11" s="1"/>
  <c r="AO6" i="11"/>
  <c r="AK8" i="11"/>
  <c r="AL8" i="11" s="1"/>
  <c r="BD8" i="11" s="1"/>
  <c r="AY32" i="9"/>
  <c r="AX59" i="9"/>
  <c r="AX115" i="9"/>
  <c r="AX154" i="9"/>
  <c r="AY142" i="9"/>
  <c r="AY137" i="9"/>
  <c r="AY181" i="9"/>
  <c r="AY178" i="9"/>
  <c r="AO23" i="11"/>
  <c r="AO19" i="11"/>
  <c r="AO15" i="11"/>
  <c r="AO11" i="11"/>
  <c r="AL6" i="11"/>
  <c r="BD6" i="11" s="1"/>
  <c r="BE13" i="11"/>
  <c r="AX48" i="9"/>
  <c r="AX171" i="9"/>
  <c r="AY8" i="9"/>
  <c r="AX62" i="9"/>
  <c r="AY99" i="9"/>
  <c r="AY117" i="9"/>
  <c r="AQ181" i="9"/>
  <c r="BE181" i="9" s="1"/>
  <c r="AQ180" i="9"/>
  <c r="BE180" i="9" s="1"/>
  <c r="AV179" i="9" a="1"/>
  <c r="AV179" i="9" s="1"/>
  <c r="BF179" i="9" s="1"/>
  <c r="BO179" i="9" s="1"/>
  <c r="AV178" i="9" a="1"/>
  <c r="AV178" i="9" s="1"/>
  <c r="BF178" i="9" s="1"/>
  <c r="BO178" i="9" s="1"/>
  <c r="AV177" i="9" a="1"/>
  <c r="AV177" i="9" s="1"/>
  <c r="BF177" i="9" s="1"/>
  <c r="BO177" i="9" s="1"/>
  <c r="AQ174" i="9"/>
  <c r="BE174" i="9" s="1"/>
  <c r="AV176" i="9" a="1"/>
  <c r="AV176" i="9" s="1"/>
  <c r="BF176" i="9" s="1"/>
  <c r="BO176" i="9" s="1"/>
  <c r="AV175" i="9" a="1"/>
  <c r="AV175" i="9" s="1"/>
  <c r="BF175" i="9" s="1"/>
  <c r="BO175" i="9" s="1"/>
  <c r="AV174" i="9" a="1"/>
  <c r="AV174" i="9" s="1"/>
  <c r="BF174" i="9" s="1"/>
  <c r="BO174" i="9" s="1"/>
  <c r="AV182" i="9" a="1"/>
  <c r="AV182" i="9" s="1"/>
  <c r="BF182" i="9" s="1"/>
  <c r="BO182" i="9" s="1"/>
  <c r="AV181" i="9" a="1"/>
  <c r="AV181" i="9" s="1"/>
  <c r="BF181" i="9" s="1"/>
  <c r="BO181" i="9" s="1"/>
  <c r="AV180" i="9" a="1"/>
  <c r="AV180" i="9" s="1"/>
  <c r="BF180" i="9" s="1"/>
  <c r="BO180" i="9" s="1"/>
  <c r="AQ178" i="9"/>
  <c r="BE178" i="9" s="1"/>
  <c r="AQ179" i="9"/>
  <c r="BE179" i="9" s="1"/>
  <c r="AY174" i="9"/>
  <c r="AQ173" i="9"/>
  <c r="BE173" i="9" s="1"/>
  <c r="AQ162" i="9"/>
  <c r="BE162" i="9" s="1"/>
  <c r="AQ161" i="9"/>
  <c r="BE161" i="9" s="1"/>
  <c r="AV159" i="9" a="1"/>
  <c r="AV159" i="9" s="1"/>
  <c r="BF159" i="9" s="1"/>
  <c r="BO159" i="9" s="1"/>
  <c r="AV167" i="9" a="1"/>
  <c r="AV167" i="9" s="1"/>
  <c r="BF167" i="9" s="1"/>
  <c r="BO167" i="9" s="1"/>
  <c r="AV173" i="9" a="1"/>
  <c r="AV173" i="9" s="1"/>
  <c r="BF173" i="9" s="1"/>
  <c r="BO173" i="9" s="1"/>
  <c r="AV166" i="9" a="1"/>
  <c r="AV166" i="9" s="1"/>
  <c r="BF166" i="9" s="1"/>
  <c r="BO166" i="9" s="1"/>
  <c r="AV172" i="9" a="1"/>
  <c r="AV172" i="9" s="1"/>
  <c r="BF172" i="9" s="1"/>
  <c r="BO172" i="9" s="1"/>
  <c r="AV158" i="9" a="1"/>
  <c r="AV158" i="9" s="1"/>
  <c r="BF158" i="9" s="1"/>
  <c r="BO158" i="9" s="1"/>
  <c r="AV165" i="9" a="1"/>
  <c r="AV165" i="9" s="1"/>
  <c r="BF165" i="9" s="1"/>
  <c r="BO165" i="9" s="1"/>
  <c r="AV157" i="9" a="1"/>
  <c r="AV157" i="9" s="1"/>
  <c r="BF157" i="9" s="1"/>
  <c r="BO157" i="9" s="1"/>
  <c r="AV164" i="9" a="1"/>
  <c r="AV164" i="9" s="1"/>
  <c r="BF164" i="9" s="1"/>
  <c r="BO164" i="9" s="1"/>
  <c r="AV171" i="9" a="1"/>
  <c r="AV171" i="9" s="1"/>
  <c r="BF171" i="9" s="1"/>
  <c r="BO171" i="9" s="1"/>
  <c r="AV156" i="9" a="1"/>
  <c r="AV156" i="9" s="1"/>
  <c r="BF156" i="9" s="1"/>
  <c r="BO156" i="9" s="1"/>
  <c r="AV163" i="9" a="1"/>
  <c r="AV163" i="9" s="1"/>
  <c r="BF163" i="9" s="1"/>
  <c r="BO163" i="9" s="1"/>
  <c r="AV170" i="9" a="1"/>
  <c r="AV170" i="9" s="1"/>
  <c r="BF170" i="9" s="1"/>
  <c r="BO170" i="9" s="1"/>
  <c r="AV155" i="9" a="1"/>
  <c r="AV155" i="9" s="1"/>
  <c r="BF155" i="9" s="1"/>
  <c r="BO155" i="9" s="1"/>
  <c r="AV162" i="9" a="1"/>
  <c r="AV162" i="9" s="1"/>
  <c r="BF162" i="9" s="1"/>
  <c r="BO162" i="9" s="1"/>
  <c r="AV169" i="9" a="1"/>
  <c r="AV169" i="9" s="1"/>
  <c r="BF169" i="9" s="1"/>
  <c r="BO169" i="9" s="1"/>
  <c r="AV161" i="9" a="1"/>
  <c r="AV161" i="9" s="1"/>
  <c r="BF161" i="9" s="1"/>
  <c r="BO161" i="9" s="1"/>
  <c r="AQ159" i="9"/>
  <c r="BE159" i="9" s="1"/>
  <c r="AV168" i="9" a="1"/>
  <c r="AV168" i="9" s="1"/>
  <c r="BF168" i="9" s="1"/>
  <c r="BO168" i="9" s="1"/>
  <c r="AQ158" i="9"/>
  <c r="BE158" i="9" s="1"/>
  <c r="AV160" i="9" a="1"/>
  <c r="AV160" i="9" s="1"/>
  <c r="BF160" i="9" s="1"/>
  <c r="BO160" i="9" s="1"/>
  <c r="BH169" i="9"/>
  <c r="BH165" i="9"/>
  <c r="BH171" i="9"/>
  <c r="BH166" i="9"/>
  <c r="AX161" i="9"/>
  <c r="AY162" i="9"/>
  <c r="AY170" i="9"/>
  <c r="AY164" i="9"/>
  <c r="AQ170" i="9"/>
  <c r="BE170" i="9" s="1"/>
  <c r="BH170" i="9" s="1"/>
  <c r="AV140" i="9" a="1"/>
  <c r="AV140" i="9" s="1"/>
  <c r="BF140" i="9" s="1"/>
  <c r="BO140" i="9" s="1"/>
  <c r="AV149" i="9" a="1"/>
  <c r="AV149" i="9" s="1"/>
  <c r="BF149" i="9" s="1"/>
  <c r="BO149" i="9" s="1"/>
  <c r="AV148" i="9" a="1"/>
  <c r="AV148" i="9" s="1"/>
  <c r="BF148" i="9" s="1"/>
  <c r="BO148" i="9" s="1"/>
  <c r="AV139" i="9" a="1"/>
  <c r="AV139" i="9" s="1"/>
  <c r="BF139" i="9" s="1"/>
  <c r="BO139" i="9" s="1"/>
  <c r="AV147" i="9" a="1"/>
  <c r="AV147" i="9" s="1"/>
  <c r="BF147" i="9" s="1"/>
  <c r="BO147" i="9" s="1"/>
  <c r="AQ137" i="9"/>
  <c r="BE137" i="9" s="1"/>
  <c r="AV138" i="9" a="1"/>
  <c r="AV138" i="9" s="1"/>
  <c r="BF138" i="9" s="1"/>
  <c r="BO138" i="9" s="1"/>
  <c r="AV146" i="9" a="1"/>
  <c r="AV146" i="9" s="1"/>
  <c r="BF146" i="9" s="1"/>
  <c r="BO146" i="9" s="1"/>
  <c r="AV154" i="9" a="1"/>
  <c r="AV154" i="9" s="1"/>
  <c r="BF154" i="9" s="1"/>
  <c r="BO154" i="9" s="1"/>
  <c r="AV145" i="9" a="1"/>
  <c r="AV145" i="9" s="1"/>
  <c r="BF145" i="9" s="1"/>
  <c r="BO145" i="9" s="1"/>
  <c r="AV141" i="9" a="1"/>
  <c r="AV141" i="9" s="1"/>
  <c r="BF141" i="9" s="1"/>
  <c r="BO141" i="9" s="1"/>
  <c r="AV137" i="9" a="1"/>
  <c r="AV137" i="9" s="1"/>
  <c r="BF137" i="9" s="1"/>
  <c r="BO137" i="9" s="1"/>
  <c r="AV144" i="9" a="1"/>
  <c r="AV144" i="9" s="1"/>
  <c r="BF144" i="9" s="1"/>
  <c r="BO144" i="9" s="1"/>
  <c r="AV150" i="9" a="1"/>
  <c r="AV150" i="9" s="1"/>
  <c r="BF150" i="9" s="1"/>
  <c r="BO150" i="9" s="1"/>
  <c r="AV136" i="9" a="1"/>
  <c r="AV136" i="9" s="1"/>
  <c r="BF136" i="9" s="1"/>
  <c r="BO136" i="9" s="1"/>
  <c r="AV143" i="9" a="1"/>
  <c r="AV143" i="9" s="1"/>
  <c r="BF143" i="9" s="1"/>
  <c r="BO143" i="9" s="1"/>
  <c r="AV153" i="9" a="1"/>
  <c r="AV153" i="9" s="1"/>
  <c r="BF153" i="9" s="1"/>
  <c r="BO153" i="9" s="1"/>
  <c r="AV152" i="9" a="1"/>
  <c r="AV152" i="9" s="1"/>
  <c r="BF152" i="9" s="1"/>
  <c r="BO152" i="9" s="1"/>
  <c r="AV151" i="9" a="1"/>
  <c r="AV151" i="9" s="1"/>
  <c r="BF151" i="9" s="1"/>
  <c r="BO151" i="9" s="1"/>
  <c r="AV142" i="9" a="1"/>
  <c r="AV142" i="9" s="1"/>
  <c r="BF142" i="9" s="1"/>
  <c r="BO142" i="9" s="1"/>
  <c r="AY148" i="9"/>
  <c r="AY140" i="9"/>
  <c r="AY149" i="9"/>
  <c r="AY150" i="9"/>
  <c r="AQ127" i="9"/>
  <c r="BE127" i="9" s="1"/>
  <c r="AQ126" i="9"/>
  <c r="BE126" i="9" s="1"/>
  <c r="AQ134" i="9"/>
  <c r="BE134" i="9" s="1"/>
  <c r="AQ133" i="9"/>
  <c r="BE133" i="9" s="1"/>
  <c r="AV121" i="9" a="1"/>
  <c r="AV121" i="9" s="1"/>
  <c r="BF121" i="9" s="1"/>
  <c r="BO121" i="9" s="1"/>
  <c r="AV135" i="9" a="1"/>
  <c r="AV135" i="9" s="1"/>
  <c r="BF135" i="9" s="1"/>
  <c r="BO135" i="9" s="1"/>
  <c r="AV120" i="9" a="1"/>
  <c r="AV120" i="9" s="1"/>
  <c r="BF120" i="9" s="1"/>
  <c r="BO120" i="9" s="1"/>
  <c r="AV128" i="9" a="1"/>
  <c r="AV128" i="9" s="1"/>
  <c r="BF128" i="9" s="1"/>
  <c r="BO128" i="9" s="1"/>
  <c r="AV119" i="9" a="1"/>
  <c r="AV119" i="9" s="1"/>
  <c r="BF119" i="9" s="1"/>
  <c r="BO119" i="9" s="1"/>
  <c r="AV127" i="9" a="1"/>
  <c r="AV127" i="9" s="1"/>
  <c r="BF127" i="9" s="1"/>
  <c r="BO127" i="9" s="1"/>
  <c r="AV134" i="9" a="1"/>
  <c r="AV134" i="9" s="1"/>
  <c r="BF134" i="9" s="1"/>
  <c r="BO134" i="9" s="1"/>
  <c r="AQ117" i="9"/>
  <c r="BE117" i="9" s="1"/>
  <c r="AV118" i="9" a="1"/>
  <c r="AV118" i="9" s="1"/>
  <c r="BF118" i="9" s="1"/>
  <c r="AV126" i="9" a="1"/>
  <c r="AV126" i="9" s="1"/>
  <c r="BF126" i="9" s="1"/>
  <c r="BO126" i="9" s="1"/>
  <c r="AV133" i="9" a="1"/>
  <c r="AV133" i="9" s="1"/>
  <c r="BF133" i="9" s="1"/>
  <c r="BO133" i="9" s="1"/>
  <c r="AV117" i="9" a="1"/>
  <c r="AV117" i="9" s="1"/>
  <c r="BF117" i="9" s="1"/>
  <c r="BO117" i="9" s="1"/>
  <c r="AV125" i="9" a="1"/>
  <c r="AV125" i="9" s="1"/>
  <c r="BF125" i="9" s="1"/>
  <c r="BO125" i="9" s="1"/>
  <c r="AV132" i="9" a="1"/>
  <c r="AV132" i="9" s="1"/>
  <c r="BF132" i="9" s="1"/>
  <c r="BO132" i="9" s="1"/>
  <c r="AV122" i="9" a="1"/>
  <c r="AV122" i="9" s="1"/>
  <c r="BF122" i="9" s="1"/>
  <c r="BO122" i="9" s="1"/>
  <c r="AV124" i="9" a="1"/>
  <c r="AV124" i="9" s="1"/>
  <c r="BF124" i="9" s="1"/>
  <c r="BO124" i="9" s="1"/>
  <c r="AV131" i="9" a="1"/>
  <c r="AV131" i="9" s="1"/>
  <c r="BF131" i="9" s="1"/>
  <c r="BO131" i="9" s="1"/>
  <c r="AV123" i="9" a="1"/>
  <c r="AV123" i="9" s="1"/>
  <c r="BF123" i="9" s="1"/>
  <c r="BO123" i="9" s="1"/>
  <c r="AV130" i="9" a="1"/>
  <c r="AV130" i="9" s="1"/>
  <c r="BF130" i="9" s="1"/>
  <c r="BO130" i="9" s="1"/>
  <c r="AV129" i="9" a="1"/>
  <c r="AV129" i="9" s="1"/>
  <c r="BF129" i="9" s="1"/>
  <c r="BO129" i="9" s="1"/>
  <c r="BH125" i="9"/>
  <c r="AQ122" i="9"/>
  <c r="BE122" i="9" s="1"/>
  <c r="BH122" i="9" s="1"/>
  <c r="AQ121" i="9"/>
  <c r="BE121" i="9" s="1"/>
  <c r="AY134" i="9"/>
  <c r="AQ106" i="9"/>
  <c r="BE106" i="9" s="1"/>
  <c r="AQ105" i="9"/>
  <c r="BE105" i="9" s="1"/>
  <c r="AV112" i="9" a="1"/>
  <c r="AV112" i="9" s="1"/>
  <c r="BF112" i="9" s="1"/>
  <c r="BO112" i="9" s="1"/>
  <c r="AV103" i="9" a="1"/>
  <c r="AV103" i="9" s="1"/>
  <c r="BF103" i="9" s="1"/>
  <c r="BO103" i="9" s="1"/>
  <c r="AV111" i="9" a="1"/>
  <c r="AV111" i="9" s="1"/>
  <c r="BF111" i="9" s="1"/>
  <c r="BO111" i="9" s="1"/>
  <c r="AQ99" i="9"/>
  <c r="BE99" i="9" s="1"/>
  <c r="AV102" i="9" a="1"/>
  <c r="AV102" i="9" s="1"/>
  <c r="BF102" i="9" s="1"/>
  <c r="BO102" i="9" s="1"/>
  <c r="AV110" i="9" a="1"/>
  <c r="AV110" i="9" s="1"/>
  <c r="BF110" i="9" s="1"/>
  <c r="BO110" i="9" s="1"/>
  <c r="AV101" i="9" a="1"/>
  <c r="AV101" i="9" s="1"/>
  <c r="BF101" i="9" s="1"/>
  <c r="BO101" i="9" s="1"/>
  <c r="AV109" i="9" a="1"/>
  <c r="AV109" i="9" s="1"/>
  <c r="BF109" i="9" s="1"/>
  <c r="BO109" i="9" s="1"/>
  <c r="AQ98" i="9"/>
  <c r="BE98" i="9" s="1"/>
  <c r="AV100" i="9" a="1"/>
  <c r="AV100" i="9" s="1"/>
  <c r="BF100" i="9" s="1"/>
  <c r="BO100" i="9" s="1"/>
  <c r="AV108" i="9" a="1"/>
  <c r="AV108" i="9" s="1"/>
  <c r="BF108" i="9" s="1"/>
  <c r="BO108" i="9" s="1"/>
  <c r="AV99" i="9" a="1"/>
  <c r="AV99" i="9" s="1"/>
  <c r="BF99" i="9" s="1"/>
  <c r="BO99" i="9" s="1"/>
  <c r="AV116" i="9" a="1"/>
  <c r="AV116" i="9" s="1"/>
  <c r="BF116" i="9" s="1"/>
  <c r="BO116" i="9" s="1"/>
  <c r="AV107" i="9" a="1"/>
  <c r="AV107" i="9" s="1"/>
  <c r="BF107" i="9" s="1"/>
  <c r="BO107" i="9" s="1"/>
  <c r="AV115" i="9" a="1"/>
  <c r="AV115" i="9" s="1"/>
  <c r="BF115" i="9" s="1"/>
  <c r="BO115" i="9" s="1"/>
  <c r="AV113" i="9" a="1"/>
  <c r="AV113" i="9" s="1"/>
  <c r="BF113" i="9" s="1"/>
  <c r="BO113" i="9" s="1"/>
  <c r="AV98" i="9" a="1"/>
  <c r="AV98" i="9" s="1"/>
  <c r="BF98" i="9" s="1"/>
  <c r="BO98" i="9" s="1"/>
  <c r="AV106" i="9" a="1"/>
  <c r="AV106" i="9" s="1"/>
  <c r="BF106" i="9" s="1"/>
  <c r="BO106" i="9" s="1"/>
  <c r="AV114" i="9" a="1"/>
  <c r="AV114" i="9" s="1"/>
  <c r="BF114" i="9" s="1"/>
  <c r="BO114" i="9" s="1"/>
  <c r="AV105" i="9" a="1"/>
  <c r="AV105" i="9" s="1"/>
  <c r="BF105" i="9" s="1"/>
  <c r="BO105" i="9" s="1"/>
  <c r="AV104" i="9" a="1"/>
  <c r="AV104" i="9" s="1"/>
  <c r="BF104" i="9" s="1"/>
  <c r="BO104" i="9" s="1"/>
  <c r="AY104" i="9"/>
  <c r="AY113" i="9"/>
  <c r="AY105" i="9"/>
  <c r="AQ96" i="9"/>
  <c r="BE96" i="9" s="1"/>
  <c r="AQ95" i="9"/>
  <c r="BE95" i="9" s="1"/>
  <c r="AQ89" i="9"/>
  <c r="BE89" i="9" s="1"/>
  <c r="AQ88" i="9"/>
  <c r="BE88" i="9" s="1"/>
  <c r="AQ81" i="9"/>
  <c r="BE81" i="9" s="1"/>
  <c r="AQ82" i="9"/>
  <c r="BE82" i="9" s="1"/>
  <c r="AV83" i="9" a="1"/>
  <c r="AV83" i="9" s="1"/>
  <c r="BF83" i="9" s="1"/>
  <c r="BO83" i="9" s="1"/>
  <c r="AV90" i="9" a="1"/>
  <c r="AV90" i="9" s="1"/>
  <c r="BF90" i="9" s="1"/>
  <c r="BO90" i="9" s="1"/>
  <c r="AV97" i="9" a="1"/>
  <c r="AV97" i="9" s="1"/>
  <c r="BF97" i="9" s="1"/>
  <c r="BO97" i="9" s="1"/>
  <c r="AV82" i="9" a="1"/>
  <c r="AV82" i="9" s="1"/>
  <c r="BF82" i="9" s="1"/>
  <c r="BO82" i="9" s="1"/>
  <c r="AV89" i="9" a="1"/>
  <c r="AV89" i="9" s="1"/>
  <c r="BF89" i="9" s="1"/>
  <c r="BO89" i="9" s="1"/>
  <c r="AV81" i="9" a="1"/>
  <c r="AV81" i="9" s="1"/>
  <c r="BF81" i="9" s="1"/>
  <c r="BO81" i="9" s="1"/>
  <c r="AV96" i="9" a="1"/>
  <c r="AV96" i="9" s="1"/>
  <c r="BF96" i="9" s="1"/>
  <c r="BO96" i="9" s="1"/>
  <c r="AQ79" i="9"/>
  <c r="BE79" i="9" s="1"/>
  <c r="AV80" i="9" a="1"/>
  <c r="AV80" i="9" s="1"/>
  <c r="BF80" i="9" s="1"/>
  <c r="BO80" i="9" s="1"/>
  <c r="AV88" i="9" a="1"/>
  <c r="AV88" i="9" s="1"/>
  <c r="BF88" i="9" s="1"/>
  <c r="BO88" i="9" s="1"/>
  <c r="AV95" i="9" a="1"/>
  <c r="AV95" i="9" s="1"/>
  <c r="BF95" i="9" s="1"/>
  <c r="BO95" i="9" s="1"/>
  <c r="AV79" i="9" a="1"/>
  <c r="AV79" i="9" s="1"/>
  <c r="BF79" i="9" s="1"/>
  <c r="BO79" i="9" s="1"/>
  <c r="AV87" i="9" a="1"/>
  <c r="AV87" i="9" s="1"/>
  <c r="BF87" i="9" s="1"/>
  <c r="BO87" i="9" s="1"/>
  <c r="AV94" i="9" a="1"/>
  <c r="AV94" i="9" s="1"/>
  <c r="BF94" i="9" s="1"/>
  <c r="BO94" i="9" s="1"/>
  <c r="AV86" i="9" a="1"/>
  <c r="AV86" i="9" s="1"/>
  <c r="BF86" i="9" s="1"/>
  <c r="BO86" i="9" s="1"/>
  <c r="AV85" i="9" a="1"/>
  <c r="AV85" i="9" s="1"/>
  <c r="BF85" i="9" s="1"/>
  <c r="BO85" i="9" s="1"/>
  <c r="AV93" i="9" a="1"/>
  <c r="AV93" i="9" s="1"/>
  <c r="BF93" i="9" s="1"/>
  <c r="BO93" i="9" s="1"/>
  <c r="AV84" i="9" a="1"/>
  <c r="AV84" i="9" s="1"/>
  <c r="BF84" i="9" s="1"/>
  <c r="BO84" i="9" s="1"/>
  <c r="AV92" i="9" a="1"/>
  <c r="AV92" i="9" s="1"/>
  <c r="BF92" i="9" s="1"/>
  <c r="BO92" i="9" s="1"/>
  <c r="AV91" i="9" a="1"/>
  <c r="AV91" i="9" s="1"/>
  <c r="BF91" i="9" s="1"/>
  <c r="BO91" i="9" s="1"/>
  <c r="AQ84" i="9"/>
  <c r="BE84" i="9" s="1"/>
  <c r="AQ83" i="9"/>
  <c r="BE83" i="9" s="1"/>
  <c r="AX86" i="9"/>
  <c r="AQ90" i="9"/>
  <c r="BE90" i="9" s="1"/>
  <c r="AY87" i="9"/>
  <c r="AY95" i="9"/>
  <c r="AY96" i="9"/>
  <c r="AY97" i="9"/>
  <c r="AY90" i="9"/>
  <c r="AV72" i="9" a="1"/>
  <c r="AV72" i="9" s="1"/>
  <c r="BF72" i="9" s="1"/>
  <c r="BO72" i="9" s="1"/>
  <c r="AV64" i="9" a="1"/>
  <c r="AV64" i="9" s="1"/>
  <c r="BF64" i="9" s="1"/>
  <c r="BO64" i="9" s="1"/>
  <c r="AV71" i="9" a="1"/>
  <c r="AV71" i="9" s="1"/>
  <c r="BF71" i="9" s="1"/>
  <c r="BO71" i="9" s="1"/>
  <c r="AV63" i="9" a="1"/>
  <c r="AV63" i="9" s="1"/>
  <c r="BF63" i="9" s="1"/>
  <c r="BO63" i="9" s="1"/>
  <c r="AQ61" i="9"/>
  <c r="BE61" i="9" s="1"/>
  <c r="AV70" i="9" a="1"/>
  <c r="AV70" i="9" s="1"/>
  <c r="BF70" i="9" s="1"/>
  <c r="BO70" i="9" s="1"/>
  <c r="AV78" i="9" a="1"/>
  <c r="AV78" i="9" s="1"/>
  <c r="BF78" i="9" s="1"/>
  <c r="BO78" i="9" s="1"/>
  <c r="AV75" i="9" a="1"/>
  <c r="AV75" i="9" s="1"/>
  <c r="BF75" i="9" s="1"/>
  <c r="BO75" i="9" s="1"/>
  <c r="AV62" i="9" a="1"/>
  <c r="AV62" i="9" s="1"/>
  <c r="BF62" i="9" s="1"/>
  <c r="BO62" i="9" s="1"/>
  <c r="AV61" i="9" a="1"/>
  <c r="AV61" i="9" s="1"/>
  <c r="BF61" i="9" s="1"/>
  <c r="BO61" i="9" s="1"/>
  <c r="AV69" i="9" a="1"/>
  <c r="AV69" i="9" s="1"/>
  <c r="BF69" i="9" s="1"/>
  <c r="BO69" i="9" s="1"/>
  <c r="AV77" i="9" a="1"/>
  <c r="AV77" i="9" s="1"/>
  <c r="BF77" i="9" s="1"/>
  <c r="BO77" i="9" s="1"/>
  <c r="AV68" i="9" a="1"/>
  <c r="AV68" i="9" s="1"/>
  <c r="BF68" i="9" s="1"/>
  <c r="BO68" i="9" s="1"/>
  <c r="AV76" i="9" a="1"/>
  <c r="AV76" i="9" s="1"/>
  <c r="BF76" i="9" s="1"/>
  <c r="BO76" i="9" s="1"/>
  <c r="AV60" i="9" a="1"/>
  <c r="AV60" i="9" s="1"/>
  <c r="BF60" i="9" s="1"/>
  <c r="BO60" i="9" s="1"/>
  <c r="AV67" i="9" a="1"/>
  <c r="AV67" i="9" s="1"/>
  <c r="BF67" i="9" s="1"/>
  <c r="BO67" i="9" s="1"/>
  <c r="AV74" i="9" a="1"/>
  <c r="AV74" i="9" s="1"/>
  <c r="BF74" i="9" s="1"/>
  <c r="BO74" i="9" s="1"/>
  <c r="AV66" i="9" a="1"/>
  <c r="AV66" i="9" s="1"/>
  <c r="BF66" i="9" s="1"/>
  <c r="BO66" i="9" s="1"/>
  <c r="AV65" i="9" a="1"/>
  <c r="AV65" i="9" s="1"/>
  <c r="BF65" i="9" s="1"/>
  <c r="BO65" i="9" s="1"/>
  <c r="AV73" i="9" a="1"/>
  <c r="AV73" i="9" s="1"/>
  <c r="BF73" i="9" s="1"/>
  <c r="BO73" i="9" s="1"/>
  <c r="AQ72" i="9"/>
  <c r="BE72" i="9" s="1"/>
  <c r="AQ73" i="9"/>
  <c r="BE73" i="9" s="1"/>
  <c r="AQ66" i="9"/>
  <c r="BE66" i="9" s="1"/>
  <c r="AV53" i="9" a="1"/>
  <c r="AV53" i="9" s="1"/>
  <c r="BF53" i="9" s="1"/>
  <c r="BO53" i="9" s="1"/>
  <c r="AV46" i="9" a="1"/>
  <c r="AV46" i="9" s="1"/>
  <c r="BF46" i="9" s="1"/>
  <c r="BO46" i="9" s="1"/>
  <c r="AV52" i="9" a="1"/>
  <c r="AV52" i="9" s="1"/>
  <c r="BF52" i="9" s="1"/>
  <c r="BO52" i="9" s="1"/>
  <c r="AQ43" i="9"/>
  <c r="BE43" i="9" s="1"/>
  <c r="AV59" i="9" a="1"/>
  <c r="AV59" i="9" s="1"/>
  <c r="BF59" i="9" s="1"/>
  <c r="BO59" i="9" s="1"/>
  <c r="AV45" i="9" a="1"/>
  <c r="AV45" i="9" s="1"/>
  <c r="BF45" i="9" s="1"/>
  <c r="BO45" i="9" s="1"/>
  <c r="AV51" i="9" a="1"/>
  <c r="AV51" i="9" s="1"/>
  <c r="BF51" i="9" s="1"/>
  <c r="BO51" i="9" s="1"/>
  <c r="AQ42" i="9"/>
  <c r="BE42" i="9" s="1"/>
  <c r="AV44" i="9" a="1"/>
  <c r="AV44" i="9" s="1"/>
  <c r="BF44" i="9" s="1"/>
  <c r="BO44" i="9" s="1"/>
  <c r="AV58" i="9" a="1"/>
  <c r="AV58" i="9" s="1"/>
  <c r="BF58" i="9" s="1"/>
  <c r="BO58" i="9" s="1"/>
  <c r="AV43" i="9" a="1"/>
  <c r="AV43" i="9" s="1"/>
  <c r="BF43" i="9" s="1"/>
  <c r="BO43" i="9" s="1"/>
  <c r="AV50" i="9" a="1"/>
  <c r="AV50" i="9" s="1"/>
  <c r="BF50" i="9" s="1"/>
  <c r="BO50" i="9" s="1"/>
  <c r="AV57" i="9" a="1"/>
  <c r="AV57" i="9" s="1"/>
  <c r="BF57" i="9" s="1"/>
  <c r="BO57" i="9" s="1"/>
  <c r="AV42" i="9" a="1"/>
  <c r="AV42" i="9" s="1"/>
  <c r="BF42" i="9" s="1"/>
  <c r="BO42" i="9" s="1"/>
  <c r="AV49" i="9" a="1"/>
  <c r="AV49" i="9" s="1"/>
  <c r="BF49" i="9" s="1"/>
  <c r="BO49" i="9" s="1"/>
  <c r="AV41" i="9" a="1"/>
  <c r="AV41" i="9" s="1"/>
  <c r="BF41" i="9" s="1"/>
  <c r="BO41" i="9" s="1"/>
  <c r="AV56" i="9" a="1"/>
  <c r="AV56" i="9" s="1"/>
  <c r="BF56" i="9" s="1"/>
  <c r="BO56" i="9" s="1"/>
  <c r="AV48" i="9" a="1"/>
  <c r="AV48" i="9" s="1"/>
  <c r="BF48" i="9" s="1"/>
  <c r="BO48" i="9" s="1"/>
  <c r="AV47" i="9" a="1"/>
  <c r="AV47" i="9" s="1"/>
  <c r="BF47" i="9" s="1"/>
  <c r="BO47" i="9" s="1"/>
  <c r="AV55" i="9" a="1"/>
  <c r="AV55" i="9" s="1"/>
  <c r="BF55" i="9" s="1"/>
  <c r="BO55" i="9" s="1"/>
  <c r="AV54" i="9" a="1"/>
  <c r="AV54" i="9" s="1"/>
  <c r="BF54" i="9" s="1"/>
  <c r="BO54" i="9" s="1"/>
  <c r="AQ56" i="9"/>
  <c r="BE56" i="9" s="1"/>
  <c r="AY46" i="9"/>
  <c r="AQ50" i="9"/>
  <c r="BE50" i="9" s="1"/>
  <c r="AV26" i="9" a="1"/>
  <c r="AV26" i="9" s="1"/>
  <c r="BF26" i="9" s="1"/>
  <c r="BO26" i="9" s="1"/>
  <c r="AV36" i="9" a="1"/>
  <c r="AV36" i="9" s="1"/>
  <c r="BF36" i="9" s="1"/>
  <c r="BO36" i="9" s="1"/>
  <c r="AV33" i="9" a="1"/>
  <c r="AV33" i="9" s="1"/>
  <c r="BF33" i="9" s="1"/>
  <c r="BO33" i="9" s="1"/>
  <c r="AQ24" i="9"/>
  <c r="BE24" i="9" s="1"/>
  <c r="AV25" i="9" a="1"/>
  <c r="AV25" i="9" s="1"/>
  <c r="BF25" i="9" s="1"/>
  <c r="BO25" i="9" s="1"/>
  <c r="AV40" i="9" a="1"/>
  <c r="AV40" i="9" s="1"/>
  <c r="BF40" i="9" s="1"/>
  <c r="BO40" i="9" s="1"/>
  <c r="AV35" i="9" a="1"/>
  <c r="AV35" i="9" s="1"/>
  <c r="BF35" i="9" s="1"/>
  <c r="BO35" i="9" s="1"/>
  <c r="AV32" i="9" a="1"/>
  <c r="AV32" i="9" s="1"/>
  <c r="BF32" i="9" s="1"/>
  <c r="BO32" i="9" s="1"/>
  <c r="AV30" i="9" a="1"/>
  <c r="AV30" i="9" s="1"/>
  <c r="BF30" i="9" s="1"/>
  <c r="BO30" i="9" s="1"/>
  <c r="AV24" i="9" a="1"/>
  <c r="AV24" i="9" s="1"/>
  <c r="BF24" i="9" s="1"/>
  <c r="BO24" i="9" s="1"/>
  <c r="AV39" i="9" a="1"/>
  <c r="AV39" i="9" s="1"/>
  <c r="BF39" i="9" s="1"/>
  <c r="BO39" i="9" s="1"/>
  <c r="AV28" i="9" a="1"/>
  <c r="AV28" i="9" s="1"/>
  <c r="BF28" i="9" s="1"/>
  <c r="BO28" i="9" s="1"/>
  <c r="AV23" i="9" a="1"/>
  <c r="AV23" i="9" s="1"/>
  <c r="BF23" i="9" s="1"/>
  <c r="BO23" i="9" s="1"/>
  <c r="AV31" i="9" a="1"/>
  <c r="AV31" i="9" s="1"/>
  <c r="BF31" i="9" s="1"/>
  <c r="BO31" i="9" s="1"/>
  <c r="AV29" i="9" a="1"/>
  <c r="AV29" i="9" s="1"/>
  <c r="BF29" i="9" s="1"/>
  <c r="BO29" i="9" s="1"/>
  <c r="AV27" i="9" a="1"/>
  <c r="AV27" i="9" s="1"/>
  <c r="BF27" i="9" s="1"/>
  <c r="BO27" i="9" s="1"/>
  <c r="AV38" i="9" a="1"/>
  <c r="AV38" i="9" s="1"/>
  <c r="BF38" i="9" s="1"/>
  <c r="BO38" i="9" s="1"/>
  <c r="AV22" i="9" a="1"/>
  <c r="AV22" i="9" s="1"/>
  <c r="BF22" i="9" s="1"/>
  <c r="BO22" i="9" s="1"/>
  <c r="AV34" i="9" a="1"/>
  <c r="AV34" i="9" s="1"/>
  <c r="BF34" i="9" s="1"/>
  <c r="BO34" i="9" s="1"/>
  <c r="AV37" i="9" a="1"/>
  <c r="AV37" i="9" s="1"/>
  <c r="BF37" i="9" s="1"/>
  <c r="BO37" i="9" s="1"/>
  <c r="AQ27" i="9"/>
  <c r="BE27" i="9" s="1"/>
  <c r="AQ28" i="9"/>
  <c r="BE28" i="9" s="1"/>
  <c r="AY26" i="9"/>
  <c r="AY34" i="9"/>
  <c r="AY27" i="9"/>
  <c r="AY35" i="9"/>
  <c r="AQ20" i="9"/>
  <c r="BE20" i="9" s="1"/>
  <c r="AQ19" i="9"/>
  <c r="BE19" i="9" s="1"/>
  <c r="AV21" i="9" a="1"/>
  <c r="AV21" i="9" s="1"/>
  <c r="BF21" i="9" s="1"/>
  <c r="BO21" i="9" s="1"/>
  <c r="AV14" i="9" a="1"/>
  <c r="AV14" i="9" s="1"/>
  <c r="BF14" i="9" s="1"/>
  <c r="BO14" i="9" s="1"/>
  <c r="AV5" i="9" a="1"/>
  <c r="AV5" i="9" s="1"/>
  <c r="BF5" i="9" s="1"/>
  <c r="BO5" i="9" s="1"/>
  <c r="AV13" i="9" a="1"/>
  <c r="AV13" i="9" s="1"/>
  <c r="BF13" i="9" s="1"/>
  <c r="BO13" i="9" s="1"/>
  <c r="AV20" i="9" a="1"/>
  <c r="AV20" i="9" s="1"/>
  <c r="BF20" i="9" s="1"/>
  <c r="BO20" i="9" s="1"/>
  <c r="AV12" i="9" a="1"/>
  <c r="AV12" i="9" s="1"/>
  <c r="BF12" i="9" s="1"/>
  <c r="BO12" i="9" s="1"/>
  <c r="AQ3" i="9"/>
  <c r="BE3" i="9" s="1"/>
  <c r="AV4" i="9" a="1"/>
  <c r="AV4" i="9" s="1"/>
  <c r="BF4" i="9" s="1"/>
  <c r="BO4" i="9" s="1"/>
  <c r="AV19" i="9" a="1"/>
  <c r="AV19" i="9" s="1"/>
  <c r="BF19" i="9" s="1"/>
  <c r="BO19" i="9" s="1"/>
  <c r="AV11" i="9" a="1"/>
  <c r="AV11" i="9" s="1"/>
  <c r="BF11" i="9" s="1"/>
  <c r="BO11" i="9" s="1"/>
  <c r="AV3" i="9" a="1"/>
  <c r="AV3" i="9" s="1"/>
  <c r="BF3" i="9" s="1"/>
  <c r="BO3" i="9" s="1"/>
  <c r="AV18" i="9" a="1"/>
  <c r="AV18" i="9" s="1"/>
  <c r="BF18" i="9" s="1"/>
  <c r="BO18" i="9" s="1"/>
  <c r="AV10" i="9" a="1"/>
  <c r="AV10" i="9" s="1"/>
  <c r="BF10" i="9" s="1"/>
  <c r="BO10" i="9" s="1"/>
  <c r="AV9" i="9" a="1"/>
  <c r="AV9" i="9" s="1"/>
  <c r="BF9" i="9" s="1"/>
  <c r="BO9" i="9" s="1"/>
  <c r="AV8" i="9" a="1"/>
  <c r="AV8" i="9" s="1"/>
  <c r="BF8" i="9" s="1"/>
  <c r="BO8" i="9" s="1"/>
  <c r="AV17" i="9" a="1"/>
  <c r="AV17" i="9" s="1"/>
  <c r="BF17" i="9" s="1"/>
  <c r="BO17" i="9" s="1"/>
  <c r="AV16" i="9" a="1"/>
  <c r="AV16" i="9" s="1"/>
  <c r="BF16" i="9" s="1"/>
  <c r="BO16" i="9" s="1"/>
  <c r="AV7" i="9" a="1"/>
  <c r="AV7" i="9" s="1"/>
  <c r="BF7" i="9" s="1"/>
  <c r="BO7" i="9" s="1"/>
  <c r="AV15" i="9" a="1"/>
  <c r="AV15" i="9" s="1"/>
  <c r="BF15" i="9" s="1"/>
  <c r="BO15" i="9" s="1"/>
  <c r="AR6" i="9"/>
  <c r="AV6" i="9" s="1" a="1"/>
  <c r="AV6" i="9" s="1"/>
  <c r="BF6" i="9" s="1"/>
  <c r="BO6" i="9" s="1"/>
  <c r="AQ14" i="9"/>
  <c r="BE14" i="9" s="1"/>
  <c r="AQ6" i="9"/>
  <c r="BE6" i="9" s="1"/>
  <c r="AY3" i="9"/>
  <c r="AX20" i="9"/>
  <c r="AH66" i="12"/>
  <c r="BB44" i="16"/>
  <c r="BC44" i="16" s="1"/>
  <c r="E44" i="16" s="1"/>
  <c r="W17" i="16"/>
  <c r="AS49" i="16"/>
  <c r="F53" i="16"/>
  <c r="BF36" i="16"/>
  <c r="BI20" i="16"/>
  <c r="BA16" i="16"/>
  <c r="BB7" i="16"/>
  <c r="BF3" i="16"/>
  <c r="BB41" i="16"/>
  <c r="AS39" i="16"/>
  <c r="F32" i="16"/>
  <c r="BF57" i="16"/>
  <c r="BB16" i="16"/>
  <c r="BF20" i="16"/>
  <c r="W10" i="16"/>
  <c r="AS10" i="16" s="1"/>
  <c r="W36" i="16"/>
  <c r="AS36" i="16" s="1"/>
  <c r="W57" i="16"/>
  <c r="AS57" i="16" s="1"/>
  <c r="BF48" i="16"/>
  <c r="BF6" i="16"/>
  <c r="BA38" i="16"/>
  <c r="BB38" i="16" s="1"/>
  <c r="W45" i="16"/>
  <c r="W33" i="16"/>
  <c r="AS33" i="16" s="1"/>
  <c r="W59" i="16"/>
  <c r="W54" i="16"/>
  <c r="W20" i="16"/>
  <c r="BA35" i="16"/>
  <c r="BB35" i="16" s="1"/>
  <c r="BC35" i="16" s="1"/>
  <c r="BD35" i="16" s="1"/>
  <c r="BI35" i="16" s="1"/>
  <c r="BD61" i="16"/>
  <c r="BI61" i="16" s="1"/>
  <c r="W48" i="16"/>
  <c r="BA11" i="16"/>
  <c r="BF53" i="16"/>
  <c r="BA44" i="16"/>
  <c r="BF14" i="16"/>
  <c r="BB11" i="16"/>
  <c r="BD8" i="16"/>
  <c r="BB22" i="16"/>
  <c r="BF19" i="16"/>
  <c r="F40" i="16"/>
  <c r="BB34" i="16"/>
  <c r="BC60" i="16"/>
  <c r="BD60" i="16"/>
  <c r="BI60" i="16" s="1"/>
  <c r="AH53" i="16"/>
  <c r="AV53" i="16"/>
  <c r="AW53" i="16" s="1"/>
  <c r="AU53" i="16" s="1"/>
  <c r="BC46" i="16"/>
  <c r="BD46" i="16" s="1"/>
  <c r="E56" i="16"/>
  <c r="BC52" i="16"/>
  <c r="BD52" i="16" s="1"/>
  <c r="BI52" i="16" s="1"/>
  <c r="BA55" i="16"/>
  <c r="BB55" i="16" s="1"/>
  <c r="AI63" i="12"/>
  <c r="BI57" i="16"/>
  <c r="BA51" i="16"/>
  <c r="BB51" i="16" s="1"/>
  <c r="E61" i="16"/>
  <c r="BI53" i="16"/>
  <c r="BA47" i="16"/>
  <c r="BB47" i="16" s="1"/>
  <c r="AI64" i="12"/>
  <c r="BA50" i="16"/>
  <c r="BB50" i="16" s="1"/>
  <c r="BD56" i="16"/>
  <c r="BI56" i="16" s="1"/>
  <c r="W62" i="16"/>
  <c r="W58" i="16"/>
  <c r="AI65" i="12"/>
  <c r="BC41" i="16"/>
  <c r="BD41" i="16" s="1"/>
  <c r="BI41" i="16" s="1"/>
  <c r="AH26" i="16"/>
  <c r="AV26" i="16"/>
  <c r="AW26" i="16" s="1"/>
  <c r="AU26" i="16" s="1"/>
  <c r="AI26" i="12"/>
  <c r="E25" i="16"/>
  <c r="E31" i="16"/>
  <c r="AH41" i="12"/>
  <c r="AH40" i="12"/>
  <c r="E27" i="16"/>
  <c r="BC30" i="16"/>
  <c r="AS43" i="16"/>
  <c r="AV43" i="16"/>
  <c r="AW43" i="16" s="1"/>
  <c r="AU43" i="16" s="1"/>
  <c r="E37" i="16"/>
  <c r="BI36" i="16"/>
  <c r="F26" i="16"/>
  <c r="W28" i="16"/>
  <c r="AV23" i="16"/>
  <c r="AW23" i="16" s="1"/>
  <c r="AU23" i="16" s="1"/>
  <c r="BA42" i="16"/>
  <c r="BB42" i="16" s="1"/>
  <c r="BF25" i="16"/>
  <c r="BD25" i="16"/>
  <c r="BI25" i="16" s="1"/>
  <c r="AV33" i="16"/>
  <c r="AW33" i="16" s="1"/>
  <c r="AU33" i="16" s="1"/>
  <c r="BA29" i="16"/>
  <c r="BB29" i="16" s="1"/>
  <c r="BD31" i="16"/>
  <c r="BI31" i="16" s="1"/>
  <c r="BF27" i="16"/>
  <c r="BD37" i="16"/>
  <c r="BI37" i="16" s="1"/>
  <c r="BD27" i="16"/>
  <c r="BI27" i="16" s="1"/>
  <c r="BA24" i="16"/>
  <c r="BB24" i="16" s="1"/>
  <c r="W8" i="16"/>
  <c r="F8" i="16"/>
  <c r="BC5" i="16"/>
  <c r="BD5" i="16" s="1"/>
  <c r="BI5" i="16" s="1"/>
  <c r="BC11" i="16"/>
  <c r="BD11" i="16" s="1"/>
  <c r="BI11" i="16" s="1"/>
  <c r="BI8" i="16"/>
  <c r="AI8" i="12"/>
  <c r="BC22" i="16"/>
  <c r="BD22" i="16"/>
  <c r="BI22" i="16" s="1"/>
  <c r="BB4" i="16"/>
  <c r="BC7" i="16"/>
  <c r="BD7" i="16"/>
  <c r="BI7" i="16" s="1"/>
  <c r="BC16" i="16"/>
  <c r="BD16" i="16" s="1"/>
  <c r="E15" i="16"/>
  <c r="BD15" i="16"/>
  <c r="BI15" i="16" s="1"/>
  <c r="AI15" i="12"/>
  <c r="BC9" i="16"/>
  <c r="BD9" i="16" s="1"/>
  <c r="BI9" i="16" s="1"/>
  <c r="BA21" i="16"/>
  <c r="BB21" i="16" s="1"/>
  <c r="AV10" i="16"/>
  <c r="AW10" i="16" s="1"/>
  <c r="AU10" i="16" s="1"/>
  <c r="BA13" i="16"/>
  <c r="BB13" i="16" s="1"/>
  <c r="BF8" i="16"/>
  <c r="W14" i="16"/>
  <c r="W3" i="16"/>
  <c r="W6" i="16"/>
  <c r="AV19" i="16"/>
  <c r="AW19" i="16" s="1"/>
  <c r="AU19" i="16" s="1"/>
  <c r="BA4" i="16"/>
  <c r="BI3" i="16"/>
  <c r="BA18" i="16"/>
  <c r="BB18" i="16" s="1"/>
  <c r="AC57" i="12"/>
  <c r="AC58" i="12"/>
  <c r="AB69" i="12" a="1"/>
  <c r="AB69" i="12" s="1"/>
  <c r="AA69" i="12"/>
  <c r="Y64" i="12"/>
  <c r="AA61" i="12"/>
  <c r="Y56" i="12"/>
  <c r="AC56" i="12" s="1"/>
  <c r="AA53" i="12"/>
  <c r="Y48" i="12"/>
  <c r="AC48" i="12" s="1"/>
  <c r="AA45" i="12"/>
  <c r="Y40" i="12"/>
  <c r="V67" i="12"/>
  <c r="W67" i="12" s="1"/>
  <c r="V59" i="12"/>
  <c r="W59" i="12" s="1"/>
  <c r="V51" i="12"/>
  <c r="W51" i="12" s="1"/>
  <c r="V43" i="12"/>
  <c r="W43" i="12" s="1"/>
  <c r="Y69" i="12"/>
  <c r="Y61" i="12"/>
  <c r="AA50" i="12"/>
  <c r="Y45" i="12"/>
  <c r="V64" i="12"/>
  <c r="W64" i="12" s="1"/>
  <c r="V56" i="12"/>
  <c r="W56" i="12" s="1"/>
  <c r="V48" i="12"/>
  <c r="W48" i="12" s="1"/>
  <c r="V40" i="12"/>
  <c r="W40" i="12" s="1"/>
  <c r="AB70" i="12" s="1" a="1"/>
  <c r="AB70" i="12" s="1"/>
  <c r="AA47" i="12"/>
  <c r="AA39" i="12"/>
  <c r="Y71" i="12"/>
  <c r="AC71" i="12" s="1"/>
  <c r="AA68" i="12"/>
  <c r="Y63" i="12"/>
  <c r="AA60" i="12"/>
  <c r="Y55" i="12"/>
  <c r="AC55" i="12" s="1"/>
  <c r="AA52" i="12"/>
  <c r="Y47" i="12"/>
  <c r="AA44" i="12"/>
  <c r="Y39" i="12"/>
  <c r="AC39" i="12" s="1"/>
  <c r="AA65" i="12"/>
  <c r="Y60" i="12"/>
  <c r="AC60" i="12" s="1"/>
  <c r="AA57" i="12"/>
  <c r="Y52" i="12"/>
  <c r="AC51" i="12" s="1"/>
  <c r="Y44" i="12"/>
  <c r="AC44" i="12" s="1"/>
  <c r="AA41" i="12"/>
  <c r="Y68" i="12"/>
  <c r="AC67" i="12" s="1"/>
  <c r="AA54" i="12"/>
  <c r="AA67" i="12"/>
  <c r="AA59" i="12"/>
  <c r="AA51" i="12"/>
  <c r="AA43" i="12"/>
  <c r="AB4" i="12" a="1"/>
  <c r="AB4" i="12" s="1"/>
  <c r="AB12" i="12" a="1"/>
  <c r="AB12" i="12" s="1"/>
  <c r="AD12" i="12" s="1"/>
  <c r="AB20" i="12" a="1"/>
  <c r="AB20" i="12" s="1"/>
  <c r="AD20" i="12" s="1"/>
  <c r="AB28" i="12" a="1"/>
  <c r="AB28" i="12" s="1"/>
  <c r="AD28" i="12" s="1"/>
  <c r="AB36" i="12" a="1"/>
  <c r="AB36" i="12" s="1"/>
  <c r="AD36" i="12" s="1"/>
  <c r="AB7" i="12" a="1"/>
  <c r="AB7" i="12" s="1"/>
  <c r="AD7" i="12" s="1"/>
  <c r="AB15" i="12" a="1"/>
  <c r="AB15" i="12" s="1"/>
  <c r="AD15" i="12" s="1"/>
  <c r="AB23" i="12" a="1"/>
  <c r="AB23" i="12" s="1"/>
  <c r="AB31" i="12" a="1"/>
  <c r="AB31" i="12" s="1"/>
  <c r="AD31" i="12" s="1"/>
  <c r="AB10" i="12" a="1"/>
  <c r="AB10" i="12" s="1"/>
  <c r="AD10" i="12" s="1"/>
  <c r="AB18" i="12" a="1"/>
  <c r="AB18" i="12" s="1"/>
  <c r="AB26" i="12" a="1"/>
  <c r="AB26" i="12" s="1"/>
  <c r="AD26" i="12" s="1"/>
  <c r="AB34" i="12" a="1"/>
  <c r="AB34" i="12" s="1"/>
  <c r="AB5" i="12" a="1"/>
  <c r="AB5" i="12" s="1"/>
  <c r="AB13" i="12" a="1"/>
  <c r="AB13" i="12" s="1"/>
  <c r="AD13" i="12" s="1"/>
  <c r="AB21" i="12" a="1"/>
  <c r="AB21" i="12" s="1"/>
  <c r="AB29" i="12" a="1"/>
  <c r="AB29" i="12" s="1"/>
  <c r="AD29" i="12" s="1"/>
  <c r="AB37" i="12" a="1"/>
  <c r="AB37" i="12" s="1"/>
  <c r="AB8" i="12" a="1"/>
  <c r="AB8" i="12" s="1"/>
  <c r="AD8" i="12" s="1"/>
  <c r="AB16" i="12" a="1"/>
  <c r="AB16" i="12" s="1"/>
  <c r="AB24" i="12" a="1"/>
  <c r="AB24" i="12" s="1"/>
  <c r="AB32" i="12" a="1"/>
  <c r="AB32" i="12" s="1"/>
  <c r="AB3" i="12" a="1"/>
  <c r="AB3" i="12" s="1"/>
  <c r="AB11" i="12" a="1"/>
  <c r="AB11" i="12" s="1"/>
  <c r="AB19" i="12" a="1"/>
  <c r="AB19" i="12" s="1"/>
  <c r="AB27" i="12" a="1"/>
  <c r="AB27" i="12" s="1"/>
  <c r="AB35" i="12" a="1"/>
  <c r="AB35" i="12" s="1"/>
  <c r="AB6" i="12" a="1"/>
  <c r="AB6" i="12" s="1"/>
  <c r="AB14" i="12" a="1"/>
  <c r="AB14" i="12" s="1"/>
  <c r="AB22" i="12" a="1"/>
  <c r="AB22" i="12" s="1"/>
  <c r="AB30" i="12" a="1"/>
  <c r="AB30" i="12" s="1"/>
  <c r="AB38" i="12" a="1"/>
  <c r="AB38" i="12" s="1"/>
  <c r="AB9" i="12" a="1"/>
  <c r="AB9" i="12" s="1"/>
  <c r="AD9" i="12" s="1"/>
  <c r="AB17" i="12" a="1"/>
  <c r="AB17" i="12" s="1"/>
  <c r="AD17" i="12" s="1"/>
  <c r="AB25" i="12" a="1"/>
  <c r="AB25" i="12" s="1"/>
  <c r="AD25" i="12" s="1"/>
  <c r="AB33" i="12" a="1"/>
  <c r="AB33" i="12" s="1"/>
  <c r="AD33" i="12" s="1"/>
  <c r="AC38" i="12"/>
  <c r="AC30" i="12"/>
  <c r="AC22" i="12"/>
  <c r="AC14" i="12"/>
  <c r="AC6" i="12"/>
  <c r="Y4" i="12"/>
  <c r="AC35" i="12"/>
  <c r="AC27" i="12"/>
  <c r="AC19" i="12"/>
  <c r="AC11" i="12"/>
  <c r="AC32" i="12"/>
  <c r="AC24" i="12"/>
  <c r="AC16" i="12"/>
  <c r="AA3" i="12"/>
  <c r="AC37" i="12"/>
  <c r="AC21" i="12"/>
  <c r="Y3" i="12"/>
  <c r="AC3" i="12" s="1"/>
  <c r="AC34" i="12"/>
  <c r="AC18" i="12"/>
  <c r="AC23" i="12"/>
  <c r="AE86" i="10"/>
  <c r="AF86" i="10" s="1"/>
  <c r="AC70" i="10" a="1"/>
  <c r="AC70" i="10" s="1"/>
  <c r="AE70" i="10" s="1"/>
  <c r="AF70" i="10" s="1"/>
  <c r="AC79" i="10" a="1"/>
  <c r="AC79" i="10" s="1"/>
  <c r="AE79" i="10" s="1"/>
  <c r="AF79" i="10" s="1"/>
  <c r="AC80" i="10" a="1"/>
  <c r="AC80" i="10" s="1"/>
  <c r="AE80" i="10" s="1"/>
  <c r="AF80" i="10" s="1"/>
  <c r="AC51" i="10" a="1"/>
  <c r="AC51" i="10" s="1"/>
  <c r="AC81" i="10" a="1"/>
  <c r="AC81" i="10" s="1"/>
  <c r="AD84" i="10"/>
  <c r="AC82" i="10" a="1"/>
  <c r="AC82" i="10" s="1"/>
  <c r="AB81" i="10"/>
  <c r="AC68" i="10" a="1"/>
  <c r="AC68" i="10" s="1"/>
  <c r="AE68" i="10" s="1"/>
  <c r="AF68" i="10" s="1"/>
  <c r="AD88" i="10"/>
  <c r="AC83" i="10" a="1"/>
  <c r="AC83" i="10" s="1"/>
  <c r="AB82" i="10"/>
  <c r="AC50" i="10" a="1"/>
  <c r="AC50" i="10" s="1"/>
  <c r="AC84" i="10" a="1"/>
  <c r="AC84" i="10" s="1"/>
  <c r="AB83" i="10"/>
  <c r="AC88" i="10" a="1"/>
  <c r="AC88" i="10" s="1"/>
  <c r="AC87" i="10" a="1"/>
  <c r="AC87" i="10" s="1"/>
  <c r="AE87" i="10" s="1"/>
  <c r="AF87" i="10" s="1"/>
  <c r="AC85" i="10" a="1"/>
  <c r="AC85" i="10" s="1"/>
  <c r="AE85" i="10" s="1"/>
  <c r="AF85" i="10" s="1"/>
  <c r="AB84" i="10"/>
  <c r="AC48" i="10" a="1"/>
  <c r="AC48" i="10" s="1"/>
  <c r="AB88" i="10"/>
  <c r="AE50" i="10"/>
  <c r="AF50" i="10" s="1"/>
  <c r="AC52" i="10" a="1"/>
  <c r="AC52" i="10" s="1"/>
  <c r="AE52" i="10" s="1"/>
  <c r="AF52" i="10" s="1"/>
  <c r="AC69" i="10" a="1"/>
  <c r="AC69" i="10" s="1"/>
  <c r="AE69" i="10" s="1"/>
  <c r="AF69" i="10" s="1"/>
  <c r="AC54" i="10" a="1"/>
  <c r="AC54" i="10" s="1"/>
  <c r="AE54" i="10" s="1"/>
  <c r="AF54" i="10" s="1"/>
  <c r="AC72" i="10" a="1"/>
  <c r="AC72" i="10" s="1"/>
  <c r="AE72" i="10" s="1"/>
  <c r="AF72" i="10" s="1"/>
  <c r="AC55" i="10" a="1"/>
  <c r="AC55" i="10" s="1"/>
  <c r="AE55" i="10" s="1"/>
  <c r="AF55" i="10" s="1"/>
  <c r="AC56" i="10" a="1"/>
  <c r="AC56" i="10" s="1"/>
  <c r="AE56" i="10" s="1"/>
  <c r="AF56" i="10" s="1"/>
  <c r="AC74" i="10" a="1"/>
  <c r="AC74" i="10" s="1"/>
  <c r="AE74" i="10" s="1"/>
  <c r="AF74" i="10" s="1"/>
  <c r="AC57" i="10" a="1"/>
  <c r="AC57" i="10" s="1"/>
  <c r="AE57" i="10" s="1"/>
  <c r="AF57" i="10" s="1"/>
  <c r="AC41" i="10" a="1"/>
  <c r="AC41" i="10" s="1"/>
  <c r="AE41" i="10" s="1"/>
  <c r="AF41" i="10" s="1"/>
  <c r="AC53" i="10" a="1"/>
  <c r="AC53" i="10" s="1"/>
  <c r="AE53" i="10" s="1"/>
  <c r="AF53" i="10" s="1"/>
  <c r="AC12" i="10" a="1"/>
  <c r="AC12" i="10" s="1"/>
  <c r="AE12" i="10" s="1"/>
  <c r="AF12" i="10" s="1"/>
  <c r="AC59" i="10" a="1"/>
  <c r="AC59" i="10" s="1"/>
  <c r="AE59" i="10" s="1"/>
  <c r="AF59" i="10" s="1"/>
  <c r="AC58" i="10" a="1"/>
  <c r="AC58" i="10" s="1"/>
  <c r="AE58" i="10" s="1"/>
  <c r="AF58" i="10" s="1"/>
  <c r="AC42" i="10" a="1"/>
  <c r="AC42" i="10" s="1"/>
  <c r="AE42" i="10" s="1"/>
  <c r="AF42" i="10" s="1"/>
  <c r="AC76" i="10" a="1"/>
  <c r="AC76" i="10" s="1"/>
  <c r="AC60" i="10" a="1"/>
  <c r="AC60" i="10" s="1"/>
  <c r="AE60" i="10" s="1"/>
  <c r="AF60" i="10" s="1"/>
  <c r="AC43" i="10" a="1"/>
  <c r="AC43" i="10" s="1"/>
  <c r="AE43" i="10" s="1"/>
  <c r="AF43" i="10" s="1"/>
  <c r="AC71" i="10" a="1"/>
  <c r="AC71" i="10" s="1"/>
  <c r="AE71" i="10" s="1"/>
  <c r="AF71" i="10" s="1"/>
  <c r="AD63" i="10"/>
  <c r="AC61" i="10" a="1"/>
  <c r="AC61" i="10" s="1"/>
  <c r="AE61" i="10" s="1"/>
  <c r="AF61" i="10" s="1"/>
  <c r="AC44" i="10" a="1"/>
  <c r="AC44" i="10" s="1"/>
  <c r="AC29" i="10" a="1"/>
  <c r="AC29" i="10" s="1"/>
  <c r="AC77" i="10" a="1"/>
  <c r="AC77" i="10" s="1"/>
  <c r="AC78" i="10" a="1"/>
  <c r="AC78" i="10" s="1"/>
  <c r="AE78" i="10" s="1"/>
  <c r="AF78" i="10" s="1"/>
  <c r="AB77" i="10"/>
  <c r="AC62" i="10" a="1"/>
  <c r="AC62" i="10" s="1"/>
  <c r="AE62" i="10" s="1"/>
  <c r="AF62" i="10" s="1"/>
  <c r="AC45" i="10" a="1"/>
  <c r="AC45" i="10" s="1"/>
  <c r="AB44" i="10"/>
  <c r="AC73" i="10" a="1"/>
  <c r="AC73" i="10" s="1"/>
  <c r="AE73" i="10" s="1"/>
  <c r="AF73" i="10" s="1"/>
  <c r="AC13" i="10" a="1"/>
  <c r="AC13" i="10" s="1"/>
  <c r="AE13" i="10" s="1"/>
  <c r="AF13" i="10" s="1"/>
  <c r="AC63" i="10" a="1"/>
  <c r="AC63" i="10" s="1"/>
  <c r="AD48" i="10"/>
  <c r="AC46" i="10" a="1"/>
  <c r="AC46" i="10" s="1"/>
  <c r="AB45" i="10"/>
  <c r="AC10" i="10" a="1"/>
  <c r="AC10" i="10" s="1"/>
  <c r="AB76" i="10"/>
  <c r="BQ27" i="8"/>
  <c r="AC64" i="10" a="1"/>
  <c r="AC64" i="10" s="1"/>
  <c r="AE64" i="10" s="1"/>
  <c r="AF64" i="10" s="1"/>
  <c r="AB63" i="10"/>
  <c r="AE63" i="10" s="1"/>
  <c r="AF63" i="10" s="1"/>
  <c r="AC47" i="10" a="1"/>
  <c r="AC47" i="10" s="1"/>
  <c r="AB46" i="10"/>
  <c r="AC3" i="10" a="1"/>
  <c r="AC3" i="10" s="1"/>
  <c r="AE3" i="10" s="1"/>
  <c r="AF3" i="10" s="1"/>
  <c r="AC75" i="10" a="1"/>
  <c r="AC75" i="10" s="1"/>
  <c r="AE75" i="10" s="1"/>
  <c r="AF75" i="10" s="1"/>
  <c r="AC65" i="10" a="1"/>
  <c r="AC65" i="10" s="1"/>
  <c r="AE65" i="10" s="1"/>
  <c r="AF65" i="10" s="1"/>
  <c r="AB47" i="10"/>
  <c r="AC66" i="10" a="1"/>
  <c r="AC66" i="10" s="1"/>
  <c r="AE66" i="10" s="1"/>
  <c r="AF66" i="10" s="1"/>
  <c r="AD51" i="10"/>
  <c r="AC49" i="10" a="1"/>
  <c r="AC49" i="10" s="1"/>
  <c r="AE49" i="10" s="1"/>
  <c r="AF49" i="10" s="1"/>
  <c r="AB48" i="10"/>
  <c r="AC67" i="10" a="1"/>
  <c r="AC67" i="10" s="1"/>
  <c r="AE67" i="10" s="1"/>
  <c r="AF67" i="10" s="1"/>
  <c r="AD52" i="10"/>
  <c r="AE29" i="10"/>
  <c r="AF29" i="10" s="1"/>
  <c r="AE10" i="10"/>
  <c r="AF10" i="10" s="1"/>
  <c r="AC14" i="10" a="1"/>
  <c r="AC14" i="10" s="1"/>
  <c r="AE14" i="10" s="1"/>
  <c r="AF14" i="10" s="1"/>
  <c r="AC31" i="10" a="1"/>
  <c r="AC31" i="10" s="1"/>
  <c r="AE31" i="10" s="1"/>
  <c r="AF31" i="10" s="1"/>
  <c r="AC15" i="10" a="1"/>
  <c r="AC15" i="10" s="1"/>
  <c r="AE15" i="10" s="1"/>
  <c r="AF15" i="10" s="1"/>
  <c r="AD33" i="10"/>
  <c r="BQ22" i="8"/>
  <c r="AC32" i="10" a="1"/>
  <c r="AC32" i="10" s="1"/>
  <c r="AE32" i="10" s="1"/>
  <c r="AF32" i="10" s="1"/>
  <c r="AD18" i="10"/>
  <c r="AC16" i="10" a="1"/>
  <c r="AC16" i="10" s="1"/>
  <c r="AC33" i="10" a="1"/>
  <c r="AC33" i="10" s="1"/>
  <c r="AD19" i="10"/>
  <c r="AC17" i="10" a="1"/>
  <c r="AC17" i="10" s="1"/>
  <c r="AE17" i="10" s="1"/>
  <c r="AF17" i="10" s="1"/>
  <c r="AB16" i="10"/>
  <c r="AC18" i="10" a="1"/>
  <c r="AC18" i="10" s="1"/>
  <c r="AC30" i="10" a="1"/>
  <c r="AC30" i="10" s="1"/>
  <c r="AE30" i="10" s="1"/>
  <c r="AF30" i="10" s="1"/>
  <c r="AC34" i="10" a="1"/>
  <c r="AC34" i="10" s="1"/>
  <c r="AE34" i="10" s="1"/>
  <c r="AF34" i="10" s="1"/>
  <c r="BQ24" i="8"/>
  <c r="AC35" i="10" a="1"/>
  <c r="AC35" i="10" s="1"/>
  <c r="AE35" i="10" s="1"/>
  <c r="AF35" i="10" s="1"/>
  <c r="AC19" i="10" a="1"/>
  <c r="AC19" i="10" s="1"/>
  <c r="AB18" i="10"/>
  <c r="AC20" i="10" a="1"/>
  <c r="AC20" i="10" s="1"/>
  <c r="AE20" i="10" s="1"/>
  <c r="AF20" i="10" s="1"/>
  <c r="AB19" i="10"/>
  <c r="AC4" i="10" a="1"/>
  <c r="AC4" i="10" s="1"/>
  <c r="AE4" i="10" s="1"/>
  <c r="AF4" i="10" s="1"/>
  <c r="BQ25" i="8"/>
  <c r="AC36" i="10" a="1"/>
  <c r="AC36" i="10" s="1"/>
  <c r="AE36" i="10" s="1"/>
  <c r="AF36" i="10" s="1"/>
  <c r="AC37" i="10" a="1"/>
  <c r="AC37" i="10" s="1"/>
  <c r="AE37" i="10" s="1"/>
  <c r="AF37" i="10" s="1"/>
  <c r="AD23" i="10"/>
  <c r="AC21" i="10" a="1"/>
  <c r="AC21" i="10" s="1"/>
  <c r="AD7" i="10"/>
  <c r="AC5" i="10" a="1"/>
  <c r="AC5" i="10" s="1"/>
  <c r="AE5" i="10" s="1"/>
  <c r="AF5" i="10" s="1"/>
  <c r="AD24" i="10"/>
  <c r="AC22" i="10" a="1"/>
  <c r="AC22" i="10" s="1"/>
  <c r="AE22" i="10" s="1"/>
  <c r="AF22" i="10" s="1"/>
  <c r="AB21" i="10"/>
  <c r="AC6" i="10" a="1"/>
  <c r="AC6" i="10" s="1"/>
  <c r="AC23" i="10" a="1"/>
  <c r="AC23" i="10" s="1"/>
  <c r="AC7" i="10" a="1"/>
  <c r="AC7" i="10" s="1"/>
  <c r="AB6" i="10"/>
  <c r="AD26" i="10"/>
  <c r="AC24" i="10" a="1"/>
  <c r="AC24" i="10" s="1"/>
  <c r="AB23" i="10"/>
  <c r="AC8" i="10" a="1"/>
  <c r="AC8" i="10" s="1"/>
  <c r="AE8" i="10" s="1"/>
  <c r="AF8" i="10" s="1"/>
  <c r="AB7" i="10"/>
  <c r="AC39" i="10" a="1"/>
  <c r="AC39" i="10" s="1"/>
  <c r="AE39" i="10" s="1"/>
  <c r="AF39" i="10" s="1"/>
  <c r="AD27" i="10"/>
  <c r="AC25" i="10" a="1"/>
  <c r="AC25" i="10" s="1"/>
  <c r="AE25" i="10" s="1"/>
  <c r="AF25" i="10" s="1"/>
  <c r="AB24" i="10"/>
  <c r="AD11" i="10"/>
  <c r="AC9" i="10" a="1"/>
  <c r="AC9" i="10" s="1"/>
  <c r="AE9" i="10" s="1"/>
  <c r="AF9" i="10" s="1"/>
  <c r="AC26" i="10" a="1"/>
  <c r="AC26" i="10" s="1"/>
  <c r="AC38" i="10" a="1"/>
  <c r="AC38" i="10" s="1"/>
  <c r="AE38" i="10" s="1"/>
  <c r="AF38" i="10" s="1"/>
  <c r="AC40" i="10" a="1"/>
  <c r="AC40" i="10" s="1"/>
  <c r="AE40" i="10" s="1"/>
  <c r="AF40" i="10" s="1"/>
  <c r="BQ26" i="8"/>
  <c r="BQ23" i="8"/>
  <c r="AC27" i="10" a="1"/>
  <c r="AC27" i="10" s="1"/>
  <c r="AE27" i="10" s="1"/>
  <c r="AF27" i="10" s="1"/>
  <c r="AB26" i="10"/>
  <c r="AC11" i="10" a="1"/>
  <c r="AC11" i="10" s="1"/>
  <c r="AE11" i="10" s="1"/>
  <c r="AF11" i="10" s="1"/>
  <c r="AC28" i="10" a="1"/>
  <c r="AC28" i="10" s="1"/>
  <c r="AE28" i="10" s="1"/>
  <c r="AF28" i="10" s="1"/>
  <c r="BQ20" i="8"/>
  <c r="BQ21" i="8"/>
  <c r="AE123" i="13" l="1" a="1"/>
  <c r="AE123" i="13" s="1"/>
  <c r="AE127" i="13" a="1"/>
  <c r="AE127" i="13" s="1"/>
  <c r="AE121" i="13" a="1"/>
  <c r="AE121" i="13" s="1"/>
  <c r="AD119" i="13"/>
  <c r="AM120" i="13"/>
  <c r="AM122" i="13"/>
  <c r="AM124" i="13"/>
  <c r="AM126" i="13"/>
  <c r="AE125" i="13" a="1"/>
  <c r="AE125" i="13" s="1"/>
  <c r="AE119" i="13" a="1"/>
  <c r="AE119" i="13" s="1"/>
  <c r="AE126" i="13" a="1"/>
  <c r="AE126" i="13" s="1"/>
  <c r="AE122" i="13" a="1"/>
  <c r="AE122" i="13" s="1"/>
  <c r="AK119" i="13"/>
  <c r="AM119" i="13"/>
  <c r="AM121" i="13"/>
  <c r="AM123" i="13"/>
  <c r="AM125" i="13"/>
  <c r="AM127" i="13"/>
  <c r="AE124" i="13" a="1"/>
  <c r="AE124" i="13" s="1"/>
  <c r="AE120" i="13" a="1"/>
  <c r="AE120" i="13" s="1"/>
  <c r="AD121" i="13"/>
  <c r="AI121" i="13" s="1"/>
  <c r="AJ121" i="13" s="1"/>
  <c r="AK121" i="13"/>
  <c r="AD123" i="13"/>
  <c r="AI123" i="13" s="1"/>
  <c r="AJ123" i="13"/>
  <c r="AK123" i="13"/>
  <c r="AD125" i="13"/>
  <c r="AI125" i="13" s="1"/>
  <c r="AJ125" i="13" s="1"/>
  <c r="AK125" i="13"/>
  <c r="AK120" i="13"/>
  <c r="AD120" i="13"/>
  <c r="AI120" i="13" s="1"/>
  <c r="AJ120" i="13" s="1"/>
  <c r="AJ122" i="13"/>
  <c r="AK122" i="13"/>
  <c r="AD122" i="13"/>
  <c r="AI122" i="13" s="1"/>
  <c r="AJ124" i="13"/>
  <c r="AK124" i="13"/>
  <c r="AD124" i="13"/>
  <c r="AI124" i="13" s="1"/>
  <c r="AK126" i="13"/>
  <c r="AD126" i="13"/>
  <c r="AI126" i="13" s="1"/>
  <c r="AJ126" i="13" s="1"/>
  <c r="AP109" i="13"/>
  <c r="AD127" i="13"/>
  <c r="AI127" i="13" s="1"/>
  <c r="AJ127" i="13" s="1"/>
  <c r="AK127" i="13"/>
  <c r="AP119" i="13"/>
  <c r="AP121" i="13"/>
  <c r="AP123" i="13"/>
  <c r="AP125" i="13"/>
  <c r="AP127" i="13"/>
  <c r="AP120" i="13"/>
  <c r="AP122" i="13"/>
  <c r="AP124" i="13"/>
  <c r="AP126" i="13"/>
  <c r="AP112" i="13"/>
  <c r="AE97" i="13" a="1"/>
  <c r="AE97" i="13" s="1"/>
  <c r="AE98" i="13" a="1"/>
  <c r="AE98" i="13" s="1"/>
  <c r="AP111" i="13"/>
  <c r="AK113" i="13"/>
  <c r="AD113" i="13"/>
  <c r="AI113" i="13" s="1"/>
  <c r="AJ113" i="13" s="1"/>
  <c r="AK117" i="13"/>
  <c r="AD117" i="13"/>
  <c r="AI117" i="13" s="1"/>
  <c r="AJ117" i="13" s="1"/>
  <c r="AK111" i="13"/>
  <c r="AD111" i="13"/>
  <c r="AI111" i="13" s="1"/>
  <c r="AJ111" i="13" s="1"/>
  <c r="AD118" i="13"/>
  <c r="AI118" i="13" s="1"/>
  <c r="AJ118" i="13" s="1"/>
  <c r="AK118" i="13"/>
  <c r="AK115" i="13"/>
  <c r="AD115" i="13"/>
  <c r="AI115" i="13" s="1"/>
  <c r="AJ115" i="13" s="1"/>
  <c r="AD116" i="13"/>
  <c r="AI116" i="13" s="1"/>
  <c r="AJ116" i="13" s="1"/>
  <c r="AK116" i="13"/>
  <c r="AJ101" i="13"/>
  <c r="AK101" i="13"/>
  <c r="AD101" i="13"/>
  <c r="AI101" i="13" s="1"/>
  <c r="AE95" i="13" a="1"/>
  <c r="AE95" i="13" s="1"/>
  <c r="AM93" i="13"/>
  <c r="AE107" i="13" a="1"/>
  <c r="AE107" i="13" s="1"/>
  <c r="AE116" i="13" a="1"/>
  <c r="AE116" i="13" s="1"/>
  <c r="AM102" i="13"/>
  <c r="AE99" i="13" a="1"/>
  <c r="AE99" i="13" s="1"/>
  <c r="AE94" i="13" a="1"/>
  <c r="AE94" i="13" s="1"/>
  <c r="AE118" i="13" a="1"/>
  <c r="AE118" i="13" s="1"/>
  <c r="AE106" i="13" a="1"/>
  <c r="AE106" i="13" s="1"/>
  <c r="AE117" i="13" a="1"/>
  <c r="AE117" i="13" s="1"/>
  <c r="AE105" i="13" a="1"/>
  <c r="AE105" i="13" s="1"/>
  <c r="AE101" i="13" a="1"/>
  <c r="AE101" i="13" s="1"/>
  <c r="AE111" i="13" a="1"/>
  <c r="AE111" i="13" s="1"/>
  <c r="AE91" i="13" a="1"/>
  <c r="AE91" i="13" s="1"/>
  <c r="AK103" i="13"/>
  <c r="AM103" i="13"/>
  <c r="AM105" i="13"/>
  <c r="AM107" i="13"/>
  <c r="AM109" i="13"/>
  <c r="AM111" i="13"/>
  <c r="AM113" i="13"/>
  <c r="AM115" i="13"/>
  <c r="AM117" i="13"/>
  <c r="AD103" i="13"/>
  <c r="AM104" i="13"/>
  <c r="AM106" i="13"/>
  <c r="AM108" i="13"/>
  <c r="AM110" i="13"/>
  <c r="AM112" i="13"/>
  <c r="AM114" i="13"/>
  <c r="AM116" i="13"/>
  <c r="AM118" i="13"/>
  <c r="AK107" i="13"/>
  <c r="AD107" i="13"/>
  <c r="AI107" i="13" s="1"/>
  <c r="AJ107" i="13" s="1"/>
  <c r="AK109" i="13"/>
  <c r="AD109" i="13"/>
  <c r="AI109" i="13" s="1"/>
  <c r="AJ109" i="13" s="1"/>
  <c r="AM91" i="13"/>
  <c r="AE109" i="13" a="1"/>
  <c r="AE109" i="13" s="1"/>
  <c r="AN91" i="13"/>
  <c r="AI90" i="13"/>
  <c r="AJ90" i="13" s="1"/>
  <c r="AE108" i="13" a="1"/>
  <c r="AE108" i="13" s="1"/>
  <c r="AE100" i="13" a="1"/>
  <c r="AE100" i="13" s="1"/>
  <c r="AE102" i="13" a="1"/>
  <c r="AE102" i="13" s="1"/>
  <c r="AD114" i="13"/>
  <c r="AI114" i="13" s="1"/>
  <c r="AJ114" i="13" s="1"/>
  <c r="AK114" i="13"/>
  <c r="AJ97" i="13"/>
  <c r="AK97" i="13"/>
  <c r="AD97" i="13"/>
  <c r="AI97" i="13" s="1"/>
  <c r="AE114" i="13" a="1"/>
  <c r="AE114" i="13" s="1"/>
  <c r="AE92" i="13" a="1"/>
  <c r="AE92" i="13" s="1"/>
  <c r="AE90" i="13" a="1"/>
  <c r="AE90" i="13" s="1"/>
  <c r="AE110" i="13" a="1"/>
  <c r="AE110" i="13" s="1"/>
  <c r="AD96" i="13"/>
  <c r="AI96" i="13" s="1"/>
  <c r="AJ96" i="13"/>
  <c r="AK96" i="13"/>
  <c r="AM94" i="13"/>
  <c r="AD98" i="13"/>
  <c r="AI98" i="13" s="1"/>
  <c r="AJ98" i="13" s="1"/>
  <c r="AK98" i="13"/>
  <c r="AR92" i="13" s="1"/>
  <c r="AK95" i="13"/>
  <c r="AR101" i="13" s="1"/>
  <c r="AD95" i="13"/>
  <c r="AI95" i="13" s="1"/>
  <c r="AJ95" i="13" s="1"/>
  <c r="AK105" i="13"/>
  <c r="AD105" i="13"/>
  <c r="AI105" i="13" s="1"/>
  <c r="AJ105" i="13" s="1"/>
  <c r="AM92" i="13"/>
  <c r="AE112" i="13" a="1"/>
  <c r="AE112" i="13" s="1"/>
  <c r="AM100" i="13"/>
  <c r="AK99" i="13"/>
  <c r="AD99" i="13"/>
  <c r="AI99" i="13" s="1"/>
  <c r="AJ99" i="13" s="1"/>
  <c r="AM98" i="13"/>
  <c r="AE96" i="13" a="1"/>
  <c r="AE96" i="13" s="1"/>
  <c r="AD104" i="13"/>
  <c r="AI104" i="13" s="1"/>
  <c r="AJ104" i="13"/>
  <c r="AK104" i="13"/>
  <c r="AE104" i="13" a="1"/>
  <c r="AE104" i="13" s="1"/>
  <c r="AD100" i="13"/>
  <c r="AI100" i="13" s="1"/>
  <c r="AJ100" i="13" s="1"/>
  <c r="AK100" i="13"/>
  <c r="AM90" i="13"/>
  <c r="AD102" i="13"/>
  <c r="AI102" i="13" s="1"/>
  <c r="AJ102" i="13"/>
  <c r="AK102" i="13"/>
  <c r="AE115" i="13" a="1"/>
  <c r="AE115" i="13" s="1"/>
  <c r="AM99" i="13"/>
  <c r="AE113" i="13" a="1"/>
  <c r="AE113" i="13" s="1"/>
  <c r="AE93" i="13" a="1"/>
  <c r="AE93" i="13" s="1"/>
  <c r="AM97" i="13"/>
  <c r="AM96" i="13"/>
  <c r="AE103" i="13" a="1"/>
  <c r="AE103" i="13" s="1"/>
  <c r="AM101" i="13"/>
  <c r="AD106" i="13"/>
  <c r="AI106" i="13" s="1"/>
  <c r="AJ106" i="13" s="1"/>
  <c r="AK106" i="13"/>
  <c r="AR99" i="13"/>
  <c r="AM95" i="13"/>
  <c r="AD85" i="13"/>
  <c r="AI85" i="13" s="1"/>
  <c r="AJ85" i="13" s="1"/>
  <c r="AK85" i="13"/>
  <c r="AD87" i="13"/>
  <c r="AI87" i="13" s="1"/>
  <c r="AJ87" i="13" s="1"/>
  <c r="AK87" i="13"/>
  <c r="AD89" i="13"/>
  <c r="AI89" i="13" s="1"/>
  <c r="AJ89" i="13" s="1"/>
  <c r="AK89" i="13"/>
  <c r="AD63" i="13"/>
  <c r="AI63" i="13" s="1"/>
  <c r="AJ63" i="13" s="1"/>
  <c r="AK63" i="13"/>
  <c r="AD69" i="13"/>
  <c r="AI69" i="13" s="1"/>
  <c r="AJ69" i="13" s="1"/>
  <c r="AK69" i="13"/>
  <c r="AD71" i="13"/>
  <c r="AI71" i="13" s="1"/>
  <c r="AJ71" i="13" s="1"/>
  <c r="AK71" i="13"/>
  <c r="AD77" i="13"/>
  <c r="AI77" i="13" s="1"/>
  <c r="AJ77" i="13"/>
  <c r="AK77" i="13"/>
  <c r="AK72" i="13"/>
  <c r="AD72" i="13"/>
  <c r="AI72" i="13" s="1"/>
  <c r="AJ72" i="13" s="1"/>
  <c r="AD65" i="13"/>
  <c r="AI65" i="13" s="1"/>
  <c r="AJ65" i="13" s="1"/>
  <c r="AK65" i="13"/>
  <c r="AK74" i="13"/>
  <c r="AD74" i="13"/>
  <c r="AI74" i="13" s="1"/>
  <c r="AJ74" i="13" s="1"/>
  <c r="AK68" i="13"/>
  <c r="AD68" i="13"/>
  <c r="AI68" i="13" s="1"/>
  <c r="AJ68" i="13" s="1"/>
  <c r="AD67" i="13"/>
  <c r="AI67" i="13" s="1"/>
  <c r="AJ67" i="13"/>
  <c r="AK67" i="13"/>
  <c r="AD73" i="13"/>
  <c r="AI73" i="13" s="1"/>
  <c r="AJ73" i="13" s="1"/>
  <c r="AK73" i="13"/>
  <c r="AK76" i="13"/>
  <c r="AD76" i="13"/>
  <c r="AI76" i="13" s="1"/>
  <c r="AJ76" i="13" s="1"/>
  <c r="AK70" i="13"/>
  <c r="AD70" i="13"/>
  <c r="AI70" i="13" s="1"/>
  <c r="AJ70" i="13" s="1"/>
  <c r="AD75" i="13"/>
  <c r="AI75" i="13" s="1"/>
  <c r="AJ75" i="13" s="1"/>
  <c r="AK75" i="13"/>
  <c r="AK78" i="13"/>
  <c r="AM78" i="13"/>
  <c r="AM80" i="13"/>
  <c r="AM82" i="13"/>
  <c r="AM84" i="13"/>
  <c r="AM86" i="13"/>
  <c r="AM88" i="13"/>
  <c r="AD78" i="13"/>
  <c r="AM85" i="13"/>
  <c r="AM79" i="13"/>
  <c r="AM89" i="13"/>
  <c r="AM81" i="13"/>
  <c r="AM83" i="13"/>
  <c r="AM87" i="13"/>
  <c r="AJ80" i="13"/>
  <c r="AK80" i="13"/>
  <c r="AD80" i="13"/>
  <c r="AI80" i="13" s="1"/>
  <c r="AD79" i="13"/>
  <c r="AI79" i="13" s="1"/>
  <c r="AJ79" i="13"/>
  <c r="AK79" i="13"/>
  <c r="AK82" i="13"/>
  <c r="AD82" i="13"/>
  <c r="AI82" i="13" s="1"/>
  <c r="AJ82" i="13" s="1"/>
  <c r="AD81" i="13"/>
  <c r="AI81" i="13" s="1"/>
  <c r="AJ81" i="13"/>
  <c r="AK81" i="13"/>
  <c r="AK84" i="13"/>
  <c r="AD84" i="13"/>
  <c r="AI84" i="13" s="1"/>
  <c r="AJ84" i="13" s="1"/>
  <c r="AD83" i="13"/>
  <c r="AI83" i="13" s="1"/>
  <c r="AJ83" i="13"/>
  <c r="AK83" i="13"/>
  <c r="AK86" i="13"/>
  <c r="AD86" i="13"/>
  <c r="AI86" i="13" s="1"/>
  <c r="AJ86" i="13" s="1"/>
  <c r="AK88" i="13"/>
  <c r="AD88" i="13"/>
  <c r="AI88" i="13" s="1"/>
  <c r="AJ88" i="13" s="1"/>
  <c r="AK62" i="13"/>
  <c r="AD62" i="13"/>
  <c r="AI62" i="13" s="1"/>
  <c r="AJ62" i="13" s="1"/>
  <c r="AE63" i="13" a="1"/>
  <c r="AE63" i="13" s="1"/>
  <c r="AE83" i="13" a="1"/>
  <c r="AE83" i="13" s="1"/>
  <c r="AE65" i="13" a="1"/>
  <c r="AE65" i="13" s="1"/>
  <c r="AE87" i="13" a="1"/>
  <c r="AE87" i="13" s="1"/>
  <c r="AE73" i="13" a="1"/>
  <c r="AE73" i="13" s="1"/>
  <c r="AE89" i="13" a="1"/>
  <c r="AE89" i="13" s="1"/>
  <c r="AE75" i="13" a="1"/>
  <c r="AE75" i="13" s="1"/>
  <c r="AE81" i="13" a="1"/>
  <c r="AE81" i="13" s="1"/>
  <c r="AE67" i="13" a="1"/>
  <c r="AE67" i="13" s="1"/>
  <c r="AE79" i="13" a="1"/>
  <c r="AE79" i="13" s="1"/>
  <c r="AE71" i="13" a="1"/>
  <c r="AE71" i="13" s="1"/>
  <c r="AE78" i="13" a="1"/>
  <c r="AE78" i="13" s="1"/>
  <c r="AD61" i="13"/>
  <c r="AM62" i="13"/>
  <c r="AM64" i="13"/>
  <c r="AM66" i="13"/>
  <c r="AM68" i="13"/>
  <c r="AM70" i="13"/>
  <c r="AM72" i="13"/>
  <c r="AM74" i="13"/>
  <c r="AM76" i="13"/>
  <c r="AE69" i="13" a="1"/>
  <c r="AE69" i="13" s="1"/>
  <c r="AE80" i="13" a="1"/>
  <c r="AE80" i="13" s="1"/>
  <c r="AE61" i="13" a="1"/>
  <c r="AE61" i="13" s="1"/>
  <c r="AE77" i="13" a="1"/>
  <c r="AE77" i="13" s="1"/>
  <c r="AE85" i="13" a="1"/>
  <c r="AE85" i="13" s="1"/>
  <c r="AM63" i="13"/>
  <c r="AE74" i="13" a="1"/>
  <c r="AE74" i="13" s="1"/>
  <c r="AE84" i="13" a="1"/>
  <c r="AE84" i="13" s="1"/>
  <c r="AM65" i="13"/>
  <c r="AM71" i="13"/>
  <c r="AE66" i="13" a="1"/>
  <c r="AE66" i="13" s="1"/>
  <c r="AM67" i="13"/>
  <c r="AM75" i="13"/>
  <c r="AE68" i="13" a="1"/>
  <c r="AE68" i="13" s="1"/>
  <c r="AK61" i="13"/>
  <c r="AM61" i="13"/>
  <c r="AM69" i="13"/>
  <c r="AM77" i="13"/>
  <c r="AE72" i="13" a="1"/>
  <c r="AE72" i="13" s="1"/>
  <c r="AE86" i="13" a="1"/>
  <c r="AE86" i="13" s="1"/>
  <c r="AE82" i="13" a="1"/>
  <c r="AE82" i="13" s="1"/>
  <c r="AM73" i="13"/>
  <c r="AE70" i="13" a="1"/>
  <c r="AE70" i="13" s="1"/>
  <c r="AE88" i="13" a="1"/>
  <c r="AE88" i="13" s="1"/>
  <c r="AE62" i="13" a="1"/>
  <c r="AE62" i="13" s="1"/>
  <c r="AE64" i="13" a="1"/>
  <c r="AE64" i="13" s="1"/>
  <c r="AE76" i="13" a="1"/>
  <c r="AE76" i="13" s="1"/>
  <c r="AJ64" i="13"/>
  <c r="AK64" i="13"/>
  <c r="AD64" i="13"/>
  <c r="AI64" i="13" s="1"/>
  <c r="AJ66" i="13"/>
  <c r="AK66" i="13"/>
  <c r="AD66" i="13"/>
  <c r="AI66" i="13" s="1"/>
  <c r="AD42" i="13"/>
  <c r="AI42" i="13" s="1"/>
  <c r="AJ42" i="13" s="1"/>
  <c r="AK42" i="13"/>
  <c r="AD44" i="13"/>
  <c r="AI44" i="13" s="1"/>
  <c r="AJ44" i="13" s="1"/>
  <c r="AK44" i="13"/>
  <c r="AD40" i="13"/>
  <c r="AI40" i="13" s="1"/>
  <c r="AJ40" i="13" s="1"/>
  <c r="AK40" i="13"/>
  <c r="AD46" i="13"/>
  <c r="AI46" i="13" s="1"/>
  <c r="AJ46" i="13" s="1"/>
  <c r="AK46" i="13"/>
  <c r="AK45" i="13"/>
  <c r="AD45" i="13"/>
  <c r="AI45" i="13" s="1"/>
  <c r="AJ45" i="13" s="1"/>
  <c r="AD48" i="13"/>
  <c r="AI48" i="13" s="1"/>
  <c r="AJ48" i="13" s="1"/>
  <c r="AK48" i="13"/>
  <c r="AD50" i="13"/>
  <c r="AI50" i="13" s="1"/>
  <c r="AJ50" i="13"/>
  <c r="AK50" i="13"/>
  <c r="AK55" i="13"/>
  <c r="AD55" i="13"/>
  <c r="AI55" i="13" s="1"/>
  <c r="AJ55" i="13" s="1"/>
  <c r="AJ43" i="13"/>
  <c r="AK43" i="13"/>
  <c r="AD43" i="13"/>
  <c r="AI43" i="13" s="1"/>
  <c r="AD52" i="13"/>
  <c r="AI52" i="13" s="1"/>
  <c r="AJ52" i="13"/>
  <c r="AK52" i="13"/>
  <c r="AJ57" i="13"/>
  <c r="AK57" i="13"/>
  <c r="AD57" i="13"/>
  <c r="AI57" i="13" s="1"/>
  <c r="AD54" i="13"/>
  <c r="AI54" i="13" s="1"/>
  <c r="AJ54" i="13" s="1"/>
  <c r="AK54" i="13"/>
  <c r="AK59" i="13"/>
  <c r="AD59" i="13"/>
  <c r="AI59" i="13" s="1"/>
  <c r="AJ59" i="13" s="1"/>
  <c r="AD38" i="13"/>
  <c r="AI38" i="13" s="1"/>
  <c r="AJ38" i="13"/>
  <c r="AK38" i="13"/>
  <c r="AD56" i="13"/>
  <c r="AI56" i="13" s="1"/>
  <c r="AJ56" i="13"/>
  <c r="AK56" i="13"/>
  <c r="AD58" i="13"/>
  <c r="AI58" i="13" s="1"/>
  <c r="AJ58" i="13"/>
  <c r="AK58" i="13"/>
  <c r="AD60" i="13"/>
  <c r="AI60" i="13" s="1"/>
  <c r="AJ60" i="13" s="1"/>
  <c r="AK60" i="13"/>
  <c r="AJ33" i="13"/>
  <c r="AK33" i="13"/>
  <c r="AD33" i="13"/>
  <c r="AI33" i="13" s="1"/>
  <c r="AD36" i="13"/>
  <c r="AI36" i="13" s="1"/>
  <c r="AJ36" i="13" s="1"/>
  <c r="AK36" i="13"/>
  <c r="AJ37" i="13"/>
  <c r="AK37" i="13"/>
  <c r="AD37" i="13"/>
  <c r="AI37" i="13" s="1"/>
  <c r="AE44" i="13" a="1"/>
  <c r="AE44" i="13" s="1"/>
  <c r="AE36" i="13" a="1"/>
  <c r="AE36" i="13" s="1"/>
  <c r="AE60" i="13" a="1"/>
  <c r="AE60" i="13" s="1"/>
  <c r="AE42" i="13" a="1"/>
  <c r="AE42" i="13" s="1"/>
  <c r="AE56" i="13" a="1"/>
  <c r="AE56" i="13" s="1"/>
  <c r="AE34" i="13" a="1"/>
  <c r="AE34" i="13" s="1"/>
  <c r="AE54" i="13" a="1"/>
  <c r="AE54" i="13" s="1"/>
  <c r="AE46" i="13" a="1"/>
  <c r="AE46" i="13" s="1"/>
  <c r="AE52" i="13" a="1"/>
  <c r="AE52" i="13" s="1"/>
  <c r="AE38" i="13" a="1"/>
  <c r="AE38" i="13" s="1"/>
  <c r="AE50" i="13" a="1"/>
  <c r="AE50" i="13" s="1"/>
  <c r="AD32" i="13"/>
  <c r="AM33" i="13"/>
  <c r="AM35" i="13"/>
  <c r="AM37" i="13"/>
  <c r="AM39" i="13"/>
  <c r="AM41" i="13"/>
  <c r="AM43" i="13"/>
  <c r="AM45" i="13"/>
  <c r="AM47" i="13"/>
  <c r="AM49" i="13"/>
  <c r="AM51" i="13"/>
  <c r="AE40" i="13" a="1"/>
  <c r="AE40" i="13" s="1"/>
  <c r="AE58" i="13" a="1"/>
  <c r="AE58" i="13" s="1"/>
  <c r="AE32" i="13" a="1"/>
  <c r="AE32" i="13" s="1"/>
  <c r="AE48" i="13" a="1"/>
  <c r="AE48" i="13" s="1"/>
  <c r="AE39" i="13" a="1"/>
  <c r="AE39" i="13" s="1"/>
  <c r="AE53" i="13" a="1"/>
  <c r="AE53" i="13" s="1"/>
  <c r="AM34" i="13"/>
  <c r="AE45" i="13" a="1"/>
  <c r="AE45" i="13" s="1"/>
  <c r="AE59" i="13" a="1"/>
  <c r="AE59" i="13" s="1"/>
  <c r="AE37" i="13" a="1"/>
  <c r="AE37" i="13" s="1"/>
  <c r="AE57" i="13" a="1"/>
  <c r="AE57" i="13" s="1"/>
  <c r="AM32" i="13"/>
  <c r="AM38" i="13"/>
  <c r="AM44" i="13"/>
  <c r="AE41" i="13" a="1"/>
  <c r="AE41" i="13" s="1"/>
  <c r="AE51" i="13" a="1"/>
  <c r="AE51" i="13" s="1"/>
  <c r="AK32" i="13"/>
  <c r="AM36" i="13"/>
  <c r="AM42" i="13"/>
  <c r="AM48" i="13"/>
  <c r="AM52" i="13"/>
  <c r="AE35" i="13" a="1"/>
  <c r="AE35" i="13" s="1"/>
  <c r="AE55" i="13" a="1"/>
  <c r="AE55" i="13" s="1"/>
  <c r="AM40" i="13"/>
  <c r="AM46" i="13"/>
  <c r="AM50" i="13"/>
  <c r="AE43" i="13" a="1"/>
  <c r="AE43" i="13" s="1"/>
  <c r="AE49" i="13" a="1"/>
  <c r="AE49" i="13" s="1"/>
  <c r="AE33" i="13" a="1"/>
  <c r="AE33" i="13" s="1"/>
  <c r="AE47" i="13" a="1"/>
  <c r="AE47" i="13" s="1"/>
  <c r="AD34" i="13"/>
  <c r="AI34" i="13" s="1"/>
  <c r="AJ34" i="13"/>
  <c r="AK34" i="13"/>
  <c r="AK39" i="13"/>
  <c r="AD39" i="13"/>
  <c r="AI39" i="13" s="1"/>
  <c r="AJ39" i="13" s="1"/>
  <c r="AP30" i="13"/>
  <c r="AJ47" i="13"/>
  <c r="AK47" i="13"/>
  <c r="AD47" i="13"/>
  <c r="AI47" i="13" s="1"/>
  <c r="AK35" i="13"/>
  <c r="AD35" i="13"/>
  <c r="AI35" i="13" s="1"/>
  <c r="AJ35" i="13" s="1"/>
  <c r="AJ49" i="13"/>
  <c r="AK49" i="13"/>
  <c r="AD49" i="13"/>
  <c r="AI49" i="13" s="1"/>
  <c r="AP28" i="13"/>
  <c r="AP32" i="13"/>
  <c r="AP34" i="13"/>
  <c r="AP36" i="13"/>
  <c r="AP38" i="13"/>
  <c r="AP40" i="13"/>
  <c r="AP42" i="13"/>
  <c r="AP44" i="13"/>
  <c r="AP46" i="13"/>
  <c r="AP48" i="13"/>
  <c r="AP50" i="13"/>
  <c r="AP52" i="13"/>
  <c r="AP33" i="13"/>
  <c r="AP35" i="13"/>
  <c r="AP37" i="13"/>
  <c r="AP39" i="13"/>
  <c r="AP41" i="13"/>
  <c r="AP43" i="13"/>
  <c r="AP45" i="13"/>
  <c r="AP47" i="13"/>
  <c r="AP49" i="13"/>
  <c r="AP51" i="13"/>
  <c r="AK51" i="13"/>
  <c r="AD51" i="13"/>
  <c r="AI51" i="13" s="1"/>
  <c r="AJ51" i="13" s="1"/>
  <c r="AP31" i="13"/>
  <c r="AK53" i="13"/>
  <c r="AM53" i="13"/>
  <c r="AM55" i="13"/>
  <c r="AM57" i="13"/>
  <c r="AM59" i="13"/>
  <c r="AD53" i="13"/>
  <c r="AM60" i="13"/>
  <c r="AM54" i="13"/>
  <c r="AM58" i="13"/>
  <c r="AM56" i="13"/>
  <c r="AP54" i="13"/>
  <c r="AP56" i="13"/>
  <c r="AP58" i="13"/>
  <c r="AP60" i="13"/>
  <c r="AP55" i="13"/>
  <c r="AP57" i="13"/>
  <c r="AP59" i="13"/>
  <c r="AJ41" i="13"/>
  <c r="AK41" i="13"/>
  <c r="AD41" i="13"/>
  <c r="AI41" i="13" s="1"/>
  <c r="AD26" i="13"/>
  <c r="AI26" i="13" s="1"/>
  <c r="AJ26" i="13"/>
  <c r="AK26" i="13"/>
  <c r="AD19" i="13"/>
  <c r="AI19" i="13" s="1"/>
  <c r="AJ19" i="13" s="1"/>
  <c r="AK19" i="13"/>
  <c r="AD10" i="13"/>
  <c r="AI10" i="13" s="1"/>
  <c r="AJ10" i="13" s="1"/>
  <c r="AK10" i="13"/>
  <c r="AD30" i="13"/>
  <c r="AI30" i="13" s="1"/>
  <c r="AJ30" i="13" s="1"/>
  <c r="AK30" i="13"/>
  <c r="AP17" i="13"/>
  <c r="AP10" i="13"/>
  <c r="AP26" i="13"/>
  <c r="AP3" i="13"/>
  <c r="AP19" i="13"/>
  <c r="AP12" i="13"/>
  <c r="AP5" i="13"/>
  <c r="AP21" i="13"/>
  <c r="AP14" i="13"/>
  <c r="AP7" i="13"/>
  <c r="AP23" i="13"/>
  <c r="AP25" i="13"/>
  <c r="AP16" i="13"/>
  <c r="AP9" i="13"/>
  <c r="AP18" i="13"/>
  <c r="AP27" i="13"/>
  <c r="AP11" i="13"/>
  <c r="AP4" i="13"/>
  <c r="AP20" i="13"/>
  <c r="AP13" i="13"/>
  <c r="AP6" i="13"/>
  <c r="AP22" i="13"/>
  <c r="AP15" i="13"/>
  <c r="AP8" i="13"/>
  <c r="AP24" i="13"/>
  <c r="AD6" i="13"/>
  <c r="AI6" i="13" s="1"/>
  <c r="AJ6" i="13"/>
  <c r="AK6" i="13"/>
  <c r="AD5" i="13"/>
  <c r="AI5" i="13" s="1"/>
  <c r="AJ5" i="13"/>
  <c r="AK5" i="13"/>
  <c r="AK11" i="13"/>
  <c r="AD11" i="13"/>
  <c r="AI11" i="13" s="1"/>
  <c r="AJ11" i="13" s="1"/>
  <c r="AI14" i="13"/>
  <c r="AJ14" i="13" s="1"/>
  <c r="AD12" i="13"/>
  <c r="AI12" i="13" s="1"/>
  <c r="AJ12" i="13" s="1"/>
  <c r="AK12" i="13"/>
  <c r="AE8" i="13" a="1"/>
  <c r="AE8" i="13" s="1"/>
  <c r="AE24" i="13" a="1"/>
  <c r="AE24" i="13" s="1"/>
  <c r="AD3" i="13"/>
  <c r="AE26" i="13" a="1"/>
  <c r="AE26" i="13" s="1"/>
  <c r="AE19" i="13" a="1"/>
  <c r="AE19" i="13" s="1"/>
  <c r="AE12" i="13" a="1"/>
  <c r="AE12" i="13" s="1"/>
  <c r="AE31" i="13" a="1"/>
  <c r="AE31" i="13" s="1"/>
  <c r="AM6" i="13"/>
  <c r="AE21" i="13" a="1"/>
  <c r="AE21" i="13" s="1"/>
  <c r="AE14" i="13" a="1"/>
  <c r="AE14" i="13" s="1"/>
  <c r="AE7" i="13" a="1"/>
  <c r="AE7" i="13" s="1"/>
  <c r="AE23" i="13" a="1"/>
  <c r="AE23" i="13" s="1"/>
  <c r="AK3" i="13"/>
  <c r="AE16" i="13" a="1"/>
  <c r="AE16" i="13" s="1"/>
  <c r="AE9" i="13" a="1"/>
  <c r="AE9" i="13" s="1"/>
  <c r="AM10" i="13"/>
  <c r="AE25" i="13" a="1"/>
  <c r="AE25" i="13" s="1"/>
  <c r="AM3" i="13"/>
  <c r="AE18" i="13" a="1"/>
  <c r="AE18" i="13" s="1"/>
  <c r="AM19" i="13"/>
  <c r="AD22" i="13"/>
  <c r="AI22" i="13" s="1"/>
  <c r="AK22" i="13"/>
  <c r="AJ22" i="13"/>
  <c r="AJ27" i="13"/>
  <c r="AK27" i="13"/>
  <c r="AD27" i="13"/>
  <c r="AI27" i="13" s="1"/>
  <c r="AJ25" i="13"/>
  <c r="AK25" i="13"/>
  <c r="AD25" i="13"/>
  <c r="AI25" i="13" s="1"/>
  <c r="AC29" i="13"/>
  <c r="AM28" i="13" s="1"/>
  <c r="AC31" i="13"/>
  <c r="AI17" i="13"/>
  <c r="AJ17" i="13" s="1"/>
  <c r="AD28" i="13"/>
  <c r="AM29" i="13"/>
  <c r="AM31" i="13"/>
  <c r="AK28" i="13"/>
  <c r="AC4" i="13"/>
  <c r="AM23" i="13" s="1"/>
  <c r="AY121" i="9"/>
  <c r="AY55" i="9"/>
  <c r="AY114" i="9"/>
  <c r="AY79" i="9"/>
  <c r="AY74" i="9"/>
  <c r="AY124" i="9"/>
  <c r="AX19" i="9"/>
  <c r="AX88" i="9"/>
  <c r="AY141" i="9"/>
  <c r="AR142" i="11"/>
  <c r="AX142" i="11"/>
  <c r="AY139" i="9"/>
  <c r="AR137" i="11"/>
  <c r="AX137" i="11"/>
  <c r="AR136" i="11"/>
  <c r="AX136" i="11"/>
  <c r="AY31" i="9"/>
  <c r="BE136" i="11"/>
  <c r="BM112" i="9"/>
  <c r="AX135" i="11"/>
  <c r="AR135" i="11"/>
  <c r="AX139" i="11"/>
  <c r="AR139" i="11"/>
  <c r="AR143" i="11"/>
  <c r="AX143" i="11"/>
  <c r="AY103" i="9"/>
  <c r="AR147" i="11"/>
  <c r="AX147" i="11"/>
  <c r="AY50" i="9"/>
  <c r="AR141" i="11"/>
  <c r="AX141" i="11"/>
  <c r="AR116" i="11"/>
  <c r="AX116" i="11"/>
  <c r="AR115" i="11"/>
  <c r="AX115" i="11"/>
  <c r="AR118" i="11"/>
  <c r="AX118" i="11"/>
  <c r="AY119" i="9"/>
  <c r="AX121" i="11"/>
  <c r="AR121" i="11"/>
  <c r="AX125" i="11"/>
  <c r="AR125" i="11"/>
  <c r="AR129" i="11"/>
  <c r="AX129" i="11"/>
  <c r="AX113" i="11"/>
  <c r="AR113" i="11"/>
  <c r="AR133" i="11"/>
  <c r="AX133" i="11"/>
  <c r="AR114" i="11"/>
  <c r="AX114" i="11"/>
  <c r="AX160" i="9"/>
  <c r="AR120" i="11"/>
  <c r="AX120" i="11"/>
  <c r="AR128" i="11"/>
  <c r="AX128" i="11"/>
  <c r="AR132" i="11"/>
  <c r="AX132" i="11"/>
  <c r="AX117" i="11"/>
  <c r="AR117" i="11"/>
  <c r="AR110" i="11"/>
  <c r="AX110" i="11"/>
  <c r="AY89" i="9"/>
  <c r="AX89" i="9"/>
  <c r="AR97" i="11"/>
  <c r="AX97" i="11"/>
  <c r="AR101" i="11"/>
  <c r="AX101" i="11"/>
  <c r="AR109" i="11"/>
  <c r="AX109" i="11"/>
  <c r="BM127" i="9"/>
  <c r="BE92" i="11"/>
  <c r="BM126" i="9"/>
  <c r="AL92" i="11"/>
  <c r="BD92" i="11" s="1"/>
  <c r="AX68" i="11"/>
  <c r="AX95" i="11"/>
  <c r="AR95" i="11"/>
  <c r="AR99" i="11"/>
  <c r="AX99" i="11"/>
  <c r="AR103" i="11"/>
  <c r="AX103" i="11"/>
  <c r="AR98" i="11"/>
  <c r="AX98" i="11"/>
  <c r="AX107" i="11"/>
  <c r="AR107" i="11"/>
  <c r="AQ91" i="11"/>
  <c r="AR92" i="11"/>
  <c r="AX92" i="11"/>
  <c r="AY33" i="9"/>
  <c r="AR102" i="11"/>
  <c r="AX102" i="11"/>
  <c r="AR111" i="11"/>
  <c r="AX111" i="11"/>
  <c r="AX89" i="11"/>
  <c r="AR89" i="11"/>
  <c r="AX75" i="11"/>
  <c r="AR75" i="11"/>
  <c r="AR73" i="11"/>
  <c r="AX73" i="11"/>
  <c r="AX116" i="9"/>
  <c r="AY116" i="9"/>
  <c r="AR70" i="11"/>
  <c r="AX70" i="11"/>
  <c r="AR88" i="11"/>
  <c r="AX88" i="11"/>
  <c r="AX83" i="11"/>
  <c r="AR83" i="11"/>
  <c r="AY128" i="9"/>
  <c r="AR86" i="11"/>
  <c r="AX86" i="11"/>
  <c r="AR87" i="11"/>
  <c r="AX87" i="11"/>
  <c r="AR90" i="11"/>
  <c r="AX90" i="11"/>
  <c r="AQ80" i="11"/>
  <c r="AQ81" i="11"/>
  <c r="BM12" i="9"/>
  <c r="AQ78" i="11"/>
  <c r="AQ79" i="11"/>
  <c r="BE78" i="11"/>
  <c r="AR76" i="11"/>
  <c r="AX76" i="11"/>
  <c r="AY69" i="9"/>
  <c r="AL78" i="11"/>
  <c r="BD78" i="11" s="1"/>
  <c r="AR77" i="11"/>
  <c r="AX77" i="11"/>
  <c r="AR85" i="11"/>
  <c r="AX85" i="11"/>
  <c r="AX69" i="11"/>
  <c r="AR69" i="11"/>
  <c r="AR24" i="11"/>
  <c r="AX63" i="11"/>
  <c r="AR63" i="11"/>
  <c r="AR48" i="11"/>
  <c r="AX48" i="11"/>
  <c r="AY102" i="9"/>
  <c r="AX102" i="9"/>
  <c r="AR67" i="11"/>
  <c r="AX67" i="11"/>
  <c r="AY77" i="9"/>
  <c r="AY63" i="9"/>
  <c r="AY93" i="9"/>
  <c r="AX93" i="9"/>
  <c r="AR54" i="11"/>
  <c r="AX54" i="11"/>
  <c r="AY101" i="9"/>
  <c r="AX101" i="9"/>
  <c r="AR53" i="11"/>
  <c r="AX53" i="11"/>
  <c r="AR58" i="11"/>
  <c r="AX58" i="11"/>
  <c r="AX61" i="11"/>
  <c r="AR61" i="11"/>
  <c r="AX62" i="11"/>
  <c r="AR62" i="11"/>
  <c r="AR66" i="11"/>
  <c r="AX66" i="11"/>
  <c r="AY4" i="9"/>
  <c r="AX4" i="9"/>
  <c r="AX108" i="9"/>
  <c r="AY108" i="9"/>
  <c r="AR51" i="11"/>
  <c r="AX51" i="11"/>
  <c r="AX47" i="11"/>
  <c r="AR47" i="11"/>
  <c r="AX55" i="11"/>
  <c r="AR55" i="11"/>
  <c r="AR50" i="11"/>
  <c r="AX50" i="11"/>
  <c r="AR59" i="11"/>
  <c r="AX59" i="11"/>
  <c r="AR49" i="11"/>
  <c r="AX49" i="11"/>
  <c r="AR42" i="11"/>
  <c r="AX42" i="11"/>
  <c r="AR31" i="11"/>
  <c r="AX31" i="11"/>
  <c r="U39" i="11" a="1"/>
  <c r="U39" i="11" s="1"/>
  <c r="AY73" i="9"/>
  <c r="AX73" i="9"/>
  <c r="AR36" i="11"/>
  <c r="AX36" i="11"/>
  <c r="AQ25" i="11"/>
  <c r="AR40" i="11"/>
  <c r="AX40" i="11"/>
  <c r="AX29" i="11"/>
  <c r="AR29" i="11"/>
  <c r="AY47" i="9"/>
  <c r="AX47" i="9"/>
  <c r="U13" i="11" a="1"/>
  <c r="U13" i="11" s="1"/>
  <c r="AQ44" i="11"/>
  <c r="U43" i="11" a="1"/>
  <c r="U43" i="11" s="1"/>
  <c r="AX60" i="9"/>
  <c r="AL45" i="11"/>
  <c r="BD45" i="11" s="1"/>
  <c r="AQ27" i="11"/>
  <c r="U45" i="11" a="1"/>
  <c r="U45" i="11" s="1"/>
  <c r="U42" i="11" a="1"/>
  <c r="U42" i="11" s="1"/>
  <c r="AR46" i="11"/>
  <c r="AX46" i="11"/>
  <c r="U30" i="11" a="1"/>
  <c r="U30" i="11" s="1"/>
  <c r="AY85" i="9"/>
  <c r="AX85" i="9"/>
  <c r="U26" i="11" a="1"/>
  <c r="U26" i="11" s="1"/>
  <c r="U46" i="11" a="1"/>
  <c r="U46" i="11" s="1"/>
  <c r="U38" i="11" a="1"/>
  <c r="U38" i="11" s="1"/>
  <c r="AR33" i="11"/>
  <c r="AX33" i="11"/>
  <c r="AY66" i="9"/>
  <c r="AX66" i="9"/>
  <c r="U32" i="11" a="1"/>
  <c r="U32" i="11" s="1"/>
  <c r="U34" i="11" a="1"/>
  <c r="U34" i="11" s="1"/>
  <c r="AR41" i="11"/>
  <c r="AX41" i="11"/>
  <c r="U36" i="11" a="1"/>
  <c r="U36" i="11" s="1"/>
  <c r="AQ26" i="11"/>
  <c r="U40" i="11" a="1"/>
  <c r="U40" i="11" s="1"/>
  <c r="U41" i="11" a="1"/>
  <c r="U41" i="11" s="1"/>
  <c r="AR35" i="11"/>
  <c r="AX35" i="11"/>
  <c r="BE45" i="11"/>
  <c r="BM83" i="9"/>
  <c r="BM84" i="9"/>
  <c r="AQ45" i="11"/>
  <c r="U29" i="11" a="1"/>
  <c r="U29" i="11" s="1"/>
  <c r="U31" i="11" a="1"/>
  <c r="U31" i="11" s="1"/>
  <c r="AR32" i="11"/>
  <c r="AX32" i="11"/>
  <c r="BE26" i="11"/>
  <c r="BM39" i="9"/>
  <c r="AL26" i="11"/>
  <c r="BD26" i="11" s="1"/>
  <c r="U27" i="11" a="1"/>
  <c r="U27" i="11" s="1"/>
  <c r="AQ43" i="11"/>
  <c r="AY28" i="9"/>
  <c r="AX28" i="9"/>
  <c r="AX72" i="9"/>
  <c r="AY72" i="9"/>
  <c r="U5" i="11" a="1"/>
  <c r="U5" i="11" s="1"/>
  <c r="AX39" i="11"/>
  <c r="AR39" i="11"/>
  <c r="U35" i="11" a="1"/>
  <c r="U35" i="11" s="1"/>
  <c r="AX37" i="11"/>
  <c r="AR37" i="11"/>
  <c r="U22" i="11" a="1"/>
  <c r="U22" i="11" s="1"/>
  <c r="U4" i="11" a="1"/>
  <c r="U4" i="11" s="1"/>
  <c r="AR23" i="11"/>
  <c r="AX23" i="11"/>
  <c r="AX14" i="9"/>
  <c r="AY14" i="9"/>
  <c r="AR19" i="11"/>
  <c r="AX19" i="11"/>
  <c r="AX25" i="9"/>
  <c r="AY25" i="9"/>
  <c r="AX3" i="11"/>
  <c r="AR3" i="11"/>
  <c r="BE4" i="11"/>
  <c r="BM15" i="9"/>
  <c r="U9" i="11" a="1"/>
  <c r="U9" i="11" s="1"/>
  <c r="AL4" i="11"/>
  <c r="BD4" i="11" s="1"/>
  <c r="U6" i="11" a="1"/>
  <c r="U6" i="11" s="1"/>
  <c r="AY36" i="9"/>
  <c r="AX36" i="9"/>
  <c r="AX13" i="11"/>
  <c r="AR13" i="11"/>
  <c r="AX17" i="9"/>
  <c r="AY17" i="9"/>
  <c r="AX6" i="9"/>
  <c r="AY6" i="9"/>
  <c r="AX17" i="11"/>
  <c r="AR17" i="11"/>
  <c r="U21" i="11" a="1"/>
  <c r="U21" i="11" s="1"/>
  <c r="AY16" i="9"/>
  <c r="AX16" i="9"/>
  <c r="AR21" i="11"/>
  <c r="AX21" i="11"/>
  <c r="AQ4" i="11"/>
  <c r="AR12" i="11"/>
  <c r="AX12" i="11"/>
  <c r="AQ6" i="11"/>
  <c r="U7" i="11" a="1"/>
  <c r="U7" i="11" s="1"/>
  <c r="U3" i="11" a="1"/>
  <c r="U3" i="11" s="1"/>
  <c r="AR14" i="11"/>
  <c r="AX14" i="11"/>
  <c r="U23" i="11" a="1"/>
  <c r="U23" i="11" s="1"/>
  <c r="AR20" i="11"/>
  <c r="AX20" i="11"/>
  <c r="AY38" i="9"/>
  <c r="AX38" i="9"/>
  <c r="AX7" i="9"/>
  <c r="AY7" i="9"/>
  <c r="AX42" i="9"/>
  <c r="AY42" i="9"/>
  <c r="AQ10" i="11"/>
  <c r="AQ11" i="11"/>
  <c r="AQ8" i="11"/>
  <c r="BM10" i="9"/>
  <c r="AQ9" i="11"/>
  <c r="BE8" i="11"/>
  <c r="AR16" i="11"/>
  <c r="AX16" i="11"/>
  <c r="AR15" i="11"/>
  <c r="AX15" i="11"/>
  <c r="U14" i="11" a="1"/>
  <c r="U14" i="11" s="1"/>
  <c r="U10" i="11" a="1"/>
  <c r="U10" i="11" s="1"/>
  <c r="AX30" i="9"/>
  <c r="AY30" i="9"/>
  <c r="AX43" i="9"/>
  <c r="AY43" i="9"/>
  <c r="U18" i="11" a="1"/>
  <c r="U18" i="11" s="1"/>
  <c r="U24" i="11" a="1"/>
  <c r="U24" i="11" s="1"/>
  <c r="AQ5" i="11"/>
  <c r="BH173" i="9"/>
  <c r="BH158" i="9"/>
  <c r="AT158" i="9" s="1"/>
  <c r="AW158" i="9" s="1"/>
  <c r="BI158" i="9" s="1"/>
  <c r="BH174" i="9"/>
  <c r="BH177" i="9"/>
  <c r="BH180" i="9"/>
  <c r="BH181" i="9"/>
  <c r="BH176" i="9"/>
  <c r="BH179" i="9"/>
  <c r="BH175" i="9"/>
  <c r="BH178" i="9"/>
  <c r="BH182" i="9"/>
  <c r="AT165" i="9"/>
  <c r="AW165" i="9" s="1"/>
  <c r="BI165" i="9" s="1"/>
  <c r="BK165" i="9"/>
  <c r="AT169" i="9"/>
  <c r="AW169" i="9" s="1"/>
  <c r="BI169" i="9" s="1"/>
  <c r="BK169" i="9" s="1"/>
  <c r="BH144" i="9"/>
  <c r="BK144" i="9" s="1"/>
  <c r="BH159" i="9"/>
  <c r="AT170" i="9"/>
  <c r="AW170" i="9" s="1"/>
  <c r="BI170" i="9" s="1"/>
  <c r="BK170" i="9" s="1"/>
  <c r="BH161" i="9"/>
  <c r="BH162" i="9"/>
  <c r="BH168" i="9"/>
  <c r="BH160" i="9"/>
  <c r="BH157" i="9"/>
  <c r="BH172" i="9"/>
  <c r="AT166" i="9"/>
  <c r="AW166" i="9" s="1"/>
  <c r="BI166" i="9" s="1"/>
  <c r="BK166" i="9" s="1"/>
  <c r="BH163" i="9"/>
  <c r="AT171" i="9"/>
  <c r="AW171" i="9" s="1"/>
  <c r="BI171" i="9" s="1"/>
  <c r="BK171" i="9"/>
  <c r="BH156" i="9"/>
  <c r="BH155" i="9"/>
  <c r="BH164" i="9"/>
  <c r="AT173" i="9"/>
  <c r="AW173" i="9" s="1"/>
  <c r="BI173" i="9" s="1"/>
  <c r="BK173" i="9" s="1"/>
  <c r="BH167" i="9"/>
  <c r="BH146" i="9"/>
  <c r="BH133" i="9"/>
  <c r="BH150" i="9"/>
  <c r="BH141" i="9"/>
  <c r="BH153" i="9"/>
  <c r="BH29" i="9"/>
  <c r="AT29" i="9" s="1"/>
  <c r="AW29" i="9" s="1"/>
  <c r="BI29" i="9" s="1"/>
  <c r="BK29" i="9" s="1"/>
  <c r="BH140" i="9"/>
  <c r="BH145" i="9"/>
  <c r="BH152" i="9"/>
  <c r="BH136" i="9"/>
  <c r="BH137" i="9"/>
  <c r="BH149" i="9"/>
  <c r="AT144" i="9"/>
  <c r="AW144" i="9" s="1"/>
  <c r="BI144" i="9" s="1"/>
  <c r="BH151" i="9"/>
  <c r="BH139" i="9"/>
  <c r="BH143" i="9"/>
  <c r="BH148" i="9"/>
  <c r="BH154" i="9"/>
  <c r="BH138" i="9"/>
  <c r="BH142" i="9"/>
  <c r="BH147" i="9"/>
  <c r="AT133" i="9"/>
  <c r="AW133" i="9" s="1"/>
  <c r="BI133" i="9" s="1"/>
  <c r="BK133" i="9" s="1"/>
  <c r="BH134" i="9"/>
  <c r="BH107" i="9"/>
  <c r="AT107" i="9" s="1"/>
  <c r="AW107" i="9" s="1"/>
  <c r="BI107" i="9" s="1"/>
  <c r="BK107" i="9" s="1"/>
  <c r="BH124" i="9"/>
  <c r="BH110" i="9"/>
  <c r="AT110" i="9" s="1"/>
  <c r="AW110" i="9" s="1"/>
  <c r="BI110" i="9" s="1"/>
  <c r="BK110" i="9" s="1"/>
  <c r="BH128" i="9"/>
  <c r="BH94" i="9"/>
  <c r="AT94" i="9" s="1"/>
  <c r="AW94" i="9" s="1"/>
  <c r="BI94" i="9" s="1"/>
  <c r="BK94" i="9" s="1"/>
  <c r="BH132" i="9"/>
  <c r="BH120" i="9"/>
  <c r="BH123" i="9"/>
  <c r="BO118" i="9"/>
  <c r="BH118" i="9"/>
  <c r="BH131" i="9"/>
  <c r="BH117" i="9"/>
  <c r="BH119" i="9"/>
  <c r="BH121" i="9"/>
  <c r="BH135" i="9"/>
  <c r="AT122" i="9"/>
  <c r="AW122" i="9" s="1"/>
  <c r="BI122" i="9" s="1"/>
  <c r="BK122" i="9" s="1"/>
  <c r="BH130" i="9"/>
  <c r="AT125" i="9"/>
  <c r="AW125" i="9" s="1"/>
  <c r="BI125" i="9" s="1"/>
  <c r="BK125" i="9" s="1"/>
  <c r="BH126" i="9"/>
  <c r="BH127" i="9"/>
  <c r="BH129" i="9"/>
  <c r="BH101" i="9"/>
  <c r="BH114" i="9"/>
  <c r="BH100" i="9"/>
  <c r="BH109" i="9"/>
  <c r="BH113" i="9"/>
  <c r="BH98" i="9"/>
  <c r="BH104" i="9"/>
  <c r="BH66" i="9"/>
  <c r="AT66" i="9" s="1"/>
  <c r="AW66" i="9" s="1"/>
  <c r="BI66" i="9" s="1"/>
  <c r="BK66" i="9" s="1"/>
  <c r="BH103" i="9"/>
  <c r="BH27" i="9"/>
  <c r="AT27" i="9" s="1"/>
  <c r="AW27" i="9" s="1"/>
  <c r="BI27" i="9" s="1"/>
  <c r="BK27" i="9" s="1"/>
  <c r="BH108" i="9"/>
  <c r="BH115" i="9"/>
  <c r="BH102" i="9"/>
  <c r="BH67" i="9"/>
  <c r="AT67" i="9" s="1"/>
  <c r="AW67" i="9" s="1"/>
  <c r="BI67" i="9" s="1"/>
  <c r="BK67" i="9" s="1"/>
  <c r="BH105" i="9"/>
  <c r="BH70" i="9"/>
  <c r="BH99" i="9"/>
  <c r="BH106" i="9"/>
  <c r="BH116" i="9"/>
  <c r="BH87" i="9"/>
  <c r="AT87" i="9" s="1"/>
  <c r="AW87" i="9" s="1"/>
  <c r="BI87" i="9" s="1"/>
  <c r="BK87" i="9" s="1"/>
  <c r="BH111" i="9"/>
  <c r="BH112" i="9"/>
  <c r="BH86" i="9"/>
  <c r="BH82" i="9"/>
  <c r="BH58" i="9"/>
  <c r="AT58" i="9" s="1"/>
  <c r="AW58" i="9" s="1"/>
  <c r="BI58" i="9" s="1"/>
  <c r="BK58" i="9" s="1"/>
  <c r="BH81" i="9"/>
  <c r="BH73" i="9"/>
  <c r="BH85" i="9"/>
  <c r="BH72" i="9"/>
  <c r="AT72" i="9" s="1"/>
  <c r="AW72" i="9" s="1"/>
  <c r="BI72" i="9" s="1"/>
  <c r="BK72" i="9" s="1"/>
  <c r="BH97" i="9"/>
  <c r="BH68" i="9"/>
  <c r="AT68" i="9" s="1"/>
  <c r="AW68" i="9" s="1"/>
  <c r="BI68" i="9" s="1"/>
  <c r="BK68" i="9" s="1"/>
  <c r="BH93" i="9"/>
  <c r="BH64" i="9"/>
  <c r="AT64" i="9" s="1"/>
  <c r="AW64" i="9" s="1"/>
  <c r="BI64" i="9" s="1"/>
  <c r="BK64" i="9" s="1"/>
  <c r="BH90" i="9"/>
  <c r="BH79" i="9"/>
  <c r="BH88" i="9"/>
  <c r="BH75" i="9"/>
  <c r="AT75" i="9" s="1"/>
  <c r="AW75" i="9" s="1"/>
  <c r="BI75" i="9" s="1"/>
  <c r="BK75" i="9" s="1"/>
  <c r="BH89" i="9"/>
  <c r="BH63" i="9"/>
  <c r="AT63" i="9" s="1"/>
  <c r="AW63" i="9" s="1"/>
  <c r="BI63" i="9" s="1"/>
  <c r="BH83" i="9"/>
  <c r="BH95" i="9"/>
  <c r="BH71" i="9"/>
  <c r="AT71" i="9" s="1"/>
  <c r="AW71" i="9" s="1"/>
  <c r="BI71" i="9" s="1"/>
  <c r="BK71" i="9" s="1"/>
  <c r="BH84" i="9"/>
  <c r="BH96" i="9"/>
  <c r="BH92" i="9"/>
  <c r="BH78" i="9"/>
  <c r="AT78" i="9" s="1"/>
  <c r="AW78" i="9" s="1"/>
  <c r="BI78" i="9" s="1"/>
  <c r="BH80" i="9"/>
  <c r="BH91" i="9"/>
  <c r="BH62" i="9"/>
  <c r="BH33" i="9"/>
  <c r="AT33" i="9" s="1"/>
  <c r="AW33" i="9" s="1"/>
  <c r="BI33" i="9" s="1"/>
  <c r="BK33" i="9" s="1"/>
  <c r="BH36" i="9"/>
  <c r="AT36" i="9" s="1"/>
  <c r="AW36" i="9" s="1"/>
  <c r="BI36" i="9" s="1"/>
  <c r="BK36" i="9" s="1"/>
  <c r="BH54" i="9"/>
  <c r="BH77" i="9"/>
  <c r="BH61" i="9"/>
  <c r="BH22" i="9"/>
  <c r="AT22" i="9" s="1"/>
  <c r="AW22" i="9" s="1"/>
  <c r="BI22" i="9" s="1"/>
  <c r="BK22" i="9" s="1"/>
  <c r="BH59" i="9"/>
  <c r="AT59" i="9" s="1"/>
  <c r="AW59" i="9" s="1"/>
  <c r="BI59" i="9" s="1"/>
  <c r="BK59" i="9" s="1"/>
  <c r="AT73" i="9"/>
  <c r="AW73" i="9" s="1"/>
  <c r="BI73" i="9" s="1"/>
  <c r="BK73" i="9" s="1"/>
  <c r="BH65" i="9"/>
  <c r="BH69" i="9"/>
  <c r="BH76" i="9"/>
  <c r="BH60" i="9"/>
  <c r="BH74" i="9"/>
  <c r="BH46" i="9"/>
  <c r="BH53" i="9"/>
  <c r="BH45" i="9"/>
  <c r="BH57" i="9"/>
  <c r="BH51" i="9"/>
  <c r="BH50" i="9"/>
  <c r="BH42" i="9"/>
  <c r="BH44" i="9"/>
  <c r="BH23" i="9"/>
  <c r="AT23" i="9" s="1"/>
  <c r="AW23" i="9" s="1"/>
  <c r="BI23" i="9" s="1"/>
  <c r="BK23" i="9" s="1"/>
  <c r="BH47" i="9"/>
  <c r="BH38" i="9"/>
  <c r="AT38" i="9" s="1"/>
  <c r="AW38" i="9" s="1"/>
  <c r="BI38" i="9" s="1"/>
  <c r="BK38" i="9" s="1"/>
  <c r="BH56" i="9"/>
  <c r="BH52" i="9"/>
  <c r="BH35" i="9"/>
  <c r="AT35" i="9" s="1"/>
  <c r="AW35" i="9" s="1"/>
  <c r="BI35" i="9" s="1"/>
  <c r="BK35" i="9" s="1"/>
  <c r="BH37" i="9"/>
  <c r="AT37" i="9" s="1"/>
  <c r="AW37" i="9" s="1"/>
  <c r="BI37" i="9" s="1"/>
  <c r="BK37" i="9" s="1"/>
  <c r="BH41" i="9"/>
  <c r="BH43" i="9"/>
  <c r="BH49" i="9"/>
  <c r="BH48" i="9"/>
  <c r="BH55" i="9"/>
  <c r="BH32" i="9"/>
  <c r="BH31" i="9"/>
  <c r="BH40" i="9"/>
  <c r="BH24" i="9"/>
  <c r="BH34" i="9"/>
  <c r="BH30" i="9"/>
  <c r="BH26" i="9"/>
  <c r="BH14" i="9"/>
  <c r="AT14" i="9" s="1"/>
  <c r="AW14" i="9" s="1"/>
  <c r="BI14" i="9" s="1"/>
  <c r="BK14" i="9" s="1"/>
  <c r="BH39" i="9"/>
  <c r="BH28" i="9"/>
  <c r="BH25" i="9"/>
  <c r="BH10" i="9"/>
  <c r="BH17" i="9"/>
  <c r="BH7" i="9"/>
  <c r="BH9" i="9"/>
  <c r="BH13" i="9"/>
  <c r="BH21" i="9"/>
  <c r="BH5" i="9"/>
  <c r="BH16" i="9"/>
  <c r="BH3" i="9"/>
  <c r="BH12" i="9"/>
  <c r="BH8" i="9"/>
  <c r="BH4" i="9"/>
  <c r="BH11" i="9"/>
  <c r="BH15" i="9"/>
  <c r="BH19" i="9"/>
  <c r="BH6" i="9"/>
  <c r="BH20" i="9"/>
  <c r="BH18" i="9"/>
  <c r="BC38" i="16"/>
  <c r="BD38" i="16" s="1"/>
  <c r="BF61" i="16"/>
  <c r="BF22" i="16"/>
  <c r="AV36" i="16"/>
  <c r="AW36" i="16" s="1"/>
  <c r="AU36" i="16" s="1"/>
  <c r="AI66" i="12"/>
  <c r="AV57" i="16"/>
  <c r="AW57" i="16" s="1"/>
  <c r="AU57" i="16" s="1"/>
  <c r="AS48" i="16"/>
  <c r="AV48" i="16"/>
  <c r="AW48" i="16" s="1"/>
  <c r="AU48" i="16" s="1"/>
  <c r="AI41" i="12"/>
  <c r="AV20" i="16"/>
  <c r="AW20" i="16" s="1"/>
  <c r="AU20" i="16" s="1"/>
  <c r="AH20" i="16"/>
  <c r="AV59" i="16"/>
  <c r="AW59" i="16" s="1"/>
  <c r="AU59" i="16" s="1"/>
  <c r="AH59" i="16"/>
  <c r="AI16" i="12"/>
  <c r="BC34" i="16"/>
  <c r="BD34" i="16" s="1"/>
  <c r="BI34" i="16" s="1"/>
  <c r="AI40" i="12"/>
  <c r="AS54" i="16"/>
  <c r="AV54" i="16"/>
  <c r="AW54" i="16" s="1"/>
  <c r="AU54" i="16" s="1"/>
  <c r="AV45" i="16"/>
  <c r="AW45" i="16" s="1"/>
  <c r="AU45" i="16" s="1"/>
  <c r="AS45" i="16"/>
  <c r="BF7" i="16"/>
  <c r="BF31" i="16"/>
  <c r="BD44" i="16"/>
  <c r="BI44" i="16" s="1"/>
  <c r="AV17" i="16"/>
  <c r="AW17" i="16" s="1"/>
  <c r="AU17" i="16" s="1"/>
  <c r="AH17" i="16"/>
  <c r="BC47" i="16"/>
  <c r="BD47" i="16" s="1"/>
  <c r="BC51" i="16"/>
  <c r="BI46" i="16"/>
  <c r="AS58" i="16"/>
  <c r="AV58" i="16"/>
  <c r="AW58" i="16" s="1"/>
  <c r="AU58" i="16" s="1"/>
  <c r="AV62" i="16"/>
  <c r="AW62" i="16" s="1"/>
  <c r="AU62" i="16" s="1"/>
  <c r="AH62" i="16"/>
  <c r="E52" i="16"/>
  <c r="AI55" i="12"/>
  <c r="AI48" i="12"/>
  <c r="F44" i="16"/>
  <c r="W44" i="16"/>
  <c r="AI56" i="12"/>
  <c r="F56" i="16"/>
  <c r="W56" i="16"/>
  <c r="BC50" i="16"/>
  <c r="BD50" i="16" s="1"/>
  <c r="BF56" i="16"/>
  <c r="BF46" i="16"/>
  <c r="BF44" i="16"/>
  <c r="W61" i="16"/>
  <c r="F61" i="16"/>
  <c r="BC55" i="16"/>
  <c r="BD55" i="16"/>
  <c r="BI55" i="16" s="1"/>
  <c r="BF52" i="16"/>
  <c r="E46" i="16"/>
  <c r="AI49" i="12"/>
  <c r="BF60" i="16"/>
  <c r="AI59" i="12"/>
  <c r="E60" i="16"/>
  <c r="E34" i="16"/>
  <c r="AI39" i="12"/>
  <c r="E38" i="16"/>
  <c r="AI29" i="12"/>
  <c r="AJ29" i="12" s="1"/>
  <c r="AI30" i="12"/>
  <c r="BC29" i="16"/>
  <c r="BD29" i="16" s="1"/>
  <c r="BI29" i="16" s="1"/>
  <c r="BF37" i="16"/>
  <c r="F27" i="16"/>
  <c r="W27" i="16"/>
  <c r="W37" i="16"/>
  <c r="F37" i="16"/>
  <c r="AI43" i="12"/>
  <c r="F31" i="16"/>
  <c r="W31" i="16"/>
  <c r="BC24" i="16"/>
  <c r="BD24" i="16" s="1"/>
  <c r="BI24" i="16" s="1"/>
  <c r="BF35" i="16"/>
  <c r="F25" i="16"/>
  <c r="W25" i="16"/>
  <c r="BC42" i="16"/>
  <c r="BD42" i="16" s="1"/>
  <c r="AI38" i="12"/>
  <c r="E35" i="16"/>
  <c r="AI37" i="12"/>
  <c r="AI36" i="12"/>
  <c r="AJ36" i="12" s="1"/>
  <c r="AI35" i="12"/>
  <c r="AI33" i="12"/>
  <c r="AJ33" i="12" s="1"/>
  <c r="E30" i="16"/>
  <c r="AV28" i="16"/>
  <c r="AW28" i="16" s="1"/>
  <c r="AU28" i="16" s="1"/>
  <c r="AS28" i="16"/>
  <c r="BD30" i="16"/>
  <c r="BI30" i="16" s="1"/>
  <c r="E41" i="16"/>
  <c r="AI44" i="12"/>
  <c r="BF41" i="16"/>
  <c r="BI16" i="16"/>
  <c r="BF16" i="16"/>
  <c r="BC13" i="16"/>
  <c r="BD13" i="16"/>
  <c r="BI13" i="16" s="1"/>
  <c r="BC21" i="16"/>
  <c r="BD21" i="16" s="1"/>
  <c r="BI21" i="16" s="1"/>
  <c r="BF9" i="16"/>
  <c r="BC4" i="16"/>
  <c r="BD4" i="16"/>
  <c r="BI4" i="16" s="1"/>
  <c r="AS6" i="16"/>
  <c r="AV6" i="16"/>
  <c r="AW6" i="16" s="1"/>
  <c r="AU6" i="16" s="1"/>
  <c r="AI12" i="12"/>
  <c r="AJ12" i="12" s="1"/>
  <c r="AH12" i="12"/>
  <c r="E9" i="16"/>
  <c r="E22" i="16"/>
  <c r="AI25" i="12"/>
  <c r="AJ25" i="12" s="1"/>
  <c r="AI24" i="12"/>
  <c r="AI23" i="12"/>
  <c r="AS3" i="16"/>
  <c r="AV3" i="16"/>
  <c r="AW3" i="16" s="1"/>
  <c r="AU3" i="16" s="1"/>
  <c r="BF15" i="16"/>
  <c r="AH14" i="16"/>
  <c r="AV14" i="16"/>
  <c r="AW14" i="16" s="1"/>
  <c r="AU14" i="16" s="1"/>
  <c r="BF11" i="16"/>
  <c r="F15" i="16"/>
  <c r="W15" i="16"/>
  <c r="BC18" i="16"/>
  <c r="E11" i="16"/>
  <c r="AI9" i="12"/>
  <c r="AJ9" i="12" s="1"/>
  <c r="BF5" i="16"/>
  <c r="AI14" i="12"/>
  <c r="AI13" i="12"/>
  <c r="AJ13" i="12" s="1"/>
  <c r="E16" i="16"/>
  <c r="AI4" i="12"/>
  <c r="E5" i="16"/>
  <c r="AI5" i="12"/>
  <c r="E7" i="16"/>
  <c r="AI7" i="12"/>
  <c r="AJ7" i="12" s="1"/>
  <c r="AI6" i="12"/>
  <c r="AH8" i="16"/>
  <c r="AV8" i="16"/>
  <c r="AW8" i="16" s="1"/>
  <c r="AU8" i="16" s="1"/>
  <c r="AC40" i="12"/>
  <c r="AC41" i="12"/>
  <c r="AB58" i="12" a="1"/>
  <c r="AB58" i="12" s="1"/>
  <c r="AD58" i="12" s="1"/>
  <c r="AB62" i="12" a="1"/>
  <c r="AB62" i="12" s="1"/>
  <c r="AD62" i="12" s="1"/>
  <c r="AB50" i="12" a="1"/>
  <c r="AB50" i="12" s="1"/>
  <c r="AD50" i="12" s="1"/>
  <c r="AB54" i="12" a="1"/>
  <c r="AB54" i="12" s="1"/>
  <c r="AD54" i="12" s="1"/>
  <c r="AB42" i="12" a="1"/>
  <c r="AB42" i="12" s="1"/>
  <c r="AD42" i="12" s="1"/>
  <c r="AB46" i="12" a="1"/>
  <c r="AB46" i="12" s="1"/>
  <c r="AB71" i="12" a="1"/>
  <c r="AB71" i="12" s="1"/>
  <c r="AD71" i="12" s="1"/>
  <c r="AB60" i="12" a="1"/>
  <c r="AB60" i="12" s="1"/>
  <c r="AD60" i="12" s="1"/>
  <c r="AB63" i="12" a="1"/>
  <c r="AB63" i="12" s="1"/>
  <c r="AD63" i="12" s="1"/>
  <c r="AB67" i="12" a="1"/>
  <c r="AB67" i="12" s="1"/>
  <c r="AD67" i="12" s="1"/>
  <c r="AB55" i="12" a="1"/>
  <c r="AB55" i="12" s="1"/>
  <c r="AD55" i="12" s="1"/>
  <c r="AB59" i="12" a="1"/>
  <c r="AB59" i="12" s="1"/>
  <c r="AD59" i="12" s="1"/>
  <c r="AC64" i="12"/>
  <c r="AC65" i="12"/>
  <c r="AB47" i="12" a="1"/>
  <c r="AB47" i="12" s="1"/>
  <c r="AD47" i="12" s="1"/>
  <c r="AB51" i="12" a="1"/>
  <c r="AB51" i="12" s="1"/>
  <c r="AD51" i="12" s="1"/>
  <c r="AB39" i="12" a="1"/>
  <c r="AB39" i="12" s="1"/>
  <c r="AD39" i="12" s="1"/>
  <c r="AB43" i="12" a="1"/>
  <c r="AB43" i="12" s="1"/>
  <c r="AD43" i="12" s="1"/>
  <c r="AC46" i="12"/>
  <c r="AC47" i="12"/>
  <c r="AC45" i="12"/>
  <c r="AC50" i="12"/>
  <c r="AB44" i="12" a="1"/>
  <c r="AB44" i="12" s="1"/>
  <c r="AD44" i="12" s="1"/>
  <c r="AB40" i="12" a="1"/>
  <c r="AB40" i="12" s="1"/>
  <c r="AD40" i="12" s="1"/>
  <c r="AD69" i="12"/>
  <c r="AB52" i="12" a="1"/>
  <c r="AB52" i="12" s="1"/>
  <c r="AB64" i="12" a="1"/>
  <c r="AB64" i="12" s="1"/>
  <c r="AD64" i="12" s="1"/>
  <c r="AC61" i="12"/>
  <c r="AC62" i="12"/>
  <c r="AC63" i="12"/>
  <c r="AB61" i="12" a="1"/>
  <c r="AB61" i="12" s="1"/>
  <c r="AD61" i="12" s="1"/>
  <c r="AB65" i="12" a="1"/>
  <c r="AB65" i="12" s="1"/>
  <c r="AD65" i="12" s="1"/>
  <c r="AC52" i="12"/>
  <c r="AC70" i="12"/>
  <c r="AD70" i="12" s="1"/>
  <c r="AC69" i="12"/>
  <c r="AB53" i="12" a="1"/>
  <c r="AB53" i="12" s="1"/>
  <c r="AD53" i="12" s="1"/>
  <c r="AB57" i="12" a="1"/>
  <c r="AB57" i="12" s="1"/>
  <c r="AD57" i="12" s="1"/>
  <c r="AC68" i="12"/>
  <c r="AB45" i="12" a="1"/>
  <c r="AB45" i="12" s="1"/>
  <c r="AD45" i="12" s="1"/>
  <c r="AB49" i="12" a="1"/>
  <c r="AB49" i="12" s="1"/>
  <c r="AD49" i="12" s="1"/>
  <c r="AB48" i="12" a="1"/>
  <c r="AB48" i="12" s="1"/>
  <c r="AD48" i="12" s="1"/>
  <c r="AB41" i="12" a="1"/>
  <c r="AB41" i="12" s="1"/>
  <c r="AD41" i="12" s="1"/>
  <c r="AD27" i="12"/>
  <c r="AB56" i="12" a="1"/>
  <c r="AB56" i="12" s="1"/>
  <c r="AD56" i="12" s="1"/>
  <c r="AB68" i="12" a="1"/>
  <c r="AB68" i="12" s="1"/>
  <c r="AD68" i="12" s="1"/>
  <c r="AB66" i="12" a="1"/>
  <c r="AB66" i="12" s="1"/>
  <c r="AD66" i="12" s="1"/>
  <c r="AC4" i="12"/>
  <c r="AC5" i="12"/>
  <c r="AD5" i="12" s="1"/>
  <c r="AD6" i="12"/>
  <c r="AE10" i="12"/>
  <c r="AE7" i="12"/>
  <c r="AE36" i="12"/>
  <c r="AE28" i="12"/>
  <c r="AD35" i="12"/>
  <c r="AE27" i="12"/>
  <c r="AD32" i="12"/>
  <c r="AD37" i="12"/>
  <c r="AE20" i="12"/>
  <c r="AD38" i="12"/>
  <c r="AE25" i="12"/>
  <c r="AD30" i="12"/>
  <c r="AD19" i="12"/>
  <c r="AD24" i="12"/>
  <c r="AE29" i="12"/>
  <c r="AD34" i="12"/>
  <c r="AE31" i="12"/>
  <c r="AE12" i="12"/>
  <c r="AE33" i="12"/>
  <c r="AE17" i="12"/>
  <c r="AD22" i="12"/>
  <c r="AD11" i="12"/>
  <c r="AD16" i="12"/>
  <c r="AD21" i="12"/>
  <c r="AE26" i="12"/>
  <c r="AJ26" i="12"/>
  <c r="AD23" i="12"/>
  <c r="AD4" i="12"/>
  <c r="AE9" i="12"/>
  <c r="AD14" i="12"/>
  <c r="AD3" i="12"/>
  <c r="AJ8" i="12"/>
  <c r="AE8" i="12"/>
  <c r="AE13" i="12"/>
  <c r="AD18" i="12"/>
  <c r="AE15" i="12"/>
  <c r="AJ15" i="12"/>
  <c r="AE7" i="10"/>
  <c r="AF7" i="10" s="1"/>
  <c r="AE33" i="10"/>
  <c r="AF33" i="10" s="1"/>
  <c r="AE51" i="10"/>
  <c r="AF51" i="10" s="1"/>
  <c r="AE81" i="10"/>
  <c r="AF81" i="10" s="1"/>
  <c r="AE88" i="10"/>
  <c r="AF88" i="10" s="1"/>
  <c r="AE84" i="10"/>
  <c r="AF84" i="10" s="1"/>
  <c r="AE46" i="10"/>
  <c r="AF46" i="10" s="1"/>
  <c r="AE77" i="10"/>
  <c r="AF77" i="10" s="1"/>
  <c r="AE83" i="10"/>
  <c r="AF83" i="10" s="1"/>
  <c r="AE82" i="10"/>
  <c r="AF82" i="10" s="1"/>
  <c r="AE26" i="10"/>
  <c r="AF26" i="10" s="1"/>
  <c r="AE47" i="10"/>
  <c r="AF47" i="10" s="1"/>
  <c r="AE19" i="10"/>
  <c r="AF19" i="10" s="1"/>
  <c r="AE44" i="10"/>
  <c r="AF44" i="10" s="1"/>
  <c r="AE76" i="10"/>
  <c r="AF76" i="10" s="1"/>
  <c r="AE45" i="10"/>
  <c r="AF45" i="10" s="1"/>
  <c r="AE48" i="10"/>
  <c r="AF48" i="10" s="1"/>
  <c r="AE23" i="10"/>
  <c r="AF23" i="10" s="1"/>
  <c r="AE6" i="10"/>
  <c r="AF6" i="10" s="1"/>
  <c r="AE18" i="10"/>
  <c r="AF18" i="10" s="1"/>
  <c r="AE21" i="10"/>
  <c r="AF21" i="10" s="1"/>
  <c r="AE24" i="10"/>
  <c r="AF24" i="10" s="1"/>
  <c r="AE16" i="10"/>
  <c r="AF16" i="10" s="1"/>
  <c r="AR119" i="13" l="1"/>
  <c r="AR121" i="13"/>
  <c r="AR123" i="13"/>
  <c r="AR125" i="13"/>
  <c r="AR127" i="13"/>
  <c r="AR120" i="13"/>
  <c r="AR122" i="13"/>
  <c r="AR124" i="13"/>
  <c r="AR126" i="13"/>
  <c r="AN126" i="13"/>
  <c r="AN122" i="13"/>
  <c r="AN124" i="13"/>
  <c r="AN120" i="13"/>
  <c r="AI119" i="13"/>
  <c r="AJ119" i="13" s="1"/>
  <c r="AN125" i="13"/>
  <c r="AN127" i="13"/>
  <c r="AN123" i="13"/>
  <c r="AN121" i="13"/>
  <c r="AN119" i="13"/>
  <c r="AR97" i="13"/>
  <c r="AN95" i="13"/>
  <c r="AR95" i="13"/>
  <c r="AN103" i="13"/>
  <c r="AN107" i="13"/>
  <c r="AN109" i="13"/>
  <c r="AI103" i="13"/>
  <c r="AJ103" i="13" s="1"/>
  <c r="AN111" i="13"/>
  <c r="AN113" i="13"/>
  <c r="AN117" i="13"/>
  <c r="AN105" i="13"/>
  <c r="AN115" i="13"/>
  <c r="AN104" i="13"/>
  <c r="AN118" i="13"/>
  <c r="AN114" i="13"/>
  <c r="AN116" i="13"/>
  <c r="AN110" i="13"/>
  <c r="AN112" i="13"/>
  <c r="AN108" i="13"/>
  <c r="AN106" i="13"/>
  <c r="AR93" i="13"/>
  <c r="AR91" i="13"/>
  <c r="AN90" i="13"/>
  <c r="AR102" i="13"/>
  <c r="AN92" i="13"/>
  <c r="AN102" i="13"/>
  <c r="AR98" i="13"/>
  <c r="AN100" i="13"/>
  <c r="AR96" i="13"/>
  <c r="AN98" i="13"/>
  <c r="AR94" i="13"/>
  <c r="AN96" i="13"/>
  <c r="AR100" i="13"/>
  <c r="AN94" i="13"/>
  <c r="AR90" i="13"/>
  <c r="AQ90" i="13"/>
  <c r="AS90" i="13" s="1"/>
  <c r="AQ92" i="13"/>
  <c r="AS92" i="13" s="1"/>
  <c r="AQ94" i="13"/>
  <c r="AS94" i="13" s="1"/>
  <c r="AQ96" i="13"/>
  <c r="AS96" i="13" s="1"/>
  <c r="AQ98" i="13"/>
  <c r="AS98" i="13" s="1"/>
  <c r="AQ100" i="13"/>
  <c r="AS100" i="13" s="1"/>
  <c r="AQ102" i="13"/>
  <c r="AS102" i="13" s="1"/>
  <c r="AQ91" i="13"/>
  <c r="AS91" i="13" s="1"/>
  <c r="AQ93" i="13"/>
  <c r="AS93" i="13" s="1"/>
  <c r="AQ95" i="13"/>
  <c r="AS95" i="13" s="1"/>
  <c r="AQ97" i="13"/>
  <c r="AS97" i="13" s="1"/>
  <c r="AQ99" i="13"/>
  <c r="AS99" i="13" s="1"/>
  <c r="AQ101" i="13"/>
  <c r="AS101" i="13" s="1"/>
  <c r="AR104" i="13"/>
  <c r="AR106" i="13"/>
  <c r="AR108" i="13"/>
  <c r="AR110" i="13"/>
  <c r="AR112" i="13"/>
  <c r="AR114" i="13"/>
  <c r="AR116" i="13"/>
  <c r="AR118" i="13"/>
  <c r="AR103" i="13"/>
  <c r="AR105" i="13"/>
  <c r="AR107" i="13"/>
  <c r="AR109" i="13"/>
  <c r="AR111" i="13"/>
  <c r="AR113" i="13"/>
  <c r="AR115" i="13"/>
  <c r="AR117" i="13"/>
  <c r="AN97" i="13"/>
  <c r="AN93" i="13"/>
  <c r="AN101" i="13"/>
  <c r="AN99" i="13"/>
  <c r="AR61" i="13"/>
  <c r="AR63" i="13"/>
  <c r="AR65" i="13"/>
  <c r="AR67" i="13"/>
  <c r="AR69" i="13"/>
  <c r="AR71" i="13"/>
  <c r="AR73" i="13"/>
  <c r="AR75" i="13"/>
  <c r="AR77" i="13"/>
  <c r="AR62" i="13"/>
  <c r="AR64" i="13"/>
  <c r="AR66" i="13"/>
  <c r="AR68" i="13"/>
  <c r="AR70" i="13"/>
  <c r="AR72" i="13"/>
  <c r="AR74" i="13"/>
  <c r="AR76" i="13"/>
  <c r="AN82" i="13"/>
  <c r="AN84" i="13"/>
  <c r="AN86" i="13"/>
  <c r="AI78" i="13"/>
  <c r="AJ78" i="13" s="1"/>
  <c r="AN88" i="13"/>
  <c r="AN80" i="13"/>
  <c r="AN78" i="13"/>
  <c r="AN89" i="13"/>
  <c r="AN83" i="13"/>
  <c r="AN79" i="13"/>
  <c r="AN81" i="13"/>
  <c r="AN85" i="13"/>
  <c r="AN87" i="13"/>
  <c r="AN64" i="13"/>
  <c r="AN70" i="13"/>
  <c r="AN72" i="13"/>
  <c r="AN62" i="13"/>
  <c r="AN74" i="13"/>
  <c r="AN68" i="13"/>
  <c r="AN66" i="13"/>
  <c r="AN77" i="13"/>
  <c r="AN76" i="13"/>
  <c r="AN65" i="13"/>
  <c r="AN69" i="13"/>
  <c r="AN71" i="13"/>
  <c r="AN73" i="13"/>
  <c r="AI61" i="13"/>
  <c r="AJ61" i="13" s="1"/>
  <c r="AN67" i="13"/>
  <c r="AN61" i="13"/>
  <c r="AN63" i="13"/>
  <c r="AN75" i="13"/>
  <c r="AR79" i="13"/>
  <c r="AR81" i="13"/>
  <c r="AR83" i="13"/>
  <c r="AR85" i="13"/>
  <c r="AR87" i="13"/>
  <c r="AR89" i="13"/>
  <c r="AR78" i="13"/>
  <c r="AR80" i="13"/>
  <c r="AR82" i="13"/>
  <c r="AR84" i="13"/>
  <c r="AR86" i="13"/>
  <c r="AR88" i="13"/>
  <c r="AN35" i="13"/>
  <c r="AN37" i="13"/>
  <c r="AN39" i="13"/>
  <c r="AN41" i="13"/>
  <c r="AN43" i="13"/>
  <c r="AN45" i="13"/>
  <c r="AN51" i="13"/>
  <c r="AN49" i="13"/>
  <c r="AN33" i="13"/>
  <c r="AN47" i="13"/>
  <c r="AN38" i="13"/>
  <c r="AN42" i="13"/>
  <c r="AN44" i="13"/>
  <c r="AI32" i="13"/>
  <c r="AJ32" i="13" s="1"/>
  <c r="AN50" i="13"/>
  <c r="AN52" i="13"/>
  <c r="AN34" i="13"/>
  <c r="AN36" i="13"/>
  <c r="AN40" i="13"/>
  <c r="AN48" i="13"/>
  <c r="AN32" i="13"/>
  <c r="AN46" i="13"/>
  <c r="AR54" i="13"/>
  <c r="AR56" i="13"/>
  <c r="AR58" i="13"/>
  <c r="AR60" i="13"/>
  <c r="AR53" i="13"/>
  <c r="AR55" i="13"/>
  <c r="AR57" i="13"/>
  <c r="AR59" i="13"/>
  <c r="AR32" i="13"/>
  <c r="AR34" i="13"/>
  <c r="AR36" i="13"/>
  <c r="AR38" i="13"/>
  <c r="AR40" i="13"/>
  <c r="AR42" i="13"/>
  <c r="AR44" i="13"/>
  <c r="AR46" i="13"/>
  <c r="AR48" i="13"/>
  <c r="AR50" i="13"/>
  <c r="AR52" i="13"/>
  <c r="AR33" i="13"/>
  <c r="AR35" i="13"/>
  <c r="AR37" i="13"/>
  <c r="AR39" i="13"/>
  <c r="AR41" i="13"/>
  <c r="AR43" i="13"/>
  <c r="AR45" i="13"/>
  <c r="AR47" i="13"/>
  <c r="AR49" i="13"/>
  <c r="AR51" i="13"/>
  <c r="AN53" i="13"/>
  <c r="AN55" i="13"/>
  <c r="AN57" i="13"/>
  <c r="AN59" i="13"/>
  <c r="AI53" i="13"/>
  <c r="AJ53" i="13" s="1"/>
  <c r="AN54" i="13"/>
  <c r="AN56" i="13"/>
  <c r="AN58" i="13"/>
  <c r="AN60" i="13"/>
  <c r="AM8" i="13"/>
  <c r="AE3" i="13" a="1"/>
  <c r="AE3" i="13" s="1"/>
  <c r="AM7" i="13"/>
  <c r="AE30" i="13" a="1"/>
  <c r="AE30" i="13" s="1"/>
  <c r="AE6" i="13" a="1"/>
  <c r="AE6" i="13" s="1"/>
  <c r="AM30" i="13"/>
  <c r="AM11" i="13"/>
  <c r="AM26" i="13"/>
  <c r="AE10" i="13" a="1"/>
  <c r="AE10" i="13" s="1"/>
  <c r="AM20" i="13"/>
  <c r="AM24" i="13"/>
  <c r="AN21" i="13"/>
  <c r="AN14" i="13"/>
  <c r="AI3" i="13"/>
  <c r="AJ3" i="13" s="1"/>
  <c r="AN15" i="13"/>
  <c r="AN8" i="13"/>
  <c r="AI28" i="13"/>
  <c r="AJ28" i="13" s="1"/>
  <c r="AK31" i="13"/>
  <c r="AD31" i="13"/>
  <c r="AI31" i="13" s="1"/>
  <c r="AJ31" i="13" s="1"/>
  <c r="AD4" i="13"/>
  <c r="AI4" i="13" s="1"/>
  <c r="AJ4" i="13" s="1"/>
  <c r="AK4" i="13"/>
  <c r="AR15" i="13" s="1"/>
  <c r="AE29" i="13" a="1"/>
  <c r="AE29" i="13" s="1"/>
  <c r="AM15" i="13"/>
  <c r="AM27" i="13"/>
  <c r="AM14" i="13"/>
  <c r="AM18" i="13"/>
  <c r="AE13" i="13" a="1"/>
  <c r="AE13" i="13" s="1"/>
  <c r="AE17" i="13" a="1"/>
  <c r="AE17" i="13" s="1"/>
  <c r="AM21" i="13"/>
  <c r="AE20" i="13" a="1"/>
  <c r="AE20" i="13" s="1"/>
  <c r="AE5" i="13" a="1"/>
  <c r="AE5" i="13" s="1"/>
  <c r="AM9" i="13"/>
  <c r="AM5" i="13"/>
  <c r="AE4" i="13" a="1"/>
  <c r="AE4" i="13" s="1"/>
  <c r="AM22" i="13"/>
  <c r="AE27" i="13" a="1"/>
  <c r="AE27" i="13" s="1"/>
  <c r="AJ29" i="13"/>
  <c r="AK29" i="13"/>
  <c r="AR28" i="13" s="1"/>
  <c r="AD29" i="13"/>
  <c r="AI29" i="13" s="1"/>
  <c r="AE28" i="13" a="1"/>
  <c r="AE28" i="13" s="1"/>
  <c r="AM17" i="13"/>
  <c r="AM13" i="13"/>
  <c r="AM25" i="13"/>
  <c r="AM12" i="13"/>
  <c r="AM16" i="13"/>
  <c r="AE11" i="13" a="1"/>
  <c r="AE11" i="13" s="1"/>
  <c r="AE15" i="13" a="1"/>
  <c r="AE15" i="13" s="1"/>
  <c r="AM4" i="13"/>
  <c r="AE22" i="13" a="1"/>
  <c r="AE22" i="13" s="1"/>
  <c r="AY112" i="9"/>
  <c r="AX112" i="9"/>
  <c r="AX126" i="9"/>
  <c r="AY126" i="9"/>
  <c r="AX127" i="9"/>
  <c r="AY127" i="9"/>
  <c r="AX91" i="11"/>
  <c r="AR91" i="11"/>
  <c r="AX79" i="11"/>
  <c r="AR79" i="11"/>
  <c r="AR78" i="11"/>
  <c r="AX78" i="11"/>
  <c r="AY12" i="9"/>
  <c r="AX12" i="9"/>
  <c r="AR81" i="11"/>
  <c r="AX81" i="11"/>
  <c r="AR80" i="11"/>
  <c r="AX80" i="11"/>
  <c r="AX83" i="9"/>
  <c r="AY83" i="9"/>
  <c r="AR26" i="11"/>
  <c r="AX26" i="11"/>
  <c r="AX25" i="11"/>
  <c r="AR25" i="11"/>
  <c r="AR43" i="11"/>
  <c r="AX43" i="11"/>
  <c r="AX39" i="9"/>
  <c r="AY39" i="9"/>
  <c r="AR27" i="11"/>
  <c r="AX27" i="11"/>
  <c r="AR45" i="11"/>
  <c r="AX45" i="11"/>
  <c r="AR44" i="11"/>
  <c r="AX44" i="11"/>
  <c r="AX84" i="9"/>
  <c r="AY84" i="9"/>
  <c r="AR4" i="11"/>
  <c r="AX4" i="11"/>
  <c r="AR10" i="11"/>
  <c r="AX10" i="11"/>
  <c r="AX15" i="9"/>
  <c r="AY15" i="9"/>
  <c r="AX9" i="11"/>
  <c r="AR9" i="11"/>
  <c r="AX10" i="9"/>
  <c r="AY10" i="9"/>
  <c r="AR5" i="11"/>
  <c r="AX5" i="11"/>
  <c r="AR8" i="11"/>
  <c r="AX8" i="11"/>
  <c r="AR6" i="11"/>
  <c r="AX6" i="11"/>
  <c r="AR11" i="11"/>
  <c r="AX11" i="11"/>
  <c r="BK158" i="9"/>
  <c r="BL158" i="9" s="1"/>
  <c r="AT182" i="9"/>
  <c r="AW182" i="9" s="1"/>
  <c r="BI182" i="9" s="1"/>
  <c r="BK182" i="9" s="1"/>
  <c r="AT178" i="9"/>
  <c r="AW178" i="9" s="1"/>
  <c r="BI178" i="9" s="1"/>
  <c r="BK178" i="9"/>
  <c r="BK175" i="9"/>
  <c r="AT175" i="9"/>
  <c r="AW175" i="9" s="1"/>
  <c r="BI175" i="9" s="1"/>
  <c r="AT179" i="9"/>
  <c r="AW179" i="9" s="1"/>
  <c r="BI179" i="9" s="1"/>
  <c r="BK179" i="9" s="1"/>
  <c r="BK176" i="9"/>
  <c r="AT176" i="9"/>
  <c r="AW176" i="9" s="1"/>
  <c r="BI176" i="9" s="1"/>
  <c r="BK181" i="9"/>
  <c r="AT181" i="9"/>
  <c r="AW181" i="9" s="1"/>
  <c r="BI181" i="9" s="1"/>
  <c r="AT180" i="9"/>
  <c r="AW180" i="9" s="1"/>
  <c r="BI180" i="9" s="1"/>
  <c r="BK180" i="9" s="1"/>
  <c r="AT177" i="9"/>
  <c r="AW177" i="9" s="1"/>
  <c r="BI177" i="9" s="1"/>
  <c r="BK177" i="9" s="1"/>
  <c r="AT174" i="9"/>
  <c r="AW174" i="9" s="1"/>
  <c r="BI174" i="9" s="1"/>
  <c r="BK174" i="9" s="1"/>
  <c r="BL169" i="9"/>
  <c r="BN169" i="9"/>
  <c r="S169" i="9" s="1"/>
  <c r="F169" i="9" s="1"/>
  <c r="BL170" i="9"/>
  <c r="BN170" i="9"/>
  <c r="S170" i="9" s="1"/>
  <c r="F170" i="9" s="1"/>
  <c r="BL173" i="9"/>
  <c r="BN173" i="9"/>
  <c r="S173" i="9" s="1"/>
  <c r="F173" i="9" s="1"/>
  <c r="BL166" i="9"/>
  <c r="BN166" i="9"/>
  <c r="S166" i="9" s="1"/>
  <c r="F166" i="9" s="1"/>
  <c r="AT172" i="9"/>
  <c r="AW172" i="9" s="1"/>
  <c r="BI172" i="9" s="1"/>
  <c r="BK172" i="9" s="1"/>
  <c r="AT157" i="9"/>
  <c r="AW157" i="9" s="1"/>
  <c r="BI157" i="9" s="1"/>
  <c r="BK157" i="9"/>
  <c r="AT160" i="9"/>
  <c r="AW160" i="9" s="1"/>
  <c r="BI160" i="9" s="1"/>
  <c r="BK160" i="9" s="1"/>
  <c r="AT168" i="9"/>
  <c r="AW168" i="9" s="1"/>
  <c r="BI168" i="9" s="1"/>
  <c r="BK168" i="9" s="1"/>
  <c r="AT162" i="9"/>
  <c r="AW162" i="9" s="1"/>
  <c r="BI162" i="9" s="1"/>
  <c r="BK162" i="9" s="1"/>
  <c r="AT167" i="9"/>
  <c r="AW167" i="9" s="1"/>
  <c r="BI167" i="9" s="1"/>
  <c r="BK167" i="9" s="1"/>
  <c r="AT161" i="9"/>
  <c r="AW161" i="9" s="1"/>
  <c r="BI161" i="9" s="1"/>
  <c r="BK161" i="9" s="1"/>
  <c r="AT164" i="9"/>
  <c r="AW164" i="9" s="1"/>
  <c r="BI164" i="9" s="1"/>
  <c r="BK164" i="9" s="1"/>
  <c r="AT159" i="9"/>
  <c r="AW159" i="9" s="1"/>
  <c r="BI159" i="9" s="1"/>
  <c r="BK159" i="9" s="1"/>
  <c r="AT155" i="9"/>
  <c r="AW155" i="9" s="1"/>
  <c r="BI155" i="9" s="1"/>
  <c r="BK155" i="9" s="1"/>
  <c r="BK156" i="9"/>
  <c r="AT156" i="9"/>
  <c r="AW156" i="9" s="1"/>
  <c r="BI156" i="9" s="1"/>
  <c r="BN158" i="9"/>
  <c r="S158" i="9" s="1"/>
  <c r="F158" i="9" s="1"/>
  <c r="BL171" i="9"/>
  <c r="BN171" i="9"/>
  <c r="S171" i="9" s="1"/>
  <c r="F171" i="9" s="1"/>
  <c r="AT163" i="9"/>
  <c r="AW163" i="9" s="1"/>
  <c r="BI163" i="9" s="1"/>
  <c r="BK163" i="9" s="1"/>
  <c r="BN165" i="9"/>
  <c r="S165" i="9" s="1"/>
  <c r="F165" i="9" s="1"/>
  <c r="BL165" i="9"/>
  <c r="AT151" i="9"/>
  <c r="AW151" i="9" s="1"/>
  <c r="BI151" i="9" s="1"/>
  <c r="BK151" i="9" s="1"/>
  <c r="AT139" i="9"/>
  <c r="AW139" i="9" s="1"/>
  <c r="BI139" i="9" s="1"/>
  <c r="BK139" i="9" s="1"/>
  <c r="BL144" i="9"/>
  <c r="BN144" i="9"/>
  <c r="S144" i="9" s="1"/>
  <c r="F144" i="9" s="1"/>
  <c r="AT149" i="9"/>
  <c r="AW149" i="9" s="1"/>
  <c r="BI149" i="9" s="1"/>
  <c r="BK149" i="9" s="1"/>
  <c r="AT137" i="9"/>
  <c r="AW137" i="9" s="1"/>
  <c r="BI137" i="9" s="1"/>
  <c r="BK137" i="9" s="1"/>
  <c r="AT136" i="9"/>
  <c r="AW136" i="9" s="1"/>
  <c r="BI136" i="9" s="1"/>
  <c r="BK136" i="9" s="1"/>
  <c r="AT152" i="9"/>
  <c r="AW152" i="9" s="1"/>
  <c r="BI152" i="9" s="1"/>
  <c r="BK152" i="9" s="1"/>
  <c r="AT145" i="9"/>
  <c r="AW145" i="9" s="1"/>
  <c r="BI145" i="9" s="1"/>
  <c r="BK145" i="9" s="1"/>
  <c r="AT140" i="9"/>
  <c r="AW140" i="9" s="1"/>
  <c r="BI140" i="9" s="1"/>
  <c r="BK140" i="9" s="1"/>
  <c r="AT147" i="9"/>
  <c r="AW147" i="9" s="1"/>
  <c r="BI147" i="9" s="1"/>
  <c r="BK147" i="9"/>
  <c r="AT142" i="9"/>
  <c r="AW142" i="9" s="1"/>
  <c r="BI142" i="9" s="1"/>
  <c r="BK142" i="9" s="1"/>
  <c r="AT153" i="9"/>
  <c r="AW153" i="9" s="1"/>
  <c r="BI153" i="9" s="1"/>
  <c r="BK153" i="9" s="1"/>
  <c r="AT138" i="9"/>
  <c r="AW138" i="9" s="1"/>
  <c r="BI138" i="9" s="1"/>
  <c r="BK138" i="9" s="1"/>
  <c r="AT141" i="9"/>
  <c r="AW141" i="9" s="1"/>
  <c r="BI141" i="9" s="1"/>
  <c r="BK141" i="9"/>
  <c r="AT154" i="9"/>
  <c r="AW154" i="9" s="1"/>
  <c r="BI154" i="9" s="1"/>
  <c r="BK154" i="9" s="1"/>
  <c r="AT150" i="9"/>
  <c r="AW150" i="9" s="1"/>
  <c r="BI150" i="9" s="1"/>
  <c r="BK150" i="9" s="1"/>
  <c r="AT148" i="9"/>
  <c r="AW148" i="9" s="1"/>
  <c r="BI148" i="9" s="1"/>
  <c r="BK148" i="9"/>
  <c r="AT143" i="9"/>
  <c r="AW143" i="9" s="1"/>
  <c r="BI143" i="9" s="1"/>
  <c r="BK143" i="9" s="1"/>
  <c r="AT146" i="9"/>
  <c r="AW146" i="9" s="1"/>
  <c r="BI146" i="9" s="1"/>
  <c r="BK146" i="9" s="1"/>
  <c r="BL133" i="9"/>
  <c r="BN133" i="9"/>
  <c r="S133" i="9" s="1"/>
  <c r="F133" i="9" s="1"/>
  <c r="AT119" i="9"/>
  <c r="AW119" i="9" s="1"/>
  <c r="BI119" i="9" s="1"/>
  <c r="BK119" i="9" s="1"/>
  <c r="AT131" i="9"/>
  <c r="AW131" i="9" s="1"/>
  <c r="BI131" i="9" s="1"/>
  <c r="BK131" i="9" s="1"/>
  <c r="AT129" i="9"/>
  <c r="AW129" i="9" s="1"/>
  <c r="BI129" i="9" s="1"/>
  <c r="BK129" i="9" s="1"/>
  <c r="AT120" i="9"/>
  <c r="AW120" i="9" s="1"/>
  <c r="BI120" i="9" s="1"/>
  <c r="BK120" i="9" s="1"/>
  <c r="AT127" i="9"/>
  <c r="AW127" i="9" s="1"/>
  <c r="BI127" i="9" s="1"/>
  <c r="BK127" i="9" s="1"/>
  <c r="AT132" i="9"/>
  <c r="AW132" i="9" s="1"/>
  <c r="BI132" i="9" s="1"/>
  <c r="BK132" i="9" s="1"/>
  <c r="AT126" i="9"/>
  <c r="AW126" i="9" s="1"/>
  <c r="BI126" i="9" s="1"/>
  <c r="BK126" i="9" s="1"/>
  <c r="AT128" i="9"/>
  <c r="AW128" i="9" s="1"/>
  <c r="BI128" i="9" s="1"/>
  <c r="BK128" i="9" s="1"/>
  <c r="BL125" i="9"/>
  <c r="BN125" i="9"/>
  <c r="S125" i="9" s="1"/>
  <c r="F125" i="9" s="1"/>
  <c r="AT117" i="9"/>
  <c r="AW117" i="9" s="1"/>
  <c r="BI117" i="9" s="1"/>
  <c r="BK117" i="9" s="1"/>
  <c r="AT130" i="9"/>
  <c r="AW130" i="9" s="1"/>
  <c r="BI130" i="9" s="1"/>
  <c r="BK130" i="9" s="1"/>
  <c r="AT124" i="9"/>
  <c r="AW124" i="9" s="1"/>
  <c r="BI124" i="9" s="1"/>
  <c r="BK124" i="9" s="1"/>
  <c r="AT123" i="9"/>
  <c r="AW123" i="9" s="1"/>
  <c r="BI123" i="9" s="1"/>
  <c r="BK123" i="9" s="1"/>
  <c r="BL122" i="9"/>
  <c r="BN122" i="9"/>
  <c r="S122" i="9" s="1"/>
  <c r="F122" i="9" s="1"/>
  <c r="AT134" i="9"/>
  <c r="AW134" i="9" s="1"/>
  <c r="BI134" i="9" s="1"/>
  <c r="BK134" i="9" s="1"/>
  <c r="AT118" i="9"/>
  <c r="AW118" i="9" s="1"/>
  <c r="BI118" i="9" s="1"/>
  <c r="BK118" i="9" s="1"/>
  <c r="AT135" i="9"/>
  <c r="AW135" i="9" s="1"/>
  <c r="BI135" i="9" s="1"/>
  <c r="BK135" i="9" s="1"/>
  <c r="AT121" i="9"/>
  <c r="AW121" i="9" s="1"/>
  <c r="BI121" i="9" s="1"/>
  <c r="BK121" i="9" s="1"/>
  <c r="BL110" i="9"/>
  <c r="BN110" i="9"/>
  <c r="S110" i="9" s="1"/>
  <c r="F110" i="9" s="1"/>
  <c r="BL107" i="9"/>
  <c r="BN107" i="9"/>
  <c r="S107" i="9" s="1"/>
  <c r="F107" i="9" s="1"/>
  <c r="AT108" i="9"/>
  <c r="AW108" i="9" s="1"/>
  <c r="BI108" i="9" s="1"/>
  <c r="BK108" i="9" s="1"/>
  <c r="AT115" i="9"/>
  <c r="AW115" i="9" s="1"/>
  <c r="BI115" i="9" s="1"/>
  <c r="BK115" i="9" s="1"/>
  <c r="AT70" i="9"/>
  <c r="AW70" i="9" s="1"/>
  <c r="BI70" i="9" s="1"/>
  <c r="BK70" i="9" s="1"/>
  <c r="AT103" i="9"/>
  <c r="AW103" i="9" s="1"/>
  <c r="BI103" i="9" s="1"/>
  <c r="BK103" i="9" s="1"/>
  <c r="AT112" i="9"/>
  <c r="AW112" i="9" s="1"/>
  <c r="BI112" i="9" s="1"/>
  <c r="BK112" i="9" s="1"/>
  <c r="AT98" i="9"/>
  <c r="AW98" i="9" s="1"/>
  <c r="BI98" i="9" s="1"/>
  <c r="BK98" i="9" s="1"/>
  <c r="AT104" i="9"/>
  <c r="AW104" i="9" s="1"/>
  <c r="BI104" i="9" s="1"/>
  <c r="BK104" i="9" s="1"/>
  <c r="AT111" i="9"/>
  <c r="AW111" i="9" s="1"/>
  <c r="BI111" i="9" s="1"/>
  <c r="BK111" i="9" s="1"/>
  <c r="AT113" i="9"/>
  <c r="AW113" i="9" s="1"/>
  <c r="BI113" i="9" s="1"/>
  <c r="BK113" i="9" s="1"/>
  <c r="AT109" i="9"/>
  <c r="AW109" i="9" s="1"/>
  <c r="BI109" i="9" s="1"/>
  <c r="BK109" i="9" s="1"/>
  <c r="AT116" i="9"/>
  <c r="AW116" i="9" s="1"/>
  <c r="BI116" i="9" s="1"/>
  <c r="BK116" i="9" s="1"/>
  <c r="AT100" i="9"/>
  <c r="AW100" i="9" s="1"/>
  <c r="BI100" i="9" s="1"/>
  <c r="BK100" i="9" s="1"/>
  <c r="AT106" i="9"/>
  <c r="AW106" i="9" s="1"/>
  <c r="BI106" i="9" s="1"/>
  <c r="BK106" i="9" s="1"/>
  <c r="AT99" i="9"/>
  <c r="AW99" i="9" s="1"/>
  <c r="BI99" i="9" s="1"/>
  <c r="BK99" i="9" s="1"/>
  <c r="BK78" i="9"/>
  <c r="BL78" i="9" s="1"/>
  <c r="AT114" i="9"/>
  <c r="AW114" i="9" s="1"/>
  <c r="BI114" i="9" s="1"/>
  <c r="BK114" i="9" s="1"/>
  <c r="AT105" i="9"/>
  <c r="AW105" i="9" s="1"/>
  <c r="BI105" i="9" s="1"/>
  <c r="BK105" i="9" s="1"/>
  <c r="AT102" i="9"/>
  <c r="AW102" i="9" s="1"/>
  <c r="BI102" i="9" s="1"/>
  <c r="BK102" i="9" s="1"/>
  <c r="AT101" i="9"/>
  <c r="AW101" i="9" s="1"/>
  <c r="BI101" i="9" s="1"/>
  <c r="BK101" i="9" s="1"/>
  <c r="BL94" i="9"/>
  <c r="BN94" i="9"/>
  <c r="S94" i="9" s="1"/>
  <c r="F94" i="9" s="1"/>
  <c r="BL87" i="9"/>
  <c r="BN87" i="9"/>
  <c r="S87" i="9" s="1"/>
  <c r="F87" i="9" s="1"/>
  <c r="AT88" i="9"/>
  <c r="AW88" i="9" s="1"/>
  <c r="BI88" i="9" s="1"/>
  <c r="BK88" i="9" s="1"/>
  <c r="AT91" i="9"/>
  <c r="AW91" i="9" s="1"/>
  <c r="BI91" i="9" s="1"/>
  <c r="BK91" i="9" s="1"/>
  <c r="AT90" i="9"/>
  <c r="AW90" i="9" s="1"/>
  <c r="BI90" i="9" s="1"/>
  <c r="BK90" i="9" s="1"/>
  <c r="AT79" i="9"/>
  <c r="AW79" i="9" s="1"/>
  <c r="BI79" i="9" s="1"/>
  <c r="BK79" i="9" s="1"/>
  <c r="AT80" i="9"/>
  <c r="AW80" i="9" s="1"/>
  <c r="BI80" i="9" s="1"/>
  <c r="BK80" i="9" s="1"/>
  <c r="AT93" i="9"/>
  <c r="AW93" i="9" s="1"/>
  <c r="BI93" i="9" s="1"/>
  <c r="BK93" i="9" s="1"/>
  <c r="AT92" i="9"/>
  <c r="AW92" i="9" s="1"/>
  <c r="BI92" i="9" s="1"/>
  <c r="BK92" i="9" s="1"/>
  <c r="AT97" i="9"/>
  <c r="AW97" i="9" s="1"/>
  <c r="BI97" i="9" s="1"/>
  <c r="BK97" i="9" s="1"/>
  <c r="BK63" i="9"/>
  <c r="BN63" i="9" s="1"/>
  <c r="S63" i="9" s="1"/>
  <c r="F63" i="9" s="1"/>
  <c r="AT96" i="9"/>
  <c r="AW96" i="9" s="1"/>
  <c r="BI96" i="9" s="1"/>
  <c r="BK96" i="9" s="1"/>
  <c r="AT85" i="9"/>
  <c r="AW85" i="9" s="1"/>
  <c r="BI85" i="9" s="1"/>
  <c r="BK85" i="9" s="1"/>
  <c r="AT84" i="9"/>
  <c r="AW84" i="9" s="1"/>
  <c r="BI84" i="9" s="1"/>
  <c r="BK84" i="9" s="1"/>
  <c r="AT95" i="9"/>
  <c r="AW95" i="9" s="1"/>
  <c r="BI95" i="9" s="1"/>
  <c r="BK95" i="9" s="1"/>
  <c r="AT83" i="9"/>
  <c r="AW83" i="9" s="1"/>
  <c r="BI83" i="9" s="1"/>
  <c r="BK83" i="9" s="1"/>
  <c r="AT81" i="9"/>
  <c r="AW81" i="9" s="1"/>
  <c r="BI81" i="9" s="1"/>
  <c r="BK81" i="9" s="1"/>
  <c r="AT89" i="9"/>
  <c r="AW89" i="9" s="1"/>
  <c r="BI89" i="9" s="1"/>
  <c r="BK89" i="9" s="1"/>
  <c r="AT82" i="9"/>
  <c r="AW82" i="9" s="1"/>
  <c r="BI82" i="9" s="1"/>
  <c r="BK82" i="9" s="1"/>
  <c r="AT86" i="9"/>
  <c r="AW86" i="9" s="1"/>
  <c r="BI86" i="9" s="1"/>
  <c r="BK86" i="9" s="1"/>
  <c r="BL68" i="9"/>
  <c r="BN68" i="9"/>
  <c r="S68" i="9" s="1"/>
  <c r="F68" i="9" s="1"/>
  <c r="BL72" i="9"/>
  <c r="BN72" i="9"/>
  <c r="S72" i="9" s="1"/>
  <c r="F72" i="9" s="1"/>
  <c r="BN73" i="9"/>
  <c r="S73" i="9" s="1"/>
  <c r="F73" i="9" s="1"/>
  <c r="BL73" i="9"/>
  <c r="BN71" i="9"/>
  <c r="S71" i="9" s="1"/>
  <c r="F71" i="9" s="1"/>
  <c r="BL71" i="9"/>
  <c r="BL75" i="9"/>
  <c r="BN75" i="9"/>
  <c r="S75" i="9" s="1"/>
  <c r="F75" i="9" s="1"/>
  <c r="AT54" i="9"/>
  <c r="AW54" i="9" s="1"/>
  <c r="BI54" i="9" s="1"/>
  <c r="BK54" i="9" s="1"/>
  <c r="AT65" i="9"/>
  <c r="AW65" i="9" s="1"/>
  <c r="BI65" i="9" s="1"/>
  <c r="BK65" i="9" s="1"/>
  <c r="BL64" i="9"/>
  <c r="BN64" i="9"/>
  <c r="S64" i="9" s="1"/>
  <c r="F64" i="9" s="1"/>
  <c r="AT69" i="9"/>
  <c r="AW69" i="9" s="1"/>
  <c r="BI69" i="9" s="1"/>
  <c r="BK69" i="9" s="1"/>
  <c r="AT62" i="9"/>
  <c r="AW62" i="9" s="1"/>
  <c r="BI62" i="9" s="1"/>
  <c r="BK62" i="9" s="1"/>
  <c r="BL66" i="9"/>
  <c r="BN66" i="9"/>
  <c r="S66" i="9" s="1"/>
  <c r="F66" i="9" s="1"/>
  <c r="BL67" i="9"/>
  <c r="BN67" i="9"/>
  <c r="S67" i="9" s="1"/>
  <c r="F67" i="9" s="1"/>
  <c r="AT74" i="9"/>
  <c r="AW74" i="9" s="1"/>
  <c r="BI74" i="9" s="1"/>
  <c r="BK74" i="9" s="1"/>
  <c r="AT60" i="9"/>
  <c r="AW60" i="9" s="1"/>
  <c r="BI60" i="9" s="1"/>
  <c r="BK60" i="9" s="1"/>
  <c r="AT61" i="9"/>
  <c r="AW61" i="9" s="1"/>
  <c r="BI61" i="9" s="1"/>
  <c r="BK61" i="9" s="1"/>
  <c r="AT76" i="9"/>
  <c r="AW76" i="9" s="1"/>
  <c r="BI76" i="9" s="1"/>
  <c r="BK76" i="9" s="1"/>
  <c r="AT77" i="9"/>
  <c r="AW77" i="9" s="1"/>
  <c r="BI77" i="9" s="1"/>
  <c r="BK77" i="9" s="1"/>
  <c r="BN59" i="9"/>
  <c r="S59" i="9" s="1"/>
  <c r="F59" i="9" s="1"/>
  <c r="BL59" i="9"/>
  <c r="BL58" i="9"/>
  <c r="BN58" i="9"/>
  <c r="S58" i="9" s="1"/>
  <c r="F58" i="9" s="1"/>
  <c r="AT56" i="9"/>
  <c r="AW56" i="9" s="1"/>
  <c r="BI56" i="9" s="1"/>
  <c r="BK56" i="9" s="1"/>
  <c r="AT53" i="9"/>
  <c r="AW53" i="9" s="1"/>
  <c r="BI53" i="9" s="1"/>
  <c r="BK53" i="9" s="1"/>
  <c r="AT47" i="9"/>
  <c r="AW47" i="9" s="1"/>
  <c r="BI47" i="9" s="1"/>
  <c r="BK47" i="9" s="1"/>
  <c r="AT55" i="9"/>
  <c r="AW55" i="9" s="1"/>
  <c r="BI55" i="9" s="1"/>
  <c r="BK55" i="9" s="1"/>
  <c r="AT44" i="9"/>
  <c r="AW44" i="9" s="1"/>
  <c r="BI44" i="9" s="1"/>
  <c r="BK44" i="9" s="1"/>
  <c r="AT48" i="9"/>
  <c r="AW48" i="9" s="1"/>
  <c r="BI48" i="9" s="1"/>
  <c r="BK48" i="9" s="1"/>
  <c r="AT42" i="9"/>
  <c r="AW42" i="9" s="1"/>
  <c r="BI42" i="9" s="1"/>
  <c r="BK42" i="9" s="1"/>
  <c r="AT49" i="9"/>
  <c r="AW49" i="9" s="1"/>
  <c r="BI49" i="9" s="1"/>
  <c r="BK49" i="9" s="1"/>
  <c r="AT50" i="9"/>
  <c r="AW50" i="9" s="1"/>
  <c r="BI50" i="9" s="1"/>
  <c r="BK50" i="9" s="1"/>
  <c r="AT43" i="9"/>
  <c r="AW43" i="9" s="1"/>
  <c r="BI43" i="9" s="1"/>
  <c r="BK43" i="9" s="1"/>
  <c r="AT51" i="9"/>
  <c r="AW51" i="9" s="1"/>
  <c r="BI51" i="9" s="1"/>
  <c r="BK51" i="9" s="1"/>
  <c r="AT41" i="9"/>
  <c r="AW41" i="9" s="1"/>
  <c r="BI41" i="9" s="1"/>
  <c r="BK41" i="9" s="1"/>
  <c r="AT57" i="9"/>
  <c r="AW57" i="9" s="1"/>
  <c r="BI57" i="9" s="1"/>
  <c r="BK57" i="9" s="1"/>
  <c r="AT45" i="9"/>
  <c r="AW45" i="9" s="1"/>
  <c r="BI45" i="9" s="1"/>
  <c r="BK45" i="9" s="1"/>
  <c r="AT52" i="9"/>
  <c r="AW52" i="9" s="1"/>
  <c r="BI52" i="9" s="1"/>
  <c r="BK52" i="9" s="1"/>
  <c r="AT46" i="9"/>
  <c r="AW46" i="9" s="1"/>
  <c r="BI46" i="9" s="1"/>
  <c r="BK46" i="9" s="1"/>
  <c r="BN35" i="9"/>
  <c r="S35" i="9" s="1"/>
  <c r="F35" i="9" s="1"/>
  <c r="BL35" i="9"/>
  <c r="BL33" i="9"/>
  <c r="BN33" i="9"/>
  <c r="S33" i="9" s="1"/>
  <c r="F33" i="9" s="1"/>
  <c r="BN36" i="9"/>
  <c r="S36" i="9" s="1"/>
  <c r="F36" i="9" s="1"/>
  <c r="BL36" i="9"/>
  <c r="BL22" i="9"/>
  <c r="BN22" i="9"/>
  <c r="S22" i="9" s="1"/>
  <c r="F22" i="9" s="1"/>
  <c r="BL27" i="9"/>
  <c r="BN27" i="9"/>
  <c r="S27" i="9" s="1"/>
  <c r="F27" i="9" s="1"/>
  <c r="BL23" i="9"/>
  <c r="BN23" i="9"/>
  <c r="S23" i="9" s="1"/>
  <c r="F23" i="9" s="1"/>
  <c r="BN38" i="9"/>
  <c r="S38" i="9" s="1"/>
  <c r="F38" i="9" s="1"/>
  <c r="BL38" i="9"/>
  <c r="AT24" i="9"/>
  <c r="AW24" i="9" s="1"/>
  <c r="BI24" i="9" s="1"/>
  <c r="BK24" i="9" s="1"/>
  <c r="AT25" i="9"/>
  <c r="AW25" i="9" s="1"/>
  <c r="BI25" i="9" s="1"/>
  <c r="BK25" i="9" s="1"/>
  <c r="AT40" i="9"/>
  <c r="AW40" i="9" s="1"/>
  <c r="BI40" i="9" s="1"/>
  <c r="BK40" i="9" s="1"/>
  <c r="AT28" i="9"/>
  <c r="AW28" i="9" s="1"/>
  <c r="BI28" i="9" s="1"/>
  <c r="BK28" i="9" s="1"/>
  <c r="BL37" i="9"/>
  <c r="BN37" i="9"/>
  <c r="S37" i="9" s="1"/>
  <c r="F37" i="9" s="1"/>
  <c r="AT31" i="9"/>
  <c r="AW31" i="9" s="1"/>
  <c r="BI31" i="9" s="1"/>
  <c r="BK31" i="9" s="1"/>
  <c r="BL29" i="9"/>
  <c r="BN29" i="9"/>
  <c r="S29" i="9" s="1"/>
  <c r="F29" i="9" s="1"/>
  <c r="AT26" i="9"/>
  <c r="AW26" i="9" s="1"/>
  <c r="BI26" i="9" s="1"/>
  <c r="BK26" i="9" s="1"/>
  <c r="AT30" i="9"/>
  <c r="AW30" i="9" s="1"/>
  <c r="BI30" i="9" s="1"/>
  <c r="BK30" i="9" s="1"/>
  <c r="AT32" i="9"/>
  <c r="AW32" i="9" s="1"/>
  <c r="BI32" i="9" s="1"/>
  <c r="BK32" i="9" s="1"/>
  <c r="AT39" i="9"/>
  <c r="AW39" i="9" s="1"/>
  <c r="BI39" i="9" s="1"/>
  <c r="BK39" i="9" s="1"/>
  <c r="AT34" i="9"/>
  <c r="AW34" i="9" s="1"/>
  <c r="BI34" i="9" s="1"/>
  <c r="BK34" i="9" s="1"/>
  <c r="AT13" i="9"/>
  <c r="AW13" i="9" s="1"/>
  <c r="BI13" i="9" s="1"/>
  <c r="BK13" i="9" s="1"/>
  <c r="AT10" i="9"/>
  <c r="AW10" i="9" s="1"/>
  <c r="BI10" i="9" s="1"/>
  <c r="BK10" i="9" s="1"/>
  <c r="AT6" i="9"/>
  <c r="AW6" i="9" s="1"/>
  <c r="BI6" i="9" s="1"/>
  <c r="BK6" i="9" s="1"/>
  <c r="AT19" i="9"/>
  <c r="AW19" i="9" s="1"/>
  <c r="BI19" i="9" s="1"/>
  <c r="BK19" i="9" s="1"/>
  <c r="AT17" i="9"/>
  <c r="AW17" i="9" s="1"/>
  <c r="BI17" i="9" s="1"/>
  <c r="BK17" i="9" s="1"/>
  <c r="AT21" i="9"/>
  <c r="AW21" i="9" s="1"/>
  <c r="BI21" i="9" s="1"/>
  <c r="BK21" i="9" s="1"/>
  <c r="BL14" i="9"/>
  <c r="BN14" i="9"/>
  <c r="S14" i="9" s="1"/>
  <c r="F14" i="9" s="1"/>
  <c r="AT15" i="9"/>
  <c r="AW15" i="9" s="1"/>
  <c r="BI15" i="9" s="1"/>
  <c r="BK15" i="9" s="1"/>
  <c r="AT11" i="9"/>
  <c r="AW11" i="9" s="1"/>
  <c r="BI11" i="9" s="1"/>
  <c r="BK11" i="9" s="1"/>
  <c r="AT4" i="9"/>
  <c r="AW4" i="9" s="1"/>
  <c r="BI4" i="9" s="1"/>
  <c r="BK4" i="9" s="1"/>
  <c r="AT8" i="9"/>
  <c r="AW8" i="9" s="1"/>
  <c r="BI8" i="9" s="1"/>
  <c r="BK8" i="9" s="1"/>
  <c r="AT12" i="9"/>
  <c r="AW12" i="9" s="1"/>
  <c r="BI12" i="9" s="1"/>
  <c r="BK12" i="9" s="1"/>
  <c r="AT3" i="9"/>
  <c r="AW3" i="9" s="1"/>
  <c r="BI3" i="9" s="1"/>
  <c r="BK3" i="9" s="1"/>
  <c r="AT16" i="9"/>
  <c r="AW16" i="9" s="1"/>
  <c r="BI16" i="9" s="1"/>
  <c r="BK16" i="9" s="1"/>
  <c r="AT5" i="9"/>
  <c r="AW5" i="9" s="1"/>
  <c r="BI5" i="9" s="1"/>
  <c r="BK5" i="9" s="1"/>
  <c r="AT18" i="9"/>
  <c r="AW18" i="9" s="1"/>
  <c r="BI18" i="9" s="1"/>
  <c r="BK18" i="9" s="1"/>
  <c r="AT9" i="9"/>
  <c r="AW9" i="9" s="1"/>
  <c r="BI9" i="9" s="1"/>
  <c r="BK9" i="9" s="1"/>
  <c r="AT20" i="9"/>
  <c r="AW20" i="9" s="1"/>
  <c r="BI20" i="9" s="1"/>
  <c r="BK20" i="9" s="1"/>
  <c r="AT7" i="9"/>
  <c r="AW7" i="9" s="1"/>
  <c r="BI7" i="9" s="1"/>
  <c r="BK7" i="9" s="1"/>
  <c r="BI38" i="16"/>
  <c r="BF38" i="16"/>
  <c r="AI42" i="12"/>
  <c r="BF24" i="16"/>
  <c r="BF30" i="16"/>
  <c r="AI34" i="12"/>
  <c r="BF34" i="16"/>
  <c r="BI50" i="16"/>
  <c r="BF50" i="16"/>
  <c r="BI47" i="16"/>
  <c r="P52" i="16" a="1"/>
  <c r="P52" i="16" s="1"/>
  <c r="BQ52" i="16" s="1"/>
  <c r="Q53" i="16" a="1"/>
  <c r="Q53" i="16" s="1"/>
  <c r="Q62" i="16" a="1"/>
  <c r="Q62" i="16" s="1"/>
  <c r="P61" i="16" a="1"/>
  <c r="P61" i="16" s="1"/>
  <c r="BQ61" i="16" s="1"/>
  <c r="Q56" i="16" a="1"/>
  <c r="Q56" i="16" s="1"/>
  <c r="F46" i="16"/>
  <c r="W46" i="16"/>
  <c r="E50" i="16"/>
  <c r="AI53" i="12"/>
  <c r="F52" i="16"/>
  <c r="W52" i="16"/>
  <c r="AV52" i="16" s="1"/>
  <c r="AW52" i="16" s="1"/>
  <c r="AU52" i="16" s="1"/>
  <c r="BF55" i="16"/>
  <c r="AV56" i="16"/>
  <c r="AW56" i="16" s="1"/>
  <c r="AU56" i="16" s="1"/>
  <c r="AH56" i="16"/>
  <c r="AI58" i="12"/>
  <c r="E55" i="16"/>
  <c r="AI57" i="12"/>
  <c r="F60" i="16"/>
  <c r="W60" i="16"/>
  <c r="AV61" i="16"/>
  <c r="AW61" i="16" s="1"/>
  <c r="AU61" i="16" s="1"/>
  <c r="AS61" i="16"/>
  <c r="E51" i="16"/>
  <c r="AH44" i="16"/>
  <c r="AV44" i="16"/>
  <c r="AW44" i="16" s="1"/>
  <c r="AU44" i="16" s="1"/>
  <c r="BD51" i="16"/>
  <c r="BI51" i="16" s="1"/>
  <c r="AI51" i="12"/>
  <c r="AI52" i="12"/>
  <c r="AI50" i="12"/>
  <c r="E47" i="16"/>
  <c r="BF47" i="16"/>
  <c r="BI42" i="16"/>
  <c r="BF42" i="16"/>
  <c r="AH37" i="16"/>
  <c r="AV37" i="16"/>
  <c r="AW37" i="16" s="1"/>
  <c r="AU37" i="16" s="1"/>
  <c r="F35" i="16"/>
  <c r="W35" i="16"/>
  <c r="AS27" i="16"/>
  <c r="AV27" i="16"/>
  <c r="AW27" i="16" s="1"/>
  <c r="AU27" i="16" s="1"/>
  <c r="BF29" i="16"/>
  <c r="AI45" i="12"/>
  <c r="AI47" i="12"/>
  <c r="E42" i="16"/>
  <c r="AI46" i="12"/>
  <c r="F41" i="16"/>
  <c r="W41" i="16"/>
  <c r="AS25" i="16"/>
  <c r="AV25" i="16"/>
  <c r="AW25" i="16" s="1"/>
  <c r="AU25" i="16" s="1"/>
  <c r="E29" i="16"/>
  <c r="AI32" i="12"/>
  <c r="AI31" i="12"/>
  <c r="AJ31" i="12" s="1"/>
  <c r="F38" i="16"/>
  <c r="W38" i="16"/>
  <c r="F30" i="16"/>
  <c r="W30" i="16"/>
  <c r="AV30" i="16" s="1"/>
  <c r="AW30" i="16" s="1"/>
  <c r="AU30" i="16" s="1"/>
  <c r="P36" i="16" a="1"/>
  <c r="P36" i="16" s="1"/>
  <c r="BQ36" i="16" s="1"/>
  <c r="Q39" i="16" a="1"/>
  <c r="Q39" i="16" s="1"/>
  <c r="P37" i="16" a="1"/>
  <c r="P37" i="16" s="1"/>
  <c r="BQ37" i="16" s="1"/>
  <c r="E24" i="16"/>
  <c r="Q30" i="16" a="1"/>
  <c r="Q30" i="16" s="1"/>
  <c r="Q37" i="16" a="1"/>
  <c r="Q37" i="16" s="1"/>
  <c r="P24" i="16" a="1"/>
  <c r="P24" i="16" s="1"/>
  <c r="BQ24" i="16" s="1"/>
  <c r="Q34" i="16" a="1"/>
  <c r="Q34" i="16" s="1"/>
  <c r="P28" i="16" a="1"/>
  <c r="P28" i="16" s="1"/>
  <c r="BQ28" i="16" s="1"/>
  <c r="Q41" i="16" a="1"/>
  <c r="Q41" i="16" s="1"/>
  <c r="Q31" i="16" a="1"/>
  <c r="Q31" i="16" s="1"/>
  <c r="P35" i="16" a="1"/>
  <c r="P35" i="16" s="1"/>
  <c r="BQ35" i="16" s="1"/>
  <c r="Q38" i="16" a="1"/>
  <c r="Q38" i="16" s="1"/>
  <c r="AI27" i="12"/>
  <c r="AJ27" i="12" s="1"/>
  <c r="P25" i="16" a="1"/>
  <c r="P25" i="16" s="1"/>
  <c r="BQ25" i="16" s="1"/>
  <c r="P29" i="16" a="1"/>
  <c r="P29" i="16" s="1"/>
  <c r="BQ29" i="16" s="1"/>
  <c r="AI28" i="12"/>
  <c r="AJ28" i="12" s="1"/>
  <c r="P40" i="16" a="1"/>
  <c r="P40" i="16" s="1"/>
  <c r="BQ40" i="16" s="1"/>
  <c r="Q35" i="16" a="1"/>
  <c r="Q35" i="16" s="1"/>
  <c r="Q25" i="16" a="1"/>
  <c r="Q25" i="16" s="1"/>
  <c r="Q29" i="16" a="1"/>
  <c r="Q29" i="16" s="1"/>
  <c r="Q32" i="16" a="1"/>
  <c r="Q32" i="16" s="1"/>
  <c r="P39" i="16" a="1"/>
  <c r="P39" i="16" s="1"/>
  <c r="BQ39" i="16" s="1"/>
  <c r="Q36" i="16" a="1"/>
  <c r="Q36" i="16" s="1"/>
  <c r="P26" i="16" a="1"/>
  <c r="P26" i="16" s="1"/>
  <c r="BQ26" i="16" s="1"/>
  <c r="Q42" i="16" a="1"/>
  <c r="Q42" i="16" s="1"/>
  <c r="P27" i="16" a="1"/>
  <c r="P27" i="16" s="1"/>
  <c r="BQ27" i="16" s="1"/>
  <c r="P32" i="16" a="1"/>
  <c r="P32" i="16" s="1"/>
  <c r="BQ32" i="16" s="1"/>
  <c r="P23" i="16" a="1"/>
  <c r="P23" i="16" s="1"/>
  <c r="BQ23" i="16" s="1"/>
  <c r="Q26" i="16" a="1"/>
  <c r="Q26" i="16" s="1"/>
  <c r="Q24" i="16" a="1"/>
  <c r="Q24" i="16" s="1"/>
  <c r="P31" i="16" a="1"/>
  <c r="P31" i="16" s="1"/>
  <c r="BQ31" i="16" s="1"/>
  <c r="Q27" i="16" a="1"/>
  <c r="Q27" i="16" s="1"/>
  <c r="Q23" i="16" a="1"/>
  <c r="Q23" i="16" s="1"/>
  <c r="AS31" i="16"/>
  <c r="AV31" i="16"/>
  <c r="AW31" i="16" s="1"/>
  <c r="AU31" i="16" s="1"/>
  <c r="W34" i="16"/>
  <c r="AV34" i="16" s="1"/>
  <c r="AW34" i="16" s="1"/>
  <c r="AU34" i="16" s="1"/>
  <c r="F34" i="16"/>
  <c r="BD18" i="16"/>
  <c r="AH15" i="16"/>
  <c r="AV15" i="16"/>
  <c r="AW15" i="16" s="1"/>
  <c r="AU15" i="16" s="1"/>
  <c r="F7" i="16"/>
  <c r="W7" i="16"/>
  <c r="BF4" i="16"/>
  <c r="W5" i="16"/>
  <c r="F5" i="16"/>
  <c r="Q12" i="16" a="1"/>
  <c r="Q12" i="16" s="1"/>
  <c r="P20" i="16" a="1"/>
  <c r="P20" i="16" s="1"/>
  <c r="BQ20" i="16" s="1"/>
  <c r="P13" i="16" a="1"/>
  <c r="P13" i="16" s="1"/>
  <c r="BQ13" i="16" s="1"/>
  <c r="Q16" i="16" a="1"/>
  <c r="Q16" i="16" s="1"/>
  <c r="Q20" i="16" a="1"/>
  <c r="Q20" i="16" s="1"/>
  <c r="Q13" i="16" a="1"/>
  <c r="Q13" i="16" s="1"/>
  <c r="P6" i="16" a="1"/>
  <c r="P6" i="16" s="1"/>
  <c r="BQ6" i="16" s="1"/>
  <c r="P17" i="16" a="1"/>
  <c r="P17" i="16" s="1"/>
  <c r="BQ17" i="16" s="1"/>
  <c r="P14" i="16" a="1"/>
  <c r="P14" i="16" s="1"/>
  <c r="BQ14" i="16" s="1"/>
  <c r="Q6" i="16" a="1"/>
  <c r="Q6" i="16" s="1"/>
  <c r="Q17" i="16" a="1"/>
  <c r="Q17" i="16" s="1"/>
  <c r="E4" i="16"/>
  <c r="Q10" i="16" a="1"/>
  <c r="Q10" i="16" s="1"/>
  <c r="P18" i="16" a="1"/>
  <c r="P18" i="16" s="1"/>
  <c r="BQ18" i="16" s="1"/>
  <c r="P11" i="16" a="1"/>
  <c r="P11" i="16" s="1"/>
  <c r="BQ11" i="16" s="1"/>
  <c r="Q14" i="16" a="1"/>
  <c r="Q14" i="16" s="1"/>
  <c r="Q7" i="16" a="1"/>
  <c r="Q7" i="16" s="1"/>
  <c r="P22" i="16" a="1"/>
  <c r="P22" i="16" s="1"/>
  <c r="BQ22" i="16" s="1"/>
  <c r="P15" i="16" a="1"/>
  <c r="P15" i="16" s="1"/>
  <c r="BQ15" i="16" s="1"/>
  <c r="Q22" i="16" a="1"/>
  <c r="Q22" i="16" s="1"/>
  <c r="Q15" i="16" a="1"/>
  <c r="Q15" i="16" s="1"/>
  <c r="P12" i="16" a="1"/>
  <c r="P12" i="16" s="1"/>
  <c r="BQ12" i="16" s="1"/>
  <c r="Q18" i="16" a="1"/>
  <c r="Q18" i="16" s="1"/>
  <c r="Q8" i="16" a="1"/>
  <c r="Q8" i="16" s="1"/>
  <c r="AI3" i="12"/>
  <c r="Q21" i="16" a="1"/>
  <c r="Q21" i="16" s="1"/>
  <c r="Q19" i="16" a="1"/>
  <c r="Q19" i="16" s="1"/>
  <c r="P5" i="16" a="1"/>
  <c r="P5" i="16" s="1"/>
  <c r="BQ5" i="16" s="1"/>
  <c r="Q7" i="10" a="1"/>
  <c r="Q7" i="10" s="1"/>
  <c r="R7" i="10" s="1"/>
  <c r="P19" i="16" a="1"/>
  <c r="P19" i="16" s="1"/>
  <c r="BQ19" i="16" s="1"/>
  <c r="P10" i="16" a="1"/>
  <c r="P10" i="16" s="1"/>
  <c r="BQ10" i="16" s="1"/>
  <c r="Q45" i="10" a="1"/>
  <c r="Q45" i="10" s="1"/>
  <c r="R45" i="10" s="1"/>
  <c r="Q4" i="10" a="1"/>
  <c r="Q4" i="10" s="1"/>
  <c r="R4" i="10" s="1"/>
  <c r="Q62" i="10" a="1"/>
  <c r="Q62" i="10" s="1"/>
  <c r="R62" i="10" s="1"/>
  <c r="Q71" i="10" a="1"/>
  <c r="Q71" i="10" s="1"/>
  <c r="R71" i="10" s="1"/>
  <c r="Q28" i="10" a="1"/>
  <c r="Q28" i="10" s="1"/>
  <c r="R28" i="10" s="1"/>
  <c r="P8" i="16" a="1"/>
  <c r="P8" i="16" s="1"/>
  <c r="BQ8" i="16" s="1"/>
  <c r="Q10" i="10" a="1"/>
  <c r="Q10" i="10" s="1"/>
  <c r="R10" i="10" s="1"/>
  <c r="Q33" i="10" a="1"/>
  <c r="Q33" i="10" s="1"/>
  <c r="R33" i="10" s="1"/>
  <c r="Q78" i="10" a="1"/>
  <c r="Q78" i="10" s="1"/>
  <c r="R78" i="10" s="1"/>
  <c r="Q4" i="16" a="1"/>
  <c r="Q4" i="16" s="1"/>
  <c r="Q9" i="16" a="1"/>
  <c r="Q9" i="16" s="1"/>
  <c r="Q26" i="10" a="1"/>
  <c r="Q26" i="10" s="1"/>
  <c r="R26" i="10" s="1"/>
  <c r="Q11" i="16" a="1"/>
  <c r="Q11" i="16" s="1"/>
  <c r="P9" i="16" a="1"/>
  <c r="P9" i="16" s="1"/>
  <c r="BQ9" i="16" s="1"/>
  <c r="Q17" i="10" a="1"/>
  <c r="Q17" i="10" s="1"/>
  <c r="R17" i="10" s="1"/>
  <c r="Q74" i="10" a="1"/>
  <c r="Q74" i="10" s="1"/>
  <c r="R74" i="10" s="1"/>
  <c r="Q72" i="10" a="1"/>
  <c r="Q72" i="10" s="1"/>
  <c r="R72" i="10" s="1"/>
  <c r="P4" i="16" a="1"/>
  <c r="P4" i="16" s="1"/>
  <c r="BQ4" i="16" s="1"/>
  <c r="Q37" i="10" a="1"/>
  <c r="Q37" i="10" s="1"/>
  <c r="R37" i="10" s="1"/>
  <c r="Q19" i="10" a="1"/>
  <c r="Q19" i="10" s="1"/>
  <c r="R19" i="10" s="1"/>
  <c r="Q20" i="10" a="1"/>
  <c r="Q20" i="10" s="1"/>
  <c r="R20" i="10" s="1"/>
  <c r="Q3" i="16" a="1"/>
  <c r="Q3" i="16" s="1"/>
  <c r="P16" i="16" a="1"/>
  <c r="P16" i="16" s="1"/>
  <c r="BQ16" i="16" s="1"/>
  <c r="P7" i="16" a="1"/>
  <c r="P7" i="16" s="1"/>
  <c r="BQ7" i="16" s="1"/>
  <c r="Q5" i="16" a="1"/>
  <c r="Q5" i="16" s="1"/>
  <c r="Q22" i="10" a="1"/>
  <c r="Q22" i="10" s="1"/>
  <c r="R22" i="10" s="1"/>
  <c r="P3" i="16" a="1"/>
  <c r="P3" i="16" s="1"/>
  <c r="BQ3" i="16" s="1"/>
  <c r="Q49" i="10" a="1"/>
  <c r="Q49" i="10" s="1"/>
  <c r="R49" i="10" s="1"/>
  <c r="W16" i="16"/>
  <c r="F16" i="16"/>
  <c r="AI20" i="12"/>
  <c r="AJ20" i="12" s="1"/>
  <c r="AI21" i="12"/>
  <c r="AJ21" i="12" s="1"/>
  <c r="E21" i="16"/>
  <c r="AI22" i="12"/>
  <c r="AJ22" i="12" s="1"/>
  <c r="BF21" i="16"/>
  <c r="AI11" i="12"/>
  <c r="AJ11" i="12" s="1"/>
  <c r="AI10" i="12"/>
  <c r="AJ10" i="12" s="1"/>
  <c r="E13" i="16"/>
  <c r="F11" i="16"/>
  <c r="W11" i="16"/>
  <c r="BF13" i="16"/>
  <c r="W22" i="16"/>
  <c r="F22" i="16"/>
  <c r="AI19" i="12"/>
  <c r="AJ19" i="12" s="1"/>
  <c r="E18" i="16"/>
  <c r="AI18" i="12"/>
  <c r="AJ18" i="12" s="1"/>
  <c r="AI17" i="12"/>
  <c r="AJ17" i="12" s="1"/>
  <c r="F9" i="16"/>
  <c r="W9" i="16"/>
  <c r="AE70" i="12"/>
  <c r="AJ70" i="12"/>
  <c r="AJ68" i="12"/>
  <c r="AE68" i="12"/>
  <c r="AJ56" i="12"/>
  <c r="AE56" i="12"/>
  <c r="AE59" i="12"/>
  <c r="AJ59" i="12"/>
  <c r="AE64" i="12"/>
  <c r="AJ64" i="12"/>
  <c r="AJ55" i="12"/>
  <c r="AE55" i="12"/>
  <c r="AE41" i="12"/>
  <c r="AJ41" i="12"/>
  <c r="AD52" i="12"/>
  <c r="AE67" i="12"/>
  <c r="AJ67" i="12"/>
  <c r="AE48" i="12"/>
  <c r="AJ48" i="12"/>
  <c r="AE69" i="12"/>
  <c r="AJ69" i="12"/>
  <c r="AJ63" i="12"/>
  <c r="AE63" i="12"/>
  <c r="AE49" i="12"/>
  <c r="AJ49" i="12"/>
  <c r="AE40" i="12"/>
  <c r="AJ40" i="12"/>
  <c r="AJ60" i="12"/>
  <c r="AE60" i="12"/>
  <c r="AE45" i="12"/>
  <c r="AJ45" i="12"/>
  <c r="AE44" i="12"/>
  <c r="AJ44" i="12"/>
  <c r="AJ71" i="12"/>
  <c r="AE71" i="12"/>
  <c r="AD46" i="12"/>
  <c r="AE57" i="12"/>
  <c r="AJ57" i="12"/>
  <c r="AJ42" i="12"/>
  <c r="AE42" i="12"/>
  <c r="AE53" i="12"/>
  <c r="AJ53" i="12"/>
  <c r="AE54" i="12"/>
  <c r="AE50" i="12"/>
  <c r="AJ50" i="12"/>
  <c r="AE43" i="12"/>
  <c r="AJ43" i="12"/>
  <c r="AE62" i="12"/>
  <c r="AJ62" i="12"/>
  <c r="AJ39" i="12"/>
  <c r="AE39" i="12"/>
  <c r="AJ58" i="12"/>
  <c r="AE58" i="12"/>
  <c r="AE65" i="12"/>
  <c r="AJ65" i="12"/>
  <c r="AE51" i="12"/>
  <c r="AJ51" i="12"/>
  <c r="AE61" i="12"/>
  <c r="AJ61" i="12"/>
  <c r="AJ47" i="12"/>
  <c r="AE47" i="12"/>
  <c r="AJ66" i="12"/>
  <c r="AE66" i="12"/>
  <c r="AE5" i="12"/>
  <c r="AJ5" i="12"/>
  <c r="AJ24" i="12"/>
  <c r="AE24" i="12"/>
  <c r="AE37" i="12"/>
  <c r="AJ37" i="12"/>
  <c r="AE4" i="12"/>
  <c r="AJ4" i="12"/>
  <c r="AJ32" i="12"/>
  <c r="AE32" i="12"/>
  <c r="AE23" i="12"/>
  <c r="AJ23" i="12"/>
  <c r="AE34" i="12"/>
  <c r="AJ34" i="12"/>
  <c r="AJ35" i="12"/>
  <c r="AE35" i="12"/>
  <c r="AJ16" i="12"/>
  <c r="AE16" i="12"/>
  <c r="AE19" i="12"/>
  <c r="AE18" i="12"/>
  <c r="AE11" i="12"/>
  <c r="AE30" i="12"/>
  <c r="AJ30" i="12"/>
  <c r="AE38" i="12"/>
  <c r="AJ38" i="12"/>
  <c r="AE6" i="12"/>
  <c r="AJ6" i="12"/>
  <c r="AJ3" i="12"/>
  <c r="AE3" i="12"/>
  <c r="AE21" i="12"/>
  <c r="AE22" i="12"/>
  <c r="AE14" i="12"/>
  <c r="AJ14" i="12"/>
  <c r="AQ119" i="13" l="1"/>
  <c r="AS119" i="13" s="1"/>
  <c r="AQ121" i="13"/>
  <c r="AS121" i="13" s="1"/>
  <c r="AQ123" i="13"/>
  <c r="AS123" i="13" s="1"/>
  <c r="AQ125" i="13"/>
  <c r="AS125" i="13" s="1"/>
  <c r="AQ127" i="13"/>
  <c r="AS127" i="13" s="1"/>
  <c r="AQ120" i="13"/>
  <c r="AS120" i="13" s="1"/>
  <c r="AQ122" i="13"/>
  <c r="AS122" i="13" s="1"/>
  <c r="AQ124" i="13"/>
  <c r="AS124" i="13" s="1"/>
  <c r="AQ126" i="13"/>
  <c r="AS126" i="13" s="1"/>
  <c r="AQ104" i="13"/>
  <c r="AS104" i="13" s="1"/>
  <c r="AQ106" i="13"/>
  <c r="AS106" i="13" s="1"/>
  <c r="AQ108" i="13"/>
  <c r="AS108" i="13" s="1"/>
  <c r="AQ110" i="13"/>
  <c r="AS110" i="13" s="1"/>
  <c r="AQ112" i="13"/>
  <c r="AS112" i="13" s="1"/>
  <c r="AQ114" i="13"/>
  <c r="AS114" i="13" s="1"/>
  <c r="AQ116" i="13"/>
  <c r="AS116" i="13" s="1"/>
  <c r="AQ118" i="13"/>
  <c r="AS118" i="13" s="1"/>
  <c r="AQ103" i="13"/>
  <c r="AS103" i="13" s="1"/>
  <c r="AQ105" i="13"/>
  <c r="AS105" i="13" s="1"/>
  <c r="AQ107" i="13"/>
  <c r="AS107" i="13" s="1"/>
  <c r="AQ109" i="13"/>
  <c r="AS109" i="13" s="1"/>
  <c r="AQ111" i="13"/>
  <c r="AS111" i="13" s="1"/>
  <c r="AQ113" i="13"/>
  <c r="AS113" i="13" s="1"/>
  <c r="AQ115" i="13"/>
  <c r="AS115" i="13" s="1"/>
  <c r="AQ117" i="13"/>
  <c r="AS117" i="13" s="1"/>
  <c r="AQ61" i="13"/>
  <c r="AS61" i="13" s="1"/>
  <c r="AQ63" i="13"/>
  <c r="AS63" i="13" s="1"/>
  <c r="AQ65" i="13"/>
  <c r="AS65" i="13" s="1"/>
  <c r="AQ67" i="13"/>
  <c r="AS67" i="13" s="1"/>
  <c r="AQ69" i="13"/>
  <c r="AS69" i="13" s="1"/>
  <c r="AQ71" i="13"/>
  <c r="AS71" i="13" s="1"/>
  <c r="AQ73" i="13"/>
  <c r="AS73" i="13" s="1"/>
  <c r="AQ75" i="13"/>
  <c r="AS75" i="13" s="1"/>
  <c r="AQ77" i="13"/>
  <c r="AS77" i="13" s="1"/>
  <c r="AQ62" i="13"/>
  <c r="AS62" i="13" s="1"/>
  <c r="AQ64" i="13"/>
  <c r="AS64" i="13" s="1"/>
  <c r="AQ66" i="13"/>
  <c r="AS66" i="13" s="1"/>
  <c r="AQ68" i="13"/>
  <c r="AS68" i="13" s="1"/>
  <c r="AQ70" i="13"/>
  <c r="AS70" i="13" s="1"/>
  <c r="AQ72" i="13"/>
  <c r="AS72" i="13" s="1"/>
  <c r="AQ74" i="13"/>
  <c r="AS74" i="13" s="1"/>
  <c r="AQ76" i="13"/>
  <c r="AS76" i="13" s="1"/>
  <c r="AQ79" i="13"/>
  <c r="AS79" i="13" s="1"/>
  <c r="AQ81" i="13"/>
  <c r="AS81" i="13" s="1"/>
  <c r="AQ83" i="13"/>
  <c r="AS83" i="13" s="1"/>
  <c r="AQ85" i="13"/>
  <c r="AS85" i="13" s="1"/>
  <c r="AQ87" i="13"/>
  <c r="AS87" i="13" s="1"/>
  <c r="AQ89" i="13"/>
  <c r="AS89" i="13" s="1"/>
  <c r="AQ78" i="13"/>
  <c r="AS78" i="13" s="1"/>
  <c r="AQ80" i="13"/>
  <c r="AS80" i="13" s="1"/>
  <c r="AQ82" i="13"/>
  <c r="AS82" i="13" s="1"/>
  <c r="AQ84" i="13"/>
  <c r="AS84" i="13" s="1"/>
  <c r="AQ86" i="13"/>
  <c r="AS86" i="13" s="1"/>
  <c r="AQ88" i="13"/>
  <c r="AS88" i="13" s="1"/>
  <c r="AQ32" i="13"/>
  <c r="AS32" i="13" s="1"/>
  <c r="AQ34" i="13"/>
  <c r="AS34" i="13" s="1"/>
  <c r="AQ36" i="13"/>
  <c r="AS36" i="13" s="1"/>
  <c r="AQ38" i="13"/>
  <c r="AS38" i="13" s="1"/>
  <c r="AQ40" i="13"/>
  <c r="AS40" i="13" s="1"/>
  <c r="AQ42" i="13"/>
  <c r="AS42" i="13" s="1"/>
  <c r="AQ44" i="13"/>
  <c r="AS44" i="13" s="1"/>
  <c r="AQ46" i="13"/>
  <c r="AS46" i="13" s="1"/>
  <c r="AQ48" i="13"/>
  <c r="AS48" i="13" s="1"/>
  <c r="AQ50" i="13"/>
  <c r="AS50" i="13" s="1"/>
  <c r="AQ52" i="13"/>
  <c r="AS52" i="13" s="1"/>
  <c r="AQ33" i="13"/>
  <c r="AS33" i="13" s="1"/>
  <c r="AQ35" i="13"/>
  <c r="AS35" i="13" s="1"/>
  <c r="AQ37" i="13"/>
  <c r="AS37" i="13" s="1"/>
  <c r="AQ39" i="13"/>
  <c r="AS39" i="13" s="1"/>
  <c r="AQ41" i="13"/>
  <c r="AS41" i="13" s="1"/>
  <c r="AQ43" i="13"/>
  <c r="AS43" i="13" s="1"/>
  <c r="AQ45" i="13"/>
  <c r="AS45" i="13" s="1"/>
  <c r="AQ47" i="13"/>
  <c r="AS47" i="13" s="1"/>
  <c r="AQ49" i="13"/>
  <c r="AS49" i="13" s="1"/>
  <c r="AQ51" i="13"/>
  <c r="AS51" i="13" s="1"/>
  <c r="AQ54" i="13"/>
  <c r="AS54" i="13" s="1"/>
  <c r="AQ56" i="13"/>
  <c r="AS56" i="13" s="1"/>
  <c r="AQ58" i="13"/>
  <c r="AS58" i="13" s="1"/>
  <c r="AQ60" i="13"/>
  <c r="AS60" i="13" s="1"/>
  <c r="AQ53" i="13"/>
  <c r="AS53" i="13" s="1"/>
  <c r="AQ55" i="13"/>
  <c r="AS55" i="13" s="1"/>
  <c r="AQ57" i="13"/>
  <c r="AS57" i="13" s="1"/>
  <c r="AQ59" i="13"/>
  <c r="AS59" i="13" s="1"/>
  <c r="AN17" i="13"/>
  <c r="AN23" i="13"/>
  <c r="AR25" i="13"/>
  <c r="AN24" i="13"/>
  <c r="AN7" i="13"/>
  <c r="AR16" i="13"/>
  <c r="AR7" i="13"/>
  <c r="AR14" i="13"/>
  <c r="AN22" i="13"/>
  <c r="AN5" i="13"/>
  <c r="AR23" i="13"/>
  <c r="AR21" i="13"/>
  <c r="AQ8" i="13"/>
  <c r="AS8" i="13" s="1"/>
  <c r="AQ24" i="13"/>
  <c r="AS24" i="13" s="1"/>
  <c r="AQ17" i="13"/>
  <c r="AS17" i="13" s="1"/>
  <c r="AQ10" i="13"/>
  <c r="AS10" i="13" s="1"/>
  <c r="AQ26" i="13"/>
  <c r="AS26" i="13" s="1"/>
  <c r="AQ3" i="13"/>
  <c r="AS3" i="13" s="1"/>
  <c r="AQ19" i="13"/>
  <c r="AS19" i="13" s="1"/>
  <c r="AQ12" i="13"/>
  <c r="AS12" i="13" s="1"/>
  <c r="AQ5" i="13"/>
  <c r="AS5" i="13" s="1"/>
  <c r="AQ21" i="13"/>
  <c r="AS21" i="13" s="1"/>
  <c r="AQ14" i="13"/>
  <c r="AS14" i="13" s="1"/>
  <c r="AQ7" i="13"/>
  <c r="AS7" i="13" s="1"/>
  <c r="AQ23" i="13"/>
  <c r="AS23" i="13" s="1"/>
  <c r="AQ16" i="13"/>
  <c r="AS16" i="13" s="1"/>
  <c r="AQ9" i="13"/>
  <c r="AS9" i="13" s="1"/>
  <c r="AQ25" i="13"/>
  <c r="AS25" i="13" s="1"/>
  <c r="AQ18" i="13"/>
  <c r="AS18" i="13" s="1"/>
  <c r="AQ11" i="13"/>
  <c r="AS11" i="13" s="1"/>
  <c r="AQ27" i="13"/>
  <c r="AS27" i="13" s="1"/>
  <c r="AQ4" i="13"/>
  <c r="AS4" i="13" s="1"/>
  <c r="AQ20" i="13"/>
  <c r="AS20" i="13" s="1"/>
  <c r="AQ13" i="13"/>
  <c r="AS13" i="13" s="1"/>
  <c r="AQ6" i="13"/>
  <c r="AS6" i="13" s="1"/>
  <c r="AQ22" i="13"/>
  <c r="AS22" i="13" s="1"/>
  <c r="AQ15" i="13"/>
  <c r="AS15" i="13" s="1"/>
  <c r="AN19" i="13"/>
  <c r="AR5" i="13"/>
  <c r="AN13" i="13"/>
  <c r="AN3" i="13"/>
  <c r="AR22" i="13"/>
  <c r="AR12" i="13"/>
  <c r="AN6" i="13"/>
  <c r="AN12" i="13"/>
  <c r="AN20" i="13"/>
  <c r="AR6" i="13"/>
  <c r="AR19" i="13"/>
  <c r="AN28" i="13"/>
  <c r="AN4" i="13"/>
  <c r="AR31" i="13"/>
  <c r="AR13" i="13"/>
  <c r="AR3" i="13"/>
  <c r="AN30" i="13"/>
  <c r="AN11" i="13"/>
  <c r="AR29" i="13"/>
  <c r="AR20" i="13"/>
  <c r="AR10" i="13"/>
  <c r="AQ28" i="13"/>
  <c r="AS28" i="13" s="1"/>
  <c r="AQ30" i="13"/>
  <c r="AS30" i="13" s="1"/>
  <c r="AQ29" i="13"/>
  <c r="AS29" i="13" s="1"/>
  <c r="AQ31" i="13"/>
  <c r="AS31" i="13" s="1"/>
  <c r="AN18" i="13"/>
  <c r="AR30" i="13"/>
  <c r="AR4" i="13"/>
  <c r="AR26" i="13"/>
  <c r="AN31" i="13"/>
  <c r="AN27" i="13"/>
  <c r="AR11" i="13"/>
  <c r="AR17" i="13"/>
  <c r="AN29" i="13"/>
  <c r="AN25" i="13"/>
  <c r="AR27" i="13"/>
  <c r="AR24" i="13"/>
  <c r="AR18" i="13"/>
  <c r="AR8" i="13"/>
  <c r="AN26" i="13"/>
  <c r="AN9" i="13"/>
  <c r="AN10" i="13"/>
  <c r="AN16" i="13"/>
  <c r="AR9" i="13"/>
  <c r="BL182" i="9"/>
  <c r="BN182" i="9"/>
  <c r="S182" i="9" s="1"/>
  <c r="F182" i="9" s="1"/>
  <c r="BL174" i="9"/>
  <c r="BN174" i="9"/>
  <c r="S174" i="9" s="1"/>
  <c r="F174" i="9" s="1"/>
  <c r="BL177" i="9"/>
  <c r="BN177" i="9"/>
  <c r="S177" i="9" s="1"/>
  <c r="F177" i="9" s="1"/>
  <c r="BL180" i="9"/>
  <c r="BN180" i="9"/>
  <c r="S180" i="9" s="1"/>
  <c r="F180" i="9" s="1"/>
  <c r="BL179" i="9"/>
  <c r="BN179" i="9"/>
  <c r="S179" i="9" s="1"/>
  <c r="F179" i="9" s="1"/>
  <c r="BL181" i="9"/>
  <c r="BN181" i="9"/>
  <c r="S181" i="9" s="1"/>
  <c r="F181" i="9" s="1"/>
  <c r="BL176" i="9"/>
  <c r="BN176" i="9"/>
  <c r="S176" i="9" s="1"/>
  <c r="F176" i="9" s="1"/>
  <c r="BL175" i="9"/>
  <c r="BN175" i="9"/>
  <c r="S175" i="9" s="1"/>
  <c r="F175" i="9" s="1"/>
  <c r="BN178" i="9"/>
  <c r="S178" i="9" s="1"/>
  <c r="F178" i="9" s="1"/>
  <c r="BL178" i="9"/>
  <c r="BL167" i="9"/>
  <c r="BN167" i="9"/>
  <c r="S167" i="9" s="1"/>
  <c r="F167" i="9" s="1"/>
  <c r="BL162" i="9"/>
  <c r="BN162" i="9"/>
  <c r="S162" i="9" s="1"/>
  <c r="F162" i="9" s="1"/>
  <c r="BL168" i="9"/>
  <c r="BN168" i="9"/>
  <c r="S168" i="9" s="1"/>
  <c r="F168" i="9" s="1"/>
  <c r="BL163" i="9"/>
  <c r="BN163" i="9"/>
  <c r="S163" i="9" s="1"/>
  <c r="F163" i="9" s="1"/>
  <c r="BL155" i="9"/>
  <c r="BN155" i="9"/>
  <c r="S155" i="9" s="1"/>
  <c r="F155" i="9" s="1"/>
  <c r="BL159" i="9"/>
  <c r="BN159" i="9"/>
  <c r="S159" i="9" s="1"/>
  <c r="F159" i="9" s="1"/>
  <c r="BL164" i="9"/>
  <c r="BN164" i="9"/>
  <c r="S164" i="9" s="1"/>
  <c r="F164" i="9" s="1"/>
  <c r="BN78" i="9"/>
  <c r="S78" i="9" s="1"/>
  <c r="F78" i="9" s="1"/>
  <c r="BL156" i="9"/>
  <c r="BN156" i="9"/>
  <c r="S156" i="9" s="1"/>
  <c r="F156" i="9" s="1"/>
  <c r="BL160" i="9"/>
  <c r="BN160" i="9"/>
  <c r="S160" i="9" s="1"/>
  <c r="F160" i="9" s="1"/>
  <c r="BL157" i="9"/>
  <c r="BN157" i="9"/>
  <c r="S157" i="9" s="1"/>
  <c r="F157" i="9" s="1"/>
  <c r="BL63" i="9"/>
  <c r="BN172" i="9"/>
  <c r="S172" i="9" s="1"/>
  <c r="F172" i="9" s="1"/>
  <c r="BL172" i="9"/>
  <c r="BL161" i="9"/>
  <c r="BN161" i="9"/>
  <c r="S161" i="9" s="1"/>
  <c r="F161" i="9" s="1"/>
  <c r="BL138" i="9"/>
  <c r="BN138" i="9"/>
  <c r="S138" i="9" s="1"/>
  <c r="F138" i="9" s="1"/>
  <c r="BL153" i="9"/>
  <c r="BN153" i="9"/>
  <c r="S153" i="9" s="1"/>
  <c r="F153" i="9" s="1"/>
  <c r="BN151" i="9"/>
  <c r="S151" i="9" s="1"/>
  <c r="F151" i="9" s="1"/>
  <c r="BL151" i="9"/>
  <c r="BL142" i="9"/>
  <c r="BN142" i="9"/>
  <c r="S142" i="9" s="1"/>
  <c r="F142" i="9" s="1"/>
  <c r="BL146" i="9"/>
  <c r="BN146" i="9"/>
  <c r="S146" i="9" s="1"/>
  <c r="F146" i="9" s="1"/>
  <c r="BL143" i="9"/>
  <c r="BN143" i="9"/>
  <c r="S143" i="9" s="1"/>
  <c r="F143" i="9" s="1"/>
  <c r="BL152" i="9"/>
  <c r="BN152" i="9"/>
  <c r="S152" i="9" s="1"/>
  <c r="F152" i="9" s="1"/>
  <c r="BL136" i="9"/>
  <c r="BN136" i="9"/>
  <c r="S136" i="9" s="1"/>
  <c r="F136" i="9" s="1"/>
  <c r="BL137" i="9"/>
  <c r="BN137" i="9"/>
  <c r="S137" i="9" s="1"/>
  <c r="F137" i="9" s="1"/>
  <c r="BN149" i="9"/>
  <c r="S149" i="9" s="1"/>
  <c r="F149" i="9" s="1"/>
  <c r="BL149" i="9"/>
  <c r="BL154" i="9"/>
  <c r="BN154" i="9"/>
  <c r="S154" i="9" s="1"/>
  <c r="F154" i="9" s="1"/>
  <c r="BL141" i="9"/>
  <c r="BN141" i="9"/>
  <c r="S141" i="9" s="1"/>
  <c r="F141" i="9" s="1"/>
  <c r="BL145" i="9"/>
  <c r="BN145" i="9"/>
  <c r="S145" i="9" s="1"/>
  <c r="F145" i="9" s="1"/>
  <c r="BL150" i="9"/>
  <c r="BN150" i="9"/>
  <c r="S150" i="9" s="1"/>
  <c r="F150" i="9" s="1"/>
  <c r="BL147" i="9"/>
  <c r="BN147" i="9"/>
  <c r="S147" i="9" s="1"/>
  <c r="F147" i="9" s="1"/>
  <c r="BN139" i="9"/>
  <c r="S139" i="9" s="1"/>
  <c r="F139" i="9" s="1"/>
  <c r="BL139" i="9"/>
  <c r="BL148" i="9"/>
  <c r="BN148" i="9"/>
  <c r="S148" i="9" s="1"/>
  <c r="F148" i="9" s="1"/>
  <c r="BN140" i="9"/>
  <c r="S140" i="9" s="1"/>
  <c r="F140" i="9" s="1"/>
  <c r="BL140" i="9"/>
  <c r="BL117" i="9"/>
  <c r="BN117" i="9"/>
  <c r="S117" i="9" s="1"/>
  <c r="F117" i="9" s="1"/>
  <c r="BL118" i="9"/>
  <c r="BN118" i="9"/>
  <c r="S118" i="9" s="1"/>
  <c r="F118" i="9" s="1"/>
  <c r="BN135" i="9"/>
  <c r="S135" i="9" s="1"/>
  <c r="F135" i="9" s="1"/>
  <c r="BL135" i="9"/>
  <c r="BL132" i="9"/>
  <c r="BN132" i="9"/>
  <c r="S132" i="9" s="1"/>
  <c r="F132" i="9" s="1"/>
  <c r="BN121" i="9"/>
  <c r="S121" i="9" s="1"/>
  <c r="F121" i="9" s="1"/>
  <c r="BL121" i="9"/>
  <c r="BN120" i="9"/>
  <c r="S120" i="9" s="1"/>
  <c r="F120" i="9" s="1"/>
  <c r="BL120" i="9"/>
  <c r="BL129" i="9"/>
  <c r="BN129" i="9"/>
  <c r="S129" i="9" s="1"/>
  <c r="F129" i="9" s="1"/>
  <c r="BL131" i="9"/>
  <c r="BN131" i="9"/>
  <c r="S131" i="9" s="1"/>
  <c r="F131" i="9" s="1"/>
  <c r="BN70" i="9"/>
  <c r="S70" i="9" s="1"/>
  <c r="F70" i="9" s="1"/>
  <c r="BL70" i="9"/>
  <c r="BL124" i="9"/>
  <c r="BN124" i="9"/>
  <c r="S124" i="9" s="1"/>
  <c r="F124" i="9" s="1"/>
  <c r="BL119" i="9"/>
  <c r="BN119" i="9"/>
  <c r="S119" i="9" s="1"/>
  <c r="F119" i="9" s="1"/>
  <c r="BL123" i="9"/>
  <c r="BN123" i="9"/>
  <c r="S123" i="9" s="1"/>
  <c r="F123" i="9" s="1"/>
  <c r="BL127" i="9"/>
  <c r="BN127" i="9"/>
  <c r="S127" i="9" s="1"/>
  <c r="F127" i="9" s="1"/>
  <c r="BL134" i="9"/>
  <c r="BN134" i="9"/>
  <c r="S134" i="9" s="1"/>
  <c r="F134" i="9" s="1"/>
  <c r="BL130" i="9"/>
  <c r="BN130" i="9"/>
  <c r="S130" i="9" s="1"/>
  <c r="F130" i="9" s="1"/>
  <c r="BN128" i="9"/>
  <c r="S128" i="9" s="1"/>
  <c r="F128" i="9" s="1"/>
  <c r="BL128" i="9"/>
  <c r="BL126" i="9"/>
  <c r="BN126" i="9"/>
  <c r="S126" i="9" s="1"/>
  <c r="F126" i="9" s="1"/>
  <c r="BL101" i="9"/>
  <c r="BN101" i="9"/>
  <c r="S101" i="9" s="1"/>
  <c r="F101" i="9" s="1"/>
  <c r="BL111" i="9"/>
  <c r="BN111" i="9"/>
  <c r="S111" i="9" s="1"/>
  <c r="F111" i="9" s="1"/>
  <c r="BL102" i="9"/>
  <c r="BN102" i="9"/>
  <c r="S102" i="9" s="1"/>
  <c r="F102" i="9" s="1"/>
  <c r="BN115" i="9"/>
  <c r="S115" i="9" s="1"/>
  <c r="F115" i="9" s="1"/>
  <c r="BL115" i="9"/>
  <c r="BL114" i="9"/>
  <c r="BN114" i="9"/>
  <c r="S114" i="9" s="1"/>
  <c r="F114" i="9" s="1"/>
  <c r="BL112" i="9"/>
  <c r="BN112" i="9"/>
  <c r="S112" i="9" s="1"/>
  <c r="F112" i="9" s="1"/>
  <c r="BL108" i="9"/>
  <c r="BN108" i="9"/>
  <c r="S108" i="9" s="1"/>
  <c r="F108" i="9" s="1"/>
  <c r="BL105" i="9"/>
  <c r="BN105" i="9"/>
  <c r="S105" i="9" s="1"/>
  <c r="F105" i="9" s="1"/>
  <c r="BL98" i="9"/>
  <c r="BN98" i="9"/>
  <c r="S98" i="9" s="1"/>
  <c r="F98" i="9" s="1"/>
  <c r="BL99" i="9"/>
  <c r="BN99" i="9"/>
  <c r="S99" i="9" s="1"/>
  <c r="F99" i="9" s="1"/>
  <c r="BN103" i="9"/>
  <c r="S103" i="9" s="1"/>
  <c r="F103" i="9" s="1"/>
  <c r="BL103" i="9"/>
  <c r="BL106" i="9"/>
  <c r="BN106" i="9"/>
  <c r="S106" i="9" s="1"/>
  <c r="F106" i="9" s="1"/>
  <c r="BL100" i="9"/>
  <c r="BN100" i="9"/>
  <c r="S100" i="9" s="1"/>
  <c r="F100" i="9" s="1"/>
  <c r="BL116" i="9"/>
  <c r="BN116" i="9"/>
  <c r="S116" i="9" s="1"/>
  <c r="F116" i="9" s="1"/>
  <c r="BL109" i="9"/>
  <c r="BN109" i="9"/>
  <c r="S109" i="9" s="1"/>
  <c r="F109" i="9" s="1"/>
  <c r="BN113" i="9"/>
  <c r="S113" i="9" s="1"/>
  <c r="F113" i="9" s="1"/>
  <c r="BL113" i="9"/>
  <c r="BL104" i="9"/>
  <c r="BN104" i="9"/>
  <c r="S104" i="9" s="1"/>
  <c r="F104" i="9" s="1"/>
  <c r="BL80" i="9"/>
  <c r="BN80" i="9"/>
  <c r="S80" i="9" s="1"/>
  <c r="F80" i="9" s="1"/>
  <c r="BL79" i="9"/>
  <c r="BN79" i="9"/>
  <c r="S79" i="9" s="1"/>
  <c r="F79" i="9" s="1"/>
  <c r="BL83" i="9"/>
  <c r="BN83" i="9"/>
  <c r="S83" i="9" s="1"/>
  <c r="F83" i="9" s="1"/>
  <c r="BL95" i="9"/>
  <c r="BN95" i="9"/>
  <c r="S95" i="9" s="1"/>
  <c r="F95" i="9" s="1"/>
  <c r="BL91" i="9"/>
  <c r="BN91" i="9"/>
  <c r="S91" i="9" s="1"/>
  <c r="F91" i="9" s="1"/>
  <c r="BN96" i="9"/>
  <c r="S96" i="9" s="1"/>
  <c r="F96" i="9" s="1"/>
  <c r="BL96" i="9"/>
  <c r="BL93" i="9"/>
  <c r="BN93" i="9"/>
  <c r="S93" i="9" s="1"/>
  <c r="F93" i="9" s="1"/>
  <c r="BL84" i="9"/>
  <c r="BN84" i="9"/>
  <c r="S84" i="9" s="1"/>
  <c r="F84" i="9" s="1"/>
  <c r="BL90" i="9"/>
  <c r="BN90" i="9"/>
  <c r="S90" i="9" s="1"/>
  <c r="F90" i="9" s="1"/>
  <c r="BL85" i="9"/>
  <c r="BN85" i="9"/>
  <c r="S85" i="9" s="1"/>
  <c r="F85" i="9" s="1"/>
  <c r="BL86" i="9"/>
  <c r="BN86" i="9"/>
  <c r="S86" i="9" s="1"/>
  <c r="F86" i="9" s="1"/>
  <c r="BN82" i="9"/>
  <c r="S82" i="9" s="1"/>
  <c r="F82" i="9" s="1"/>
  <c r="BL82" i="9"/>
  <c r="BL88" i="9"/>
  <c r="BN88" i="9"/>
  <c r="S88" i="9" s="1"/>
  <c r="F88" i="9" s="1"/>
  <c r="BN89" i="9"/>
  <c r="S89" i="9" s="1"/>
  <c r="F89" i="9" s="1"/>
  <c r="BL89" i="9"/>
  <c r="BL97" i="9"/>
  <c r="BN97" i="9"/>
  <c r="S97" i="9" s="1"/>
  <c r="F97" i="9" s="1"/>
  <c r="BL81" i="9"/>
  <c r="BN81" i="9"/>
  <c r="S81" i="9" s="1"/>
  <c r="F81" i="9" s="1"/>
  <c r="BL92" i="9"/>
  <c r="BN92" i="9"/>
  <c r="S92" i="9" s="1"/>
  <c r="F92" i="9" s="1"/>
  <c r="BL61" i="9"/>
  <c r="BN61" i="9"/>
  <c r="S61" i="9" s="1"/>
  <c r="F61" i="9" s="1"/>
  <c r="BL60" i="9"/>
  <c r="BN60" i="9"/>
  <c r="S60" i="9" s="1"/>
  <c r="F60" i="9" s="1"/>
  <c r="BL74" i="9"/>
  <c r="BN74" i="9"/>
  <c r="S74" i="9" s="1"/>
  <c r="F74" i="9" s="1"/>
  <c r="BL77" i="9"/>
  <c r="BN77" i="9"/>
  <c r="S77" i="9" s="1"/>
  <c r="F77" i="9" s="1"/>
  <c r="BL76" i="9"/>
  <c r="BN76" i="9"/>
  <c r="S76" i="9" s="1"/>
  <c r="F76" i="9" s="1"/>
  <c r="BL62" i="9"/>
  <c r="BN62" i="9"/>
  <c r="S62" i="9" s="1"/>
  <c r="F62" i="9" s="1"/>
  <c r="BL69" i="9"/>
  <c r="BN69" i="9"/>
  <c r="S69" i="9" s="1"/>
  <c r="F69" i="9" s="1"/>
  <c r="BL54" i="9"/>
  <c r="BN54" i="9"/>
  <c r="S54" i="9" s="1"/>
  <c r="F54" i="9" s="1"/>
  <c r="BL65" i="9"/>
  <c r="BN65" i="9"/>
  <c r="S65" i="9" s="1"/>
  <c r="F65" i="9" s="1"/>
  <c r="BL50" i="9"/>
  <c r="BN50" i="9"/>
  <c r="S50" i="9" s="1"/>
  <c r="F50" i="9" s="1"/>
  <c r="BL48" i="9"/>
  <c r="BN48" i="9"/>
  <c r="S48" i="9" s="1"/>
  <c r="F48" i="9" s="1"/>
  <c r="BL45" i="9"/>
  <c r="BN45" i="9"/>
  <c r="S45" i="9" s="1"/>
  <c r="F45" i="9" s="1"/>
  <c r="BL49" i="9"/>
  <c r="BN49" i="9"/>
  <c r="S49" i="9" s="1"/>
  <c r="F49" i="9" s="1"/>
  <c r="BL55" i="9"/>
  <c r="BN55" i="9"/>
  <c r="S55" i="9" s="1"/>
  <c r="F55" i="9" s="1"/>
  <c r="BL53" i="9"/>
  <c r="BN53" i="9"/>
  <c r="S53" i="9" s="1"/>
  <c r="F53" i="9" s="1"/>
  <c r="BL42" i="9"/>
  <c r="BN42" i="9"/>
  <c r="S42" i="9" s="1"/>
  <c r="F42" i="9" s="1"/>
  <c r="BL44" i="9"/>
  <c r="BN44" i="9"/>
  <c r="S44" i="9" s="1"/>
  <c r="F44" i="9" s="1"/>
  <c r="BN52" i="9"/>
  <c r="S52" i="9" s="1"/>
  <c r="F52" i="9" s="1"/>
  <c r="BL52" i="9"/>
  <c r="BL56" i="9"/>
  <c r="BN56" i="9"/>
  <c r="S56" i="9" s="1"/>
  <c r="F56" i="9" s="1"/>
  <c r="BL57" i="9"/>
  <c r="BN57" i="9"/>
  <c r="S57" i="9" s="1"/>
  <c r="F57" i="9" s="1"/>
  <c r="BL41" i="9"/>
  <c r="BN41" i="9"/>
  <c r="S41" i="9" s="1"/>
  <c r="F41" i="9" s="1"/>
  <c r="BL43" i="9"/>
  <c r="BN43" i="9"/>
  <c r="S43" i="9" s="1"/>
  <c r="F43" i="9" s="1"/>
  <c r="BL47" i="9"/>
  <c r="BN47" i="9"/>
  <c r="S47" i="9" s="1"/>
  <c r="F47" i="9" s="1"/>
  <c r="BL51" i="9"/>
  <c r="BN51" i="9"/>
  <c r="S51" i="9" s="1"/>
  <c r="F51" i="9" s="1"/>
  <c r="BL46" i="9"/>
  <c r="BN46" i="9"/>
  <c r="S46" i="9" s="1"/>
  <c r="F46" i="9" s="1"/>
  <c r="BL39" i="9"/>
  <c r="BN39" i="9"/>
  <c r="S39" i="9" s="1"/>
  <c r="F39" i="9" s="1"/>
  <c r="BL26" i="9"/>
  <c r="BN26" i="9"/>
  <c r="S26" i="9" s="1"/>
  <c r="F26" i="9" s="1"/>
  <c r="BN40" i="9"/>
  <c r="S40" i="9" s="1"/>
  <c r="F40" i="9" s="1"/>
  <c r="BL40" i="9"/>
  <c r="BN25" i="9"/>
  <c r="S25" i="9" s="1"/>
  <c r="F25" i="9" s="1"/>
  <c r="BL25" i="9"/>
  <c r="BN28" i="9"/>
  <c r="S28" i="9" s="1"/>
  <c r="F28" i="9" s="1"/>
  <c r="BL28" i="9"/>
  <c r="BL32" i="9"/>
  <c r="BN32" i="9"/>
  <c r="S32" i="9" s="1"/>
  <c r="F32" i="9" s="1"/>
  <c r="BL30" i="9"/>
  <c r="BN30" i="9"/>
  <c r="S30" i="9" s="1"/>
  <c r="F30" i="9" s="1"/>
  <c r="BL31" i="9"/>
  <c r="BN31" i="9"/>
  <c r="S31" i="9" s="1"/>
  <c r="F31" i="9" s="1"/>
  <c r="BL24" i="9"/>
  <c r="BN24" i="9"/>
  <c r="S24" i="9" s="1"/>
  <c r="F24" i="9" s="1"/>
  <c r="BL34" i="9"/>
  <c r="BN34" i="9"/>
  <c r="S34" i="9" s="1"/>
  <c r="F34" i="9" s="1"/>
  <c r="BL7" i="9"/>
  <c r="BN7" i="9"/>
  <c r="S7" i="9" s="1"/>
  <c r="F7" i="9" s="1"/>
  <c r="BL4" i="9"/>
  <c r="BN4" i="9"/>
  <c r="S4" i="9" s="1"/>
  <c r="F4" i="9" s="1"/>
  <c r="BL16" i="9"/>
  <c r="BN16" i="9"/>
  <c r="S16" i="9" s="1"/>
  <c r="F16" i="9" s="1"/>
  <c r="BL6" i="9"/>
  <c r="BN6" i="9"/>
  <c r="S6" i="9" s="1"/>
  <c r="F6" i="9" s="1"/>
  <c r="BL10" i="9"/>
  <c r="BN10" i="9"/>
  <c r="S10" i="9" s="1"/>
  <c r="F10" i="9" s="1"/>
  <c r="BL8" i="9"/>
  <c r="BN8" i="9"/>
  <c r="S8" i="9" s="1"/>
  <c r="F8" i="9" s="1"/>
  <c r="BN13" i="9"/>
  <c r="S13" i="9" s="1"/>
  <c r="F13" i="9" s="1"/>
  <c r="BL13" i="9"/>
  <c r="BL9" i="9"/>
  <c r="BN9" i="9"/>
  <c r="S9" i="9" s="1"/>
  <c r="F9" i="9" s="1"/>
  <c r="BL11" i="9"/>
  <c r="BN11" i="9"/>
  <c r="S11" i="9" s="1"/>
  <c r="F11" i="9" s="1"/>
  <c r="BL21" i="9"/>
  <c r="BN21" i="9"/>
  <c r="S21" i="9" s="1"/>
  <c r="F21" i="9" s="1"/>
  <c r="BL15" i="9"/>
  <c r="BN15" i="9"/>
  <c r="S15" i="9" s="1"/>
  <c r="F15" i="9" s="1"/>
  <c r="BN5" i="9"/>
  <c r="S5" i="9" s="1"/>
  <c r="F5" i="9" s="1"/>
  <c r="BL5" i="9"/>
  <c r="BL18" i="9"/>
  <c r="BN18" i="9"/>
  <c r="S18" i="9" s="1"/>
  <c r="F18" i="9" s="1"/>
  <c r="BL3" i="9"/>
  <c r="BN3" i="9"/>
  <c r="S3" i="9" s="1"/>
  <c r="F3" i="9" s="1"/>
  <c r="BL17" i="9"/>
  <c r="BN17" i="9"/>
  <c r="S17" i="9" s="1"/>
  <c r="F17" i="9" s="1"/>
  <c r="BL12" i="9"/>
  <c r="BN12" i="9"/>
  <c r="S12" i="9" s="1"/>
  <c r="F12" i="9" s="1"/>
  <c r="BL19" i="9"/>
  <c r="BN19" i="9"/>
  <c r="S19" i="9" s="1"/>
  <c r="F19" i="9" s="1"/>
  <c r="BL20" i="9"/>
  <c r="BN20" i="9"/>
  <c r="S20" i="9" s="1"/>
  <c r="F20" i="9" s="1"/>
  <c r="BF51" i="16"/>
  <c r="Q33" i="16" a="1"/>
  <c r="Q33" i="16" s="1"/>
  <c r="Q51" i="16" a="1"/>
  <c r="Q51" i="16" s="1"/>
  <c r="Q61" i="16" a="1"/>
  <c r="Q61" i="16" s="1"/>
  <c r="Q60" i="16" a="1"/>
  <c r="Q60" i="16" s="1"/>
  <c r="Q58" i="16" a="1"/>
  <c r="Q58" i="16" s="1"/>
  <c r="P62" i="16" a="1"/>
  <c r="P62" i="16" s="1"/>
  <c r="BQ62" i="16" s="1"/>
  <c r="P38" i="16" a="1"/>
  <c r="P38" i="16" s="1"/>
  <c r="BQ38" i="16" s="1"/>
  <c r="P33" i="16" a="1"/>
  <c r="P33" i="16" s="1"/>
  <c r="BQ33" i="16" s="1"/>
  <c r="P51" i="16" a="1"/>
  <c r="P51" i="16" s="1"/>
  <c r="BQ51" i="16" s="1"/>
  <c r="P56" i="16" a="1"/>
  <c r="P56" i="16" s="1"/>
  <c r="BQ56" i="16" s="1"/>
  <c r="P21" i="16" a="1"/>
  <c r="P21" i="16" s="1"/>
  <c r="BQ21" i="16" s="1"/>
  <c r="P42" i="16" a="1"/>
  <c r="P42" i="16" s="1"/>
  <c r="BQ42" i="16" s="1"/>
  <c r="P41" i="16" a="1"/>
  <c r="P41" i="16" s="1"/>
  <c r="BQ41" i="16" s="1"/>
  <c r="W50" i="16"/>
  <c r="F50" i="16"/>
  <c r="P49" i="16" a="1"/>
  <c r="P49" i="16" s="1"/>
  <c r="BQ49" i="16" s="1"/>
  <c r="Q45" i="16" a="1"/>
  <c r="Q45" i="16" s="1"/>
  <c r="AI54" i="12"/>
  <c r="AJ54" i="12" s="1"/>
  <c r="AS46" i="16"/>
  <c r="AV46" i="16"/>
  <c r="AW46" i="16" s="1"/>
  <c r="AU46" i="16" s="1"/>
  <c r="P46" i="16" a="1"/>
  <c r="P46" i="16" s="1"/>
  <c r="BQ46" i="16" s="1"/>
  <c r="Q49" i="16" a="1"/>
  <c r="Q49" i="16" s="1"/>
  <c r="F51" i="16"/>
  <c r="W51" i="16"/>
  <c r="P47" i="16" a="1"/>
  <c r="P47" i="16" s="1"/>
  <c r="BQ47" i="16" s="1"/>
  <c r="Q43" i="16" a="1"/>
  <c r="Q43" i="16" s="1"/>
  <c r="P59" i="16" a="1"/>
  <c r="P59" i="16" s="1"/>
  <c r="BQ59" i="16" s="1"/>
  <c r="Q47" i="16" a="1"/>
  <c r="Q47" i="16" s="1"/>
  <c r="P53" i="16" a="1"/>
  <c r="P53" i="16" s="1"/>
  <c r="BQ53" i="16" s="1"/>
  <c r="P55" i="16" a="1"/>
  <c r="P55" i="16" s="1"/>
  <c r="BQ55" i="16" s="1"/>
  <c r="Q44" i="16" a="1"/>
  <c r="Q44" i="16" s="1"/>
  <c r="P58" i="16" a="1"/>
  <c r="P58" i="16" s="1"/>
  <c r="BQ58" i="16" s="1"/>
  <c r="Q40" i="16" a="1"/>
  <c r="Q40" i="16" s="1"/>
  <c r="AV60" i="16"/>
  <c r="AW60" i="16" s="1"/>
  <c r="AU60" i="16" s="1"/>
  <c r="AS60" i="16"/>
  <c r="P57" i="16" a="1"/>
  <c r="P57" i="16" s="1"/>
  <c r="BQ57" i="16" s="1"/>
  <c r="Q50" i="16" a="1"/>
  <c r="Q50" i="16" s="1"/>
  <c r="P54" i="16" a="1"/>
  <c r="P54" i="16" s="1"/>
  <c r="BQ54" i="16" s="1"/>
  <c r="P34" i="16" a="1"/>
  <c r="P34" i="16" s="1"/>
  <c r="BQ34" i="16" s="1"/>
  <c r="Q54" i="16" a="1"/>
  <c r="Q54" i="16" s="1"/>
  <c r="P48" i="16" a="1"/>
  <c r="P48" i="16" s="1"/>
  <c r="BQ48" i="16" s="1"/>
  <c r="Q46" i="16" a="1"/>
  <c r="Q46" i="16" s="1"/>
  <c r="P60" i="16" a="1"/>
  <c r="P60" i="16" s="1"/>
  <c r="BQ60" i="16" s="1"/>
  <c r="Q55" i="16" a="1"/>
  <c r="Q55" i="16" s="1"/>
  <c r="Q57" i="16" a="1"/>
  <c r="Q57" i="16" s="1"/>
  <c r="F55" i="16"/>
  <c r="W55" i="16"/>
  <c r="P50" i="16" a="1"/>
  <c r="P50" i="16" s="1"/>
  <c r="BQ50" i="16" s="1"/>
  <c r="P43" i="16" a="1"/>
  <c r="P43" i="16" s="1"/>
  <c r="BQ43" i="16" s="1"/>
  <c r="W47" i="16"/>
  <c r="F47" i="16"/>
  <c r="Q48" i="16" a="1"/>
  <c r="Q48" i="16" s="1"/>
  <c r="Q52" i="16" a="1"/>
  <c r="Q52" i="16" s="1"/>
  <c r="P44" i="16" a="1"/>
  <c r="P44" i="16" s="1"/>
  <c r="BQ44" i="16" s="1"/>
  <c r="Q28" i="16" a="1"/>
  <c r="Q28" i="16" s="1"/>
  <c r="P30" i="16" a="1"/>
  <c r="P30" i="16" s="1"/>
  <c r="BQ30" i="16" s="1"/>
  <c r="Q59" i="16" a="1"/>
  <c r="Q59" i="16" s="1"/>
  <c r="P45" i="16" a="1"/>
  <c r="P45" i="16" s="1"/>
  <c r="BQ45" i="16" s="1"/>
  <c r="F24" i="16"/>
  <c r="W24" i="16"/>
  <c r="AH41" i="16"/>
  <c r="AV41" i="16"/>
  <c r="AW41" i="16" s="1"/>
  <c r="AU41" i="16" s="1"/>
  <c r="W42" i="16"/>
  <c r="AV42" i="16" s="1"/>
  <c r="AW42" i="16" s="1"/>
  <c r="AU42" i="16" s="1"/>
  <c r="F42" i="16"/>
  <c r="AV38" i="16"/>
  <c r="AW38" i="16" s="1"/>
  <c r="AU38" i="16" s="1"/>
  <c r="AH38" i="16"/>
  <c r="AH35" i="16"/>
  <c r="AV35" i="16"/>
  <c r="AW35" i="16" s="1"/>
  <c r="AU35" i="16" s="1"/>
  <c r="F29" i="16"/>
  <c r="W29" i="16"/>
  <c r="F13" i="16"/>
  <c r="W13" i="16"/>
  <c r="AS9" i="16"/>
  <c r="AV9" i="16"/>
  <c r="AW9" i="16" s="1"/>
  <c r="AU9" i="16" s="1"/>
  <c r="F21" i="16"/>
  <c r="W21" i="16"/>
  <c r="AH5" i="16"/>
  <c r="AV5" i="16"/>
  <c r="AW5" i="16" s="1"/>
  <c r="AU5" i="16" s="1"/>
  <c r="F18" i="16"/>
  <c r="W18" i="16"/>
  <c r="AS16" i="16"/>
  <c r="AV16" i="16"/>
  <c r="AW16" i="16" s="1"/>
  <c r="AU16" i="16" s="1"/>
  <c r="F4" i="16"/>
  <c r="W4" i="16"/>
  <c r="AS7" i="16"/>
  <c r="AV7" i="16"/>
  <c r="AW7" i="16" s="1"/>
  <c r="AU7" i="16" s="1"/>
  <c r="AS22" i="16"/>
  <c r="AV22" i="16"/>
  <c r="AW22" i="16" s="1"/>
  <c r="AU22" i="16" s="1"/>
  <c r="AV11" i="16"/>
  <c r="AW11" i="16" s="1"/>
  <c r="AU11" i="16" s="1"/>
  <c r="AH11" i="16"/>
  <c r="BI18" i="16"/>
  <c r="Q58" i="10" a="1"/>
  <c r="Q58" i="10" s="1"/>
  <c r="R58" i="10" s="1"/>
  <c r="Q70" i="10" a="1"/>
  <c r="Q70" i="10" s="1"/>
  <c r="R70" i="10" s="1"/>
  <c r="Q59" i="10" a="1"/>
  <c r="Q59" i="10" s="1"/>
  <c r="R59" i="10" s="1"/>
  <c r="Q75" i="10" a="1"/>
  <c r="Q75" i="10" s="1"/>
  <c r="R75" i="10" s="1"/>
  <c r="Q5" i="10" a="1"/>
  <c r="Q5" i="10" s="1"/>
  <c r="R5" i="10" s="1"/>
  <c r="Q55" i="10" a="1"/>
  <c r="Q55" i="10" s="1"/>
  <c r="R55" i="10" s="1"/>
  <c r="Q23" i="10" a="1"/>
  <c r="Q23" i="10" s="1"/>
  <c r="R23" i="10" s="1"/>
  <c r="Q84" i="10" a="1"/>
  <c r="Q84" i="10" s="1"/>
  <c r="R84" i="10" s="1"/>
  <c r="Q77" i="10" a="1"/>
  <c r="Q77" i="10" s="1"/>
  <c r="R77" i="10" s="1"/>
  <c r="Q35" i="10" a="1"/>
  <c r="Q35" i="10" s="1"/>
  <c r="R35" i="10" s="1"/>
  <c r="Q8" i="10" a="1"/>
  <c r="Q8" i="10" s="1"/>
  <c r="R8" i="10" s="1"/>
  <c r="Q54" i="10" a="1"/>
  <c r="Q54" i="10" s="1"/>
  <c r="R54" i="10" s="1"/>
  <c r="Q41" i="10" a="1"/>
  <c r="Q41" i="10" s="1"/>
  <c r="R41" i="10" s="1"/>
  <c r="Q39" i="10" a="1"/>
  <c r="Q39" i="10" s="1"/>
  <c r="R39" i="10" s="1"/>
  <c r="Q48" i="10" a="1"/>
  <c r="Q48" i="10" s="1"/>
  <c r="R48" i="10" s="1"/>
  <c r="Q24" i="10" a="1"/>
  <c r="Q24" i="10" s="1"/>
  <c r="R24" i="10" s="1"/>
  <c r="Q16" i="10" a="1"/>
  <c r="Q16" i="10" s="1"/>
  <c r="R16" i="10" s="1"/>
  <c r="Q79" i="10" a="1"/>
  <c r="Q79" i="10" s="1"/>
  <c r="R79" i="10" s="1"/>
  <c r="Q36" i="10" a="1"/>
  <c r="Q36" i="10" s="1"/>
  <c r="R36" i="10" s="1"/>
  <c r="Q21" i="10" a="1"/>
  <c r="Q21" i="10" s="1"/>
  <c r="R21" i="10" s="1"/>
  <c r="Q53" i="10" a="1"/>
  <c r="Q53" i="10" s="1"/>
  <c r="R53" i="10" s="1"/>
  <c r="Q42" i="10" a="1"/>
  <c r="Q42" i="10" s="1"/>
  <c r="R42" i="10" s="1"/>
  <c r="Q18" i="10" a="1"/>
  <c r="Q18" i="10" s="1"/>
  <c r="R18" i="10" s="1"/>
  <c r="Q12" i="10" a="1"/>
  <c r="Q12" i="10" s="1"/>
  <c r="R12" i="10" s="1"/>
  <c r="Q30" i="10" a="1"/>
  <c r="Q30" i="10" s="1"/>
  <c r="R30" i="10" s="1"/>
  <c r="Q11" i="10" a="1"/>
  <c r="Q11" i="10" s="1"/>
  <c r="R11" i="10" s="1"/>
  <c r="Q57" i="10" a="1"/>
  <c r="Q57" i="10" s="1"/>
  <c r="R57" i="10" s="1"/>
  <c r="Q32" i="10" a="1"/>
  <c r="Q32" i="10" s="1"/>
  <c r="R32" i="10" s="1"/>
  <c r="Q60" i="10" a="1"/>
  <c r="Q60" i="10" s="1"/>
  <c r="R60" i="10" s="1"/>
  <c r="Q34" i="10" a="1"/>
  <c r="Q34" i="10" s="1"/>
  <c r="R34" i="10" s="1"/>
  <c r="Q88" i="10" a="1"/>
  <c r="Q88" i="10" s="1"/>
  <c r="R88" i="10" s="1"/>
  <c r="Q85" i="10" a="1"/>
  <c r="Q85" i="10" s="1"/>
  <c r="R85" i="10" s="1"/>
  <c r="Q66" i="10" a="1"/>
  <c r="Q66" i="10" s="1"/>
  <c r="R66" i="10" s="1"/>
  <c r="Q31" i="10" a="1"/>
  <c r="Q31" i="10" s="1"/>
  <c r="R31" i="10" s="1"/>
  <c r="Q73" i="10" a="1"/>
  <c r="Q73" i="10" s="1"/>
  <c r="R73" i="10" s="1"/>
  <c r="Q86" i="10" a="1"/>
  <c r="Q86" i="10" s="1"/>
  <c r="R86" i="10" s="1"/>
  <c r="Q81" i="10" a="1"/>
  <c r="Q81" i="10" s="1"/>
  <c r="R81" i="10" s="1"/>
  <c r="Q68" i="10" a="1"/>
  <c r="Q68" i="10" s="1"/>
  <c r="R68" i="10" s="1"/>
  <c r="Q67" i="10" a="1"/>
  <c r="Q67" i="10" s="1"/>
  <c r="R67" i="10" s="1"/>
  <c r="Q82" i="10" a="1"/>
  <c r="Q82" i="10" s="1"/>
  <c r="R82" i="10" s="1"/>
  <c r="Q46" i="10" a="1"/>
  <c r="Q46" i="10" s="1"/>
  <c r="R46" i="10" s="1"/>
  <c r="Q15" i="10" a="1"/>
  <c r="Q15" i="10" s="1"/>
  <c r="R15" i="10" s="1"/>
  <c r="Q87" i="10" a="1"/>
  <c r="Q87" i="10" s="1"/>
  <c r="R87" i="10" s="1"/>
  <c r="Q65" i="10" a="1"/>
  <c r="Q65" i="10" s="1"/>
  <c r="R65" i="10" s="1"/>
  <c r="Q69" i="10" a="1"/>
  <c r="Q69" i="10" s="1"/>
  <c r="R69" i="10" s="1"/>
  <c r="Q3" i="10" a="1"/>
  <c r="Q3" i="10" s="1"/>
  <c r="R3" i="10" s="1"/>
  <c r="Q43" i="10" a="1"/>
  <c r="Q43" i="10" s="1"/>
  <c r="R43" i="10" s="1"/>
  <c r="Q47" i="10" a="1"/>
  <c r="Q47" i="10" s="1"/>
  <c r="R47" i="10" s="1"/>
  <c r="Q76" i="10" a="1"/>
  <c r="Q76" i="10" s="1"/>
  <c r="R76" i="10" s="1"/>
  <c r="Q6" i="10" a="1"/>
  <c r="Q6" i="10" s="1"/>
  <c r="R6" i="10" s="1"/>
  <c r="Q61" i="10" a="1"/>
  <c r="Q61" i="10" s="1"/>
  <c r="R61" i="10" s="1"/>
  <c r="Q9" i="10" a="1"/>
  <c r="Q9" i="10" s="1"/>
  <c r="R9" i="10" s="1"/>
  <c r="Q64" i="10" a="1"/>
  <c r="Q64" i="10" s="1"/>
  <c r="R64" i="10" s="1"/>
  <c r="Q25" i="10" a="1"/>
  <c r="Q25" i="10" s="1"/>
  <c r="R25" i="10" s="1"/>
  <c r="Q51" i="10" a="1"/>
  <c r="Q51" i="10" s="1"/>
  <c r="R51" i="10" s="1"/>
  <c r="Q27" i="10" a="1"/>
  <c r="Q27" i="10" s="1"/>
  <c r="R27" i="10" s="1"/>
  <c r="Q83" i="10" a="1"/>
  <c r="Q83" i="10" s="1"/>
  <c r="R83" i="10" s="1"/>
  <c r="Q38" i="10" a="1"/>
  <c r="Q38" i="10" s="1"/>
  <c r="R38" i="10" s="1"/>
  <c r="Q40" i="10" a="1"/>
  <c r="Q40" i="10" s="1"/>
  <c r="R40" i="10" s="1"/>
  <c r="Q56" i="10" a="1"/>
  <c r="Q56" i="10" s="1"/>
  <c r="R56" i="10" s="1"/>
  <c r="Q29" i="10" a="1"/>
  <c r="Q29" i="10" s="1"/>
  <c r="R29" i="10" s="1"/>
  <c r="Q63" i="10" a="1"/>
  <c r="Q63" i="10" s="1"/>
  <c r="R63" i="10" s="1"/>
  <c r="Q52" i="10" a="1"/>
  <c r="Q52" i="10" s="1"/>
  <c r="R52" i="10" s="1"/>
  <c r="Q80" i="10" a="1"/>
  <c r="Q80" i="10" s="1"/>
  <c r="R80" i="10" s="1"/>
  <c r="Q14" i="10" a="1"/>
  <c r="Q14" i="10" s="1"/>
  <c r="R14" i="10" s="1"/>
  <c r="Q44" i="10" a="1"/>
  <c r="Q44" i="10" s="1"/>
  <c r="R44" i="10" s="1"/>
  <c r="Q13" i="10" a="1"/>
  <c r="Q13" i="10" s="1"/>
  <c r="R13" i="10" s="1"/>
  <c r="Q50" i="10" a="1"/>
  <c r="Q50" i="10" s="1"/>
  <c r="R50" i="10" s="1"/>
  <c r="BF18" i="16"/>
  <c r="AJ52" i="12"/>
  <c r="AE52" i="12"/>
  <c r="AE46" i="12"/>
  <c r="AJ46" i="12"/>
  <c r="AS55" i="16" l="1"/>
  <c r="AV55" i="16"/>
  <c r="AW55" i="16" s="1"/>
  <c r="AU55" i="16" s="1"/>
  <c r="AH50" i="16"/>
  <c r="AV50" i="16"/>
  <c r="AW50" i="16" s="1"/>
  <c r="AU50" i="16" s="1"/>
  <c r="AS51" i="16"/>
  <c r="AV51" i="16"/>
  <c r="AW51" i="16" s="1"/>
  <c r="AU51" i="16" s="1"/>
  <c r="AH47" i="16"/>
  <c r="AV47" i="16"/>
  <c r="AW47" i="16" s="1"/>
  <c r="AU47" i="16" s="1"/>
  <c r="AH29" i="16"/>
  <c r="AV29" i="16"/>
  <c r="AW29" i="16" s="1"/>
  <c r="AU29" i="16" s="1"/>
  <c r="AS24" i="16"/>
  <c r="AV24" i="16"/>
  <c r="AW24" i="16" s="1"/>
  <c r="AU24" i="16" s="1"/>
  <c r="AV4" i="16"/>
  <c r="AW4" i="16" s="1"/>
  <c r="AU4" i="16" s="1"/>
  <c r="AS4" i="16"/>
  <c r="AV18" i="16"/>
  <c r="AW18" i="16" s="1"/>
  <c r="AU18" i="16" s="1"/>
  <c r="AS18" i="16"/>
  <c r="AV21" i="16"/>
  <c r="AW21" i="16" s="1"/>
  <c r="AU21" i="16" s="1"/>
  <c r="AS21" i="16"/>
  <c r="AS13" i="16"/>
  <c r="AV13" i="16"/>
  <c r="AW13" i="16" s="1"/>
  <c r="AU13" i="1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<sst xmlns="http://schemas.openxmlformats.org/spreadsheetml/2006/main" count="35275" uniqueCount="4995">
  <si>
    <t>Finance</t>
  </si>
  <si>
    <t>PAYMENT RECEIPT  (CUSTOMER RECEIPT)</t>
  </si>
  <si>
    <t>15</t>
  </si>
  <si>
    <t>Operations</t>
  </si>
  <si>
    <t>DELIVERY CHALLAN</t>
  </si>
  <si>
    <t>14</t>
  </si>
  <si>
    <t>Sales</t>
  </si>
  <si>
    <t>MATERIAL DEFINITION  (ITEM MASTER)</t>
  </si>
  <si>
    <t>13</t>
  </si>
  <si>
    <t>PAYROLL</t>
  </si>
  <si>
    <t>12</t>
  </si>
  <si>
    <t>SALES TAX INVOICE</t>
  </si>
  <si>
    <t>11</t>
  </si>
  <si>
    <t>PAYMENT VOUCHER</t>
  </si>
  <si>
    <t>10</t>
  </si>
  <si>
    <t>QUOTATION  (SALES QUOTE)</t>
  </si>
  <si>
    <t>09</t>
  </si>
  <si>
    <t>BILL  (SUPPLIER / VENDOR BILL BOOKING)</t>
  </si>
  <si>
    <t>08</t>
  </si>
  <si>
    <t>MANPOWER / HR - EMPLOYEE REGISTRATION</t>
  </si>
  <si>
    <t>07</t>
  </si>
  <si>
    <t>VEHICLE REGISTRATION</t>
  </si>
  <si>
    <t>06</t>
  </si>
  <si>
    <t>TRANSPORTER REGISTRATION</t>
  </si>
  <si>
    <t>05</t>
  </si>
  <si>
    <t>CUSTOMER REGISTRATION - END USER</t>
  </si>
  <si>
    <t>04</t>
  </si>
  <si>
    <t>DISTRIBUTOR REGISTRATION</t>
  </si>
  <si>
    <t>03</t>
  </si>
  <si>
    <t>MANUFACTURER (SUPPLIER) REGISTRATION</t>
  </si>
  <si>
    <t>02</t>
  </si>
  <si>
    <t>ENTERPRISE REGISTRATION</t>
  </si>
  <si>
    <t>01</t>
  </si>
  <si>
    <t>Module</t>
  </si>
  <si>
    <t>Form / Document</t>
  </si>
  <si>
    <t>Page No</t>
  </si>
  <si>
    <t>Sr. No</t>
  </si>
  <si>
    <t>Cloud ERP – Steelstone IT  |  Master index of all form specification sheets  |  Jurisdiction: Pakistan</t>
  </si>
  <si>
    <t>INDEX</t>
  </si>
  <si>
    <t>4.3 Account number</t>
  </si>
  <si>
    <t>4.2 Title of account</t>
  </si>
  <si>
    <t>4.1 Bank name</t>
  </si>
  <si>
    <t>3.3 Primary POC - mobile</t>
  </si>
  <si>
    <t>3.2 Primary POC - designation</t>
  </si>
  <si>
    <t>3.1 Primary POC - full name</t>
  </si>
  <si>
    <t>2.11 Geo-coordinates of main business address (lat, long)</t>
  </si>
  <si>
    <t>2.10 Landline number</t>
  </si>
  <si>
    <t>2.9 Branch / factory / warehouse address(es)</t>
  </si>
  <si>
    <t>2.8 Correspondence / mailing address (if different)</t>
  </si>
  <si>
    <t>2.7 Is the registered office the same as the main business address?</t>
  </si>
  <si>
    <t>2.6 Country</t>
  </si>
  <si>
    <t>2.5 Province / Territory</t>
  </si>
  <si>
    <t>2.4 District / Tehsil</t>
  </si>
  <si>
    <t>2.3 City</t>
  </si>
  <si>
    <t>2.2 Registered office - address line 2</t>
  </si>
  <si>
    <t>2.1 Registered office - address line 1</t>
  </si>
  <si>
    <t>1.4 Filer status</t>
  </si>
  <si>
    <t>1.3 NTN / CNIC number</t>
  </si>
  <si>
    <t>1.2 Legal status</t>
  </si>
  <si>
    <t>1.1 Business name (Title)</t>
  </si>
  <si>
    <t/>
  </si>
  <si>
    <t>SECTION 4 - BANKING DETAILS - multiple options</t>
  </si>
  <si>
    <t>SECTION 3 - POINTS OF CONTACT</t>
  </si>
  <si>
    <t>SECTION 2 - REGISTERED OFFICE &amp; OTHER ADDRESSES</t>
  </si>
  <si>
    <t>SECTION 1 - BUSINESS REGISTRATION</t>
  </si>
  <si>
    <t>7.3 Withholding tax rate during exemption (%)</t>
  </si>
  <si>
    <t>7.2 Exemption validity (from / to)</t>
  </si>
  <si>
    <t>7.1 Exemption availed?</t>
  </si>
  <si>
    <t>6.5 Discount validity (from / to)</t>
  </si>
  <si>
    <t>6.4 Discount</t>
  </si>
  <si>
    <t>6.3 Price per UoM (PKR)</t>
  </si>
  <si>
    <t>6.2 Unit of measure (UoM)</t>
  </si>
  <si>
    <t>6.1 Name of product</t>
  </si>
  <si>
    <t>5.13 Calendar effective from / to</t>
  </si>
  <si>
    <t>5.12 Calendar applies to (plant)</t>
  </si>
  <si>
    <t>5.11 Emergency / after-hours dispatch available?</t>
  </si>
  <si>
    <t>5.10 Ramadan / seasonal timing changes</t>
  </si>
  <si>
    <t>5.9 Public / religious holidays observed</t>
  </si>
  <si>
    <t>5.8 Annual maintenance shutdown period</t>
  </si>
  <si>
    <t>5.7 Office / commercial working hours</t>
  </si>
  <si>
    <t>5.6 Order cut-off time for same-day dispatch</t>
  </si>
  <si>
    <t>5.5 Dispatch / loading hours</t>
  </si>
  <si>
    <t>5.4 Shift timings</t>
  </si>
  <si>
    <t>5.3 Plant operating pattern</t>
  </si>
  <si>
    <t>5.2 Weekly off day(s)</t>
  </si>
  <si>
    <t>5.1 Working days per week</t>
  </si>
  <si>
    <t>3.3 Mobile number</t>
  </si>
  <si>
    <t>3.2 Designation</t>
  </si>
  <si>
    <t>3.1 Full name</t>
  </si>
  <si>
    <t>2.13 Plant operational status</t>
  </si>
  <si>
    <t>2.12 Products manufactured at this plant</t>
  </si>
  <si>
    <t>2.11 Plant landline / control room number</t>
  </si>
  <si>
    <t>2.10 Production Manager - mobile</t>
  </si>
  <si>
    <t>2.9 Production Manager - full name &amp; designation</t>
  </si>
  <si>
    <t>2.8 Plant Manager - mobile</t>
  </si>
  <si>
    <t>2.7 Plant Manager - full name &amp; designation</t>
  </si>
  <si>
    <t>2.6 Plant geo-coordinates (lat, long)</t>
  </si>
  <si>
    <t>2.5 Plant city / province</t>
  </si>
  <si>
    <t>2.4 Plant address (full)</t>
  </si>
  <si>
    <t>2.3 Plant code</t>
  </si>
  <si>
    <t>2.2 Plant name</t>
  </si>
  <si>
    <t>2.1 Plant serial no.</t>
  </si>
  <si>
    <t>SECTION 7 - WITHHOLDING TAX EXEMPTION</t>
  </si>
  <si>
    <t>SECTION 6 - PRODUCT PRICING</t>
  </si>
  <si>
    <t>SECTION 5 - WORKING CALENDAR, SHIFTS &amp; DISPATCH WINDOWS</t>
  </si>
  <si>
    <t>SECTION 4 - BANK ACCOUNT DETAILS</t>
  </si>
  <si>
    <t>SECTION 2 - PLANTS / PRODUCTION FACILITIES</t>
  </si>
  <si>
    <t>4.2 Early payment / prompt settlement discount</t>
  </si>
  <si>
    <t>4.1 Payment terms</t>
  </si>
  <si>
    <t>3.3 Account number</t>
  </si>
  <si>
    <t>3.2 Title of account</t>
  </si>
  <si>
    <t>3.1 Bank name</t>
  </si>
  <si>
    <t>2.3 Mobile number</t>
  </si>
  <si>
    <t>2.2 Designation</t>
  </si>
  <si>
    <t>2.1 Full name</t>
  </si>
  <si>
    <t>SECTION 4 - PAYMENT TERMS</t>
  </si>
  <si>
    <t>SECTION 3 - BANK ACCOUNT DETAILS</t>
  </si>
  <si>
    <t>SECTION 2 - POINTS OF CONTACT</t>
  </si>
  <si>
    <t>7.11 Certificate status</t>
  </si>
  <si>
    <t>7.10 Verified by &amp; date (internal)</t>
  </si>
  <si>
    <t>7.9 Certificate copy attached</t>
  </si>
  <si>
    <t>7.8 Renewal reminder lead time (days)</t>
  </si>
  <si>
    <t>7.7 Valid until</t>
  </si>
  <si>
    <t>7.6 Valid from</t>
  </si>
  <si>
    <t>7.5 Exempted / reduced rate granted</t>
  </si>
  <si>
    <t>7.4 Applicable tax type &amp; normal rate</t>
  </si>
  <si>
    <t>7.3 Section / statutory reference</t>
  </si>
  <si>
    <t>7.2 Issuing authority / tax office</t>
  </si>
  <si>
    <t>7.1 Certificate number</t>
  </si>
  <si>
    <t>6.3 Account number</t>
  </si>
  <si>
    <t>6.2 Title of account</t>
  </si>
  <si>
    <t>6.1 Bank name</t>
  </si>
  <si>
    <t>5.3 Mobile number</t>
  </si>
  <si>
    <t>5.2 Designation</t>
  </si>
  <si>
    <t>5.1 Full name</t>
  </si>
  <si>
    <t>4.4 Mobile number</t>
  </si>
  <si>
    <t>4.3 POC name</t>
  </si>
  <si>
    <t>4.2 Address</t>
  </si>
  <si>
    <t>4.1 Delivery point name</t>
  </si>
  <si>
    <t>3.14 Delivery point status</t>
  </si>
  <si>
    <t>3.13 Is this the default bag delivery point?</t>
  </si>
  <si>
    <t>3.12 Largest vehicle that can access the site</t>
  </si>
  <si>
    <t>3.11 Unloading labour provided by</t>
  </si>
  <si>
    <t>3.10 Covered storage available &amp; capacity (bags)</t>
  </si>
  <si>
    <t>3.9 Receiving hours at this point</t>
  </si>
  <si>
    <t>3.8 Site contact - name &amp; mobile</t>
  </si>
  <si>
    <t>3.7 Geo-coordinates (lat, long)</t>
  </si>
  <si>
    <t>3.6 Province</t>
  </si>
  <si>
    <t>3.5 City / District</t>
  </si>
  <si>
    <t>3.4 Address line 2 / landmark</t>
  </si>
  <si>
    <t>3.3 Address line 1</t>
  </si>
  <si>
    <t>3.2 Delivery point name / code</t>
  </si>
  <si>
    <t>3.1 Bag delivery point serial no.</t>
  </si>
  <si>
    <t>2.10 Delivery documentation required at gate</t>
  </si>
  <si>
    <t>2.9 Site access constraints</t>
  </si>
  <si>
    <t>2.8 Advance notice required before delivery (hours)</t>
  </si>
  <si>
    <t>2.7 Preferred delivery time window</t>
  </si>
  <si>
    <t>2.6 Preferred delivery days</t>
  </si>
  <si>
    <t>2.5 Transport arrangement</t>
  </si>
  <si>
    <t>2.4 Delivery basis / Incoterm</t>
  </si>
  <si>
    <t>2.3 Number of bulker delivery points</t>
  </si>
  <si>
    <t>2.2 Number of bag delivery points</t>
  </si>
  <si>
    <t>2.1 Delivery mode required (DELIVERY-TYPE CHECK)</t>
  </si>
  <si>
    <t>SECTION 7 - EXEMPTION CERTIFICATES</t>
  </si>
  <si>
    <t>SECTION 6 - BANK ACCOUNT DETAILS</t>
  </si>
  <si>
    <t>SECTION 5 - POINTS OF CONTACT</t>
  </si>
  <si>
    <t>SECTION 4 - BULKER DELIVERY POINTS</t>
  </si>
  <si>
    <t>SECTION 3 - BAG DELIVERY POINTS</t>
  </si>
  <si>
    <t>SECTION 2 - DELIVERY MODE SELECTION</t>
  </si>
  <si>
    <t>4.3 Withholding tax rate during exemption (%)</t>
  </si>
  <si>
    <t>4.2 Exemption validity (from / to)</t>
  </si>
  <si>
    <t>4.1 Exemption availed?</t>
  </si>
  <si>
    <t>SECTION 4 - WITHHOLDING TAX EXEMPTION</t>
  </si>
  <si>
    <t>2.8 Token tax - status (system-derived)</t>
  </si>
  <si>
    <t>2.7 Token tax - paid up to</t>
  </si>
  <si>
    <t>2.6 Fitness certificate - status (system-derived)</t>
  </si>
  <si>
    <t>2.5 Fitness certificate - valid until</t>
  </si>
  <si>
    <t>2.4 Fitness certificate number</t>
  </si>
  <si>
    <t>2.3 Route permit - status (system-derived)</t>
  </si>
  <si>
    <t>2.2 Route permit - valid until</t>
  </si>
  <si>
    <t>2.1 Route permit number</t>
  </si>
  <si>
    <t>1.16 Registration status</t>
  </si>
  <si>
    <t>1.15 Colour</t>
  </si>
  <si>
    <t>1.14 Engine number</t>
  </si>
  <si>
    <t>1.13 Chassis number</t>
  </si>
  <si>
    <t>1.12 Year of manufacture</t>
  </si>
  <si>
    <t>1.11 Make &amp; model</t>
  </si>
  <si>
    <t>1.10 Vehicle type</t>
  </si>
  <si>
    <t>1.9 Vehicle category</t>
  </si>
  <si>
    <t>1.8 Registration book / smart card number</t>
  </si>
  <si>
    <t>1.7 Date of registration</t>
  </si>
  <si>
    <t>1.6 Registering authority &amp; province</t>
  </si>
  <si>
    <t>1.5 Vehicle registration number</t>
  </si>
  <si>
    <t>1.4 Registered owner name &amp; NTN</t>
  </si>
  <si>
    <t>1.3 Ownership type</t>
  </si>
  <si>
    <t>1.2 Owning transporter</t>
  </si>
  <si>
    <t>1.1 Vehicle record code</t>
  </si>
  <si>
    <t>SECTION 2 - VEHICLE STATUTORY DOCUMENTS &amp; VALIDITY</t>
  </si>
  <si>
    <t>SECTION 1 - VEHICLE IDENTIFICATION &amp; REGISTRATION</t>
  </si>
  <si>
    <t>9.11 DRIVER COMPLIANCE STATUS (system-derived)</t>
  </si>
  <si>
    <t>9.10 Police verification - status (system-derived)</t>
  </si>
  <si>
    <t>9.9 Police verification - valid until</t>
  </si>
  <si>
    <t>9.8 Driver medical fitness - valid until</t>
  </si>
  <si>
    <t>9.7 Driver medical fitness certificate number</t>
  </si>
  <si>
    <t>9.6 Licence - status (system-derived)</t>
  </si>
  <si>
    <t>9.5 Licence - valid until</t>
  </si>
  <si>
    <t>9.4 Licence class / type</t>
  </si>
  <si>
    <t>9.3 Driving licence number</t>
  </si>
  <si>
    <t>9.2 Driver dispatch code</t>
  </si>
  <si>
    <t>9.1 Is the employee a driver? (GATING FIELD)</t>
  </si>
  <si>
    <t>8.7 Overtime approval authority</t>
  </si>
  <si>
    <t>8.6 Attendance capture method</t>
  </si>
  <si>
    <t>8.5 Opening leave balance at registration</t>
  </si>
  <si>
    <t>8.4 Leave year basis</t>
  </si>
  <si>
    <t>8.3 Sick leave entitlement - days</t>
  </si>
  <si>
    <t>8.2 Casual leave entitlement - days</t>
  </si>
  <si>
    <t>8.1 Annual (earned) leave entitlement - days</t>
  </si>
  <si>
    <t>7.3 Account number</t>
  </si>
  <si>
    <t>7.2 Title of account</t>
  </si>
  <si>
    <t>7.1 Bank name</t>
  </si>
  <si>
    <t>6.5 EOBI contribution - employee &amp; employer share</t>
  </si>
  <si>
    <t>6.4 Income tax deduction method</t>
  </si>
  <si>
    <t>6.3 House rent allowance (PKR)</t>
  </si>
  <si>
    <t>6.2 Basic salary (PKR)</t>
  </si>
  <si>
    <t>6.1 Gross monthly salary (PKR)</t>
  </si>
  <si>
    <t>5.6 COMPLIANCE STATUS (system-derived)</t>
  </si>
  <si>
    <t>5.5 Police verification / character certificate number</t>
  </si>
  <si>
    <t>5.4 EOBI registration date</t>
  </si>
  <si>
    <t>5.3 EOBI registration number</t>
  </si>
  <si>
    <t>5.2 FBR filer status (Active Taxpayer List)</t>
  </si>
  <si>
    <t>5.1 National Tax Number (NTN) of employee</t>
  </si>
  <si>
    <t>4.7 Mandatory safety induction completed - date</t>
  </si>
  <si>
    <t>4.6 Previous employer(s) - name, designation &amp; period</t>
  </si>
  <si>
    <t>4.5 Total years of prior experience</t>
  </si>
  <si>
    <t>4.4 Professional licence / registration number</t>
  </si>
  <si>
    <t>4.3 Institution &amp; year of completion</t>
  </si>
  <si>
    <t>4.2 Degree / certification title &amp; specialisation</t>
  </si>
  <si>
    <t>4.1 Highest qualification [Relevant Only]</t>
  </si>
  <si>
    <t>3.9 Contract - status (system-derived)</t>
  </si>
  <si>
    <t>3.8 Contract end date</t>
  </si>
  <si>
    <t>3.7 Contract start date</t>
  </si>
  <si>
    <t>3.6 Probation period (months) &amp; confirmation due date</t>
  </si>
  <si>
    <t>3.5 Employment status</t>
  </si>
  <si>
    <t>3.4 Grade / pay scale</t>
  </si>
  <si>
    <t>3.3 Department / function</t>
  </si>
  <si>
    <t>3.2 Designation / job title</t>
  </si>
  <si>
    <t>3.1 Date of joining</t>
  </si>
  <si>
    <t>2.9 Dependants (name, relation, date of birth)</t>
  </si>
  <si>
    <t>2.8 Next of kin for benefits &amp; gratuity</t>
  </si>
  <si>
    <t>2.7 Emergency contact - mobile number</t>
  </si>
  <si>
    <t>2.6 Emergency contact - name &amp; relation</t>
  </si>
  <si>
    <t>2.5 City / province of residence</t>
  </si>
  <si>
    <t>2.4 Permanent address</t>
  </si>
  <si>
    <t>2.3 Present / residential address</t>
  </si>
  <si>
    <t>2.2 Alternate mobile number</t>
  </si>
  <si>
    <t>2.1 Mobile number</t>
  </si>
  <si>
    <t>1.12 Photograph</t>
  </si>
  <si>
    <t>1.11 Blood group</t>
  </si>
  <si>
    <t>1.10 Religion</t>
  </si>
  <si>
    <t>1.9 Marital status</t>
  </si>
  <si>
    <t>1.8 Gender</t>
  </si>
  <si>
    <t>1.7 Age (system-derived)</t>
  </si>
  <si>
    <t>1.6 Date of birth</t>
  </si>
  <si>
    <t>1.5 Passport number &amp; nationality</t>
  </si>
  <si>
    <t>1.4 Full name</t>
  </si>
  <si>
    <t>1.3 Employment category (GATING FIELD)</t>
  </si>
  <si>
    <t>1.2 Registering enterprise / company</t>
  </si>
  <si>
    <t>1.1 Employee code</t>
  </si>
  <si>
    <t>SECTION 9 - DRIVER DETAILS - LICENCE, MEDICAL &amp; STATUTORY VERIFICATION</t>
  </si>
  <si>
    <t>SECTION 8 - LEAVE, ATTENDANCE &amp; WORKING CALENDAR</t>
  </si>
  <si>
    <t>SECTION 7 - BANK ACCOUNT DETAILS FOR SALARY</t>
  </si>
  <si>
    <t>SECTION 6 - COMPENSATION &amp; PAYROLL SETUP</t>
  </si>
  <si>
    <t>SECTION 5 - STATUTORY REGISTRATIONS &amp; TAX</t>
  </si>
  <si>
    <t>SECTION 4 - QUALIFICATION, EXPERIENCE &amp; TRAINING</t>
  </si>
  <si>
    <t>SECTION 3 - EMPLOYMENT &amp; POSTING DETAILS</t>
  </si>
  <si>
    <t>SECTION 2 - CONTACT, ADDRESS &amp; NEXT OF KIN</t>
  </si>
  <si>
    <t>SECTION 1 - EMPLOYEE IDENTIFICATION &amp; PERSONAL DETAILS</t>
  </si>
  <si>
    <t>8.10 Approved for payment by &amp; date</t>
  </si>
  <si>
    <t>8.9 Verified by (accounts) &amp; date</t>
  </si>
  <si>
    <t>8.8 Payment voucher reference(s)</t>
  </si>
  <si>
    <t>8.7 Part payment allowed</t>
  </si>
  <si>
    <t>8.6 Hold reason (if on hold)</t>
  </si>
  <si>
    <t>8.5 Payment priority</t>
  </si>
  <si>
    <t>8.4 Payment method</t>
  </si>
  <si>
    <t>8.3 Planned payment date</t>
  </si>
  <si>
    <t>8.2 Payment due date</t>
  </si>
  <si>
    <t>8.1 Payment terms applied</t>
  </si>
  <si>
    <t>7.11 Input tax claimed in which sales tax return</t>
  </si>
  <si>
    <t>7.10 Balance outstanding (PKR)</t>
  </si>
  <si>
    <t>7.9 Amount paid to date (PKR)</t>
  </si>
  <si>
    <t>7.8 Amount in words</t>
  </si>
  <si>
    <t>7.7 Net amount payable to vendor (PKR)</t>
  </si>
  <si>
    <t>7.6 Less: deductions and recoveries (PKR)</t>
  </si>
  <si>
    <t>7.5 Less: taxes withheld by enterprise (PKR)</t>
  </si>
  <si>
    <t>7.4 Bill gross total (PKR)</t>
  </si>
  <si>
    <t>7.3 Add: freight and other charges (PKR)</t>
  </si>
  <si>
    <t>7.2 Add: total taxes charged by vendor (PKR)</t>
  </si>
  <si>
    <t>7.1 Gross bill value before tax (PKR)</t>
  </si>
  <si>
    <t>6.5 Rounding adjustment (PKR)</t>
  </si>
  <si>
    <t>6.4 Retention money withheld (PKR)</t>
  </si>
  <si>
    <t>6.3 Advance adjustment (PKR)</t>
  </si>
  <si>
    <t>6.2 Penalty / late delivery deduction (PKR)</t>
  </si>
  <si>
    <t>6.1 Loading, unloading &amp; handling charges (PKR)</t>
  </si>
  <si>
    <t>5.10 Withholding tax certificate issued to vendor</t>
  </si>
  <si>
    <t>5.9 WHT deposit due date &amp; CPR reference</t>
  </si>
  <si>
    <t>5.8 Total tax withheld by enterprise (PKR)</t>
  </si>
  <si>
    <t>5.7 Total tax charged by vendor (PKR)</t>
  </si>
  <si>
    <t>5.6 Exemption or reduced rate applied</t>
  </si>
  <si>
    <t>5.5 Income tax withheld (PKR)</t>
  </si>
  <si>
    <t>5.4 Income tax withheld - section &amp; rate</t>
  </si>
  <si>
    <t>5.3 Other Tax</t>
  </si>
  <si>
    <t>5.1 Total taxable value (PKR)</t>
  </si>
  <si>
    <t>4.11 Other Tax</t>
  </si>
  <si>
    <t>4.10 Sales tax rate</t>
  </si>
  <si>
    <t>4.9 Taxable value of the line (PKR)</t>
  </si>
  <si>
    <t>4.8 Gross line amount (PKR)</t>
  </si>
  <si>
    <t>4.7 Rate per unit (PKR)</t>
  </si>
  <si>
    <t>4.6 Quantity accepted</t>
  </si>
  <si>
    <t>4.5 Quantity billed</t>
  </si>
  <si>
    <t>4.4 Unit of measure</t>
  </si>
  <si>
    <t>4.3 Item / service description</t>
  </si>
  <si>
    <t>4.2 Item / material code</t>
  </si>
  <si>
    <t>4.1 Line number</t>
  </si>
  <si>
    <t>3.3 Contract / supply agreement reference</t>
  </si>
  <si>
    <t>3.2 Purchase order date &amp; value</t>
  </si>
  <si>
    <t>3.1 Purchase order number</t>
  </si>
  <si>
    <t>2.11 Vendor credit balance / advance held (PKR)</t>
  </si>
  <si>
    <t>2.10 Payment terms from vendor contract</t>
  </si>
  <si>
    <t>2.9 Vendor bank account for payment</t>
  </si>
  <si>
    <t>2.8 Vendor contact person &amp; mobile</t>
  </si>
  <si>
    <t>2.6 Vendor withholding exemption applied</t>
  </si>
  <si>
    <t>2.5 Vendor filer status on the bill date</t>
  </si>
  <si>
    <t>2.3 Vendor NTN</t>
  </si>
  <si>
    <t>2.2 Vendor code &amp; registered name</t>
  </si>
  <si>
    <t>2.1 Vendor type</t>
  </si>
  <si>
    <t>1.19 Bill status</t>
  </si>
  <si>
    <t>1.18 Bill received date &amp; mode</t>
  </si>
  <si>
    <t>1.17 Project / job reference</t>
  </si>
  <si>
    <t>1.16 Cost centre / department to be charged</t>
  </si>
  <si>
    <t>1.15 Business location / plant receiving the supply</t>
  </si>
  <si>
    <t>1.14 Enterprise entity / company</t>
  </si>
  <si>
    <t>1.13 Exchange rate to base currency</t>
  </si>
  <si>
    <t>1.12 Currency</t>
  </si>
  <si>
    <t>1.11 Accounting period / posting month</t>
  </si>
  <si>
    <t>1.10 Vendor bill date</t>
  </si>
  <si>
    <t>1.9 Booking date</t>
  </si>
  <si>
    <t>1.8 Bill type (GATING FIELD)</t>
  </si>
  <si>
    <t>1.7 Bill booking number</t>
  </si>
  <si>
    <t>1.6 Diary / completion status (system-derived)</t>
  </si>
  <si>
    <t>1.5 Diary acknowledgement issued to vendor</t>
  </si>
  <si>
    <t>1.4 Diary date &amp; time (system stamp)</t>
  </si>
  <si>
    <t>1.3 System diary number</t>
  </si>
  <si>
    <t>1.2 Vendor bill / invoice number</t>
  </si>
  <si>
    <t>1.1 Vendor identity (search)</t>
  </si>
  <si>
    <t>SECTION 8 - PAYMENT TERMS &amp; SCHEDULING</t>
  </si>
  <si>
    <t>SECTION 7 - BILL SUMMARY &amp; AMOUNT PAYABLE</t>
  </si>
  <si>
    <t>SECTION 6 - CHARGES, DEDUCTIONS &amp; ADJUSTMENTS</t>
  </si>
  <si>
    <t>SECTION 5 - TAXES, DUTIES &amp; WITHHOLDING</t>
  </si>
  <si>
    <t>SECTION 4 - BILL LINE ITEMS</t>
  </si>
  <si>
    <t>SECTION 3 - REFERENCE DOCUMENTS</t>
  </si>
  <si>
    <t>SECTION 2 - VENDOR DETAILS</t>
  </si>
  <si>
    <t xml:space="preserve">SECTION 1 - BILL HEADER &amp; IDENTIFICATION </t>
  </si>
  <si>
    <t>6.1 Payment terms offered</t>
  </si>
  <si>
    <t>5.5 Force majeure &amp; supply interruption clause</t>
  </si>
  <si>
    <t>5.4 Transport arrangement</t>
  </si>
  <si>
    <t>5.3 Delivery mode</t>
  </si>
  <si>
    <t>5.2 Delivery point(s) &amp; distance (km)</t>
  </si>
  <si>
    <t>5.1 Price basis / Incoterm</t>
  </si>
  <si>
    <t>4.7 Price basis note</t>
  </si>
  <si>
    <t>4.6 Amount in words</t>
  </si>
  <si>
    <t>4.5 Total quotation value including taxes (PKR)</t>
  </si>
  <si>
    <t>4.4 Total Other Taxes (PKR)</t>
  </si>
  <si>
    <t>4.3 Total sales tax (PKR)</t>
  </si>
  <si>
    <t>4.2 Total value before tax (PKR)</t>
  </si>
  <si>
    <t>4.1 Total quantity quoted (MT)</t>
  </si>
  <si>
    <t>3.8 Other Taxes</t>
  </si>
  <si>
    <t>3.7 Sales tax rate</t>
  </si>
  <si>
    <t>3.6 Line value before tax (PKR)</t>
  </si>
  <si>
    <t>3.5 Rate per unit (PKR)</t>
  </si>
  <si>
    <t>3.4 Quantity quoted</t>
  </si>
  <si>
    <t>3.3 Unit of measure</t>
  </si>
  <si>
    <t>3.2 Material code &amp; description</t>
  </si>
  <si>
    <t>3.1 Line number</t>
  </si>
  <si>
    <t>2.11 Customer account status</t>
  </si>
  <si>
    <t>2.10 Outstanding overdue balance (PKR)</t>
  </si>
  <si>
    <t>2.9 Contact mobile</t>
  </si>
  <si>
    <t>2.8 Contact person &amp; designation</t>
  </si>
  <si>
    <t>2.7 Delivery point(s) quoted for</t>
  </si>
  <si>
    <t>2.5 Filer status on the quote date</t>
  </si>
  <si>
    <t>2.2 Customer code &amp; name</t>
  </si>
  <si>
    <t>2.1 Customer type</t>
  </si>
  <si>
    <t>1.10 Quotation status (system-derived)</t>
  </si>
  <si>
    <t>1.9 Quotation valid until</t>
  </si>
  <si>
    <t>1.8 Quotation valid from</t>
  </si>
  <si>
    <t>1.7 Currency</t>
  </si>
  <si>
    <t>1.6 Sales person / account manager</t>
  </si>
  <si>
    <t>1.5 Enterprise entity issuing the quote</t>
  </si>
  <si>
    <t>1.4 Quotation type</t>
  </si>
  <si>
    <t>1.3 Quotation date</t>
  </si>
  <si>
    <t>1.2 Revision number</t>
  </si>
  <si>
    <t>1.1 Quotation number</t>
  </si>
  <si>
    <t>SECTION 6 - COMMERCIAL TERMS &amp; VALIDITY</t>
  </si>
  <si>
    <t>SECTION 5 - DELIVERY, FREIGHT &amp; LOGISTICS TERMS</t>
  </si>
  <si>
    <t>SECTION 4 - TAXES &amp; QUOTATION SUMMARY</t>
  </si>
  <si>
    <t>SECTION 3 - QUOTED ITEMS &amp; PRICING</t>
  </si>
  <si>
    <t>SECTION 2 - CUSTOMER DETAILS</t>
  </si>
  <si>
    <t>SECTION 1 - QUOTATION HEADER</t>
  </si>
  <si>
    <t>7.10 Final voucher status</t>
  </si>
  <si>
    <t>7.9 Cancellation / reversal reference</t>
  </si>
  <si>
    <t>7.8 Approval trail (system log)</t>
  </si>
  <si>
    <t>7.7 Withholding tax certificate issued</t>
  </si>
  <si>
    <t>7.6 Bank debit advice / UTR confirmation</t>
  </si>
  <si>
    <t>7.5 Bank transfer instruction / cheque scan</t>
  </si>
  <si>
    <t>7.4 Trip sheet, job card or fuel slip</t>
  </si>
  <si>
    <t>7.3 Advance request approval</t>
  </si>
  <si>
    <t>7.2 Goods receipt &amp; delivery documents</t>
  </si>
  <si>
    <t>7.1 Approved bill / invoice copy</t>
  </si>
  <si>
    <t>6.10 GL posting reference &amp; date</t>
  </si>
  <si>
    <t>6.9 Effect on payee balance</t>
  </si>
  <si>
    <t>6.8 Effect on bill status</t>
  </si>
  <si>
    <t>6.7 Payment acknowledgement from payee</t>
  </si>
  <si>
    <t>6.6 Bounce reason &amp; action taken</t>
  </si>
  <si>
    <t>6.5 Cheque clearance / bounce status</t>
  </si>
  <si>
    <t>6.4 Reconciliation status</t>
  </si>
  <si>
    <t>6.3 Bank charges deducted (PKR)</t>
  </si>
  <si>
    <t>6.2 Amount debited by bank (PKR)</t>
  </si>
  <si>
    <t>6.1 Bank statement date of debit</t>
  </si>
  <si>
    <t>5.9 Withholding tax certificate issued to payee</t>
  </si>
  <si>
    <t>5.8 Tax deposit challan / CPR number &amp; date</t>
  </si>
  <si>
    <t>5.7 Sales tax withheld - deposit due date</t>
  </si>
  <si>
    <t>5.6 Income tax withheld - section &amp; deposit due date</t>
  </si>
  <si>
    <t>5.5 Amount in words</t>
  </si>
  <si>
    <t>5.4 NET AMOUNT PAID (PKR)</t>
  </si>
  <si>
    <t>5.3 Total deductions &amp; adjustments (PKR)</t>
  </si>
  <si>
    <t>5.2 Total withholding tax deducted (PKR)</t>
  </si>
  <si>
    <t>5.1 Total gross amount (PKR)</t>
  </si>
  <si>
    <t>4.9 Narration for the line</t>
  </si>
  <si>
    <t>4.8 Balance remaining on the bill (PKR)</t>
  </si>
  <si>
    <t>4.7 Net amount paid in this voucher (PKR)</t>
  </si>
  <si>
    <t>4.6 Deductions &amp; recoveries (PKR)</t>
  </si>
  <si>
    <t>4.5 Withholding tax deducted (PKR)</t>
  </si>
  <si>
    <t>4.4 Amount already paid (PKR)</t>
  </si>
  <si>
    <t>4.3 Gross amount of the bill (PKR)</t>
  </si>
  <si>
    <t>4.2 GL account to be debited</t>
  </si>
  <si>
    <t>3.9 Supporting document completeness check</t>
  </si>
  <si>
    <t>3.8 Expense approval / requisition reference</t>
  </si>
  <si>
    <t>3.7 Payment type reference check (system-derived)</t>
  </si>
  <si>
    <t>3.6 Advance - total value of scope (PKR)</t>
  </si>
  <si>
    <t>3.5 Advance request reference</t>
  </si>
  <si>
    <t>3.4 Purchase order / contract reference</t>
  </si>
  <si>
    <t>3.3 Bill approval status</t>
  </si>
  <si>
    <t>3.2 Bill date(s) &amp; due date(s)</t>
  </si>
  <si>
    <t>3.1 Bill / invoice reference(s)</t>
  </si>
  <si>
    <t>2.10 Payee outstanding balance before payment (PKR)</t>
  </si>
  <si>
    <t>2.9 Payee contact for remittance advice</t>
  </si>
  <si>
    <t>2.8 Bank account verification status</t>
  </si>
  <si>
    <t>2.7 Payee account number</t>
  </si>
  <si>
    <t>2.6 Payee account title</t>
  </si>
  <si>
    <t>2.5 Payee bank name</t>
  </si>
  <si>
    <t>2.4 Payee filer status on the payment date</t>
  </si>
  <si>
    <t>2.3 Payee NTN / CNIC</t>
  </si>
  <si>
    <t>2.2 Payee code &amp; name</t>
  </si>
  <si>
    <t>2.1 Payee type</t>
  </si>
  <si>
    <t>1.11 Voucher status</t>
  </si>
  <si>
    <t>1.10 Cheque / instrument number &amp; date</t>
  </si>
  <si>
    <t>1.9 Bank account paid from</t>
  </si>
  <si>
    <t>1.8 Payment mode</t>
  </si>
  <si>
    <t>1.7 Currency &amp; exchange rate</t>
  </si>
  <si>
    <t>1.6 Cost centre / department</t>
  </si>
  <si>
    <t>1.5 Location / plant</t>
  </si>
  <si>
    <t>1.4 Enterprise entity making the payment</t>
  </si>
  <si>
    <t>1.3 Payment type (GATING FIELD)</t>
  </si>
  <si>
    <t>1.2 Voucher date</t>
  </si>
  <si>
    <t>1.1 Payment voucher number</t>
  </si>
  <si>
    <t>SECTION 7 - ATTACHMENTS &amp; AUDIT</t>
  </si>
  <si>
    <t>SECTION 6 - BANK RECONCILIATION &amp; POST-PAYMENT</t>
  </si>
  <si>
    <t>SECTION 5 - VOUCHER SUMMARY &amp; TAX DEPOSIT</t>
  </si>
  <si>
    <t>SECTION 4 - PAYMENT LINES &amp; AMOUNT</t>
  </si>
  <si>
    <t>SECTION 2 - PAYEE DETAILS</t>
  </si>
  <si>
    <t>SECTION 1 - VOUCHER HEADER</t>
  </si>
  <si>
    <t>7.5 Exemption certificate applied</t>
  </si>
  <si>
    <t>7.4 Customer purchase order / work order</t>
  </si>
  <si>
    <t>7.3 Mill test / quality certificate</t>
  </si>
  <si>
    <t>7.2 Weighbridge slip</t>
  </si>
  <si>
    <t>7.1 Signed delivery challan</t>
  </si>
  <si>
    <t>6.6 Receipt reference(s)</t>
  </si>
  <si>
    <t>6.5 Balance outstanding &amp; invoice status</t>
  </si>
  <si>
    <t>6.4 Amount received to date (PKR)</t>
  </si>
  <si>
    <t>6.3 Advance received against this invoice (PKR)</t>
  </si>
  <si>
    <t>6.2 Payment due date</t>
  </si>
  <si>
    <t>6.1 Payment terms</t>
  </si>
  <si>
    <t>5.4 Total invoice value (PKR)</t>
  </si>
  <si>
    <t>5.3 Other tax (PKR)</t>
  </si>
  <si>
    <t>5.2 Total sales tax (PKR)</t>
  </si>
  <si>
    <t>5.1 Total quantity invoiced</t>
  </si>
  <si>
    <t>4.11 Revenue GL account &amp; cost centre</t>
  </si>
  <si>
    <t>4.10 Other tax (PKR)</t>
  </si>
  <si>
    <t>4.9 Sales tax rate (%)</t>
  </si>
  <si>
    <t>4.8 Value excluding sales tax (PKR)</t>
  </si>
  <si>
    <t>4.7 Gross value (PKR)</t>
  </si>
  <si>
    <t>4.6 Rate per unit excluding tax (PKR)</t>
  </si>
  <si>
    <t>4.5 Quantity invoiced</t>
  </si>
  <si>
    <t>4.3 Description of goods or services</t>
  </si>
  <si>
    <t>4.2 Material code</t>
  </si>
  <si>
    <t>3.3 Delivery basis / Incoterm</t>
  </si>
  <si>
    <t>3.2 Quantity dispatched</t>
  </si>
  <si>
    <t>3.1 Dispatch / delivery note number(s)</t>
  </si>
  <si>
    <t>2.7 Delivery point / ship-to address</t>
  </si>
  <si>
    <t>2.6 Exemption certificate applied</t>
  </si>
  <si>
    <t>2.5 Customer CNIC (unregistered buyers)</t>
  </si>
  <si>
    <t>2.3 Customer NTN</t>
  </si>
  <si>
    <t>2.2 Customer address</t>
  </si>
  <si>
    <t>2.1 Customer code &amp; registered name</t>
  </si>
  <si>
    <t>1.6 Quotation reference</t>
  </si>
  <si>
    <t>1.5 Supplier STRN</t>
  </si>
  <si>
    <t>1.4 Supplier name, address &amp; NTN</t>
  </si>
  <si>
    <t>1.3 Invoice type</t>
  </si>
  <si>
    <t>1.2 Invoice date</t>
  </si>
  <si>
    <t>1.1 Invoice number</t>
  </si>
  <si>
    <t>SECTION 7 - ATTACHMENTS</t>
  </si>
  <si>
    <t>SECTION 6 - PAYMENT TERMS &amp; RECEIVABLE</t>
  </si>
  <si>
    <t>SECTION 5 - TAXES, LEVIES &amp; INVOICE SUMMARY</t>
  </si>
  <si>
    <t>SECTION 4 - INVOICE LINE ITEMS</t>
  </si>
  <si>
    <t>SECTION 3 - DELIVERY &amp; DISPATCH REFERENCE</t>
  </si>
  <si>
    <t>SECTION 2 - CUSTOMER</t>
  </si>
  <si>
    <t>SECTION 1 - INVOICE HEADER</t>
  </si>
  <si>
    <t>6.4 Minimum wage compliance check</t>
  </si>
  <si>
    <t>6.3 Monthly withholding statement (Sec. 165) filed</t>
  </si>
  <si>
    <t>6.2 Income tax challan / CPR number &amp; date</t>
  </si>
  <si>
    <t>6.1 Income tax deposit due date</t>
  </si>
  <si>
    <t>5.11 Exception report</t>
  </si>
  <si>
    <t>5.9 Variance explanation</t>
  </si>
  <si>
    <t>5.8 Variance against previous period (%)</t>
  </si>
  <si>
    <t>5.7 Total employer cost for the period (PKR)</t>
  </si>
  <si>
    <t>5.6 TOTAL NET DISBURSEMENT (PKR)</t>
  </si>
  <si>
    <t>5.5 Total other deductions (PKR)</t>
  </si>
  <si>
    <t>5.4 Total loan &amp; advance recoveries (PKR)</t>
  </si>
  <si>
    <t>5.3 Total income tax withheld (PKR)</t>
  </si>
  <si>
    <t>5.2 Total gross earnings (PKR)</t>
  </si>
  <si>
    <t>5.1 Total employees paid</t>
  </si>
  <si>
    <t>4.8 Employer cost for the period (PKR)</t>
  </si>
  <si>
    <t>4.7 NET PAYABLE TO EMPLOYEE (PKR)</t>
  </si>
  <si>
    <t>4.6 TOTAL DEDUCTIONS (PKR)</t>
  </si>
  <si>
    <t>4.5 Penalty / disciplinary deduction (PKR)</t>
  </si>
  <si>
    <t>4.4 Unpaid leave / absence deduction (PKR)</t>
  </si>
  <si>
    <t>4.3 Loan / advance instalment recovery (PKR)</t>
  </si>
  <si>
    <t>4.2 Taxable salary year to date (PKR)</t>
  </si>
  <si>
    <t>4.1 Income tax withheld (PKR)</t>
  </si>
  <si>
    <t>3.10 GROSS EARNINGS (PKR)</t>
  </si>
  <si>
    <t>3.9 Reimbursements (fuel, mobile, medical)</t>
  </si>
  <si>
    <t>3.8 Bonus / ex-gratia (PKR)</t>
  </si>
  <si>
    <t>3.7 Arrears of previous period (PKR)</t>
  </si>
  <si>
    <t>3.6 Holiday / rest-day working payment (PKR)</t>
  </si>
  <si>
    <t>3.5 Overtime amount (PKR)</t>
  </si>
  <si>
    <t>3.4 Shift / site / hardship allowance (PKR)</t>
  </si>
  <si>
    <t>3.2 House rent allowance (PKR)</t>
  </si>
  <si>
    <t>3.1 Basic salary (PKR)</t>
  </si>
  <si>
    <t>2.11 Employee bank account number</t>
  </si>
  <si>
    <t>2.10 Weekly holiday / gazetted holiday worked</t>
  </si>
  <si>
    <t>2.9 Overtime hours approved</t>
  </si>
  <si>
    <t>2.8 Late arrivals / short hours deduction</t>
  </si>
  <si>
    <t>2.7 Unpaid leave / absent days</t>
  </si>
  <si>
    <t>2.6 Paid leave days availed</t>
  </si>
  <si>
    <t>2.5 Days present</t>
  </si>
  <si>
    <t>2.4 Payable days in the period</t>
  </si>
  <si>
    <t>2.3 Employment category &amp; status</t>
  </si>
  <si>
    <t>2.1 Employee code &amp; name</t>
  </si>
  <si>
    <t>1.10 Payroll status</t>
  </si>
  <si>
    <t>1.9 Currency</t>
  </si>
  <si>
    <t>1.8 Payment date</t>
  </si>
  <si>
    <t>1.7 Number of employees in the run</t>
  </si>
  <si>
    <t>1.6 Attendance cut-off date</t>
  </si>
  <si>
    <t>1.5 Enterprise entity</t>
  </si>
  <si>
    <t>1.4 Payroll type</t>
  </si>
  <si>
    <t>1.3 Period start &amp; end date</t>
  </si>
  <si>
    <t>1.2 Payroll period (month &amp; year)</t>
  </si>
  <si>
    <t>1.1 Payroll batch number</t>
  </si>
  <si>
    <t>SECTION 6 - STATUTORY FILING &amp; DEPOSITS</t>
  </si>
  <si>
    <t>SECTION 5 - PAYROLL REGISTER SUMMARY</t>
  </si>
  <si>
    <t>SECTION 4 - DEDUCTIONS &amp; NET PAY</t>
  </si>
  <si>
    <t>SECTION 3 - EARNINGS</t>
  </si>
  <si>
    <t>SECTION 2 - EMPLOYEE PAYROLL LINE</t>
  </si>
  <si>
    <t>SECTION 1 - PAYROLL RUN HEADER</t>
  </si>
  <si>
    <t>6.6 Cost of sales GL account</t>
  </si>
  <si>
    <t>6.5 Inventory GL account</t>
  </si>
  <si>
    <t>6.4 Revenue GL account</t>
  </si>
  <si>
    <t>6.3 Minimum selling price (floor price)</t>
  </si>
  <si>
    <t>6.2 Saleable</t>
  </si>
  <si>
    <t>6.1 Purchasable</t>
  </si>
  <si>
    <t>5.6 Procurement lead time (days)</t>
  </si>
  <si>
    <t>5.5 Maximum stock level</t>
  </si>
  <si>
    <t>5.4 Minimum stock level (reorder point)</t>
  </si>
  <si>
    <t>5.3 Cost basis - last purchase price &amp; date</t>
  </si>
  <si>
    <t>5.2 Valuation method</t>
  </si>
  <si>
    <t>5.1 Inventory managed</t>
  </si>
  <si>
    <t>4.4 Withholding tax section on purchase</t>
  </si>
  <si>
    <t>4.3 Other Tax</t>
  </si>
  <si>
    <t>4.2 Standard sales tax rate (%)</t>
  </si>
  <si>
    <t>4.1 Sales tax applicability</t>
  </si>
  <si>
    <t>3.5 Batch / lot tracking required</t>
  </si>
  <si>
    <t>3.4 Shelf life / expiry applicable</t>
  </si>
  <si>
    <t>3.3 Mill test certificate required</t>
  </si>
  <si>
    <t>3.2 Key specification parameters</t>
  </si>
  <si>
    <t>3.1 Applicable standard</t>
  </si>
  <si>
    <t>2.2 Packing type &amp; conversion to base unit</t>
  </si>
  <si>
    <t>2.1 Base unit of measure</t>
  </si>
  <si>
    <t>1.6 Material status</t>
  </si>
  <si>
    <t>1.5 HS code / PCT heading</t>
  </si>
  <si>
    <t>1.4 Material description (short)</t>
  </si>
  <si>
    <t>1.3 Material category &amp; sub-category</t>
  </si>
  <si>
    <t>1.2 Material type (GATING FIELD)</t>
  </si>
  <si>
    <t>1.1 Material code</t>
  </si>
  <si>
    <t>SECTION 6 - PURCHASING &amp; SALES CONTROL</t>
  </si>
  <si>
    <t>SECTION 5 - INVENTORY, STORAGE &amp; PLANNING</t>
  </si>
  <si>
    <t>SECTION 4 - TAX &amp; STATUTORY TREATMENT</t>
  </si>
  <si>
    <t>SECTION 3 - TECHNICAL SPECIFICATION &amp; QUALITY</t>
  </si>
  <si>
    <t>SECTION 2 - UNITS OF MEASURE &amp; PACKING</t>
  </si>
  <si>
    <t>SECTION 1 - MATERIAL IDENTIFICATION</t>
  </si>
  <si>
    <t>7.6 Freight bill raised by transporter</t>
  </si>
  <si>
    <t>7.5 Invoiced quantity versus delivered quantity</t>
  </si>
  <si>
    <t>7.4 Tax invoice raised against this challan</t>
  </si>
  <si>
    <t>7.3 Claim raised - type, amount &amp; status</t>
  </si>
  <si>
    <t>7.2 Return challan reference</t>
  </si>
  <si>
    <t>7.1 Goods returned (quantity &amp; reason)</t>
  </si>
  <si>
    <t>6.5 Consignee signature &amp; stamp</t>
  </si>
  <si>
    <t>6.4 Received by - name &amp; designation</t>
  </si>
  <si>
    <t>6.3 Quantity received at site</t>
  </si>
  <si>
    <t>6.2 Unloading start &amp; completion time</t>
  </si>
  <si>
    <t>6.1 Arrival date &amp; time at delivery point</t>
  </si>
  <si>
    <t>4.7 Stock movement posted at plant</t>
  </si>
  <si>
    <t>4.6 Batch / lot number &amp; mill test certificate number</t>
  </si>
  <si>
    <t>4.5 Quantity dispatched</t>
  </si>
  <si>
    <t>4.4 Quantity ordered (open balance)</t>
  </si>
  <si>
    <t>4.3 Unit of measure</t>
  </si>
  <si>
    <t>4.2 Material code &amp; description</t>
  </si>
  <si>
    <t>3.9 GPS tracking device &amp; live link</t>
  </si>
  <si>
    <t>3.8 Driver mobile number</t>
  </si>
  <si>
    <t>3.7 Driver compliance status at dispatch</t>
  </si>
  <si>
    <t>3.6 Driver licence number &amp; class</t>
  </si>
  <si>
    <t>3.5 Driver name</t>
  </si>
  <si>
    <t>3.4 Vehicle compliance status at dispatch</t>
  </si>
  <si>
    <t>3.3 Vehicle type</t>
  </si>
  <si>
    <t>3.2 Vehicle registration number</t>
  </si>
  <si>
    <t>3.1 Transporter code &amp; name</t>
  </si>
  <si>
    <t>2.8 Site receiving hours &amp; access constraints</t>
  </si>
  <si>
    <t>2.7 Site contact name &amp; mobile</t>
  </si>
  <si>
    <t>2.5 Ship-to full address</t>
  </si>
  <si>
    <t>2.4 Ship-to delivery point</t>
  </si>
  <si>
    <t>2.2 Customer NTN / STRN</t>
  </si>
  <si>
    <t>2.1 Customer code &amp; name</t>
  </si>
  <si>
    <t>1.10 Challan status</t>
  </si>
  <si>
    <t>1.9 Printed copies issued</t>
  </si>
  <si>
    <t>1.8 Freight payable by</t>
  </si>
  <si>
    <t>1.7 Expected delivery date &amp; time</t>
  </si>
  <si>
    <t>1.6 Delivery mode</t>
  </si>
  <si>
    <t>1.5 Enterprise entity &amp; supplying plant</t>
  </si>
  <si>
    <t>1.4 Sales order reference</t>
  </si>
  <si>
    <t>1.3 Challan type</t>
  </si>
  <si>
    <t>1.2 Challan date &amp; time of issue</t>
  </si>
  <si>
    <t>1.1 Delivery challan number</t>
  </si>
  <si>
    <t>SECTION 7 - RETURNS, CLAIMS &amp; INVOICING LINK</t>
  </si>
  <si>
    <t>SECTION 6 - DELIVERY CONFIRMATION AT SITE</t>
  </si>
  <si>
    <t>SECTION 4 - MATERIAL &amp; QUANTITY DISPATCHED</t>
  </si>
  <si>
    <t>SECTION 3 - TRANSPORTER, VEHICLE &amp; DRIVER</t>
  </si>
  <si>
    <t>SECTION 2 - CONSIGNEE &amp; DELIVERY POINT</t>
  </si>
  <si>
    <t>SECTION 1 - CHALLAN HEADER</t>
  </si>
  <si>
    <t>6.6 Bank reconciliation status</t>
  </si>
  <si>
    <t>6.5 GL posting reference &amp; date</t>
  </si>
  <si>
    <t>6.4 Customer outstanding after this receipt (PKR)</t>
  </si>
  <si>
    <t>6.3 Bounce / return reason &amp; reversal reference</t>
  </si>
  <si>
    <t>6.2 Date of realisation / clearing</t>
  </si>
  <si>
    <t>6.1 Realisation status</t>
  </si>
  <si>
    <t>5.7 Follow-up action on unsupported deductions</t>
  </si>
  <si>
    <t>5.6 CPR verified on the FBR portal</t>
  </si>
  <si>
    <t>5.5 Withholding tax certificate received</t>
  </si>
  <si>
    <t>5.4 CPR / challan number &amp; date</t>
  </si>
  <si>
    <t>5.3 Withholding tax amount (PKR)</t>
  </si>
  <si>
    <t>5.2 Withholding rate applied (%)</t>
  </si>
  <si>
    <t>5.1 Withholding tax deducted by customer - section</t>
  </si>
  <si>
    <t>4.9 Balance remaining on the invoice (PKR)</t>
  </si>
  <si>
    <t>4.8 Credit note adjusted (PKR)</t>
  </si>
  <si>
    <t>4.7 Withholding tax claimed by customer (PKR)</t>
  </si>
  <si>
    <t>4.6 Amount allocated in this receipt (PKR)</t>
  </si>
  <si>
    <t>4.5 Balance outstanding before this receipt (PKR)</t>
  </si>
  <si>
    <t>4.4 Amount already received against the invoice</t>
  </si>
  <si>
    <t>4.3 Invoice gross value (PKR)</t>
  </si>
  <si>
    <t>4.2 Invoice number &amp; date</t>
  </si>
  <si>
    <t>3.30 Difference against amount received (field 1.5)</t>
  </si>
  <si>
    <t>3.29 TOTAL OF ALL TENDER LINES (PKR)</t>
  </si>
  <si>
    <t>3.28 Line completeness check (system-derived)</t>
  </si>
  <si>
    <t>3.27 IBFT - credit identification status</t>
  </si>
  <si>
    <t>3.26 IBFT - amount credited per bank statement (PKR)</t>
  </si>
  <si>
    <t>3.25 IBFT - date &amp; time of transfer</t>
  </si>
  <si>
    <t>3.24 IBFT - transaction reference (UTR / IBFT ID)</t>
  </si>
  <si>
    <t>3.23 IBFT - payer bank &amp; account number</t>
  </si>
  <si>
    <t>3.22 CHEQUE - return reason &amp; charges recovered (PKR)</t>
  </si>
  <si>
    <t>3.21 CHEQUE - clearing status &amp; clearing date</t>
  </si>
  <si>
    <t>3.20 CHEQUE - date presented to bank</t>
  </si>
  <si>
    <t>3.19 CHEQUE - physical custody until presentation</t>
  </si>
  <si>
    <t>3.18 CHEQUE - presentation due date</t>
  </si>
  <si>
    <t>3.17 CHEQUE - post-dated?</t>
  </si>
  <si>
    <t>3.16 CHEQUE - drawee bank &amp; branch</t>
  </si>
  <si>
    <t>3.15 CHEQUE - amount on the instrument (PKR)</t>
  </si>
  <si>
    <t>3.14 CHEQUE - cheque date</t>
  </si>
  <si>
    <t>3.13 CHEQUE - cheque number</t>
  </si>
  <si>
    <t>3.12 CASH - deposit status (system-derived)</t>
  </si>
  <si>
    <t>3.11 CASH - deposit due date (within 24 hours)</t>
  </si>
  <si>
    <t>3.10 CASH - deposit slip number &amp; bank deposit date</t>
  </si>
  <si>
    <t>3.9 CASH - manual cash receipt book serial</t>
  </si>
  <si>
    <t>3.8 CASH - place of collection</t>
  </si>
  <si>
    <t>3.7 CASH - collected by (name &amp; designation)</t>
  </si>
  <si>
    <t>3.6 Line realisation status (system-derived)</t>
  </si>
  <si>
    <t>3.5 Enterprise account or cash counter credited for this line</t>
  </si>
  <si>
    <t>3.4 Amount received in this line (PKR)</t>
  </si>
  <si>
    <t>3.3 Collection mode for this line (GATING FIELD)</t>
  </si>
  <si>
    <t>3.2 Tender line number</t>
  </si>
  <si>
    <t>3.1 Number of collection modes used in this receipt</t>
  </si>
  <si>
    <t>2.9 Project / site reference</t>
  </si>
  <si>
    <t>2.8 Contact &amp; mobile for receipt acknowledgement</t>
  </si>
  <si>
    <t>2.7 Customer overdue amount before receipt (PKR)</t>
  </si>
  <si>
    <t>2.6 Customer outstanding before this receipt (PKR)</t>
  </si>
  <si>
    <t>2.5 Third-party payment authority reference</t>
  </si>
  <si>
    <t>2.4 Payer name on the instrument</t>
  </si>
  <si>
    <t>2.3 Customer NTN / STRN</t>
  </si>
  <si>
    <t>2.2 Customer code &amp; registered name</t>
  </si>
  <si>
    <t>2.1 Payer type</t>
  </si>
  <si>
    <t>1.10 Receipt status</t>
  </si>
  <si>
    <t>1.9 Deposit due date for field collections</t>
  </si>
  <si>
    <t>1.8 Collected by (sales officer, if collected at site)</t>
  </si>
  <si>
    <t>1.7 Received by (cashier / officer)</t>
  </si>
  <si>
    <t>1.6 Amount in words</t>
  </si>
  <si>
    <t>1.5 Amount received (PKR)</t>
  </si>
  <si>
    <t>1.4 Enterprise entity receiving the money</t>
  </si>
  <si>
    <t>1.3 Receipt type (GATING FIELD)</t>
  </si>
  <si>
    <t>1.2 Receipt date</t>
  </si>
  <si>
    <t>1.1 Receipt number</t>
  </si>
  <si>
    <t>SECTION 6 - REALISATION &amp; ACCOUNTING EFFECT</t>
  </si>
  <si>
    <t>SECTION 5 - WITHHOLDING TAX &amp; RECONCILIATION</t>
  </si>
  <si>
    <t>SECTION 4 - INVOICE ALLOCATION</t>
  </si>
  <si>
    <t>SECTION 3 - COLLECTION MODES &amp; INSTRUMENT DETAILS</t>
  </si>
  <si>
    <t>SECTION 2 - PAYER</t>
  </si>
  <si>
    <t>SECTION 1 - RECEIPT HEADER</t>
  </si>
  <si>
    <t>DUMMY ENTRIES</t>
  </si>
  <si>
    <t>Steelstone Building Materials (Pvt) Ltd</t>
  </si>
  <si>
    <t>Private Limited Company</t>
  </si>
  <si>
    <t>4521789-3</t>
  </si>
  <si>
    <t>Active Filer</t>
  </si>
  <si>
    <t>Office 12, 3rd Floor, Siddiq Trade Centre</t>
  </si>
  <si>
    <t>Main Boulevard, Gulberg III</t>
  </si>
  <si>
    <t>Lahore</t>
  </si>
  <si>
    <t>Lahore City</t>
  </si>
  <si>
    <t>Punjab</t>
  </si>
  <si>
    <t>Pakistan</t>
  </si>
  <si>
    <t>Yes</t>
  </si>
  <si>
    <t>Same as registered office</t>
  </si>
  <si>
    <t>Warehouse: Plot 45, Sundar Industrial Estate, Raiwind Road, Lahore</t>
  </si>
  <si>
    <t>042-35781234</t>
  </si>
  <si>
    <t>31.5165, 74.3487</t>
  </si>
  <si>
    <t>Usman Tariq</t>
  </si>
  <si>
    <t>Chief Executive Officer</t>
  </si>
  <si>
    <t>0300-4567812</t>
  </si>
  <si>
    <t>Meezan Bank Ltd</t>
  </si>
  <si>
    <t>0211-0104567890</t>
  </si>
  <si>
    <t>CEM-OPC-B50</t>
  </si>
  <si>
    <t>Traded goods</t>
  </si>
  <si>
    <t>Cement / OPC</t>
  </si>
  <si>
    <t>OPC Cement Grade 53 - 50 kg bag</t>
  </si>
  <si>
    <t>Active</t>
  </si>
  <si>
    <t>Bag</t>
  </si>
  <si>
    <t>50 kg bag; 20 bags = 1 MT</t>
  </si>
  <si>
    <t>PS 232:2008 / ASTM C150 Type I</t>
  </si>
  <si>
    <t>28-day strength ≥ 42.5 MPa</t>
  </si>
  <si>
    <t>Yes - 90 days</t>
  </si>
  <si>
    <t>Taxable - standard</t>
  </si>
  <si>
    <t>FED PKR 3/kg</t>
  </si>
  <si>
    <t>153(1)(a) goods</t>
  </si>
  <si>
    <t>Weighted average</t>
  </si>
  <si>
    <t>PKR 1290 on 2026-09-15</t>
  </si>
  <si>
    <t>4101 Sales - Cement bags</t>
  </si>
  <si>
    <t>1301 Inventory - Cement</t>
  </si>
  <si>
    <t>5101 COGS - Cement</t>
  </si>
  <si>
    <t>CEM-OPC-BLK</t>
  </si>
  <si>
    <t>OPC Cement Grade 53 - bulk</t>
  </si>
  <si>
    <t>MT</t>
  </si>
  <si>
    <t>Bulk loose; 1 MT = 1 MT</t>
  </si>
  <si>
    <t>Yes - 60 days</t>
  </si>
  <si>
    <t>PKR 24800 on 2026-09-12</t>
  </si>
  <si>
    <t>4102 Sales - Cement bulk</t>
  </si>
  <si>
    <t>CEM-SRC-B50</t>
  </si>
  <si>
    <t>Cement / SRC</t>
  </si>
  <si>
    <t>Sulphate Resistant Cement - 50 kg bag</t>
  </si>
  <si>
    <t>PS 612 / ASTM C150 Type V</t>
  </si>
  <si>
    <t>C3A ≤ 5%; 28-day ≥ 42.5 MPa</t>
  </si>
  <si>
    <t>PKR 1360 on 2026-09-10</t>
  </si>
  <si>
    <t>CEM-SRC-BLK</t>
  </si>
  <si>
    <t>Sulphate Resistant Cement - bulk</t>
  </si>
  <si>
    <t>Bulk loose</t>
  </si>
  <si>
    <t>C3A ≤ 5%</t>
  </si>
  <si>
    <t>PKR 26200 on 2026-08-28</t>
  </si>
  <si>
    <t>CEM-SLG-B50</t>
  </si>
  <si>
    <t>Cement / Slag</t>
  </si>
  <si>
    <t>Slag Cement - 50 kg bag</t>
  </si>
  <si>
    <t>ASTM C595 Type IS</t>
  </si>
  <si>
    <t>Slag content 25-70%</t>
  </si>
  <si>
    <t>PKR 1240 on 2026-09-05</t>
  </si>
  <si>
    <t>CEM-LHC-B50</t>
  </si>
  <si>
    <t>Cement / Low heat</t>
  </si>
  <si>
    <t>Low Heat Cement - 50 kg bag</t>
  </si>
  <si>
    <t>Inactive</t>
  </si>
  <si>
    <t>ASTM C150 Type IV</t>
  </si>
  <si>
    <t>Heat of hydration ≤ 250 kJ/kg</t>
  </si>
  <si>
    <t>PKR 1400 on 2025-11-20</t>
  </si>
  <si>
    <t>CEM-WHT-B40</t>
  </si>
  <si>
    <t>Cement / White</t>
  </si>
  <si>
    <t>White Cement - 40 kg bag</t>
  </si>
  <si>
    <t>40 kg bag; 25 bags = 1 MT</t>
  </si>
  <si>
    <t>ASTM C150 Type I (white)</t>
  </si>
  <si>
    <t>Whiteness ≥ 88%</t>
  </si>
  <si>
    <t>Yes - 120 days</t>
  </si>
  <si>
    <t>PKR 2350 on 2026-09-01</t>
  </si>
  <si>
    <t>CEM-PPC-B50</t>
  </si>
  <si>
    <t>Cement / Pozzolana</t>
  </si>
  <si>
    <t>Portland Pozzolana Cement - 50 kg bag</t>
  </si>
  <si>
    <t>ASTM C595 Type IP</t>
  </si>
  <si>
    <t>Fly ash 15-35%</t>
  </si>
  <si>
    <t>PKR 1220 on 2026-09-08</t>
  </si>
  <si>
    <t>CEM-OPC-J1500</t>
  </si>
  <si>
    <t>OPC Cement - 1.5 MT jumbo bag</t>
  </si>
  <si>
    <t>Jumbo bag</t>
  </si>
  <si>
    <t>1 jumbo bag = 1.5 MT</t>
  </si>
  <si>
    <t>PKR 38200 on 2026-09-03</t>
  </si>
  <si>
    <t>CEM-RHC-B50</t>
  </si>
  <si>
    <t>Cement / Rapid hardening</t>
  </si>
  <si>
    <t>Rapid Hardening Cement - 50 kg bag</t>
  </si>
  <si>
    <t>ASTM C150 Type III</t>
  </si>
  <si>
    <t>1-day strength ≥ 12 MPa</t>
  </si>
  <si>
    <t>PKR 1420 on 2026-07-30</t>
  </si>
  <si>
    <t>SRV-FRT-BAG</t>
  </si>
  <si>
    <t>Service</t>
  </si>
  <si>
    <t>Freight / Bag cargo</t>
  </si>
  <si>
    <t>Freight - bagged cement per trip</t>
  </si>
  <si>
    <t>N/A (service)</t>
  </si>
  <si>
    <t>Trip</t>
  </si>
  <si>
    <t>1 trip</t>
  </si>
  <si>
    <t>N/A</t>
  </si>
  <si>
    <t>Up to 25 MT per trip</t>
  </si>
  <si>
    <t>No</t>
  </si>
  <si>
    <t>Taxable - provincial services</t>
  </si>
  <si>
    <t>None</t>
  </si>
  <si>
    <t>153(1)(b) services</t>
  </si>
  <si>
    <t>N/A - expensed</t>
  </si>
  <si>
    <t>PKR 45000 on 2026-09-18</t>
  </si>
  <si>
    <t>5201 Freight inward</t>
  </si>
  <si>
    <t>SRV-FRT-BLK</t>
  </si>
  <si>
    <t>Freight / Bulker</t>
  </si>
  <si>
    <t>Freight - bulker per trip</t>
  </si>
  <si>
    <t>Up to 40 MT per trip</t>
  </si>
  <si>
    <t>PKR 62000 on 2026-09-18</t>
  </si>
  <si>
    <t>SRV-LAB</t>
  </si>
  <si>
    <t>Labour / Handling</t>
  </si>
  <si>
    <t>Loading &amp; unloading labour per bag</t>
  </si>
  <si>
    <t>1 bag</t>
  </si>
  <si>
    <t>Manual handling</t>
  </si>
  <si>
    <t>Exempt</t>
  </si>
  <si>
    <t>PKR 6 on 2026-09-20</t>
  </si>
  <si>
    <t>5202 Handling charges</t>
  </si>
  <si>
    <t>CON-DSL</t>
  </si>
  <si>
    <t>Consumable</t>
  </si>
  <si>
    <t>Fuel / Diesel</t>
  </si>
  <si>
    <t>High speed diesel</t>
  </si>
  <si>
    <t>Litre</t>
  </si>
  <si>
    <t>1 litre</t>
  </si>
  <si>
    <t>OGRA HSD spec</t>
  </si>
  <si>
    <t>Euro-5</t>
  </si>
  <si>
    <t>Petroleum levy included</t>
  </si>
  <si>
    <t>236H / N/A</t>
  </si>
  <si>
    <t>PKR 272 on 2026-09-22</t>
  </si>
  <si>
    <t>1305 Inventory - Consumables</t>
  </si>
  <si>
    <t>5301 Fuel expense</t>
  </si>
  <si>
    <t>CON-PAL</t>
  </si>
  <si>
    <t>Warehouse / Pallets</t>
  </si>
  <si>
    <t>Wooden pallet 1200 x 1000 mm</t>
  </si>
  <si>
    <t>Each</t>
  </si>
  <si>
    <t>1 pallet</t>
  </si>
  <si>
    <t>ISPM-15</t>
  </si>
  <si>
    <t>Load 1,500 kg</t>
  </si>
  <si>
    <t>PKR 2800 on 2026-06-14</t>
  </si>
  <si>
    <t>5302 Warehouse consumables</t>
  </si>
  <si>
    <t>CON-TARP</t>
  </si>
  <si>
    <t>Warehouse / Covers</t>
  </si>
  <si>
    <t>Tarpaulin sheet 20 x 30 ft</t>
  </si>
  <si>
    <t>1 sheet</t>
  </si>
  <si>
    <t>PE 200 gsm</t>
  </si>
  <si>
    <t>PKR 4500 on 2026-04-10</t>
  </si>
  <si>
    <t>CON-STN</t>
  </si>
  <si>
    <t>Office / Stationery</t>
  </si>
  <si>
    <t>Stationery &amp; printed challan books</t>
  </si>
  <si>
    <t>Lot</t>
  </si>
  <si>
    <t>1 lot</t>
  </si>
  <si>
    <t>Pre-numbered books</t>
  </si>
  <si>
    <t>PKR 15000 on 2026-08-05</t>
  </si>
  <si>
    <t>5401 Printing &amp; stationery</t>
  </si>
  <si>
    <t>SRV-RENT</t>
  </si>
  <si>
    <t>Premises / Rent</t>
  </si>
  <si>
    <t>Warehouse rent - Sundar Estate</t>
  </si>
  <si>
    <t>Month</t>
  </si>
  <si>
    <t>1 month</t>
  </si>
  <si>
    <t>12,000 sq ft covered</t>
  </si>
  <si>
    <t>155 rent</t>
  </si>
  <si>
    <t>PKR 350000 on 2026-09-01</t>
  </si>
  <si>
    <t>5402 Rent expense</t>
  </si>
  <si>
    <t>SRV-UTL</t>
  </si>
  <si>
    <t>Utilities / Electricity</t>
  </si>
  <si>
    <t>Electricity - LESCO</t>
  </si>
  <si>
    <t>Commercial tariff A-2</t>
  </si>
  <si>
    <t>Electricity duty 1.5%</t>
  </si>
  <si>
    <t>235 electricity</t>
  </si>
  <si>
    <t>PKR 85000 on 2026-09-10</t>
  </si>
  <si>
    <t>5403 Utilities</t>
  </si>
  <si>
    <t>SRV-INT</t>
  </si>
  <si>
    <t>Utilities / Telecom</t>
  </si>
  <si>
    <t>Internet &amp; telephone</t>
  </si>
  <si>
    <t>100 Mbps fibre</t>
  </si>
  <si>
    <t>236 telecom</t>
  </si>
  <si>
    <t>PKR 25000 on 2026-09-10</t>
  </si>
  <si>
    <t>SPR-TYR</t>
  </si>
  <si>
    <t>Spare part</t>
  </si>
  <si>
    <t>Vehicle / Tyres</t>
  </si>
  <si>
    <t>Truck tyre 1000-20 (18 ply)</t>
  </si>
  <si>
    <t>1 tyre</t>
  </si>
  <si>
    <t>Load index 146/143</t>
  </si>
  <si>
    <t>PKR 68000 on 2026-05-22</t>
  </si>
  <si>
    <t>1306 Inventory - Spares</t>
  </si>
  <si>
    <t>5304 Vehicle repairs</t>
  </si>
  <si>
    <t>SPR-OIL</t>
  </si>
  <si>
    <t>Vehicle / Lubricants</t>
  </si>
  <si>
    <t>Engine oil 15W-40 - 20 L can</t>
  </si>
  <si>
    <t>Can</t>
  </si>
  <si>
    <t>1 can = 20 L</t>
  </si>
  <si>
    <t>API CI-4</t>
  </si>
  <si>
    <t>15W-40</t>
  </si>
  <si>
    <t>Yes - 36 months</t>
  </si>
  <si>
    <t>PKR 16500 on 2026-07-18</t>
  </si>
  <si>
    <t>SRV-MNT</t>
  </si>
  <si>
    <t>Vehicle / Maintenance</t>
  </si>
  <si>
    <t>Vehicle maintenance &amp; repair service</t>
  </si>
  <si>
    <t>Job</t>
  </si>
  <si>
    <t>1 job</t>
  </si>
  <si>
    <t>Workshop labour</t>
  </si>
  <si>
    <t>PKR 35000 on 2026-08-25</t>
  </si>
  <si>
    <t>FA-FORK-3T</t>
  </si>
  <si>
    <t>Fixed asset</t>
  </si>
  <si>
    <t>Equipment / Material handling</t>
  </si>
  <si>
    <t>Diesel forklift 3 ton</t>
  </si>
  <si>
    <t>1 unit</t>
  </si>
  <si>
    <t>ISO 3691</t>
  </si>
  <si>
    <t>Lift height 4.5 m</t>
  </si>
  <si>
    <t>PKR 4200000 on 2025-02-14</t>
  </si>
  <si>
    <t>1501 Fixed assets - Equipment</t>
  </si>
  <si>
    <t>SRV-SEC</t>
  </si>
  <si>
    <t>Premises / Security</t>
  </si>
  <si>
    <t>Security guard services</t>
  </si>
  <si>
    <t>4 guards, 24/7</t>
  </si>
  <si>
    <t>PKR 180000 on 2026-09-01</t>
  </si>
  <si>
    <t>5404 Security expense</t>
  </si>
  <si>
    <t>Margalla Cement Ltd</t>
  </si>
  <si>
    <t>Public Limited Company (Listed)</t>
  </si>
  <si>
    <t>0712345-6</t>
  </si>
  <si>
    <t>Margalla Cement - Chakwal Plant</t>
  </si>
  <si>
    <t>MCL-CHK</t>
  </si>
  <si>
    <t>Kallar Kahar Road, Mouza Dhudial, Tehsil Choa Saidan Shah</t>
  </si>
  <si>
    <t>Chakwal / Punjab</t>
  </si>
  <si>
    <t>32.7802, 72.8531</t>
  </si>
  <si>
    <t>Engr. Kamran Haider - General Manager Plant</t>
  </si>
  <si>
    <t>0333-5412780</t>
  </si>
  <si>
    <t>Faisal Mehmood - Production Manager</t>
  </si>
  <si>
    <t>0321-5098122</t>
  </si>
  <si>
    <t>0543-661200</t>
  </si>
  <si>
    <t>OPC 53 (bag &amp; bulk), SRC (bag &amp; bulk)</t>
  </si>
  <si>
    <t>Operational</t>
  </si>
  <si>
    <t>Shahid Iqbal</t>
  </si>
  <si>
    <t>Regional Sales Manager - Central Punjab</t>
  </si>
  <si>
    <t>0300-8451290</t>
  </si>
  <si>
    <t>Habib Bank Ltd</t>
  </si>
  <si>
    <t>Margalla Cement Ltd - Collection A/c</t>
  </si>
  <si>
    <t>1234-79001122-03</t>
  </si>
  <si>
    <t>Sunday</t>
  </si>
  <si>
    <t>24x7 continuous kiln; 3 shifts</t>
  </si>
  <si>
    <t>A 06:00-14:00; B 14:00-22:00; C 22:00-06:00</t>
  </si>
  <si>
    <t>07:00-23:00</t>
  </si>
  <si>
    <t>09:00-17:30 (Mon-Sat)</t>
  </si>
  <si>
    <t>15-Jan to 05-Feb (kiln relining)</t>
  </si>
  <si>
    <t>Eid-ul-Fitr (3 days), Eid-ul-Adha (3 days), 14-Aug, 9/10 Muharram</t>
  </si>
  <si>
    <t>Ramadan dispatch 08:00-16:00 &amp; 21:00-02:00</t>
  </si>
  <si>
    <t>Yes - with 12 hours notice</t>
  </si>
  <si>
    <t>01-Jan-2026 to 31-Dec-2026</t>
  </si>
  <si>
    <t>PKR 10 per bag on &gt; 5,000 bags/month</t>
  </si>
  <si>
    <t>01-Jul-2026 to 31-Dec-2026</t>
  </si>
  <si>
    <t>Indus Valley Cement (Pvt) Ltd</t>
  </si>
  <si>
    <t>3398761-2</t>
  </si>
  <si>
    <t>Indus Valley Cement - D.G. Khan Plant</t>
  </si>
  <si>
    <t>IVC-DGK</t>
  </si>
  <si>
    <t>Sakhi Sarwar Road, 22 km west of D.G. Khan</t>
  </si>
  <si>
    <t>Dera Ghazi Khan / Punjab</t>
  </si>
  <si>
    <t>30.0512, 70.4471</t>
  </si>
  <si>
    <t>Tariq Mahmood - Plant Head</t>
  </si>
  <si>
    <t>0301-7745120</t>
  </si>
  <si>
    <t>Adnan Qureshi - Production Manager</t>
  </si>
  <si>
    <t>0345-6612398</t>
  </si>
  <si>
    <t>064-2461550</t>
  </si>
  <si>
    <t>Slag, PPC, OPC jumbo, Rapid hardening</t>
  </si>
  <si>
    <t>Rizwan Akhtar</t>
  </si>
  <si>
    <t>Key Account Manager</t>
  </si>
  <si>
    <t>0302-4418823</t>
  </si>
  <si>
    <t>MCB Bank Ltd</t>
  </si>
  <si>
    <t>0876-5501234401</t>
  </si>
  <si>
    <t>2% on advance payment</t>
  </si>
  <si>
    <t>01-Apr-2026 to 30-Sep-2026</t>
  </si>
  <si>
    <t>01-Jul-2025 to 30-Jun-2026</t>
  </si>
  <si>
    <t>Salt Range White Cement Ltd</t>
  </si>
  <si>
    <t>Public Limited Company (Unlisted)</t>
  </si>
  <si>
    <t>2276540-9</t>
  </si>
  <si>
    <t>Salt Range - Khewra White Cement Plant</t>
  </si>
  <si>
    <t>SRW-KHW</t>
  </si>
  <si>
    <t>Khewra-Pind Dadan Khan Road, Khewra</t>
  </si>
  <si>
    <t>Jhelum / Punjab</t>
  </si>
  <si>
    <t>32.6479, 73.0105</t>
  </si>
  <si>
    <t>Dr. Naveed Anjum - Plant Director</t>
  </si>
  <si>
    <t>0300-5567431</t>
  </si>
  <si>
    <t>Salman Javed - Production Manager</t>
  </si>
  <si>
    <t>0331-2289014</t>
  </si>
  <si>
    <t>0544-211875</t>
  </si>
  <si>
    <t>White cement, Low heat cement, OPC bag</t>
  </si>
  <si>
    <t>Under maintenance</t>
  </si>
  <si>
    <t>Ayesha Siddiqui</t>
  </si>
  <si>
    <t>Sales Coordinator</t>
  </si>
  <si>
    <t>0333-4290176</t>
  </si>
  <si>
    <t>Bank Alfalah Ltd</t>
  </si>
  <si>
    <t>5501-1004-0098712</t>
  </si>
  <si>
    <t>Single shift (white cement mill)</t>
  </si>
  <si>
    <t>08:00-17:00</t>
  </si>
  <si>
    <t>09:00-17:00</t>
  </si>
  <si>
    <t>01-Sep to 15-Oct-2026 (mill upgrade)</t>
  </si>
  <si>
    <t>Gujranwala Cement Traders</t>
  </si>
  <si>
    <t>Sole Proprietorship</t>
  </si>
  <si>
    <t>34101-2567891-3 (CNIC)</t>
  </si>
  <si>
    <t>Haji Muhammad Rafiq</t>
  </si>
  <si>
    <t>Proprietor</t>
  </si>
  <si>
    <t>0300-6421785</t>
  </si>
  <si>
    <t>Allied Bank Ltd</t>
  </si>
  <si>
    <t>0010-0045678-9012</t>
  </si>
  <si>
    <t>Credit 30 days</t>
  </si>
  <si>
    <t>1% if paid within 7 days</t>
  </si>
  <si>
    <t>Sheikhupura Building Stores (AOP)</t>
  </si>
  <si>
    <t>Association of Persons (Partnership)</t>
  </si>
  <si>
    <t>5123987-1</t>
  </si>
  <si>
    <t>Imran Bashir</t>
  </si>
  <si>
    <t>Managing Partner</t>
  </si>
  <si>
    <t>0321-4150992</t>
  </si>
  <si>
    <t>United Bank Ltd</t>
  </si>
  <si>
    <t>Sheikhupura Building Stores</t>
  </si>
  <si>
    <t>0415-2280117</t>
  </si>
  <si>
    <t>Credit 15 days</t>
  </si>
  <si>
    <t>0.5% if paid within 5 days</t>
  </si>
  <si>
    <t>Kasur Construction Supplies</t>
  </si>
  <si>
    <t>35102-9087612-5 (CNIC)</t>
  </si>
  <si>
    <t>Inactive / Non-filer</t>
  </si>
  <si>
    <t>Nadeem Akram</t>
  </si>
  <si>
    <t>0345-7719034</t>
  </si>
  <si>
    <t>Bank Al Habib Ltd</t>
  </si>
  <si>
    <t>1002-0981-012233-01</t>
  </si>
  <si>
    <t>Advance payment</t>
  </si>
  <si>
    <t>Lyallpur Cement House (Pvt) Ltd</t>
  </si>
  <si>
    <t>4410982-6</t>
  </si>
  <si>
    <t>Zahid Hussain</t>
  </si>
  <si>
    <t>Director Sales</t>
  </si>
  <si>
    <t>0300-7651123</t>
  </si>
  <si>
    <t>0301-0100998877</t>
  </si>
  <si>
    <t>1% if paid within 10 days</t>
  </si>
  <si>
    <t>Sahiwal Traders &amp; Co (AOP)</t>
  </si>
  <si>
    <t>6021345-8</t>
  </si>
  <si>
    <t>Asif Mehmood</t>
  </si>
  <si>
    <t>Partner</t>
  </si>
  <si>
    <t>0333-6908812</t>
  </si>
  <si>
    <t>Faysal Bank Ltd</t>
  </si>
  <si>
    <t>Sahiwal Traders &amp; Co</t>
  </si>
  <si>
    <t>3321-3010-0005566</t>
  </si>
  <si>
    <t>Credit 7 days</t>
  </si>
  <si>
    <t>Bahria Heights Developers (Pvt) Ltd</t>
  </si>
  <si>
    <t>7712098-4</t>
  </si>
  <si>
    <t>Both (bag &amp; bulker)</t>
  </si>
  <si>
    <t>Delivered at site (DAP)</t>
  </si>
  <si>
    <t>Arranged by Steelstone</t>
  </si>
  <si>
    <t>Mon-Sat</t>
  </si>
  <si>
    <t>08:00-18:00</t>
  </si>
  <si>
    <t>Heavy vehicles allowed after 21:00 on main boulevard</t>
  </si>
  <si>
    <t>Delivery challan, weighbridge slip, gate pass</t>
  </si>
  <si>
    <t>BHD-BAG-01 Tower Block C</t>
  </si>
  <si>
    <t>Plot 7, Sector C, Bahria Heights</t>
  </si>
  <si>
    <t>Near Grand Mosque roundabout</t>
  </si>
  <si>
    <t>31.3701, 74.1842</t>
  </si>
  <si>
    <t>Waqas Ali - 0301-4412987</t>
  </si>
  <si>
    <t>Yes - 8,000 bags</t>
  </si>
  <si>
    <t>Customer</t>
  </si>
  <si>
    <t>22-wheeler trailer</t>
  </si>
  <si>
    <t>BHD-BLK-01 Batching Plant</t>
  </si>
  <si>
    <t>Batching plant, Sector F, Bahria Heights, Lahore</t>
  </si>
  <si>
    <t>Engr. Hamza Rauf</t>
  </si>
  <si>
    <t>0322-4671203</t>
  </si>
  <si>
    <t>Faisal Rehman</t>
  </si>
  <si>
    <t>Procurement Manager</t>
  </si>
  <si>
    <t>0300-4107765</t>
  </si>
  <si>
    <t>0099-1005-123987</t>
  </si>
  <si>
    <t>Not applicable</t>
  </si>
  <si>
    <t>Crescent Builders &amp; Contractors (AOP)</t>
  </si>
  <si>
    <t>3087712-5</t>
  </si>
  <si>
    <t>Bag only</t>
  </si>
  <si>
    <t>Ex-warehouse (EXW)</t>
  </si>
  <si>
    <t>Customer's own transport</t>
  </si>
  <si>
    <t>Narrow street - max 10-wheeler</t>
  </si>
  <si>
    <t>Delivery challan</t>
  </si>
  <si>
    <t>CBC-BAG-01 Johar Town site</t>
  </si>
  <si>
    <t>House 112, Block R-1, Johar Town</t>
  </si>
  <si>
    <t>Opp. Emporium Mall service lane</t>
  </si>
  <si>
    <t>31.4677, 74.2663</t>
  </si>
  <si>
    <t>Bilal Ahmad - 0333-4401298</t>
  </si>
  <si>
    <t>Steelstone</t>
  </si>
  <si>
    <t>10-wheeler truck</t>
  </si>
  <si>
    <t>Arshad Mahmood</t>
  </si>
  <si>
    <t>0321-8845120</t>
  </si>
  <si>
    <t>Crescent Builders &amp; Contractors</t>
  </si>
  <si>
    <t>1478-79009876-01</t>
  </si>
  <si>
    <t>Punjab Highways Construction Co (Pvt) Ltd</t>
  </si>
  <si>
    <t>1190876-3</t>
  </si>
  <si>
    <t>Bulker only</t>
  </si>
  <si>
    <t>All days</t>
  </si>
  <si>
    <t>24 hours</t>
  </si>
  <si>
    <t>Site on M-2 service road; escort needed</t>
  </si>
  <si>
    <t>Delivery challan, weighbridge slip, mill test certificate</t>
  </si>
  <si>
    <t>PHC-BLK-01 Sheikhupura Interchange camp</t>
  </si>
  <si>
    <t>Km 28, Lahore-Sheikhupura Road, Camp Office</t>
  </si>
  <si>
    <t>Engr. Saqib Nawaz</t>
  </si>
  <si>
    <t>0300-9412076</t>
  </si>
  <si>
    <t>Muhammad Ali Raza</t>
  </si>
  <si>
    <t>Project Manager</t>
  </si>
  <si>
    <t>0345-4098213</t>
  </si>
  <si>
    <t>National Bank of Pakistan</t>
  </si>
  <si>
    <t>Punjab Highways Construction Co</t>
  </si>
  <si>
    <t>4012-3456-7890-12</t>
  </si>
  <si>
    <t>WHT-EX-2025/LTO-LHR/0457</t>
  </si>
  <si>
    <t>LTO Lahore</t>
  </si>
  <si>
    <t>Sec. 159(1) Income Tax Ordinance 2001</t>
  </si>
  <si>
    <t>Income tax u/s 153(1)(a) - 5%</t>
  </si>
  <si>
    <t>Sana Iqbal - 05-Jul-2025</t>
  </si>
  <si>
    <t>Expired</t>
  </si>
  <si>
    <t>Ravi Riverfront Contractors (Pvt) Ltd</t>
  </si>
  <si>
    <t>8834521-0</t>
  </si>
  <si>
    <t>Mon-Fri</t>
  </si>
  <si>
    <t>07:00-19:00</t>
  </si>
  <si>
    <t>Security clearance at main gate</t>
  </si>
  <si>
    <t>Delivery challan, gate pass, MTC</t>
  </si>
  <si>
    <t>RRC-BAG-01 Main store</t>
  </si>
  <si>
    <t>Ravi City Phase 1, Store Yard 3</t>
  </si>
  <si>
    <t>Near Shahdara flyover</t>
  </si>
  <si>
    <t>31.6120, 74.2996</t>
  </si>
  <si>
    <t>Usama Khalid - 0302-4455781</t>
  </si>
  <si>
    <t>Yes - 5,000 bags</t>
  </si>
  <si>
    <t>RRC-BLK-01 Barrage batching plant</t>
  </si>
  <si>
    <t>Ravi Barrage site, Phase 1, Lahore</t>
  </si>
  <si>
    <t>Engr. Taimoor Aslam</t>
  </si>
  <si>
    <t>0331-4789021</t>
  </si>
  <si>
    <t>Sadia Noor</t>
  </si>
  <si>
    <t>Head of Procurement</t>
  </si>
  <si>
    <t>0300-4981276</t>
  </si>
  <si>
    <t>Standard Chartered Bank</t>
  </si>
  <si>
    <t>01-7654321-01</t>
  </si>
  <si>
    <t>WHT-EX-2026/RTO-LHR/1182</t>
  </si>
  <si>
    <t>RTO Lahore</t>
  </si>
  <si>
    <t>Sana Iqbal - 04-Jul-2026</t>
  </si>
  <si>
    <t>Valid</t>
  </si>
  <si>
    <t>Muhammad Aslam Construction</t>
  </si>
  <si>
    <t>35202-4412876-1 (CNIC)</t>
  </si>
  <si>
    <t>08:00-16:00</t>
  </si>
  <si>
    <t>MAC-BAG-01 DHA Phase 9 site</t>
  </si>
  <si>
    <t>Plot 245, Block B, DHA Phase 9 Town</t>
  </si>
  <si>
    <t>Behind Commercial Area</t>
  </si>
  <si>
    <t>31.4203, 74.4417</t>
  </si>
  <si>
    <t>Muhammad Aslam - 0300-4219087</t>
  </si>
  <si>
    <t>Yes - 1,500 bags</t>
  </si>
  <si>
    <t>Muhammad Aslam</t>
  </si>
  <si>
    <t>0300-4219087</t>
  </si>
  <si>
    <t>Askari Bank Ltd</t>
  </si>
  <si>
    <t>0512-0100334455</t>
  </si>
  <si>
    <t>Khan Goods Transport Co</t>
  </si>
  <si>
    <t>17301-5567812-9 (CNIC)</t>
  </si>
  <si>
    <t>Gul Khan</t>
  </si>
  <si>
    <t>Owner</t>
  </si>
  <si>
    <t>0300-5991287</t>
  </si>
  <si>
    <t>2210-79004455-01</t>
  </si>
  <si>
    <t>Al-Madina Logistics (Pvt) Ltd</t>
  </si>
  <si>
    <t>5567123-4</t>
  </si>
  <si>
    <t>Tahir Mehmood</t>
  </si>
  <si>
    <t>Operations Manager</t>
  </si>
  <si>
    <t>0321-4789012</t>
  </si>
  <si>
    <t>0654-7701122301</t>
  </si>
  <si>
    <t>01-Jul-2026 to 30-Jun-2027</t>
  </si>
  <si>
    <t>Punjab Bulk Carriers (AOP)</t>
  </si>
  <si>
    <t>4098877-2</t>
  </si>
  <si>
    <t>Sajjad Hussain</t>
  </si>
  <si>
    <t>0333-4128876</t>
  </si>
  <si>
    <t>Punjab Bulk Carriers</t>
  </si>
  <si>
    <t>0900-2201456</t>
  </si>
  <si>
    <t>VEH-001</t>
  </si>
  <si>
    <t>TRN-001 - Khan Goods Transport Co</t>
  </si>
  <si>
    <t>Owned by transporter</t>
  </si>
  <si>
    <t>Khan Goods Transport Co / 17301-5567812-9 (CNIC)</t>
  </si>
  <si>
    <t>JLM-3574</t>
  </si>
  <si>
    <t>Excise, Taxation &amp; Narcotics Control Dept - Punjab</t>
  </si>
  <si>
    <t>PB-SC-5885652</t>
  </si>
  <si>
    <t>Heavy transport vehicle (HTV)</t>
  </si>
  <si>
    <t>Hino 700 SH</t>
  </si>
  <si>
    <t>JH71606308K</t>
  </si>
  <si>
    <t>E13C-672323</t>
  </si>
  <si>
    <t>Yellow</t>
  </si>
  <si>
    <t>RTA-PB/31780/2014</t>
  </si>
  <si>
    <t>MVE-FC-436808</t>
  </si>
  <si>
    <t>VEH-002</t>
  </si>
  <si>
    <t>FDA-1479</t>
  </si>
  <si>
    <t>PB-SC-2105528</t>
  </si>
  <si>
    <t>Hino 500 FM</t>
  </si>
  <si>
    <t>JH56174991K</t>
  </si>
  <si>
    <t>E13C-930851</t>
  </si>
  <si>
    <t>Green</t>
  </si>
  <si>
    <t>RTA-PB/67937/2021</t>
  </si>
  <si>
    <t>MVE-FC-619689</t>
  </si>
  <si>
    <t>VEH-003</t>
  </si>
  <si>
    <t>JLM-4312</t>
  </si>
  <si>
    <t>PB-SC-3678756</t>
  </si>
  <si>
    <t>Isuzu FVZ 34</t>
  </si>
  <si>
    <t>JH48562297K</t>
  </si>
  <si>
    <t>E13C-365386</t>
  </si>
  <si>
    <t>RTA-PB/60163/2023</t>
  </si>
  <si>
    <t>MVE-FC-756344</t>
  </si>
  <si>
    <t>VEH-004</t>
  </si>
  <si>
    <t>LES-3434</t>
  </si>
  <si>
    <t>PB-SC-9180727</t>
  </si>
  <si>
    <t>Light/medium goods vehicle (LTV)</t>
  </si>
  <si>
    <t>6-wheeler truck</t>
  </si>
  <si>
    <t>Isuzu NPR</t>
  </si>
  <si>
    <t>JH14939185K</t>
  </si>
  <si>
    <t>E13C-428917</t>
  </si>
  <si>
    <t>Red</t>
  </si>
  <si>
    <t>RTA-PB/69797/2022</t>
  </si>
  <si>
    <t>MVE-FC-931913</t>
  </si>
  <si>
    <t>VEH-005</t>
  </si>
  <si>
    <t>LEA-4610</t>
  </si>
  <si>
    <t>PB-SC-3099075</t>
  </si>
  <si>
    <t>JH91584530K</t>
  </si>
  <si>
    <t>E13C-512053</t>
  </si>
  <si>
    <t>RTA-PB/67161/2019</t>
  </si>
  <si>
    <t>MVE-FC-670914</t>
  </si>
  <si>
    <t>VEH-006</t>
  </si>
  <si>
    <t>Attached (owner-driver)</t>
  </si>
  <si>
    <t>Owner-operator Munir Ahmad / 17301-5567812-9 (CNIC)</t>
  </si>
  <si>
    <t>MNB-7132</t>
  </si>
  <si>
    <t>PB-SC-4155290</t>
  </si>
  <si>
    <t>JH39753985K</t>
  </si>
  <si>
    <t>E13C-452288</t>
  </si>
  <si>
    <t>RTA-PB/88980/2019</t>
  </si>
  <si>
    <t>MVE-FC-199966</t>
  </si>
  <si>
    <t>VEH-007</t>
  </si>
  <si>
    <t>LES-4620</t>
  </si>
  <si>
    <t>PB-SC-5113960</t>
  </si>
  <si>
    <t>JH63362432K</t>
  </si>
  <si>
    <t>E13C-224015</t>
  </si>
  <si>
    <t>RTA-PB/89610/2022</t>
  </si>
  <si>
    <t>MVE-FC-901517</t>
  </si>
  <si>
    <t>VEH-008</t>
  </si>
  <si>
    <t>TRN-002 - Al-Madina Logistics (Pvt) Ltd</t>
  </si>
  <si>
    <t>Al-Madina Logistics (Pvt) Ltd / 5567123-4</t>
  </si>
  <si>
    <t>JLM-7774</t>
  </si>
  <si>
    <t>PB-SC-3082386</t>
  </si>
  <si>
    <t>JH76703399K</t>
  </si>
  <si>
    <t>E13C-540424</t>
  </si>
  <si>
    <t>RTA-PB/31424/2022</t>
  </si>
  <si>
    <t>MVE-FC-893878</t>
  </si>
  <si>
    <t>VEH-009</t>
  </si>
  <si>
    <t>LEC-8959</t>
  </si>
  <si>
    <t>PB-SC-6732391</t>
  </si>
  <si>
    <t>JH92990533K</t>
  </si>
  <si>
    <t>E13C-118897</t>
  </si>
  <si>
    <t>RTA-PB/26932/2016</t>
  </si>
  <si>
    <t>MVE-FC-971863</t>
  </si>
  <si>
    <t>VEH-010</t>
  </si>
  <si>
    <t>FDA-3369</t>
  </si>
  <si>
    <t>PB-SC-7924811</t>
  </si>
  <si>
    <t>JH73063263K</t>
  </si>
  <si>
    <t>E13C-742669</t>
  </si>
  <si>
    <t>Blue</t>
  </si>
  <si>
    <t>RTA-PB/12945/2019</t>
  </si>
  <si>
    <t>MVE-FC-199275</t>
  </si>
  <si>
    <t>VEH-011</t>
  </si>
  <si>
    <t>LEA-7121</t>
  </si>
  <si>
    <t>PB-SC-9934645</t>
  </si>
  <si>
    <t>JH95886168K</t>
  </si>
  <si>
    <t>E13C-788396</t>
  </si>
  <si>
    <t>RTA-PB/32339/2023</t>
  </si>
  <si>
    <t>MVE-FC-754899</t>
  </si>
  <si>
    <t>VEH-012</t>
  </si>
  <si>
    <t>Owner-operator Shaukat Khan / 5567123-4</t>
  </si>
  <si>
    <t>LEC-3089</t>
  </si>
  <si>
    <t>PB-SC-7526792</t>
  </si>
  <si>
    <t>JH48047710K</t>
  </si>
  <si>
    <t>E13C-278763</t>
  </si>
  <si>
    <t>RTA-PB/98693/2022</t>
  </si>
  <si>
    <t>MVE-FC-994732</t>
  </si>
  <si>
    <t>VEH-013</t>
  </si>
  <si>
    <t>SKP-9173</t>
  </si>
  <si>
    <t>PB-SC-9511890</t>
  </si>
  <si>
    <t>JH53386496K</t>
  </si>
  <si>
    <t>E13C-268435</t>
  </si>
  <si>
    <t>RTA-PB/24949/2020</t>
  </si>
  <si>
    <t>MVE-FC-696350</t>
  </si>
  <si>
    <t>VEH-014</t>
  </si>
  <si>
    <t>MNB-5509</t>
  </si>
  <si>
    <t>PB-SC-2824805</t>
  </si>
  <si>
    <t>JH75063734K</t>
  </si>
  <si>
    <t>E13C-361814</t>
  </si>
  <si>
    <t>Under repair</t>
  </si>
  <si>
    <t>RTA-PB/69361/2019</t>
  </si>
  <si>
    <t>MVE-FC-486253</t>
  </si>
  <si>
    <t>VEH-015</t>
  </si>
  <si>
    <t>GAA-8323</t>
  </si>
  <si>
    <t>PB-SC-7128138</t>
  </si>
  <si>
    <t>JH96299891K</t>
  </si>
  <si>
    <t>E13C-122692</t>
  </si>
  <si>
    <t>RTA-PB/64093/2014</t>
  </si>
  <si>
    <t>MVE-FC-751633</t>
  </si>
  <si>
    <t>VEH-016</t>
  </si>
  <si>
    <t>TRN-003 - Punjab Bulk Carriers (AOP)</t>
  </si>
  <si>
    <t>Punjab Bulk Carriers (AOP) / 4098877-2</t>
  </si>
  <si>
    <t>LES-2210</t>
  </si>
  <si>
    <t>PB-SC-2728101</t>
  </si>
  <si>
    <t>Bulker 30 MT</t>
  </si>
  <si>
    <t>FAW J6P + bulker</t>
  </si>
  <si>
    <t>JH22028214K</t>
  </si>
  <si>
    <t>E13C-281996</t>
  </si>
  <si>
    <t>RTA-PB/31893/2022</t>
  </si>
  <si>
    <t>MVE-FC-510721</t>
  </si>
  <si>
    <t>VEH-017</t>
  </si>
  <si>
    <t>TKR-6996</t>
  </si>
  <si>
    <t>PB-SC-9769284</t>
  </si>
  <si>
    <t>Bulker 40 MT</t>
  </si>
  <si>
    <t>Shacman X3000 + bulker</t>
  </si>
  <si>
    <t>JH23718884K</t>
  </si>
  <si>
    <t>E13C-932983</t>
  </si>
  <si>
    <t>RTA-PB/20994/2023</t>
  </si>
  <si>
    <t>MVE-FC-289114</t>
  </si>
  <si>
    <t>VEH-018</t>
  </si>
  <si>
    <t>Owner-operator Liaqat Ali / 4098877-2</t>
  </si>
  <si>
    <t>LEA-1694</t>
  </si>
  <si>
    <t>PB-SC-5325694</t>
  </si>
  <si>
    <t>JH99443492K</t>
  </si>
  <si>
    <t>E13C-167708</t>
  </si>
  <si>
    <t>RTA-PB/38300/2020</t>
  </si>
  <si>
    <t>MVE-FC-103748</t>
  </si>
  <si>
    <t>VEH-019</t>
  </si>
  <si>
    <t>TKR-1812</t>
  </si>
  <si>
    <t>PB-SC-9661998</t>
  </si>
  <si>
    <t>JH82086009K</t>
  </si>
  <si>
    <t>E13C-695657</t>
  </si>
  <si>
    <t>RTA-PB/41323/2014</t>
  </si>
  <si>
    <t>MVE-FC-466302</t>
  </si>
  <si>
    <t>VEH-020</t>
  </si>
  <si>
    <t>TKR-6050</t>
  </si>
  <si>
    <t>PB-SC-9894207</t>
  </si>
  <si>
    <t>JH49425467K</t>
  </si>
  <si>
    <t>E13C-538350</t>
  </si>
  <si>
    <t>RTA-PB/97758/2018</t>
  </si>
  <si>
    <t>MVE-FC-421995</t>
  </si>
  <si>
    <t>EMP-001</t>
  </si>
  <si>
    <t>Management</t>
  </si>
  <si>
    <t>Pakistani - Passport DR7375417</t>
  </si>
  <si>
    <t>Male</t>
  </si>
  <si>
    <t>Married</t>
  </si>
  <si>
    <t>Islam</t>
  </si>
  <si>
    <t>B-</t>
  </si>
  <si>
    <t>Attached (EMP-001.jpg)</t>
  </si>
  <si>
    <t>0312-8186347</t>
  </si>
  <si>
    <t>0309-8201625</t>
  </si>
  <si>
    <t>House 286, Street 22, Shadbagh, Lahore</t>
  </si>
  <si>
    <t>Same as present</t>
  </si>
  <si>
    <t>Lahore / Punjab</t>
  </si>
  <si>
    <t>Nasreen - Mother</t>
  </si>
  <si>
    <t>0328-3435246</t>
  </si>
  <si>
    <t>Spouse / parent (as per emergency contact)</t>
  </si>
  <si>
    <t>2 children - Ayesha (daughter, 2015), Hamza (son, 2018)</t>
  </si>
  <si>
    <t>M-1</t>
  </si>
  <si>
    <t>Confirmed</t>
  </si>
  <si>
    <t>3 months - confirmation due Q1 2025</t>
  </si>
  <si>
    <t>Master's</t>
  </si>
  <si>
    <t>MBA (Finance)</t>
  </si>
  <si>
    <t>LUMS, 2008</t>
  </si>
  <si>
    <t>Lucky Cement - Officer - 3 yrs</t>
  </si>
  <si>
    <t>6301486-2</t>
  </si>
  <si>
    <t>Active (ATL)</t>
  </si>
  <si>
    <t>EOBI-908956973</t>
  </si>
  <si>
    <t>Verified - Jan-2024</t>
  </si>
  <si>
    <t>Monthly withholding u/s 149 (annualised)</t>
  </si>
  <si>
    <t>Employee 1% / Employer 5% of minimum wage</t>
  </si>
  <si>
    <t>4041-71457664-08</t>
  </si>
  <si>
    <t>Calendar year (Jan-Dec)</t>
  </si>
  <si>
    <t>Biometric</t>
  </si>
  <si>
    <t>Management head</t>
  </si>
  <si>
    <t>EMP-002</t>
  </si>
  <si>
    <t>Staff</t>
  </si>
  <si>
    <t>Kashif Nadeem</t>
  </si>
  <si>
    <t>Pakistani - no passport</t>
  </si>
  <si>
    <t>Single</t>
  </si>
  <si>
    <t>A+</t>
  </si>
  <si>
    <t>Attached (EMP-002.jpg)</t>
  </si>
  <si>
    <t>0338-2556786</t>
  </si>
  <si>
    <t>House 96, Street 29, Wapda Town, Lahore</t>
  </si>
  <si>
    <t>Rukhsana - Wife</t>
  </si>
  <si>
    <t>0330-8307093</t>
  </si>
  <si>
    <t>General Manager Sales</t>
  </si>
  <si>
    <t>M-2</t>
  </si>
  <si>
    <t>MBA (Marketing)</t>
  </si>
  <si>
    <t>IBA Karachi, 2010</t>
  </si>
  <si>
    <t>Fresh graduate</t>
  </si>
  <si>
    <t>2152554-3</t>
  </si>
  <si>
    <t>EOBI-743336677</t>
  </si>
  <si>
    <t>Verified - Mar-2024</t>
  </si>
  <si>
    <t>5930-62937464-07</t>
  </si>
  <si>
    <t>Sales head</t>
  </si>
  <si>
    <t>EMP-003</t>
  </si>
  <si>
    <t>Sana Iqbal</t>
  </si>
  <si>
    <t>Female</t>
  </si>
  <si>
    <t>AB+</t>
  </si>
  <si>
    <t>Attached (EMP-003.jpg)</t>
  </si>
  <si>
    <t>0315-3258285</t>
  </si>
  <si>
    <t>House 101, Street 19, Wapda Town, Lahore</t>
  </si>
  <si>
    <t>Village Dhok Ratta, Okara</t>
  </si>
  <si>
    <t>Mardan / KP</t>
  </si>
  <si>
    <t>Imran - Husband</t>
  </si>
  <si>
    <t>0334-8127740</t>
  </si>
  <si>
    <t>2 children - Ayesha (daughter, 2015), Fatima (daughter, 2019)</t>
  </si>
  <si>
    <t>Finance Manager</t>
  </si>
  <si>
    <t>M-3</t>
  </si>
  <si>
    <t>Professional</t>
  </si>
  <si>
    <t>ACA (ICAP)</t>
  </si>
  <si>
    <t>ICAP, 2014</t>
  </si>
  <si>
    <t>ICAP Member No. 11245</t>
  </si>
  <si>
    <t>5507669-8</t>
  </si>
  <si>
    <t>EOBI-482440629</t>
  </si>
  <si>
    <t>Verified - May-2024</t>
  </si>
  <si>
    <t>8115-75441881-09</t>
  </si>
  <si>
    <t>Finance head</t>
  </si>
  <si>
    <t>EMP-004</t>
  </si>
  <si>
    <t>Hassan Raza</t>
  </si>
  <si>
    <t>Pakistani - Passport AB2127181</t>
  </si>
  <si>
    <t>Attached (EMP-004.jpg)</t>
  </si>
  <si>
    <t>0319-8827786</t>
  </si>
  <si>
    <t>House 431, Street 9, Township, Lahore</t>
  </si>
  <si>
    <t>0321-3907974</t>
  </si>
  <si>
    <t>Accountant</t>
  </si>
  <si>
    <t>S-2</t>
  </si>
  <si>
    <t>Bachelor's</t>
  </si>
  <si>
    <t>B.Com (Hons)</t>
  </si>
  <si>
    <t>Hailey College, 2016</t>
  </si>
  <si>
    <t>1494817-0</t>
  </si>
  <si>
    <t>EOBI-184159363</t>
  </si>
  <si>
    <t>Verified - Aug-2024</t>
  </si>
  <si>
    <t>5211-82734308-07</t>
  </si>
  <si>
    <t>EMP-005</t>
  </si>
  <si>
    <t>Mariam Khalid</t>
  </si>
  <si>
    <t>Attached (EMP-005.jpg)</t>
  </si>
  <si>
    <t>0347-6430310</t>
  </si>
  <si>
    <t>0341-1588893</t>
  </si>
  <si>
    <t>House 327, Street 20, Shadbagh, Lahore</t>
  </si>
  <si>
    <t>Asad - Husband</t>
  </si>
  <si>
    <t>0314-2097256</t>
  </si>
  <si>
    <t>2 children - Ahmed (son, 2012), Hamza (son, 2018)</t>
  </si>
  <si>
    <t>Accounts Officer</t>
  </si>
  <si>
    <t>S-3</t>
  </si>
  <si>
    <t>BBA (Accounting)</t>
  </si>
  <si>
    <t>UCP Lahore, 2020</t>
  </si>
  <si>
    <t>Maple Leaf Cement - Executive - 4 yrs</t>
  </si>
  <si>
    <t>Not registered</t>
  </si>
  <si>
    <t>Non-filer</t>
  </si>
  <si>
    <t>EOBI-280119945</t>
  </si>
  <si>
    <t>Verified - Nov-2024</t>
  </si>
  <si>
    <t>2128-14696266-01</t>
  </si>
  <si>
    <t>EMP-006</t>
  </si>
  <si>
    <t>Abdul Rehman</t>
  </si>
  <si>
    <t>O+</t>
  </si>
  <si>
    <t>Attached (EMP-006.jpg)</t>
  </si>
  <si>
    <t>0347-1104417</t>
  </si>
  <si>
    <t>House 448, Street 7, Wapda Town, Lahore</t>
  </si>
  <si>
    <t>Village Mouza Kot, Okara</t>
  </si>
  <si>
    <t>Shazia - Mother</t>
  </si>
  <si>
    <t>0318-8321405</t>
  </si>
  <si>
    <t>Cashier</t>
  </si>
  <si>
    <t>S-4</t>
  </si>
  <si>
    <t>Intermediate</t>
  </si>
  <si>
    <t>I.Com</t>
  </si>
  <si>
    <t>Govt College Lahore, 2012</t>
  </si>
  <si>
    <t>8933767-8</t>
  </si>
  <si>
    <t>EOBI-710379522</t>
  </si>
  <si>
    <t>Monthly withholding u/s 149 (below taxable limit)</t>
  </si>
  <si>
    <t>8800-83778971-08</t>
  </si>
  <si>
    <t>EMP-007</t>
  </si>
  <si>
    <t>Omer Farooq</t>
  </si>
  <si>
    <t>Pakistani - Passport BK7408931</t>
  </si>
  <si>
    <t>Attached (EMP-007.jpg)</t>
  </si>
  <si>
    <t>0346-8343975</t>
  </si>
  <si>
    <t>House 211, Street 24, Bund Road, Lahore</t>
  </si>
  <si>
    <t>0300-6197912</t>
  </si>
  <si>
    <t>Sales Manager</t>
  </si>
  <si>
    <t>BBA (Marketing)</t>
  </si>
  <si>
    <t>PU Lahore, 2011</t>
  </si>
  <si>
    <t>8320810-2</t>
  </si>
  <si>
    <t>EOBI-606224414</t>
  </si>
  <si>
    <t>4474-58439197-07</t>
  </si>
  <si>
    <t>EMP-008</t>
  </si>
  <si>
    <t>Ali Hamza</t>
  </si>
  <si>
    <t>Attached (EMP-008.jpg)</t>
  </si>
  <si>
    <t>0312-6526028</t>
  </si>
  <si>
    <t>House 249, Street 29, Shadbagh, Lahore</t>
  </si>
  <si>
    <t>Rukhsana - Mother</t>
  </si>
  <si>
    <t>0326-6139730</t>
  </si>
  <si>
    <t>Sales Officer</t>
  </si>
  <si>
    <t>3 months - confirmation due within 2025</t>
  </si>
  <si>
    <t>BBA</t>
  </si>
  <si>
    <t>Superior University, 2019</t>
  </si>
  <si>
    <t>6705591-8</t>
  </si>
  <si>
    <t>EOBI-679690030</t>
  </si>
  <si>
    <t>Verified - May-2025</t>
  </si>
  <si>
    <t>4125-45835741-02</t>
  </si>
  <si>
    <t>EMP-009</t>
  </si>
  <si>
    <t>Zeeshan Anwar</t>
  </si>
  <si>
    <t>Attached (EMP-009.jpg)</t>
  </si>
  <si>
    <t>0324-1895791</t>
  </si>
  <si>
    <t>0342-3730534</t>
  </si>
  <si>
    <t>House 55, Street 7, Shadbagh, Lahore</t>
  </si>
  <si>
    <t>Village Chak 45, Mardan</t>
  </si>
  <si>
    <t>Sheikhupura / Punjab</t>
  </si>
  <si>
    <t>0328-7159283</t>
  </si>
  <si>
    <t>2 children - Ahmed (son, 2012), Fatima (daughter, 2019)</t>
  </si>
  <si>
    <t>Contract</t>
  </si>
  <si>
    <t>B.Sc Civil Technology</t>
  </si>
  <si>
    <t>UET Lahore, 2021</t>
  </si>
  <si>
    <t>DG Khan Cement - Officer - 2 yrs</t>
  </si>
  <si>
    <t>9705099-2</t>
  </si>
  <si>
    <t>EOBI-995343231</t>
  </si>
  <si>
    <t>1928-37694832-08</t>
  </si>
  <si>
    <t>EMP-010</t>
  </si>
  <si>
    <t>Naeem Akhtar</t>
  </si>
  <si>
    <t>Pakistani - Passport AB5811268</t>
  </si>
  <si>
    <t>Attached (EMP-010.jpg)</t>
  </si>
  <si>
    <t>0335-9559454</t>
  </si>
  <si>
    <t>House 138, Street 1, Bund Road, Lahore</t>
  </si>
  <si>
    <t>0336-1409493</t>
  </si>
  <si>
    <t>Logistics Manager</t>
  </si>
  <si>
    <t>Logistics</t>
  </si>
  <si>
    <t>MS Supply Chain</t>
  </si>
  <si>
    <t>NUST, 2013</t>
  </si>
  <si>
    <t>EOBI-610334771</t>
  </si>
  <si>
    <t>Verified - Nov-2025</t>
  </si>
  <si>
    <t>6670-61072145-04</t>
  </si>
  <si>
    <t>Logistics head</t>
  </si>
  <si>
    <t>EMP-011</t>
  </si>
  <si>
    <t>Irfan Ali</t>
  </si>
  <si>
    <t>Attached (EMP-011.jpg)</t>
  </si>
  <si>
    <t>0345-6600808</t>
  </si>
  <si>
    <t>House 90, Street 8, Shadbagh, Lahore</t>
  </si>
  <si>
    <t>Nasreen - Wife</t>
  </si>
  <si>
    <t>0327-8563322</t>
  </si>
  <si>
    <t>Dispatch Officer</t>
  </si>
  <si>
    <t>BA</t>
  </si>
  <si>
    <t>PU Lahore, 2015</t>
  </si>
  <si>
    <t>3856465-2</t>
  </si>
  <si>
    <t>EOBI-165885197</t>
  </si>
  <si>
    <t>4889-67161026-05</t>
  </si>
  <si>
    <t>EMP-012</t>
  </si>
  <si>
    <t>Shakeel Ahmed</t>
  </si>
  <si>
    <t>Attached (EMP-012.jpg)</t>
  </si>
  <si>
    <t>0349-6837070</t>
  </si>
  <si>
    <t>House 183, Street 19, Samanabad, Lahore</t>
  </si>
  <si>
    <t>Village Chak 45, Okara</t>
  </si>
  <si>
    <t>0332-3449947</t>
  </si>
  <si>
    <t>Warehouse In-charge</t>
  </si>
  <si>
    <t>Warehouse</t>
  </si>
  <si>
    <t>FA</t>
  </si>
  <si>
    <t>BISE Lahore, 2009</t>
  </si>
  <si>
    <t>7801280-0</t>
  </si>
  <si>
    <t>EOBI-842560846</t>
  </si>
  <si>
    <t>Verified - Mar-2025</t>
  </si>
  <si>
    <t>7915-95834267-01</t>
  </si>
  <si>
    <t>Warehouse head</t>
  </si>
  <si>
    <t>EMP-013</t>
  </si>
  <si>
    <t>Babar Hussain</t>
  </si>
  <si>
    <t>Pakistani - Passport BK3488707</t>
  </si>
  <si>
    <t>Attached (EMP-013.jpg)</t>
  </si>
  <si>
    <t>0301-6550767</t>
  </si>
  <si>
    <t>0330-3587710</t>
  </si>
  <si>
    <t>House 183, Street 24, Wapda Town, Lahore</t>
  </si>
  <si>
    <t>0349-6565210</t>
  </si>
  <si>
    <t>Storekeeper</t>
  </si>
  <si>
    <t>S-5</t>
  </si>
  <si>
    <t>Matric</t>
  </si>
  <si>
    <t>SSC</t>
  </si>
  <si>
    <t>BISE Lahore, 2011</t>
  </si>
  <si>
    <t>9003000-1</t>
  </si>
  <si>
    <t>EOBI-409497664</t>
  </si>
  <si>
    <t>4789-51762875-09</t>
  </si>
  <si>
    <t>EMP-014</t>
  </si>
  <si>
    <t>Hina Aslam</t>
  </si>
  <si>
    <t>B+</t>
  </si>
  <si>
    <t>Attached (EMP-014.jpg)</t>
  </si>
  <si>
    <t>0343-9962805</t>
  </si>
  <si>
    <t>House 244, Street 4, Shadbagh, Lahore</t>
  </si>
  <si>
    <t>0305-8369126</t>
  </si>
  <si>
    <t>HR &amp; Admin Officer</t>
  </si>
  <si>
    <t>HR &amp; Admin</t>
  </si>
  <si>
    <t>MBA (HRM)</t>
  </si>
  <si>
    <t>UMT Lahore, 2017</t>
  </si>
  <si>
    <t>4921471-1</t>
  </si>
  <si>
    <t>EOBI-849528081</t>
  </si>
  <si>
    <t>Verified - Aug-2025</t>
  </si>
  <si>
    <t>9214-74799196-09</t>
  </si>
  <si>
    <t>HR &amp; Admin head</t>
  </si>
  <si>
    <t>EMP-015</t>
  </si>
  <si>
    <t>Fahad Saleem</t>
  </si>
  <si>
    <t>Attached (EMP-015.jpg)</t>
  </si>
  <si>
    <t>0300-1526664</t>
  </si>
  <si>
    <t>House 233, Street 4, Township, Lahore</t>
  </si>
  <si>
    <t>Village Mouza Kot, Mardan</t>
  </si>
  <si>
    <t>0336-8765253</t>
  </si>
  <si>
    <t>IT Officer</t>
  </si>
  <si>
    <t>IT</t>
  </si>
  <si>
    <t>BS Computer Science</t>
  </si>
  <si>
    <t>FAST Lahore, 2018</t>
  </si>
  <si>
    <t>EOBI-463790851</t>
  </si>
  <si>
    <t>4660-59580478-08</t>
  </si>
  <si>
    <t>IT head</t>
  </si>
  <si>
    <t>EMP-016</t>
  </si>
  <si>
    <t>Ghulam Mustafa</t>
  </si>
  <si>
    <t>Pakistani - Passport DR7654514</t>
  </si>
  <si>
    <t>O-</t>
  </si>
  <si>
    <t>Attached (EMP-016.jpg)</t>
  </si>
  <si>
    <t>0347-6110003</t>
  </si>
  <si>
    <t>House 292, Street 27, Township, Lahore</t>
  </si>
  <si>
    <t>0337-7227018</t>
  </si>
  <si>
    <t>Security Supervisor</t>
  </si>
  <si>
    <t>SSC + Ex-Army</t>
  </si>
  <si>
    <t>BISE Rawalpindi, 1998</t>
  </si>
  <si>
    <t>6045415-0</t>
  </si>
  <si>
    <t>EOBI-596396425</t>
  </si>
  <si>
    <t>Verified - Jan-2025</t>
  </si>
  <si>
    <t>1102-95724997-07</t>
  </si>
  <si>
    <t>EMP-017</t>
  </si>
  <si>
    <t>Rashid Mehmood</t>
  </si>
  <si>
    <t>Attached (EMP-017.jpg)</t>
  </si>
  <si>
    <t>0330-4708318</t>
  </si>
  <si>
    <t>0303-4326104</t>
  </si>
  <si>
    <t>House 142, Street 12, Samanabad, Lahore</t>
  </si>
  <si>
    <t>0348-1470398</t>
  </si>
  <si>
    <t>Office Assistant</t>
  </si>
  <si>
    <t>S-6</t>
  </si>
  <si>
    <t>Resigned - notice period</t>
  </si>
  <si>
    <t>BISE Lahore, 2014</t>
  </si>
  <si>
    <t>6709479-1</t>
  </si>
  <si>
    <t>EOBI-205352749</t>
  </si>
  <si>
    <t>1402-34903896-06</t>
  </si>
  <si>
    <t>EMP-018</t>
  </si>
  <si>
    <t>Driver</t>
  </si>
  <si>
    <t>Muhammad Riaz</t>
  </si>
  <si>
    <t>Attached (EMP-018.jpg)</t>
  </si>
  <si>
    <t>0332-4927992</t>
  </si>
  <si>
    <t>House 139, Street 12, Township, Lahore</t>
  </si>
  <si>
    <t>Kasur / Punjab</t>
  </si>
  <si>
    <t>0340-1972304</t>
  </si>
  <si>
    <t>Driver (HTV)</t>
  </si>
  <si>
    <t>D-1</t>
  </si>
  <si>
    <t>3 months - confirmation due Q1 2026</t>
  </si>
  <si>
    <t>BISE Sargodha, 2002</t>
  </si>
  <si>
    <t>NLC - Driver - 2010-2024</t>
  </si>
  <si>
    <t>9462398-0</t>
  </si>
  <si>
    <t>EOBI-319613788</t>
  </si>
  <si>
    <t>4299-39415610-02</t>
  </si>
  <si>
    <t>Mobile app (GPS check-in)</t>
  </si>
  <si>
    <t>DRV-01</t>
  </si>
  <si>
    <t>LHR-HTV-2010-55907</t>
  </si>
  <si>
    <t>HTV</t>
  </si>
  <si>
    <t>MED-56409</t>
  </si>
  <si>
    <t>EMP-019</t>
  </si>
  <si>
    <t>Allah Ditta</t>
  </si>
  <si>
    <t>Pakistani - Passport CT2326082</t>
  </si>
  <si>
    <t>Attached (EMP-019.jpg)</t>
  </si>
  <si>
    <t>0304-8123447</t>
  </si>
  <si>
    <t>House 290, Street 21, Bund Road, Lahore</t>
  </si>
  <si>
    <t>0303-9641042</t>
  </si>
  <si>
    <t>Middle</t>
  </si>
  <si>
    <t>7915526-3</t>
  </si>
  <si>
    <t>EOBI-583120904</t>
  </si>
  <si>
    <t>6039-10190177-05</t>
  </si>
  <si>
    <t>DRV-02</t>
  </si>
  <si>
    <t>LHR-HTV-2013-23962</t>
  </si>
  <si>
    <t>MED-57691</t>
  </si>
  <si>
    <t>EMP-020</t>
  </si>
  <si>
    <t>Sher Zaman</t>
  </si>
  <si>
    <t>Attached (EMP-020.jpg)</t>
  </si>
  <si>
    <t>0319-4367368</t>
  </si>
  <si>
    <t>House 169, Street 1, Samanabad, Lahore</t>
  </si>
  <si>
    <t>0326-2808357</t>
  </si>
  <si>
    <t>BISE Peshawar, 2005</t>
  </si>
  <si>
    <t>Self-employed - Driver</t>
  </si>
  <si>
    <t>EOBI-897818603</t>
  </si>
  <si>
    <t>9504-76302125-05</t>
  </si>
  <si>
    <t>DRV-03</t>
  </si>
  <si>
    <t>LHR-HTV-2008-42260</t>
  </si>
  <si>
    <t>MED-52606</t>
  </si>
  <si>
    <t>EMP-021</t>
  </si>
  <si>
    <t>Nazir Ahmed</t>
  </si>
  <si>
    <t>Attached (EMP-021.jpg)</t>
  </si>
  <si>
    <t>0306-9825003</t>
  </si>
  <si>
    <t>0310-2941711</t>
  </si>
  <si>
    <t>House 18, Street 14, Wapda Town, Lahore</t>
  </si>
  <si>
    <t>Village Mouza Kot, Sargodha</t>
  </si>
  <si>
    <t>0344-4067939</t>
  </si>
  <si>
    <t>Daewoo Logistics - Driver - 2015-2024</t>
  </si>
  <si>
    <t>6956311-0</t>
  </si>
  <si>
    <t>EOBI-607748780</t>
  </si>
  <si>
    <t>1185-91802938-03</t>
  </si>
  <si>
    <t>DRV-04</t>
  </si>
  <si>
    <t>LHR-HTV-2008-90487</t>
  </si>
  <si>
    <t>MED-65216</t>
  </si>
  <si>
    <t>EMP-022</t>
  </si>
  <si>
    <t>Javed Iqbal</t>
  </si>
  <si>
    <t>Pakistani - Passport DR1461737</t>
  </si>
  <si>
    <t>Attached (EMP-022.jpg)</t>
  </si>
  <si>
    <t>0305-3172699</t>
  </si>
  <si>
    <t>House 178, Street 19, Bund Road, Lahore</t>
  </si>
  <si>
    <t>0302-1442806</t>
  </si>
  <si>
    <t>BISE Faisalabad, 2004</t>
  </si>
  <si>
    <t>1620960-6</t>
  </si>
  <si>
    <t>EOBI-886804258</t>
  </si>
  <si>
    <t>5052-42647686-07</t>
  </si>
  <si>
    <t>DRV-05</t>
  </si>
  <si>
    <t>LHR-HTV-2020-13470</t>
  </si>
  <si>
    <t>MED-85855</t>
  </si>
  <si>
    <t>EMP-023</t>
  </si>
  <si>
    <t>Khalid Mehmood</t>
  </si>
  <si>
    <t>Attached (EMP-023.jpg)</t>
  </si>
  <si>
    <t>0300-4831940</t>
  </si>
  <si>
    <t>House 422, Street 20, Bund Road, Lahore</t>
  </si>
  <si>
    <t>0333-7149447</t>
  </si>
  <si>
    <t>BISE Gujranwala, 2006</t>
  </si>
  <si>
    <t>7323395-5</t>
  </si>
  <si>
    <t>Pending</t>
  </si>
  <si>
    <t>8940-75593421-02</t>
  </si>
  <si>
    <t>DRV-06</t>
  </si>
  <si>
    <t>LHR-HTV-2009-86678</t>
  </si>
  <si>
    <t>MED-29515</t>
  </si>
  <si>
    <t>EMP-024</t>
  </si>
  <si>
    <t>Amjad Ali</t>
  </si>
  <si>
    <t>Attached (EMP-024.jpg)</t>
  </si>
  <si>
    <t>0321-1183794</t>
  </si>
  <si>
    <t>House 102, Street 14, Green Town, Lahore</t>
  </si>
  <si>
    <t>0340-3114463</t>
  </si>
  <si>
    <t>Driver (LTV)</t>
  </si>
  <si>
    <t>D-2</t>
  </si>
  <si>
    <t>BISE Lahore, 2010</t>
  </si>
  <si>
    <t>8528690-4</t>
  </si>
  <si>
    <t>EOBI-986841379</t>
  </si>
  <si>
    <t>1373-83814362-04</t>
  </si>
  <si>
    <t>DRV-07</t>
  </si>
  <si>
    <t>LHR-LTV-2019-66685</t>
  </si>
  <si>
    <t>LTV</t>
  </si>
  <si>
    <t>MED-40479</t>
  </si>
  <si>
    <t>EMP-025</t>
  </si>
  <si>
    <t>Fazal Rabbi</t>
  </si>
  <si>
    <t>Pakistani - Passport AB5295899</t>
  </si>
  <si>
    <t>Attached (EMP-025.jpg)</t>
  </si>
  <si>
    <t>0309-9129704</t>
  </si>
  <si>
    <t>0335-6320926</t>
  </si>
  <si>
    <t>House 241, Street 21, Bund Road, Lahore</t>
  </si>
  <si>
    <t>0347-7664089</t>
  </si>
  <si>
    <t>EOBI-582874258</t>
  </si>
  <si>
    <t>9467-24210537-07</t>
  </si>
  <si>
    <t>DRV-08</t>
  </si>
  <si>
    <t>LHR-HTV-2014-51184</t>
  </si>
  <si>
    <t>MED-16010</t>
  </si>
  <si>
    <t>QT-0001</t>
  </si>
  <si>
    <t>Standard trade</t>
  </si>
  <si>
    <t>Omer Farooq - Sales Manager</t>
  </si>
  <si>
    <t>PKR</t>
  </si>
  <si>
    <t>Converted to order</t>
  </si>
  <si>
    <t>Distributor</t>
  </si>
  <si>
    <t>DIS-004 - Lyallpur Cement House (Pvt) Ltd</t>
  </si>
  <si>
    <t>Main godown - Faisalabad</t>
  </si>
  <si>
    <t>Zahid Hussain - Director Sales</t>
  </si>
  <si>
    <t>CEM-SLG-B50 - Slag Cement - 50 kg bag</t>
  </si>
  <si>
    <t>Bag (50 kg)</t>
  </si>
  <si>
    <t>Rates per UoM excl. sales tax &amp; FED; Delivered at site (DAP)</t>
  </si>
  <si>
    <t>Main godown - Faisalabad - 185 km</t>
  </si>
  <si>
    <t>Standard clause - plant shutdown, strikes, road closures</t>
  </si>
  <si>
    <t>CEM-SRC-B50 - Sulphate Resistant Cement - 50 kg bag</t>
  </si>
  <si>
    <t>QT-0002</t>
  </si>
  <si>
    <t>Project / bulk supply</t>
  </si>
  <si>
    <t>Ali Hamza - Sales Officer</t>
  </si>
  <si>
    <t>End user</t>
  </si>
  <si>
    <t>CUS-001 - Bahria Heights Developers (Pvt) Ltd</t>
  </si>
  <si>
    <t>Faisal Rehman - Procurement Manager</t>
  </si>
  <si>
    <t>CEM-OPC-BLK - OPC Cement Grade 53 - bulk</t>
  </si>
  <si>
    <t>BHD-BLK-01 Batching Plant - 38 km</t>
  </si>
  <si>
    <t>Bulker</t>
  </si>
  <si>
    <t>QT-0003</t>
  </si>
  <si>
    <t>CUS-004 - Ravi Riverfront Contractors (Pvt) Ltd</t>
  </si>
  <si>
    <t>Sadia Noor - Head of Procurement</t>
  </si>
  <si>
    <t>RRC-BAG-01 Main store - 18 km</t>
  </si>
  <si>
    <t>QT-0004</t>
  </si>
  <si>
    <t>DIS-005 - Sahiwal Traders &amp; Co (AOP)</t>
  </si>
  <si>
    <t>Main godown - Sahiwal</t>
  </si>
  <si>
    <t>Asif Mehmood - Partner</t>
  </si>
  <si>
    <t>CEM-OPC-B50 - OPC Cement Grade 53 - 50 kg bag</t>
  </si>
  <si>
    <t>Main godown - Sahiwal - 175 km</t>
  </si>
  <si>
    <t>CEM-PPC-B50 - Portland Pozzolana Cement - 50 kg bag</t>
  </si>
  <si>
    <t>QT-0005</t>
  </si>
  <si>
    <t>CUS-003 - Punjab Highways Construction Co (Pvt) Ltd</t>
  </si>
  <si>
    <t>Muhammad Ali Raza - Project Manager</t>
  </si>
  <si>
    <t>PHC-BLK-01 Sheikhupura Interchange camp - 30 km</t>
  </si>
  <si>
    <t>QT-0006</t>
  </si>
  <si>
    <t>Rejected by customer</t>
  </si>
  <si>
    <t>DIS-002 - Sheikhupura Building Stores (AOP)</t>
  </si>
  <si>
    <t>Main godown - Sheikhupura</t>
  </si>
  <si>
    <t>Imran Bashir - Managing Partner</t>
  </si>
  <si>
    <t>Main godown - Sheikhupura - 42 km</t>
  </si>
  <si>
    <t>QT-0007</t>
  </si>
  <si>
    <t>CEM-WHT-B40 - White Cement - 40 kg bag</t>
  </si>
  <si>
    <t>Bag (40 kg)</t>
  </si>
  <si>
    <t>CEM-LHC-B50 - Low Heat Cement - 50 kg bag</t>
  </si>
  <si>
    <t>QT-0008</t>
  </si>
  <si>
    <t>DIS-003 - Kasur Construction Supplies</t>
  </si>
  <si>
    <t>Main godown - Kasur</t>
  </si>
  <si>
    <t>Nadeem Akram - Proprietor</t>
  </si>
  <si>
    <t>Main godown - Kasur - 55 km</t>
  </si>
  <si>
    <t>QT-0009</t>
  </si>
  <si>
    <t>CUS-005 - Muhammad Aslam Construction</t>
  </si>
  <si>
    <t>Muhammad Aslam - Proprietor</t>
  </si>
  <si>
    <t>MAC-BAG-01 DHA Phase 9 site - 27 km</t>
  </si>
  <si>
    <t>QT-0010</t>
  </si>
  <si>
    <t>QT-0011</t>
  </si>
  <si>
    <t>BHD-BAG-01 Tower Block C - 38 km</t>
  </si>
  <si>
    <t>QT-0012</t>
  </si>
  <si>
    <t>QT-0013</t>
  </si>
  <si>
    <t>CUS-002 - Crescent Builders &amp; Contractors (AOP)</t>
  </si>
  <si>
    <t>Arshad Mahmood - Partner</t>
  </si>
  <si>
    <t>CEM-OPC-J1500 - OPC Cement - 1.5 MT jumbo bag</t>
  </si>
  <si>
    <t>Jumbo bag (1.5 MT)</t>
  </si>
  <si>
    <t>Rates per UoM excl. sales tax &amp; FED; Ex-warehouse (EXW)</t>
  </si>
  <si>
    <t>CBC-BAG-01 Johar Town site - 22 km</t>
  </si>
  <si>
    <t>QT-0014</t>
  </si>
  <si>
    <t>QT-0015</t>
  </si>
  <si>
    <t>CEM-RHC-B50 - Rapid Hardening Cement - 50 kg bag</t>
  </si>
  <si>
    <t>QT-0016</t>
  </si>
  <si>
    <t>QT-0017</t>
  </si>
  <si>
    <t>QT-0018</t>
  </si>
  <si>
    <t>QT-0019</t>
  </si>
  <si>
    <t>DIS-001 - Gujranwala Cement Traders</t>
  </si>
  <si>
    <t>Main godown - Gujranwala</t>
  </si>
  <si>
    <t>Haji Muhammad Rafiq - Proprietor</t>
  </si>
  <si>
    <t>Main godown - Gujranwala - 68 km</t>
  </si>
  <si>
    <t>QT-0020</t>
  </si>
  <si>
    <t>QT-0021</t>
  </si>
  <si>
    <t>Zeeshan Anwar - Sales Officer</t>
  </si>
  <si>
    <t>QT-0022</t>
  </si>
  <si>
    <t>QT-0023</t>
  </si>
  <si>
    <t>QT-0024</t>
  </si>
  <si>
    <t>QT-0025</t>
  </si>
  <si>
    <t>CEM-SRC-BLK - Sulphate Resistant Cement - bulk</t>
  </si>
  <si>
    <t>QT-0026</t>
  </si>
  <si>
    <t>QT-0027</t>
  </si>
  <si>
    <t>QT-0028</t>
  </si>
  <si>
    <t>QT-0029</t>
  </si>
  <si>
    <t>RRC-BLK-01 Barrage batching plant - 18 km</t>
  </si>
  <si>
    <t>QT-0030</t>
  </si>
  <si>
    <t>QT-0031</t>
  </si>
  <si>
    <t>QT-0032</t>
  </si>
  <si>
    <t>QT-0033</t>
  </si>
  <si>
    <t>QT-0034</t>
  </si>
  <si>
    <t>QT-0035</t>
  </si>
  <si>
    <t>QT-0036</t>
  </si>
  <si>
    <t>QT-0037</t>
  </si>
  <si>
    <t>QT-0038</t>
  </si>
  <si>
    <t>QT-0039</t>
  </si>
  <si>
    <t>QT-0040</t>
  </si>
  <si>
    <t>QT-0041</t>
  </si>
  <si>
    <t>QT-0042</t>
  </si>
  <si>
    <t>QT-0043</t>
  </si>
  <si>
    <t>QT-0044</t>
  </si>
  <si>
    <t>QT-0045</t>
  </si>
  <si>
    <t>QT-0046</t>
  </si>
  <si>
    <t>QT-0047</t>
  </si>
  <si>
    <t>QT-0048</t>
  </si>
  <si>
    <t>QT-0049</t>
  </si>
  <si>
    <t>QT-0050</t>
  </si>
  <si>
    <t>DC-00001</t>
  </si>
  <si>
    <t>Sales delivery</t>
  </si>
  <si>
    <t>SO-0002 / QT-0002</t>
  </si>
  <si>
    <t>Steelstone - Margalla Cement - Chakwal Plant</t>
  </si>
  <si>
    <t>Steelstone (DAP)</t>
  </si>
  <si>
    <t>3 - Customer, Gate, Accounts</t>
  </si>
  <si>
    <t>Delivered</t>
  </si>
  <si>
    <t>Engr. Hamza Rauf - 0322-4671203</t>
  </si>
  <si>
    <t>As per site timing; gate pass required</t>
  </si>
  <si>
    <t>Compliant</t>
  </si>
  <si>
    <t>TPL Trakker - TRK-1016</t>
  </si>
  <si>
    <t>B-2410-113 / MTC-2410-2</t>
  </si>
  <si>
    <t>Yes - GI-00001</t>
  </si>
  <si>
    <t>Unloaded in 1.5 hrs</t>
  </si>
  <si>
    <t>Signed &amp; stamped</t>
  </si>
  <si>
    <t>SI-0001</t>
  </si>
  <si>
    <t>FB-TRN003-2410</t>
  </si>
  <si>
    <t>DC-00002</t>
  </si>
  <si>
    <t>SO-0001 / QT-0001</t>
  </si>
  <si>
    <t>Steelstone - Raiwind Road warehouse</t>
  </si>
  <si>
    <t>Plot 18, Sargodha Road, Faisalabad</t>
  </si>
  <si>
    <t>Zahid Hussain - 0300-7651123</t>
  </si>
  <si>
    <t>09:00-19:00; no restriction</t>
  </si>
  <si>
    <t>TPL Trakker - TRK-1014</t>
  </si>
  <si>
    <t>B-2410-126 / MTC-2410-3</t>
  </si>
  <si>
    <t>Yes - GI-00002</t>
  </si>
  <si>
    <t>Unloaded in 2 hrs</t>
  </si>
  <si>
    <t>SI-0002</t>
  </si>
  <si>
    <t>FB-TRN002-2410</t>
  </si>
  <si>
    <t>B-2410-127 / MTC-2410-3</t>
  </si>
  <si>
    <t>DC-00003</t>
  </si>
  <si>
    <t>B-2410-139 / MTC-2410-4</t>
  </si>
  <si>
    <t>Yes - GI-00003</t>
  </si>
  <si>
    <t>DC-00004</t>
  </si>
  <si>
    <t>TPL Trakker - TRK-1012</t>
  </si>
  <si>
    <t>B-2410-152 / MTC-2410-5</t>
  </si>
  <si>
    <t>Yes - GI-00004</t>
  </si>
  <si>
    <t>Steelstone - Indus Valley Cement - D.G. Khan Plant</t>
  </si>
  <si>
    <t>B-2410-153 / MTC-2410-5</t>
  </si>
  <si>
    <t>DC-00005</t>
  </si>
  <si>
    <t>TPL Trakker - TRK-1011</t>
  </si>
  <si>
    <t>B-2410-165 / MTC-2410-6</t>
  </si>
  <si>
    <t>Yes - GI-00005</t>
  </si>
  <si>
    <t>B-2410-166 / MTC-2410-6</t>
  </si>
  <si>
    <t>DC-00006</t>
  </si>
  <si>
    <t>TPL Trakker - TRK-1015</t>
  </si>
  <si>
    <t>B-2410-178 / MTC-2410-7</t>
  </si>
  <si>
    <t>Yes - GI-00006</t>
  </si>
  <si>
    <t>DC-00007</t>
  </si>
  <si>
    <t>TPL Trakker - TRK-1009</t>
  </si>
  <si>
    <t>B-2410-191 / MTC-2410-8</t>
  </si>
  <si>
    <t>Yes - GI-00007</t>
  </si>
  <si>
    <t>RC-00007</t>
  </si>
  <si>
    <t>Transit damage - PKR 7475 - recovered from transporter</t>
  </si>
  <si>
    <t>DC-00008</t>
  </si>
  <si>
    <t>TPL Trakker - TRK-1017</t>
  </si>
  <si>
    <t>B-2410-204 / MTC-2410-9</t>
  </si>
  <si>
    <t>Yes - GI-00008</t>
  </si>
  <si>
    <t>DC-00009</t>
  </si>
  <si>
    <t>B-2410-217 / MTC-2410-10</t>
  </si>
  <si>
    <t>Yes - GI-00009</t>
  </si>
  <si>
    <t>DC-00010</t>
  </si>
  <si>
    <t>B-2410-230 / MTC-2410-11</t>
  </si>
  <si>
    <t>Yes - GI-00010</t>
  </si>
  <si>
    <t>DC-00011</t>
  </si>
  <si>
    <t>B-2410-243 / MTC-2410-12</t>
  </si>
  <si>
    <t>Yes - GI-00011</t>
  </si>
  <si>
    <t>DC-00012</t>
  </si>
  <si>
    <t>B-2410-256 / MTC-2410-13</t>
  </si>
  <si>
    <t>Yes - GI-00012</t>
  </si>
  <si>
    <t>DC-00013</t>
  </si>
  <si>
    <t>SO-0003 / QT-0003</t>
  </si>
  <si>
    <t>Ravi City Phase 1, Store Yard 3, Lahore</t>
  </si>
  <si>
    <t>B-2411-269 / MTC-2411-14</t>
  </si>
  <si>
    <t>Yes - GI-00013</t>
  </si>
  <si>
    <t>Unloaded in 3 hrs</t>
  </si>
  <si>
    <t>Usama Khalid</t>
  </si>
  <si>
    <t>SI-0004</t>
  </si>
  <si>
    <t>FB-TRN002-2411</t>
  </si>
  <si>
    <t>DC-00014</t>
  </si>
  <si>
    <t>SO-0004 / QT-0004</t>
  </si>
  <si>
    <t>Canal Colony Chowk, Sahiwal</t>
  </si>
  <si>
    <t>Asif Mehmood - 0333-6908812</t>
  </si>
  <si>
    <t>TPL Trakker - TRK-1001</t>
  </si>
  <si>
    <t>B-2411-282 / MTC-2411-15</t>
  </si>
  <si>
    <t>Yes - GI-00014</t>
  </si>
  <si>
    <t>SI-0003</t>
  </si>
  <si>
    <t>FB-TRN001-2411</t>
  </si>
  <si>
    <t>DC-00015</t>
  </si>
  <si>
    <t>B-2411-295 / MTC-2411-16</t>
  </si>
  <si>
    <t>Yes - GI-00015</t>
  </si>
  <si>
    <t>DC-00016</t>
  </si>
  <si>
    <t>TPL Trakker - TRK-1002</t>
  </si>
  <si>
    <t>B-2411-308 / MTC-2411-17</t>
  </si>
  <si>
    <t>Yes - GI-00016</t>
  </si>
  <si>
    <t>B-2411-309 / MTC-2411-17</t>
  </si>
  <si>
    <t>DC-00017</t>
  </si>
  <si>
    <t>B-2411-321 / MTC-2411-18</t>
  </si>
  <si>
    <t>Yes - GI-00017</t>
  </si>
  <si>
    <t>DC-00018</t>
  </si>
  <si>
    <t>TPL Trakker - TRK-1005</t>
  </si>
  <si>
    <t>B-2411-334 / MTC-2411-19</t>
  </si>
  <si>
    <t>Yes - GI-00018</t>
  </si>
  <si>
    <t>DC-00019</t>
  </si>
  <si>
    <t>B-2411-347 / MTC-2411-20</t>
  </si>
  <si>
    <t>Yes - GI-00019</t>
  </si>
  <si>
    <t>DC-00020</t>
  </si>
  <si>
    <t>B-2411-360 / MTC-2411-21</t>
  </si>
  <si>
    <t>Yes - GI-00020</t>
  </si>
  <si>
    <t>DC-00021</t>
  </si>
  <si>
    <t>TPL Trakker - TRK-1007</t>
  </si>
  <si>
    <t>B-2411-373 / MTC-2411-22</t>
  </si>
  <si>
    <t>Yes - GI-00021</t>
  </si>
  <si>
    <t>DC-00022</t>
  </si>
  <si>
    <t>TPL Trakker - TRK-1006</t>
  </si>
  <si>
    <t>B-2411-386 / MTC-2411-23</t>
  </si>
  <si>
    <t>Yes - GI-00022</t>
  </si>
  <si>
    <t>DC-00023</t>
  </si>
  <si>
    <t>B-2411-399 / MTC-2411-24</t>
  </si>
  <si>
    <t>Yes - GI-00023</t>
  </si>
  <si>
    <t>DC-00024</t>
  </si>
  <si>
    <t>SO-0005 / QT-0005</t>
  </si>
  <si>
    <t>Engr. Saqib Nawaz - 0300-9412076</t>
  </si>
  <si>
    <t>B-2412-412 / MTC-2412-25</t>
  </si>
  <si>
    <t>Yes - GI-00024</t>
  </si>
  <si>
    <t>SI-0005</t>
  </si>
  <si>
    <t>FB-TRN003-2412</t>
  </si>
  <si>
    <t>DC-00025</t>
  </si>
  <si>
    <t>B-2412-425 / MTC-2412-26</t>
  </si>
  <si>
    <t>Yes - GI-00025</t>
  </si>
  <si>
    <t>DC-00026</t>
  </si>
  <si>
    <t>B-2412-438 / MTC-2412-27</t>
  </si>
  <si>
    <t>Yes - GI-00026</t>
  </si>
  <si>
    <t>DC-00027</t>
  </si>
  <si>
    <t>B-2412-451 / MTC-2412-28</t>
  </si>
  <si>
    <t>Yes - GI-00027</t>
  </si>
  <si>
    <t>DC-00028</t>
  </si>
  <si>
    <t>B-2412-464 / MTC-2412-29</t>
  </si>
  <si>
    <t>Yes - GI-00028</t>
  </si>
  <si>
    <t>DC-00029</t>
  </si>
  <si>
    <t>B-2412-477 / MTC-2412-30</t>
  </si>
  <si>
    <t>Yes - GI-00029</t>
  </si>
  <si>
    <t>DC-00030</t>
  </si>
  <si>
    <t>TPL Trakker - TRK-1018</t>
  </si>
  <si>
    <t>B-2412-490 / MTC-2412-31</t>
  </si>
  <si>
    <t>Yes - GI-00030</t>
  </si>
  <si>
    <t>DC-00031</t>
  </si>
  <si>
    <t>SO-0007 / QT-0007</t>
  </si>
  <si>
    <t>Steelstone - Salt Range - Khewra White Cement Plant</t>
  </si>
  <si>
    <t>TPL Trakker - TRK-1000</t>
  </si>
  <si>
    <t>B-2501-503 / MTC-2501-32</t>
  </si>
  <si>
    <t>Yes - GI-00031</t>
  </si>
  <si>
    <t>SI-0006</t>
  </si>
  <si>
    <t>FB-TRN001-2501</t>
  </si>
  <si>
    <t>DC-00032</t>
  </si>
  <si>
    <t>SO-0008 / QT-0008</t>
  </si>
  <si>
    <t>Railway Road, Kasur</t>
  </si>
  <si>
    <t>Nadeem Akram - 0345-7719034</t>
  </si>
  <si>
    <t>B-2501-516 / MTC-2501-33</t>
  </si>
  <si>
    <t>Yes - GI-00032</t>
  </si>
  <si>
    <t>SI-0007</t>
  </si>
  <si>
    <t>DC-00033</t>
  </si>
  <si>
    <t>B-2501-529 / MTC-2501-34</t>
  </si>
  <si>
    <t>Yes - GI-00033</t>
  </si>
  <si>
    <t>RC-00033</t>
  </si>
  <si>
    <t>Transit damage - PKR 3140 - recovered from transporter</t>
  </si>
  <si>
    <t>DC-00034</t>
  </si>
  <si>
    <t>B-2501-542 / MTC-2501-35</t>
  </si>
  <si>
    <t>Yes - GI-00034</t>
  </si>
  <si>
    <t>B-2501-543 / MTC-2501-35</t>
  </si>
  <si>
    <t>DC-00035</t>
  </si>
  <si>
    <t>B-2501-555 / MTC-2501-36</t>
  </si>
  <si>
    <t>Yes - GI-00035</t>
  </si>
  <si>
    <t>DC-00036</t>
  </si>
  <si>
    <t>B-2501-568 / MTC-2501-37</t>
  </si>
  <si>
    <t>Yes - GI-00036</t>
  </si>
  <si>
    <t>FB-TRN002-2501</t>
  </si>
  <si>
    <t>DC-00037</t>
  </si>
  <si>
    <t>TPL Trakker - TRK-1010</t>
  </si>
  <si>
    <t>B-2501-581 / MTC-2501-38</t>
  </si>
  <si>
    <t>Yes - GI-00037</t>
  </si>
  <si>
    <t>DC-00038</t>
  </si>
  <si>
    <t>B-2501-594 / MTC-2501-39</t>
  </si>
  <si>
    <t>Yes - GI-00038</t>
  </si>
  <si>
    <t>B-2501-595 / MTC-2501-39</t>
  </si>
  <si>
    <t>DC-00039</t>
  </si>
  <si>
    <t>B-2501-607 / MTC-2501-40</t>
  </si>
  <si>
    <t>Yes - GI-00039</t>
  </si>
  <si>
    <t>DC-00040</t>
  </si>
  <si>
    <t>TPL Trakker - TRK-1003</t>
  </si>
  <si>
    <t>B-2501-620 / MTC-2501-41</t>
  </si>
  <si>
    <t>Yes - GI-00040</t>
  </si>
  <si>
    <t>B-2501-621 / MTC-2501-41</t>
  </si>
  <si>
    <t>RC-00040</t>
  </si>
  <si>
    <t>Transit damage - PKR 7850 - recovered from transporter</t>
  </si>
  <si>
    <t>DC-00041</t>
  </si>
  <si>
    <t>B-2501-633 / MTC-2501-42</t>
  </si>
  <si>
    <t>Yes - GI-00041</t>
  </si>
  <si>
    <t>DC-00042</t>
  </si>
  <si>
    <t>SO-0010 / QT-0010</t>
  </si>
  <si>
    <t>B-2502-646 / MTC-2502-43</t>
  </si>
  <si>
    <t>Yes - GI-00042</t>
  </si>
  <si>
    <t>RC-00042</t>
  </si>
  <si>
    <t>Transit damage - PKR 8700 - recovered from transporter</t>
  </si>
  <si>
    <t>SI-0008</t>
  </si>
  <si>
    <t>FB-TRN001-2502</t>
  </si>
  <si>
    <t>B-2502-647 / MTC-2502-43</t>
  </si>
  <si>
    <t>DC-00043</t>
  </si>
  <si>
    <t>SO-0009 / QT-0009</t>
  </si>
  <si>
    <t>Plot 245, Block B, DHA Phase 9 Town, Lahore</t>
  </si>
  <si>
    <t>B-2502-659 / MTC-2502-44</t>
  </si>
  <si>
    <t>Yes - GI-00043</t>
  </si>
  <si>
    <t>SI-0009</t>
  </si>
  <si>
    <t>FB-TRN002-2502</t>
  </si>
  <si>
    <t>DC-00044</t>
  </si>
  <si>
    <t>B-2502-672 / MTC-2502-45</t>
  </si>
  <si>
    <t>Yes - GI-00044</t>
  </si>
  <si>
    <t>DC-00045</t>
  </si>
  <si>
    <t>B-2502-685 / MTC-2502-46</t>
  </si>
  <si>
    <t>Yes - GI-00045</t>
  </si>
  <si>
    <t>B-2502-686 / MTC-2502-46</t>
  </si>
  <si>
    <t>DC-00046</t>
  </si>
  <si>
    <t>TPL Trakker - TRK-1008</t>
  </si>
  <si>
    <t>B-2502-698 / MTC-2502-47</t>
  </si>
  <si>
    <t>Yes - GI-00046</t>
  </si>
  <si>
    <t>DC-00047</t>
  </si>
  <si>
    <t>B-2502-711 / MTC-2502-48</t>
  </si>
  <si>
    <t>Yes - GI-00047</t>
  </si>
  <si>
    <t>DC-00048</t>
  </si>
  <si>
    <t>TPL Trakker - TRK-1004</t>
  </si>
  <si>
    <t>B-2502-724 / MTC-2502-49</t>
  </si>
  <si>
    <t>Yes - GI-00048</t>
  </si>
  <si>
    <t>B-2502-725 / MTC-2502-49</t>
  </si>
  <si>
    <t>DC-00049</t>
  </si>
  <si>
    <t>B-2502-737 / MTC-2502-50</t>
  </si>
  <si>
    <t>Yes - GI-00049</t>
  </si>
  <si>
    <t>DC-00050</t>
  </si>
  <si>
    <t>B-2502-750 / MTC-2502-51</t>
  </si>
  <si>
    <t>Yes - GI-00050</t>
  </si>
  <si>
    <t>B-2502-751 / MTC-2502-51</t>
  </si>
  <si>
    <t>DC-00051</t>
  </si>
  <si>
    <t>B-2502-763 / MTC-2502-52</t>
  </si>
  <si>
    <t>Yes - GI-00051</t>
  </si>
  <si>
    <t>B-2502-764 / MTC-2502-52</t>
  </si>
  <si>
    <t>DC-00052</t>
  </si>
  <si>
    <t>B-2502-776 / MTC-2502-53</t>
  </si>
  <si>
    <t>Yes - GI-00052</t>
  </si>
  <si>
    <t>DC-00053</t>
  </si>
  <si>
    <t>B-2502-789 / MTC-2502-54</t>
  </si>
  <si>
    <t>Yes - GI-00053</t>
  </si>
  <si>
    <t>B-2502-790 / MTC-2502-54</t>
  </si>
  <si>
    <t>DC-00054</t>
  </si>
  <si>
    <t>SO-0011 / QT-0011</t>
  </si>
  <si>
    <t>Plot 7, Sector C, Bahria Heights, Lahore</t>
  </si>
  <si>
    <t>B-2503-802 / MTC-2503-55</t>
  </si>
  <si>
    <t>Yes - GI-00054</t>
  </si>
  <si>
    <t>Waqas Ali</t>
  </si>
  <si>
    <t>SI-0010</t>
  </si>
  <si>
    <t>FB-TRN002-2503</t>
  </si>
  <si>
    <t>DC-00055</t>
  </si>
  <si>
    <t>B-2503-815 / MTC-2503-56</t>
  </si>
  <si>
    <t>Yes - GI-00055</t>
  </si>
  <si>
    <t>FB-TRN001-2503</t>
  </si>
  <si>
    <t>DC-00056</t>
  </si>
  <si>
    <t>B-2503-828 / MTC-2503-57</t>
  </si>
  <si>
    <t>Yes - GI-00056</t>
  </si>
  <si>
    <t>B-2503-829 / MTC-2503-57</t>
  </si>
  <si>
    <t>DC-00057</t>
  </si>
  <si>
    <t>B-2503-841 / MTC-2503-58</t>
  </si>
  <si>
    <t>Yes - GI-00057</t>
  </si>
  <si>
    <t>DC-00058</t>
  </si>
  <si>
    <t>B-2503-854 / MTC-2503-59</t>
  </si>
  <si>
    <t>Yes - GI-00058</t>
  </si>
  <si>
    <t>RC-00058</t>
  </si>
  <si>
    <t>Transit damage - PKR 8430 - recovered from transporter</t>
  </si>
  <si>
    <t>DC-00059</t>
  </si>
  <si>
    <t>B-2503-867 / MTC-2503-60</t>
  </si>
  <si>
    <t>Yes - GI-00059</t>
  </si>
  <si>
    <t>DC-00060</t>
  </si>
  <si>
    <t>SO-0013 / QT-0013</t>
  </si>
  <si>
    <t>Customer (ex-works)</t>
  </si>
  <si>
    <t>House 112, Block R-1, Johar Town, Lahore</t>
  </si>
  <si>
    <t>09:00-17:00; max 10-wheeler</t>
  </si>
  <si>
    <t>LEF-5220</t>
  </si>
  <si>
    <t>Not verified (customer vehicle)</t>
  </si>
  <si>
    <t>Customer driver - Rafaqat</t>
  </si>
  <si>
    <t>Shown at gate (not recorded)</t>
  </si>
  <si>
    <t>Not verified</t>
  </si>
  <si>
    <t>B-2504-880 / MTC-2504-61</t>
  </si>
  <si>
    <t>Yes - GI-00060</t>
  </si>
  <si>
    <t>Bilal Ahmad</t>
  </si>
  <si>
    <t>SI-0012</t>
  </si>
  <si>
    <t>N/A - customer transport</t>
  </si>
  <si>
    <t>B-2504-881 / MTC-2504-61</t>
  </si>
  <si>
    <t>DC-00061</t>
  </si>
  <si>
    <t>SO-0014 / QT-0014</t>
  </si>
  <si>
    <t>Main Bazaar, Lahore Road, Sheikhupura</t>
  </si>
  <si>
    <t>Imran Bashir - 0321-4150992</t>
  </si>
  <si>
    <t>B-2504-893 / MTC-2504-62</t>
  </si>
  <si>
    <t>Yes - GI-00061</t>
  </si>
  <si>
    <t>SI-0011</t>
  </si>
  <si>
    <t>FB-TRN002-2504</t>
  </si>
  <si>
    <t>B-2504-894 / MTC-2504-62</t>
  </si>
  <si>
    <t>B-2504-895 / MTC-2504-62</t>
  </si>
  <si>
    <t>DC-00062</t>
  </si>
  <si>
    <t>B-2504-906 / MTC-2504-63</t>
  </si>
  <si>
    <t>Yes - GI-00062</t>
  </si>
  <si>
    <t>FB-TRN001-2504</t>
  </si>
  <si>
    <t>B-2504-907 / MTC-2504-63</t>
  </si>
  <si>
    <t>B-2504-908 / MTC-2504-63</t>
  </si>
  <si>
    <t>DC-00063</t>
  </si>
  <si>
    <t>LEF-5331</t>
  </si>
  <si>
    <t>Customer driver - Sabir</t>
  </si>
  <si>
    <t>B-2504-919 / MTC-2504-64</t>
  </si>
  <si>
    <t>Yes - GI-00063</t>
  </si>
  <si>
    <t>B-2504-920 / MTC-2504-64</t>
  </si>
  <si>
    <t>B-2504-921 / MTC-2504-64</t>
  </si>
  <si>
    <t>DC-00064</t>
  </si>
  <si>
    <t>B-2504-932 / MTC-2504-65</t>
  </si>
  <si>
    <t>Yes - GI-00064</t>
  </si>
  <si>
    <t>RC-00064</t>
  </si>
  <si>
    <t>Transit damage - PKR 9210 - recovered from transporter</t>
  </si>
  <si>
    <t>B-2504-933 / MTC-2504-65</t>
  </si>
  <si>
    <t>Transit damage - PKR 6360 - recovered from transporter</t>
  </si>
  <si>
    <t>DC-00065</t>
  </si>
  <si>
    <t>LEF-5405</t>
  </si>
  <si>
    <t>Customer driver - Mushtaq</t>
  </si>
  <si>
    <t>B-2504-945 / MTC-2504-66</t>
  </si>
  <si>
    <t>Yes - GI-00065</t>
  </si>
  <si>
    <t>B-2504-946 / MTC-2504-66</t>
  </si>
  <si>
    <t>RC-00065</t>
  </si>
  <si>
    <t>Transit damage - PKR 9540 - recovered from transporter</t>
  </si>
  <si>
    <t>DC-00066</t>
  </si>
  <si>
    <t>B-2504-958 / MTC-2504-67</t>
  </si>
  <si>
    <t>Yes - GI-00066</t>
  </si>
  <si>
    <t>DC-00067</t>
  </si>
  <si>
    <t>LEF-5479</t>
  </si>
  <si>
    <t>B-2504-971 / MTC-2504-68</t>
  </si>
  <si>
    <t>Yes - GI-00067</t>
  </si>
  <si>
    <t>B-2504-972 / MTC-2504-68</t>
  </si>
  <si>
    <t>DC-00068</t>
  </si>
  <si>
    <t>B-2504-984 / MTC-2504-69</t>
  </si>
  <si>
    <t>Yes - GI-00068</t>
  </si>
  <si>
    <t>DC-00069</t>
  </si>
  <si>
    <t>B-2504-997 / MTC-2504-70</t>
  </si>
  <si>
    <t>Yes - GI-00069</t>
  </si>
  <si>
    <t>B-2504-998 / MTC-2504-70</t>
  </si>
  <si>
    <t>B-2504-999 / MTC-2504-70</t>
  </si>
  <si>
    <t>DC-00070</t>
  </si>
  <si>
    <t>LEF-5590</t>
  </si>
  <si>
    <t>Customer driver - Zafar</t>
  </si>
  <si>
    <t>B-2504-110 / MTC-2504-71</t>
  </si>
  <si>
    <t>Yes - GI-00070</t>
  </si>
  <si>
    <t>B-2504-111 / MTC-2504-71</t>
  </si>
  <si>
    <t>B-2504-112 / MTC-2504-71</t>
  </si>
  <si>
    <t>RC-00070</t>
  </si>
  <si>
    <t>Transit damage - PKR 7950 - recovered from transporter</t>
  </si>
  <si>
    <t>DC-00071</t>
  </si>
  <si>
    <t>SO-0016 / QT-0016</t>
  </si>
  <si>
    <t>B-2505-123 / MTC-2505-72</t>
  </si>
  <si>
    <t>Yes - GI-00071</t>
  </si>
  <si>
    <t>SI-0013</t>
  </si>
  <si>
    <t>FB-TRN003-2505</t>
  </si>
  <si>
    <t>DC-00072</t>
  </si>
  <si>
    <t>SO-0015 / QT-0015</t>
  </si>
  <si>
    <t>LEF-5664</t>
  </si>
  <si>
    <t>B-2505-136 / MTC-2505-73</t>
  </si>
  <si>
    <t>Yes - GI-00072</t>
  </si>
  <si>
    <t>SI-0014</t>
  </si>
  <si>
    <t>DC-00073</t>
  </si>
  <si>
    <t>B-2505-149 / MTC-2505-74</t>
  </si>
  <si>
    <t>Yes - GI-00073</t>
  </si>
  <si>
    <t>DC-00074</t>
  </si>
  <si>
    <t>LEF-5738</t>
  </si>
  <si>
    <t>B-2505-162 / MTC-2505-75</t>
  </si>
  <si>
    <t>Yes - GI-00074</t>
  </si>
  <si>
    <t>B-2505-163 / MTC-2505-75</t>
  </si>
  <si>
    <t>DC-00075</t>
  </si>
  <si>
    <t>LEF-5775</t>
  </si>
  <si>
    <t>B-2505-175 / MTC-2505-76</t>
  </si>
  <si>
    <t>Yes - GI-00075</t>
  </si>
  <si>
    <t>B-2505-176 / MTC-2505-76</t>
  </si>
  <si>
    <t>DC-00076</t>
  </si>
  <si>
    <t>B-2505-188 / MTC-2505-77</t>
  </si>
  <si>
    <t>Yes - GI-00076</t>
  </si>
  <si>
    <t>DC-00077</t>
  </si>
  <si>
    <t>B-2505-201 / MTC-2505-78</t>
  </si>
  <si>
    <t>Yes - GI-00077</t>
  </si>
  <si>
    <t>DC-00078</t>
  </si>
  <si>
    <t>LEF-5886</t>
  </si>
  <si>
    <t>B-2505-214 / MTC-2505-79</t>
  </si>
  <si>
    <t>Yes - GI-00078</t>
  </si>
  <si>
    <t>B-2505-215 / MTC-2505-79</t>
  </si>
  <si>
    <t>DC-00079</t>
  </si>
  <si>
    <t>B-2505-227 / MTC-2505-80</t>
  </si>
  <si>
    <t>Yes - GI-00079</t>
  </si>
  <si>
    <t>DC-00080</t>
  </si>
  <si>
    <t>LEF-5960</t>
  </si>
  <si>
    <t>B-2505-240 / MTC-2505-81</t>
  </si>
  <si>
    <t>Yes - GI-00080</t>
  </si>
  <si>
    <t>B-2505-241 / MTC-2505-81</t>
  </si>
  <si>
    <t>DC-00081</t>
  </si>
  <si>
    <t>B-2505-253 / MTC-2505-82</t>
  </si>
  <si>
    <t>Yes - GI-00081</t>
  </si>
  <si>
    <t>DC-00082</t>
  </si>
  <si>
    <t>B-2505-266 / MTC-2505-83</t>
  </si>
  <si>
    <t>Yes - GI-00082</t>
  </si>
  <si>
    <t>DC-00083</t>
  </si>
  <si>
    <t>LEF-6071</t>
  </si>
  <si>
    <t>B-2505-279 / MTC-2505-84</t>
  </si>
  <si>
    <t>Yes - GI-00083</t>
  </si>
  <si>
    <t>RC-00083</t>
  </si>
  <si>
    <t>Transit damage - PKR 3200 - recovered from transporter</t>
  </si>
  <si>
    <t>B-2505-280 / MTC-2505-84</t>
  </si>
  <si>
    <t>Transit damage - PKR 3240 - recovered from transporter</t>
  </si>
  <si>
    <t>DC-00084</t>
  </si>
  <si>
    <t>SO-0017 / QT-0017</t>
  </si>
  <si>
    <t>B-2506-292 / MTC-2506-85</t>
  </si>
  <si>
    <t>Yes - GI-00084</t>
  </si>
  <si>
    <t>SI-0015</t>
  </si>
  <si>
    <t>FB-TRN002-2506</t>
  </si>
  <si>
    <t>DC-00085</t>
  </si>
  <si>
    <t>B-2506-305 / MTC-2506-86</t>
  </si>
  <si>
    <t>Yes - GI-00085</t>
  </si>
  <si>
    <t>RC-00085</t>
  </si>
  <si>
    <t>Transit damage - PKR 13650 - recovered from transporter</t>
  </si>
  <si>
    <t>FB-TRN001-2506</t>
  </si>
  <si>
    <t>DC-00086</t>
  </si>
  <si>
    <t>B-2506-318 / MTC-2506-87</t>
  </si>
  <si>
    <t>Yes - GI-00086</t>
  </si>
  <si>
    <t>B-2506-319 / MTC-2506-87</t>
  </si>
  <si>
    <t>DC-00087</t>
  </si>
  <si>
    <t>B-2506-331 / MTC-2506-88</t>
  </si>
  <si>
    <t>Yes - GI-00087</t>
  </si>
  <si>
    <t>B-2506-332 / MTC-2506-88</t>
  </si>
  <si>
    <t>DC-00088</t>
  </si>
  <si>
    <t>B-2506-344 / MTC-2506-89</t>
  </si>
  <si>
    <t>Yes - GI-00088</t>
  </si>
  <si>
    <t>DC-00089</t>
  </si>
  <si>
    <t>SO-0018 / QT-0018</t>
  </si>
  <si>
    <t>B-2507-357 / MTC-2507-90</t>
  </si>
  <si>
    <t>Yes - GI-00089</t>
  </si>
  <si>
    <t>SI-0016</t>
  </si>
  <si>
    <t>FB-TRN001-2507</t>
  </si>
  <si>
    <t>DC-00090</t>
  </si>
  <si>
    <t>SO-0019 / QT-0019</t>
  </si>
  <si>
    <t>Godown 4, G.T. Road, Gujranwala</t>
  </si>
  <si>
    <t>Haji Muhammad Rafiq - 0300-6421785</t>
  </si>
  <si>
    <t>B-2507-370 / MTC-2507-91</t>
  </si>
  <si>
    <t>Yes - GI-00090</t>
  </si>
  <si>
    <t>RC-00090</t>
  </si>
  <si>
    <t>Transit damage - PKR 16440 - recovered from transporter</t>
  </si>
  <si>
    <t>SI-0017</t>
  </si>
  <si>
    <t>FB-TRN002-2507</t>
  </si>
  <si>
    <t>DC-00091</t>
  </si>
  <si>
    <t>B-2507-383 / MTC-2507-92</t>
  </si>
  <si>
    <t>Yes - GI-00091</t>
  </si>
  <si>
    <t>DC-00092</t>
  </si>
  <si>
    <t>B-2507-396 / MTC-2507-93</t>
  </si>
  <si>
    <t>Yes - GI-00092</t>
  </si>
  <si>
    <t>B-2507-397 / MTC-2507-93</t>
  </si>
  <si>
    <t>DC-00093</t>
  </si>
  <si>
    <t>B-2507-409 / MTC-2507-94</t>
  </si>
  <si>
    <t>Yes - GI-00093</t>
  </si>
  <si>
    <t>B-2507-410 / MTC-2507-94</t>
  </si>
  <si>
    <t>B-2507-411 / MTC-2507-94</t>
  </si>
  <si>
    <t>DC-00094</t>
  </si>
  <si>
    <t>B-2507-422 / MTC-2507-95</t>
  </si>
  <si>
    <t>Yes - GI-00094</t>
  </si>
  <si>
    <t>B-2507-423 / MTC-2507-95</t>
  </si>
  <si>
    <t>DC-00095</t>
  </si>
  <si>
    <t>B-2507-435 / MTC-2507-96</t>
  </si>
  <si>
    <t>Yes - GI-00095</t>
  </si>
  <si>
    <t>B-2507-436 / MTC-2507-96</t>
  </si>
  <si>
    <t>DC-00096</t>
  </si>
  <si>
    <t>B-2507-448 / MTC-2507-97</t>
  </si>
  <si>
    <t>Yes - GI-00096</t>
  </si>
  <si>
    <t>B-2507-449 / MTC-2507-97</t>
  </si>
  <si>
    <t>DC-00097</t>
  </si>
  <si>
    <t>B-2507-461 / MTC-2507-1</t>
  </si>
  <si>
    <t>Yes - GI-00097</t>
  </si>
  <si>
    <t>DC-00098</t>
  </si>
  <si>
    <t>B-2507-474 / MTC-2507-2</t>
  </si>
  <si>
    <t>Yes - GI-00098</t>
  </si>
  <si>
    <t>RC-00098</t>
  </si>
  <si>
    <t>Transit damage - PKR 13700 - recovered from transporter</t>
  </si>
  <si>
    <t>DC-00099</t>
  </si>
  <si>
    <t>B-2507-487 / MTC-2507-3</t>
  </si>
  <si>
    <t>Yes - GI-00099</t>
  </si>
  <si>
    <t>DC-00100</t>
  </si>
  <si>
    <t>B-2507-500 / MTC-2507-4</t>
  </si>
  <si>
    <t>Yes - GI-00100</t>
  </si>
  <si>
    <t>B-2507-501 / MTC-2507-4</t>
  </si>
  <si>
    <t>DC-00101</t>
  </si>
  <si>
    <t>SO-0021 / QT-0021</t>
  </si>
  <si>
    <t>B-2508-513 / MTC-2508-5</t>
  </si>
  <si>
    <t>Yes - GI-00101</t>
  </si>
  <si>
    <t>SI-0019</t>
  </si>
  <si>
    <t>FB-TRN002-2508</t>
  </si>
  <si>
    <t>DC-00102</t>
  </si>
  <si>
    <t>SO-0022 / QT-0022</t>
  </si>
  <si>
    <t>B-2508-526 / MTC-2508-6</t>
  </si>
  <si>
    <t>Yes - GI-00102</t>
  </si>
  <si>
    <t>SI-0018</t>
  </si>
  <si>
    <t>FB-TRN001-2508</t>
  </si>
  <si>
    <t>DC-00103</t>
  </si>
  <si>
    <t>B-2508-539 / MTC-2508-7</t>
  </si>
  <si>
    <t>Yes - GI-00103</t>
  </si>
  <si>
    <t>RC-00103</t>
  </si>
  <si>
    <t>Transit damage - PKR 8265 - recovered from transporter</t>
  </si>
  <si>
    <t>DC-00104</t>
  </si>
  <si>
    <t>B-2508-552 / MTC-2508-8</t>
  </si>
  <si>
    <t>Yes - GI-00104</t>
  </si>
  <si>
    <t>B-2508-553 / MTC-2508-8</t>
  </si>
  <si>
    <t>DC-00105</t>
  </si>
  <si>
    <t>B-2508-565 / MTC-2508-9</t>
  </si>
  <si>
    <t>Yes - GI-00105</t>
  </si>
  <si>
    <t>B-2508-566 / MTC-2508-9</t>
  </si>
  <si>
    <t>B-2508-567 / MTC-2508-9</t>
  </si>
  <si>
    <t>DC-00106</t>
  </si>
  <si>
    <t>B-2508-578 / MTC-2508-10</t>
  </si>
  <si>
    <t>Yes - GI-00106</t>
  </si>
  <si>
    <t>DC-00107</t>
  </si>
  <si>
    <t>B-2508-591 / MTC-2508-11</t>
  </si>
  <si>
    <t>Yes - GI-00107</t>
  </si>
  <si>
    <t>DC-00108</t>
  </si>
  <si>
    <t>B-2508-604 / MTC-2508-12</t>
  </si>
  <si>
    <t>Yes - GI-00108</t>
  </si>
  <si>
    <t>RC-00108</t>
  </si>
  <si>
    <t>Transit damage - PKR 13775 - recovered from transporter</t>
  </si>
  <si>
    <t>DC-00109</t>
  </si>
  <si>
    <t>B-2508-617 / MTC-2508-13</t>
  </si>
  <si>
    <t>Yes - GI-00109</t>
  </si>
  <si>
    <t>DC-00110</t>
  </si>
  <si>
    <t>B-2508-630 / MTC-2508-14</t>
  </si>
  <si>
    <t>Yes - GI-00110</t>
  </si>
  <si>
    <t>DC-00111</t>
  </si>
  <si>
    <t>B-2508-643 / MTC-2508-15</t>
  </si>
  <si>
    <t>Yes - GI-00111</t>
  </si>
  <si>
    <t>DC-00112</t>
  </si>
  <si>
    <t>SO-0023 / QT-0023</t>
  </si>
  <si>
    <t>B-2509-656 / MTC-2509-16</t>
  </si>
  <si>
    <t>Yes - GI-00112</t>
  </si>
  <si>
    <t>SI-0020</t>
  </si>
  <si>
    <t>FB-TRN002-2509</t>
  </si>
  <si>
    <t>DC-00113</t>
  </si>
  <si>
    <t>B-2509-669 / MTC-2509-17</t>
  </si>
  <si>
    <t>Yes - GI-00113</t>
  </si>
  <si>
    <t>DC-00114</t>
  </si>
  <si>
    <t>B-2509-682 / MTC-2509-18</t>
  </si>
  <si>
    <t>Yes - GI-00114</t>
  </si>
  <si>
    <t>FB-TRN001-2509</t>
  </si>
  <si>
    <t>B-2509-683 / MTC-2509-18</t>
  </si>
  <si>
    <t>DC-00115</t>
  </si>
  <si>
    <t>B-2509-695 / MTC-2509-19</t>
  </si>
  <si>
    <t>Yes - GI-00115</t>
  </si>
  <si>
    <t>B-2509-696 / MTC-2509-19</t>
  </si>
  <si>
    <t>DC-00116</t>
  </si>
  <si>
    <t>B-2509-708 / MTC-2509-20</t>
  </si>
  <si>
    <t>Yes - GI-00116</t>
  </si>
  <si>
    <t>DC-00117</t>
  </si>
  <si>
    <t>B-2509-721 / MTC-2509-21</t>
  </si>
  <si>
    <t>Yes - GI-00117</t>
  </si>
  <si>
    <t>DC-00118</t>
  </si>
  <si>
    <t>SO-0024 / QT-0024</t>
  </si>
  <si>
    <t>B-2510-734 / MTC-2510-22</t>
  </si>
  <si>
    <t>Yes - GI-00118</t>
  </si>
  <si>
    <t>SI-0022</t>
  </si>
  <si>
    <t>FB-TRN001-2510</t>
  </si>
  <si>
    <t>DC-00119</t>
  </si>
  <si>
    <t>SO-0025 / QT-0025</t>
  </si>
  <si>
    <t>B-2510-747 / MTC-2510-23</t>
  </si>
  <si>
    <t>Yes - GI-00119</t>
  </si>
  <si>
    <t>SI-0021</t>
  </si>
  <si>
    <t>FB-TRN003-2510</t>
  </si>
  <si>
    <t>DC-00120</t>
  </si>
  <si>
    <t>B-2510-760 / MTC-2510-24</t>
  </si>
  <si>
    <t>Yes - GI-00120</t>
  </si>
  <si>
    <t>FB-TRN002-2510</t>
  </si>
  <si>
    <t>DC-00121</t>
  </si>
  <si>
    <t>B-2510-773 / MTC-2510-25</t>
  </si>
  <si>
    <t>Yes - GI-00121</t>
  </si>
  <si>
    <t>DC-00122</t>
  </si>
  <si>
    <t>B-2510-786 / MTC-2510-26</t>
  </si>
  <si>
    <t>Yes - GI-00122</t>
  </si>
  <si>
    <t>DC-00123</t>
  </si>
  <si>
    <t>B-2510-799 / MTC-2510-27</t>
  </si>
  <si>
    <t>Yes - GI-00123</t>
  </si>
  <si>
    <t>DC-00124</t>
  </si>
  <si>
    <t>B-2510-812 / MTC-2510-28</t>
  </si>
  <si>
    <t>Yes - GI-00124</t>
  </si>
  <si>
    <t>DC-00125</t>
  </si>
  <si>
    <t>B-2510-825 / MTC-2510-29</t>
  </si>
  <si>
    <t>Yes - GI-00125</t>
  </si>
  <si>
    <t>DC-00126</t>
  </si>
  <si>
    <t>B-2510-838 / MTC-2510-30</t>
  </si>
  <si>
    <t>Yes - GI-00126</t>
  </si>
  <si>
    <t>DC-00127</t>
  </si>
  <si>
    <t>B-2510-851 / MTC-2510-31</t>
  </si>
  <si>
    <t>Yes - GI-00127</t>
  </si>
  <si>
    <t>DC-00128</t>
  </si>
  <si>
    <t>B-2510-864 / MTC-2510-32</t>
  </si>
  <si>
    <t>Yes - GI-00128</t>
  </si>
  <si>
    <t>DC-00129</t>
  </si>
  <si>
    <t>B-2510-877 / MTC-2510-33</t>
  </si>
  <si>
    <t>Yes - GI-00129</t>
  </si>
  <si>
    <t>DC-00130</t>
  </si>
  <si>
    <t>B-2510-890 / MTC-2510-34</t>
  </si>
  <si>
    <t>Yes - GI-00130</t>
  </si>
  <si>
    <t>DC-00131</t>
  </si>
  <si>
    <t>SO-0027 / QT-0027</t>
  </si>
  <si>
    <t>B-2511-903 / MTC-2511-35</t>
  </si>
  <si>
    <t>Yes - GI-00131</t>
  </si>
  <si>
    <t>SI-0023</t>
  </si>
  <si>
    <t>FB-TRN003-2511</t>
  </si>
  <si>
    <t>DC-00132</t>
  </si>
  <si>
    <t>SO-0028 / QT-0028</t>
  </si>
  <si>
    <t>B-2511-916 / MTC-2511-36</t>
  </si>
  <si>
    <t>Yes - GI-00132</t>
  </si>
  <si>
    <t>SI-0024</t>
  </si>
  <si>
    <t>FB-TRN001-2511</t>
  </si>
  <si>
    <t>DC-00133</t>
  </si>
  <si>
    <t>B-2511-929 / MTC-2511-37</t>
  </si>
  <si>
    <t>Yes - GI-00133</t>
  </si>
  <si>
    <t>DC-00134</t>
  </si>
  <si>
    <t>B-2511-942 / MTC-2511-38</t>
  </si>
  <si>
    <t>Yes - GI-00134</t>
  </si>
  <si>
    <t>DC-00135</t>
  </si>
  <si>
    <t>B-2511-955 / MTC-2511-39</t>
  </si>
  <si>
    <t>Yes - GI-00135</t>
  </si>
  <si>
    <t>DC-00136</t>
  </si>
  <si>
    <t>B-2511-968 / MTC-2511-40</t>
  </si>
  <si>
    <t>Yes - GI-00136</t>
  </si>
  <si>
    <t>DC-00137</t>
  </si>
  <si>
    <t>B-2511-981 / MTC-2511-41</t>
  </si>
  <si>
    <t>Yes - GI-00137</t>
  </si>
  <si>
    <t>B-2511-982 / MTC-2511-41</t>
  </si>
  <si>
    <t>RC-00137</t>
  </si>
  <si>
    <t>Transit damage - PKR 9060 - recovered from transporter</t>
  </si>
  <si>
    <t>DC-00138</t>
  </si>
  <si>
    <t>B-2511-994 / MTC-2511-42</t>
  </si>
  <si>
    <t>Yes - GI-00138</t>
  </si>
  <si>
    <t>RC-00138</t>
  </si>
  <si>
    <t>FB-TRN002-2511</t>
  </si>
  <si>
    <t>B-2511-995 / MTC-2511-42</t>
  </si>
  <si>
    <t>DC-00139</t>
  </si>
  <si>
    <t>B-2511-107 / MTC-2511-43</t>
  </si>
  <si>
    <t>Yes - GI-00139</t>
  </si>
  <si>
    <t>DC-00140</t>
  </si>
  <si>
    <t>B-2511-120 / MTC-2511-44</t>
  </si>
  <si>
    <t>Yes - GI-00140</t>
  </si>
  <si>
    <t>DC-00141</t>
  </si>
  <si>
    <t>B-2511-133 / MTC-2511-45</t>
  </si>
  <si>
    <t>Yes - GI-00141</t>
  </si>
  <si>
    <t>B-2511-134 / MTC-2511-45</t>
  </si>
  <si>
    <t>B-2511-135 / MTC-2511-45</t>
  </si>
  <si>
    <t>RC-00141</t>
  </si>
  <si>
    <t>DC-00142</t>
  </si>
  <si>
    <t>SO-0029 / QT-0029</t>
  </si>
  <si>
    <t>Engr. Taimoor Aslam - 0331-4789021</t>
  </si>
  <si>
    <t>B-2512-146 / MTC-2512-46</t>
  </si>
  <si>
    <t>Yes - GI-00142</t>
  </si>
  <si>
    <t>SI-0025</t>
  </si>
  <si>
    <t>FB-TRN003-2512</t>
  </si>
  <si>
    <t>DC-00143</t>
  </si>
  <si>
    <t>B-2512-159 / MTC-2512-47</t>
  </si>
  <si>
    <t>Yes - GI-00143</t>
  </si>
  <si>
    <t>DC-00144</t>
  </si>
  <si>
    <t>B-2512-172 / MTC-2512-48</t>
  </si>
  <si>
    <t>Yes - GI-00144</t>
  </si>
  <si>
    <t>DC-00145</t>
  </si>
  <si>
    <t>B-2512-185 / MTC-2512-49</t>
  </si>
  <si>
    <t>Yes - GI-00145</t>
  </si>
  <si>
    <t>DC-00146</t>
  </si>
  <si>
    <t>B-2512-198 / MTC-2512-50</t>
  </si>
  <si>
    <t>Yes - GI-00146</t>
  </si>
  <si>
    <t>DC-00147</t>
  </si>
  <si>
    <t>B-2512-211 / MTC-2512-51</t>
  </si>
  <si>
    <t>Yes - GI-00147</t>
  </si>
  <si>
    <t>DC-00148</t>
  </si>
  <si>
    <t>SO-0031 / QT-0031</t>
  </si>
  <si>
    <t>B-2601-224 / MTC-2601-52</t>
  </si>
  <si>
    <t>Yes - GI-00148</t>
  </si>
  <si>
    <t>SI-0026</t>
  </si>
  <si>
    <t>FB-TRN003-2601</t>
  </si>
  <si>
    <t>DC-00149</t>
  </si>
  <si>
    <t>SO-0030 / QT-0030</t>
  </si>
  <si>
    <t>B-2601-237 / MTC-2601-53</t>
  </si>
  <si>
    <t>Yes - GI-00149</t>
  </si>
  <si>
    <t>SI-0027</t>
  </si>
  <si>
    <t>FB-TRN002-2601</t>
  </si>
  <si>
    <t>B-2601-238 / MTC-2601-53</t>
  </si>
  <si>
    <t>B-2601-239 / MTC-2601-53</t>
  </si>
  <si>
    <t>RC-00149</t>
  </si>
  <si>
    <t>Transit damage - PKR 4350 - recovered from transporter</t>
  </si>
  <si>
    <t>DC-00150</t>
  </si>
  <si>
    <t>B-2601-250 / MTC-2601-54</t>
  </si>
  <si>
    <t>Yes - GI-00150</t>
  </si>
  <si>
    <t>DC-00151</t>
  </si>
  <si>
    <t>B-2601-263 / MTC-2601-55</t>
  </si>
  <si>
    <t>Yes - GI-00151</t>
  </si>
  <si>
    <t>DC-00152</t>
  </si>
  <si>
    <t>B-2601-276 / MTC-2601-56</t>
  </si>
  <si>
    <t>Yes - GI-00152</t>
  </si>
  <si>
    <t>DC-00153</t>
  </si>
  <si>
    <t>B-2601-289 / MTC-2601-57</t>
  </si>
  <si>
    <t>Yes - GI-00153</t>
  </si>
  <si>
    <t>FB-TRN001-2601</t>
  </si>
  <si>
    <t>DC-00154</t>
  </si>
  <si>
    <t>B-2601-302 / MTC-2601-58</t>
  </si>
  <si>
    <t>Yes - GI-00154</t>
  </si>
  <si>
    <t>DC-00155</t>
  </si>
  <si>
    <t>B-2601-315 / MTC-2601-59</t>
  </si>
  <si>
    <t>Yes - GI-00155</t>
  </si>
  <si>
    <t>B-2601-316 / MTC-2601-59</t>
  </si>
  <si>
    <t>RC-00155</t>
  </si>
  <si>
    <t>Transit damage - PKR 11280 - recovered from transporter</t>
  </si>
  <si>
    <t>B-2601-317 / MTC-2601-59</t>
  </si>
  <si>
    <t>DC-00156</t>
  </si>
  <si>
    <t>B-2601-328 / MTC-2601-60</t>
  </si>
  <si>
    <t>Yes - GI-00156</t>
  </si>
  <si>
    <t>DC-00157</t>
  </si>
  <si>
    <t>B-2601-341 / MTC-2601-61</t>
  </si>
  <si>
    <t>Yes - GI-00157</t>
  </si>
  <si>
    <t>DC-00158</t>
  </si>
  <si>
    <t>B-2601-354 / MTC-2601-62</t>
  </si>
  <si>
    <t>Yes - GI-00158</t>
  </si>
  <si>
    <t>DC-00159</t>
  </si>
  <si>
    <t>SO-0034 / QT-0034</t>
  </si>
  <si>
    <t>B-2602-367 / MTC-2602-63</t>
  </si>
  <si>
    <t>Yes - GI-00159</t>
  </si>
  <si>
    <t>SI-0028</t>
  </si>
  <si>
    <t>FB-TRN002-2602</t>
  </si>
  <si>
    <t>DC-00160</t>
  </si>
  <si>
    <t>SO-0033 / QT-0033</t>
  </si>
  <si>
    <t>B-2602-380 / MTC-2602-64</t>
  </si>
  <si>
    <t>Yes - GI-00160</t>
  </si>
  <si>
    <t>SI-0029</t>
  </si>
  <si>
    <t>DC-00161</t>
  </si>
  <si>
    <t>B-2602-393 / MTC-2602-65</t>
  </si>
  <si>
    <t>Yes - GI-00161</t>
  </si>
  <si>
    <t>RC-00161</t>
  </si>
  <si>
    <t>Transit damage - PKR 7650 - recovered from transporter</t>
  </si>
  <si>
    <t>DC-00162</t>
  </si>
  <si>
    <t>B-2602-406 / MTC-2602-66</t>
  </si>
  <si>
    <t>Yes - GI-00162</t>
  </si>
  <si>
    <t>FB-TRN001-2602</t>
  </si>
  <si>
    <t>DC-00163</t>
  </si>
  <si>
    <t>B-2602-419 / MTC-2602-67</t>
  </si>
  <si>
    <t>Yes - GI-00163</t>
  </si>
  <si>
    <t>DC-00164</t>
  </si>
  <si>
    <t>B-2602-432 / MTC-2602-68</t>
  </si>
  <si>
    <t>Yes - GI-00164</t>
  </si>
  <si>
    <t>DC-00165</t>
  </si>
  <si>
    <t>B-2602-445 / MTC-2602-69</t>
  </si>
  <si>
    <t>Yes - GI-00165</t>
  </si>
  <si>
    <t>DC-00166</t>
  </si>
  <si>
    <t>B-2602-458 / MTC-2602-70</t>
  </si>
  <si>
    <t>Yes - GI-00166</t>
  </si>
  <si>
    <t>DC-00167</t>
  </si>
  <si>
    <t>B-2602-471 / MTC-2602-71</t>
  </si>
  <si>
    <t>Yes - GI-00167</t>
  </si>
  <si>
    <t>DC-00168</t>
  </si>
  <si>
    <t>B-2602-484 / MTC-2602-72</t>
  </si>
  <si>
    <t>Yes - GI-00168</t>
  </si>
  <si>
    <t>DC-00169</t>
  </si>
  <si>
    <t>B-2602-497 / MTC-2602-73</t>
  </si>
  <si>
    <t>Yes - GI-00169</t>
  </si>
  <si>
    <t>DC-00170</t>
  </si>
  <si>
    <t>B-2602-510 / MTC-2602-74</t>
  </si>
  <si>
    <t>Yes - GI-00170</t>
  </si>
  <si>
    <t>DC-00171</t>
  </si>
  <si>
    <t>B-2602-523 / MTC-2602-75</t>
  </si>
  <si>
    <t>Yes - GI-00171</t>
  </si>
  <si>
    <t>DC-00172</t>
  </si>
  <si>
    <t>SO-0035 / QT-0035</t>
  </si>
  <si>
    <t>B-2603-536 / MTC-2603-76</t>
  </si>
  <si>
    <t>Yes - GI-00172</t>
  </si>
  <si>
    <t>RC-00172</t>
  </si>
  <si>
    <t>Transit damage - PKR 4620 - recovered from transporter</t>
  </si>
  <si>
    <t>SI-0030</t>
  </si>
  <si>
    <t>FB-TRN002-2603</t>
  </si>
  <si>
    <t>DC-00173</t>
  </si>
  <si>
    <t>B-2603-549 / MTC-2603-77</t>
  </si>
  <si>
    <t>Yes - GI-00173</t>
  </si>
  <si>
    <t>DC-00174</t>
  </si>
  <si>
    <t>B-2603-562 / MTC-2603-78</t>
  </si>
  <si>
    <t>Yes - GI-00174</t>
  </si>
  <si>
    <t>RC-00174</t>
  </si>
  <si>
    <t>Transit damage - PKR 6160 - recovered from transporter</t>
  </si>
  <si>
    <t>DC-00175</t>
  </si>
  <si>
    <t>B-2603-575 / MTC-2603-79</t>
  </si>
  <si>
    <t>Yes - GI-00175</t>
  </si>
  <si>
    <t>DC-00176</t>
  </si>
  <si>
    <t>B-2603-588 / MTC-2603-80</t>
  </si>
  <si>
    <t>Yes - GI-00176</t>
  </si>
  <si>
    <t>DC-00177</t>
  </si>
  <si>
    <t>B-2603-601 / MTC-2603-81</t>
  </si>
  <si>
    <t>Yes - GI-00177</t>
  </si>
  <si>
    <t>DC-00178</t>
  </si>
  <si>
    <t>SO-0037 / QT-0037</t>
  </si>
  <si>
    <t>B-2604-614 / MTC-2604-82</t>
  </si>
  <si>
    <t>Yes - GI-00178</t>
  </si>
  <si>
    <t>SI-0031</t>
  </si>
  <si>
    <t>FB-TRN003-2604</t>
  </si>
  <si>
    <t>DC-00179</t>
  </si>
  <si>
    <t>SO-0036 / QT-0036</t>
  </si>
  <si>
    <t>B-2604-627 / MTC-2604-83</t>
  </si>
  <si>
    <t>Yes - GI-00179</t>
  </si>
  <si>
    <t>SI-0032</t>
  </si>
  <si>
    <t>FB-TRN001-2604</t>
  </si>
  <si>
    <t>DC-00180</t>
  </si>
  <si>
    <t>B-2604-640 / MTC-2604-84</t>
  </si>
  <si>
    <t>Yes - GI-00180</t>
  </si>
  <si>
    <t>DC-00181</t>
  </si>
  <si>
    <t>B-2604-653 / MTC-2604-85</t>
  </si>
  <si>
    <t>Yes - GI-00181</t>
  </si>
  <si>
    <t>B-2604-654 / MTC-2604-85</t>
  </si>
  <si>
    <t>DC-00182</t>
  </si>
  <si>
    <t>B-2604-666 / MTC-2604-86</t>
  </si>
  <si>
    <t>Yes - GI-00182</t>
  </si>
  <si>
    <t>DC-00183</t>
  </si>
  <si>
    <t>B-2604-679 / MTC-2604-87</t>
  </si>
  <si>
    <t>Yes - GI-00183</t>
  </si>
  <si>
    <t>FB-TRN002-2604</t>
  </si>
  <si>
    <t>B-2604-680 / MTC-2604-87</t>
  </si>
  <si>
    <t>DC-00184</t>
  </si>
  <si>
    <t>B-2604-692 / MTC-2604-88</t>
  </si>
  <si>
    <t>Yes - GI-00184</t>
  </si>
  <si>
    <t>DC-00185</t>
  </si>
  <si>
    <t>B-2604-705 / MTC-2604-89</t>
  </si>
  <si>
    <t>Yes - GI-00185</t>
  </si>
  <si>
    <t>DC-00186</t>
  </si>
  <si>
    <t>B-2604-718 / MTC-2604-90</t>
  </si>
  <si>
    <t>Yes - GI-00186</t>
  </si>
  <si>
    <t>B-2604-719 / MTC-2604-90</t>
  </si>
  <si>
    <t>DC-00187</t>
  </si>
  <si>
    <t>B-2604-731 / MTC-2604-91</t>
  </si>
  <si>
    <t>Yes - GI-00187</t>
  </si>
  <si>
    <t>DC-00188</t>
  </si>
  <si>
    <t>B-2604-744 / MTC-2604-92</t>
  </si>
  <si>
    <t>Yes - GI-00188</t>
  </si>
  <si>
    <t>DC-00189</t>
  </si>
  <si>
    <t>SO-0038 / QT-0038</t>
  </si>
  <si>
    <t>B-2605-757 / MTC-2605-93</t>
  </si>
  <si>
    <t>Yes - GI-00189</t>
  </si>
  <si>
    <t>SI-0034</t>
  </si>
  <si>
    <t>FB-TRN003-2605</t>
  </si>
  <si>
    <t>DC-00190</t>
  </si>
  <si>
    <t>SO-0039 / QT-0039</t>
  </si>
  <si>
    <t>B-2605-770 / MTC-2605-94</t>
  </si>
  <si>
    <t>Yes - GI-00190</t>
  </si>
  <si>
    <t>SI-0033</t>
  </si>
  <si>
    <t>FB-TRN001-2605</t>
  </si>
  <si>
    <t>DC-00191</t>
  </si>
  <si>
    <t>B-2605-783 / MTC-2605-95</t>
  </si>
  <si>
    <t>Yes - GI-00191</t>
  </si>
  <si>
    <t>DC-00192</t>
  </si>
  <si>
    <t>B-2605-796 / MTC-2605-96</t>
  </si>
  <si>
    <t>Yes - GI-00192</t>
  </si>
  <si>
    <t>DC-00193</t>
  </si>
  <si>
    <t>B-2605-809 / MTC-2605-97</t>
  </si>
  <si>
    <t>Yes - GI-00193</t>
  </si>
  <si>
    <t>DC-00194</t>
  </si>
  <si>
    <t>B-2605-822 / MTC-2605-1</t>
  </si>
  <si>
    <t>Yes - GI-00194</t>
  </si>
  <si>
    <t>DC-00195</t>
  </si>
  <si>
    <t>B-2605-835 / MTC-2605-2</t>
  </si>
  <si>
    <t>Yes - GI-00195</t>
  </si>
  <si>
    <t>FB-TRN002-2605</t>
  </si>
  <si>
    <t>DC-00196</t>
  </si>
  <si>
    <t>B-2605-848 / MTC-2605-3</t>
  </si>
  <si>
    <t>Yes - GI-00196</t>
  </si>
  <si>
    <t>DC-00197</t>
  </si>
  <si>
    <t>B-2605-861 / MTC-2605-4</t>
  </si>
  <si>
    <t>Yes - GI-00197</t>
  </si>
  <si>
    <t>DC-00198</t>
  </si>
  <si>
    <t>B-2605-874 / MTC-2605-5</t>
  </si>
  <si>
    <t>Yes - GI-00198</t>
  </si>
  <si>
    <t>DC-00199</t>
  </si>
  <si>
    <t>B-2605-887 / MTC-2605-6</t>
  </si>
  <si>
    <t>Yes - GI-00199</t>
  </si>
  <si>
    <t>RC-00199</t>
  </si>
  <si>
    <t>Transit damage - PKR 10260 - recovered from transporter</t>
  </si>
  <si>
    <t>DC-00200</t>
  </si>
  <si>
    <t>B-2605-900 / MTC-2605-7</t>
  </si>
  <si>
    <t>Yes - GI-00200</t>
  </si>
  <si>
    <t>DC-00201</t>
  </si>
  <si>
    <t>SO-0041 / QT-0041</t>
  </si>
  <si>
    <t>B-2606-913 / MTC-2606-8</t>
  </si>
  <si>
    <t>Yes - GI-00201</t>
  </si>
  <si>
    <t>SI-0035</t>
  </si>
  <si>
    <t>FB-TRN002-2606</t>
  </si>
  <si>
    <t>DC-00202</t>
  </si>
  <si>
    <t>B-2606-926 / MTC-2606-9</t>
  </si>
  <si>
    <t>Yes - GI-00202</t>
  </si>
  <si>
    <t>B-2606-927 / MTC-2606-9</t>
  </si>
  <si>
    <t>B-2606-928 / MTC-2606-9</t>
  </si>
  <si>
    <t>DC-00203</t>
  </si>
  <si>
    <t>B-2606-939 / MTC-2606-10</t>
  </si>
  <si>
    <t>Yes - GI-00203</t>
  </si>
  <si>
    <t>B-2606-940 / MTC-2606-10</t>
  </si>
  <si>
    <t>DC-00204</t>
  </si>
  <si>
    <t>B-2606-952 / MTC-2606-11</t>
  </si>
  <si>
    <t>Yes - GI-00204</t>
  </si>
  <si>
    <t>B-2606-953 / MTC-2606-11</t>
  </si>
  <si>
    <t>RC-00204</t>
  </si>
  <si>
    <t>Transit damage - PKR 10320 - recovered from transporter</t>
  </si>
  <si>
    <t>DC-00205</t>
  </si>
  <si>
    <t>B-2606-965 / MTC-2606-12</t>
  </si>
  <si>
    <t>Yes - GI-00205</t>
  </si>
  <si>
    <t>DC-00206</t>
  </si>
  <si>
    <t>SO-0043 / QT-0043</t>
  </si>
  <si>
    <t>B-2607-978 / MTC-2607-13</t>
  </si>
  <si>
    <t>Yes - GI-00206</t>
  </si>
  <si>
    <t>SI-0037</t>
  </si>
  <si>
    <t>FB-TRN002-2607</t>
  </si>
  <si>
    <t>DC-00207</t>
  </si>
  <si>
    <t>SO-0042 / QT-0042</t>
  </si>
  <si>
    <t>B-2607-991 / MTC-2607-14</t>
  </si>
  <si>
    <t>Yes - GI-00207</t>
  </si>
  <si>
    <t>SI-0036</t>
  </si>
  <si>
    <t>DC-00208</t>
  </si>
  <si>
    <t>B-2607-104 / MTC-2607-15</t>
  </si>
  <si>
    <t>Yes - GI-00208</t>
  </si>
  <si>
    <t>FB-TRN001-2607</t>
  </si>
  <si>
    <t>DC-00209</t>
  </si>
  <si>
    <t>B-2607-117 / MTC-2607-16</t>
  </si>
  <si>
    <t>Yes - GI-00209</t>
  </si>
  <si>
    <t>B-2607-118 / MTC-2607-16</t>
  </si>
  <si>
    <t>DC-00210</t>
  </si>
  <si>
    <t>B-2607-130 / MTC-2607-17</t>
  </si>
  <si>
    <t>Yes - GI-00210</t>
  </si>
  <si>
    <t>DC-00211</t>
  </si>
  <si>
    <t>B-2607-143 / MTC-2607-18</t>
  </si>
  <si>
    <t>Yes - GI-00211</t>
  </si>
  <si>
    <t>DC-00212</t>
  </si>
  <si>
    <t>B-2607-156 / MTC-2607-19</t>
  </si>
  <si>
    <t>Yes - GI-00212</t>
  </si>
  <si>
    <t>DC-00213</t>
  </si>
  <si>
    <t>B-2607-169 / MTC-2607-20</t>
  </si>
  <si>
    <t>Yes - GI-00213</t>
  </si>
  <si>
    <t>DC-00214</t>
  </si>
  <si>
    <t>B-2607-182 / MTC-2607-21</t>
  </si>
  <si>
    <t>Yes - GI-00214</t>
  </si>
  <si>
    <t>B-2607-183 / MTC-2607-21</t>
  </si>
  <si>
    <t>DC-00215</t>
  </si>
  <si>
    <t>B-2607-195 / MTC-2607-22</t>
  </si>
  <si>
    <t>Yes - GI-00215</t>
  </si>
  <si>
    <t>RC-00215</t>
  </si>
  <si>
    <t>Transit damage - PKR 17370 - recovered from transporter</t>
  </si>
  <si>
    <t>B-2607-196 / MTC-2607-22</t>
  </si>
  <si>
    <t>DC-00216</t>
  </si>
  <si>
    <t>B-2607-208 / MTC-2607-23</t>
  </si>
  <si>
    <t>Yes - GI-00216</t>
  </si>
  <si>
    <t>DC-00217</t>
  </si>
  <si>
    <t>B-2607-221 / MTC-2607-24</t>
  </si>
  <si>
    <t>Yes - GI-00217</t>
  </si>
  <si>
    <t>RC-00217</t>
  </si>
  <si>
    <t>B-2607-222 / MTC-2607-24</t>
  </si>
  <si>
    <t>Transit damage - PKR 6580 - recovered from transporter</t>
  </si>
  <si>
    <t>DC-00218</t>
  </si>
  <si>
    <t>B-2607-234 / MTC-2607-25</t>
  </si>
  <si>
    <t>Yes - GI-00218</t>
  </si>
  <si>
    <t>DC-00219</t>
  </si>
  <si>
    <t>SO-0044 / QT-0044</t>
  </si>
  <si>
    <t>LEF-5103</t>
  </si>
  <si>
    <t>B-2608-247 / MTC-2608-26</t>
  </si>
  <si>
    <t>Yes - GI-00219</t>
  </si>
  <si>
    <t>SI-0038</t>
  </si>
  <si>
    <t>B-2608-248 / MTC-2608-26</t>
  </si>
  <si>
    <t>DC-00220</t>
  </si>
  <si>
    <t>SO-0045 / QT-0045</t>
  </si>
  <si>
    <t>B-2608-260 / MTC-2608-27</t>
  </si>
  <si>
    <t>Yes - GI-00220</t>
  </si>
  <si>
    <t>SI-0039</t>
  </si>
  <si>
    <t>FB-TRN002-2608</t>
  </si>
  <si>
    <t>DC-00221</t>
  </si>
  <si>
    <t>LEF-5177</t>
  </si>
  <si>
    <t>B-2608-273 / MTC-2608-28</t>
  </si>
  <si>
    <t>Yes - GI-00221</t>
  </si>
  <si>
    <t>DC-00222</t>
  </si>
  <si>
    <t>B-2608-286 / MTC-2608-29</t>
  </si>
  <si>
    <t>Yes - GI-00222</t>
  </si>
  <si>
    <t>B-2608-287 / MTC-2608-29</t>
  </si>
  <si>
    <t>DC-00223</t>
  </si>
  <si>
    <t>LEF-5251</t>
  </si>
  <si>
    <t>B-2608-299 / MTC-2608-30</t>
  </si>
  <si>
    <t>Yes - GI-00223</t>
  </si>
  <si>
    <t>DC-00224</t>
  </si>
  <si>
    <t>B-2608-312 / MTC-2608-31</t>
  </si>
  <si>
    <t>Yes - GI-00224</t>
  </si>
  <si>
    <t>FB-TRN001-2608</t>
  </si>
  <si>
    <t>B-2608-313 / MTC-2608-31</t>
  </si>
  <si>
    <t>DC-00225</t>
  </si>
  <si>
    <t>LEF-5325</t>
  </si>
  <si>
    <t>B-2608-325 / MTC-2608-32</t>
  </si>
  <si>
    <t>Yes - GI-00225</t>
  </si>
  <si>
    <t>B-2608-326 / MTC-2608-32</t>
  </si>
  <si>
    <t>DC-00226</t>
  </si>
  <si>
    <t>B-2608-338 / MTC-2608-33</t>
  </si>
  <si>
    <t>Yes - GI-00226</t>
  </si>
  <si>
    <t>B-2608-339 / MTC-2608-33</t>
  </si>
  <si>
    <t>DC-00227</t>
  </si>
  <si>
    <t>LEF-5399</t>
  </si>
  <si>
    <t>B-2608-351 / MTC-2608-34</t>
  </si>
  <si>
    <t>Yes - GI-00227</t>
  </si>
  <si>
    <t>B-2608-352 / MTC-2608-34</t>
  </si>
  <si>
    <t>RC-00227</t>
  </si>
  <si>
    <t>Transit damage - PKR 4965 - recovered from transporter</t>
  </si>
  <si>
    <t>DC-00228</t>
  </si>
  <si>
    <t>LEF-5436</t>
  </si>
  <si>
    <t>B-2608-364 / MTC-2608-35</t>
  </si>
  <si>
    <t>Yes - GI-00228</t>
  </si>
  <si>
    <t>B-2608-365 / MTC-2608-35</t>
  </si>
  <si>
    <t>DC-00229</t>
  </si>
  <si>
    <t>B-2608-377 / MTC-2608-36</t>
  </si>
  <si>
    <t>Yes - GI-00229</t>
  </si>
  <si>
    <t>DC-00230</t>
  </si>
  <si>
    <t>SO-0046 / QT-0046</t>
  </si>
  <si>
    <t>B-2609-390 / MTC-2609-37</t>
  </si>
  <si>
    <t>Yes - GI-00230</t>
  </si>
  <si>
    <t>SI-0040</t>
  </si>
  <si>
    <t>Pending - Sep-2026 bill</t>
  </si>
  <si>
    <t>DC-00231</t>
  </si>
  <si>
    <t>B-2609-403 / MTC-2609-38</t>
  </si>
  <si>
    <t>Yes - GI-00231</t>
  </si>
  <si>
    <t>DC-00232</t>
  </si>
  <si>
    <t>B-2609-416 / MTC-2609-39</t>
  </si>
  <si>
    <t>Yes - GI-00232</t>
  </si>
  <si>
    <t>DC-00233</t>
  </si>
  <si>
    <t>B-2609-429 / MTC-2609-40</t>
  </si>
  <si>
    <t>Yes - GI-00233</t>
  </si>
  <si>
    <t>RC-00233</t>
  </si>
  <si>
    <t>Transit damage - PKR 3320 - recovered from transporter</t>
  </si>
  <si>
    <t>DC-00234</t>
  </si>
  <si>
    <t>SO-0048 / QT-0048</t>
  </si>
  <si>
    <t>B-2609-442 / MTC-2609-41</t>
  </si>
  <si>
    <t>Yes - GI-00234</t>
  </si>
  <si>
    <t>B-2609-443 / MTC-2609-41</t>
  </si>
  <si>
    <t>RC-00234</t>
  </si>
  <si>
    <t>Transit damage - PKR 9480 - recovered from transporter</t>
  </si>
  <si>
    <t>DC-00235</t>
  </si>
  <si>
    <t>B-2609-455 / MTC-2609-42</t>
  </si>
  <si>
    <t>Yes - GI-00235</t>
  </si>
  <si>
    <t>DC-00236</t>
  </si>
  <si>
    <t>SO-0047 / QT-0047</t>
  </si>
  <si>
    <t>B-2609-468 / MTC-2609-43</t>
  </si>
  <si>
    <t>Yes - GI-00236</t>
  </si>
  <si>
    <t>B-2609-469 / MTC-2609-43</t>
  </si>
  <si>
    <t>RC-00236</t>
  </si>
  <si>
    <t>Transit damage - PKR 6960 - recovered from transporter</t>
  </si>
  <si>
    <t>B-2609-470 / MTC-2609-43</t>
  </si>
  <si>
    <t>DC-00237</t>
  </si>
  <si>
    <t>B-2609-481 / MTC-2609-44</t>
  </si>
  <si>
    <t>Yes - GI-00237</t>
  </si>
  <si>
    <t>B-2609-482 / MTC-2609-44</t>
  </si>
  <si>
    <t>DC-00238</t>
  </si>
  <si>
    <t>B-2609-494 / MTC-2609-45</t>
  </si>
  <si>
    <t>Yes - GI-00238</t>
  </si>
  <si>
    <t>DC-00239</t>
  </si>
  <si>
    <t>B-2609-507 / MTC-2609-46</t>
  </si>
  <si>
    <t>Yes - GI-00239</t>
  </si>
  <si>
    <t>B-2609-508 / MTC-2609-46</t>
  </si>
  <si>
    <t>DC-00240</t>
  </si>
  <si>
    <t>B-2609-520 / MTC-2609-47</t>
  </si>
  <si>
    <t>Yes - GI-00240</t>
  </si>
  <si>
    <t>B-2609-521 / MTC-2609-47</t>
  </si>
  <si>
    <t>DC-00241</t>
  </si>
  <si>
    <t>B-2609-533 / MTC-2609-48</t>
  </si>
  <si>
    <t>Yes - GI-00241</t>
  </si>
  <si>
    <t>DC-00242</t>
  </si>
  <si>
    <t>B-2609-546 / MTC-2609-49</t>
  </si>
  <si>
    <t>Yes - GI-00242</t>
  </si>
  <si>
    <t>DC-00243</t>
  </si>
  <si>
    <t>B-2609-559 / MTC-2609-50</t>
  </si>
  <si>
    <t>Yes - GI-00243</t>
  </si>
  <si>
    <t>B-2609-560 / MTC-2609-50</t>
  </si>
  <si>
    <t>DC-00244</t>
  </si>
  <si>
    <t>B-2609-572 / MTC-2609-51</t>
  </si>
  <si>
    <t>Yes - GI-00244</t>
  </si>
  <si>
    <t>B-2609-573 / MTC-2609-51</t>
  </si>
  <si>
    <t>RC-00244</t>
  </si>
  <si>
    <t>Transit damage - PKR 3000 - recovered from transporter</t>
  </si>
  <si>
    <t>DC-00245</t>
  </si>
  <si>
    <t>B-2609-585 / MTC-2609-52</t>
  </si>
  <si>
    <t>Yes - GI-00245</t>
  </si>
  <si>
    <t>B-2609-586 / MTC-2609-52</t>
  </si>
  <si>
    <t>RC-00245</t>
  </si>
  <si>
    <t>Transit damage - PKR 10440 - recovered from transporter</t>
  </si>
  <si>
    <t>B-2609-587 / MTC-2609-52</t>
  </si>
  <si>
    <t>DC-00246</t>
  </si>
  <si>
    <t>B-2609-598 / MTC-2609-53</t>
  </si>
  <si>
    <t>Yes - GI-00246</t>
  </si>
  <si>
    <t>DC-00247</t>
  </si>
  <si>
    <t>B-2609-611 / MTC-2609-54</t>
  </si>
  <si>
    <t>Yes - GI-00247</t>
  </si>
  <si>
    <t>B-2609-612 / MTC-2609-54</t>
  </si>
  <si>
    <t>DC-00248</t>
  </si>
  <si>
    <t>B-2609-624 / MTC-2609-55</t>
  </si>
  <si>
    <t>Yes - GI-00248</t>
  </si>
  <si>
    <t>B-2609-625 / MTC-2609-55</t>
  </si>
  <si>
    <t>DC-00249</t>
  </si>
  <si>
    <t>B-2609-637 / MTC-2609-56</t>
  </si>
  <si>
    <t>Yes - GI-00249</t>
  </si>
  <si>
    <t>B-2609-638 / MTC-2609-56</t>
  </si>
  <si>
    <t>DC-00250</t>
  </si>
  <si>
    <t>In transit</t>
  </si>
  <si>
    <t>B-2609-650 / MTC-2609-57</t>
  </si>
  <si>
    <t>Yes - GI-00250</t>
  </si>
  <si>
    <t>Not yet delivered</t>
  </si>
  <si>
    <t>B-2609-651 / MTC-2609-57</t>
  </si>
  <si>
    <t>Sales tax invoice - goods</t>
  </si>
  <si>
    <t>Steelstone Building Materials (Pvt) Ltd, Gulberg III, Lahore - NTN 4521789-3</t>
  </si>
  <si>
    <t>BHD-BLK-01 Batching Plant, Batching plant, Sector F, Bahria Heights, Lahore</t>
  </si>
  <si>
    <t>PO-001-2410</t>
  </si>
  <si>
    <t>Main godown - Faisalabad, Plot 18, Sargodha Road, Faisalabad</t>
  </si>
  <si>
    <t>Order via quotation QT-0001</t>
  </si>
  <si>
    <t>Main godown - Sahiwal, Canal Colony Chowk, Sahiwal</t>
  </si>
  <si>
    <t>Order via quotation QT-0004</t>
  </si>
  <si>
    <t>RRC-BAG-01 Main store, Ravi City Phase 1, Store Yard 3, Lahore</t>
  </si>
  <si>
    <t>PO-004-2411</t>
  </si>
  <si>
    <t>PHC-BLK-01 Sheikhupura Interchange camp, Km 28, Lahore-Sheikhupura Road, Camp Office</t>
  </si>
  <si>
    <t>PO-003-2412</t>
  </si>
  <si>
    <t>Order via quotation QT-0007</t>
  </si>
  <si>
    <t>N/A (CNIC holder)</t>
  </si>
  <si>
    <t>35102-9087612-5</t>
  </si>
  <si>
    <t>Main godown - Kasur, Railway Road, Kasur</t>
  </si>
  <si>
    <t>Order via quotation QT-0008</t>
  </si>
  <si>
    <t>Order via quotation QT-0010</t>
  </si>
  <si>
    <t>35202-4412876-1</t>
  </si>
  <si>
    <t>MAC-BAG-01 DHA Phase 9 site, Plot 245, Block B, DHA Phase 9 Town, Lahore</t>
  </si>
  <si>
    <t>PO-005-2502</t>
  </si>
  <si>
    <t>BHD-BAG-01 Tower Block C, Plot 7, Sector C, Bahria Heights, Lahore</t>
  </si>
  <si>
    <t>PO-001-2503</t>
  </si>
  <si>
    <t>Main godown - Sheikhupura, Main Bazaar, Lahore Road, Sheikhupura</t>
  </si>
  <si>
    <t>Order via quotation QT-0014</t>
  </si>
  <si>
    <t>CBC-BAG-01 Johar Town site, House 112, Block R-1, Johar Town, Lahore</t>
  </si>
  <si>
    <t>PO-002-2504</t>
  </si>
  <si>
    <t>PO-001-2505</t>
  </si>
  <si>
    <t>PO-002-2505</t>
  </si>
  <si>
    <t>Order via quotation QT-0017</t>
  </si>
  <si>
    <t>Order via quotation QT-0018</t>
  </si>
  <si>
    <t>34101-2567891-3</t>
  </si>
  <si>
    <t>Main godown - Gujranwala, Godown 4, G.T. Road, Gujranwala</t>
  </si>
  <si>
    <t>Order via quotation QT-0019</t>
  </si>
  <si>
    <t>PO-004-2508</t>
  </si>
  <si>
    <t>PO-005-2508</t>
  </si>
  <si>
    <t>Order via quotation QT-0023</t>
  </si>
  <si>
    <t>WHT-EX-2025/LTO-LHR/0457 (1%)</t>
  </si>
  <si>
    <t>PO-003-2510</t>
  </si>
  <si>
    <t>Order via quotation QT-0024</t>
  </si>
  <si>
    <t>PO-003-2511</t>
  </si>
  <si>
    <t>Order via quotation QT-0028</t>
  </si>
  <si>
    <t>RRC-BLK-01 Barrage batching plant, Ravi Barrage site, Phase 1, Lahore</t>
  </si>
  <si>
    <t>PO-004-2512</t>
  </si>
  <si>
    <t>PO-004-2601</t>
  </si>
  <si>
    <t>Order via quotation QT-0030</t>
  </si>
  <si>
    <t>PO-001-2602</t>
  </si>
  <si>
    <t>Order via quotation QT-0035</t>
  </si>
  <si>
    <t>PO-003-2604</t>
  </si>
  <si>
    <t>Order via quotation QT-0036</t>
  </si>
  <si>
    <t>Order via quotation QT-0039</t>
  </si>
  <si>
    <t>PO-003-2605</t>
  </si>
  <si>
    <t>Order via quotation QT-0041</t>
  </si>
  <si>
    <t>Order via quotation QT-0042</t>
  </si>
  <si>
    <t>Order via quotation QT-0043</t>
  </si>
  <si>
    <t>PO-002-2608</t>
  </si>
  <si>
    <t>PO-001-2608</t>
  </si>
  <si>
    <t>Order via quotation QT-0046</t>
  </si>
  <si>
    <t>RCP-0001</t>
  </si>
  <si>
    <t>Part payment against invoice</t>
  </si>
  <si>
    <t>Abdul Rehman - Cashier</t>
  </si>
  <si>
    <t>Posted</t>
  </si>
  <si>
    <t>Customer - Distributor</t>
  </si>
  <si>
    <t>Zahid Hussain - Director Sales - 0300-7651123</t>
  </si>
  <si>
    <t>Cheque</t>
  </si>
  <si>
    <t>Meezan Bank Ltd - 0211-0104567890</t>
  </si>
  <si>
    <t>Meezan Bank Ltd - Main Branch Lahore</t>
  </si>
  <si>
    <t>Cashier safe - Abdul Rehman</t>
  </si>
  <si>
    <t>153(1)(a) - supply of goods</t>
  </si>
  <si>
    <t>JV-RCP-0001 / 10-Nov-2024</t>
  </si>
  <si>
    <t>Reconciled</t>
  </si>
  <si>
    <t>RCP-0002</t>
  </si>
  <si>
    <t>N/A (bank transfer)</t>
  </si>
  <si>
    <t>Customer - End user</t>
  </si>
  <si>
    <t>Faisal Rehman - Procurement Manager - 0300-4107765</t>
  </si>
  <si>
    <t>IBFT</t>
  </si>
  <si>
    <t>Bank Alfalah Ltd / 0099-1005-123987</t>
  </si>
  <si>
    <t>IBFT299364263</t>
  </si>
  <si>
    <t>Identified</t>
  </si>
  <si>
    <t>CPR-IT-2025-756748 / 20-Nov-2024</t>
  </si>
  <si>
    <t>RCP-0003</t>
  </si>
  <si>
    <t>Against invoice</t>
  </si>
  <si>
    <t>IBFT300957411</t>
  </si>
  <si>
    <t>CPR-IT-2025-609864 / 07-Dec-2024</t>
  </si>
  <si>
    <t>JV-RCP-0003 / 27-Nov-2024</t>
  </si>
  <si>
    <t>RCP-0004</t>
  </si>
  <si>
    <t>Cleared - 29-Nov-2024</t>
  </si>
  <si>
    <t>CPR-IT-2025-212733 / 07-Dec-2024</t>
  </si>
  <si>
    <t>RCP-0005</t>
  </si>
  <si>
    <t>Asif Mehmood - Partner - 0333-6908812</t>
  </si>
  <si>
    <t>Faysal Bank Ltd / 3321-3010-0005566</t>
  </si>
  <si>
    <t>IBFT283232423</t>
  </si>
  <si>
    <t>N/A - customer not a withholding agent</t>
  </si>
  <si>
    <t>RCP-0006</t>
  </si>
  <si>
    <t>IBFT332697742</t>
  </si>
  <si>
    <t>RCP-0007</t>
  </si>
  <si>
    <t>Sadia Noor - Head of Procurement - 0300-4981276</t>
  </si>
  <si>
    <t>Standard Chartered Bank - Main Branch Lahore</t>
  </si>
  <si>
    <t>Cleared - 25-Dec-2024</t>
  </si>
  <si>
    <t>CPR-IT-2025-401858 / 02-Jan-2025</t>
  </si>
  <si>
    <t>RCP-0008</t>
  </si>
  <si>
    <t>Advance against order</t>
  </si>
  <si>
    <t>Nadeem Akram - Proprietor - 0345-7719034</t>
  </si>
  <si>
    <t>Bank Al Habib Ltd / 1002-0981-012233-01</t>
  </si>
  <si>
    <t>IBFT264891337</t>
  </si>
  <si>
    <t>RCP-0009</t>
  </si>
  <si>
    <t>Muhammad Ali Raza - Project Manager - 0345-4098213</t>
  </si>
  <si>
    <t>National Bank of Pakistan / 4012-3456-7890-12</t>
  </si>
  <si>
    <t>IBFT265456517</t>
  </si>
  <si>
    <t>CPR-IT-2025-501470 / 21-Jan-2025</t>
  </si>
  <si>
    <t>RCP-0010</t>
  </si>
  <si>
    <t>National Bank of Pakistan - Main Branch Lahore</t>
  </si>
  <si>
    <t>Cleared - 04-Feb-2025</t>
  </si>
  <si>
    <t>CPR-IT-2025-756418 / 05-Feb-2025</t>
  </si>
  <si>
    <t>RCP-0011</t>
  </si>
  <si>
    <t>IBFT284228556</t>
  </si>
  <si>
    <t>RCP-0012</t>
  </si>
  <si>
    <t>IBFT359415168</t>
  </si>
  <si>
    <t>RCP-0013</t>
  </si>
  <si>
    <t>Cleared - 13-Mar-2025</t>
  </si>
  <si>
    <t>CPR-IT-2025-395262 / 21-Mar-2025</t>
  </si>
  <si>
    <t>JV-RCP-0013 / 11-Mar-2025</t>
  </si>
  <si>
    <t>RCP-0014</t>
  </si>
  <si>
    <t>Muhammad Aslam - Proprietor - 0300-4219087</t>
  </si>
  <si>
    <t>Askari Bank Ltd - Main Branch Lahore</t>
  </si>
  <si>
    <t>RCP-0015</t>
  </si>
  <si>
    <t>Meezan Bank Ltd / 0301-0100998877</t>
  </si>
  <si>
    <t>IBFT342597915</t>
  </si>
  <si>
    <t>CPR-IT-2025-870000 / 14-Apr-2025</t>
  </si>
  <si>
    <t>RCP-0016</t>
  </si>
  <si>
    <t>Bank Alfalah Ltd - Main Branch Lahore</t>
  </si>
  <si>
    <t>Cleared - 14-Apr-2025</t>
  </si>
  <si>
    <t>CPR-IT-2025-708305 / 22-Apr-2025</t>
  </si>
  <si>
    <t>RCP-0017</t>
  </si>
  <si>
    <t>IBFT336085841</t>
  </si>
  <si>
    <t>CPR-IT-2025-604072 / 07-May-2025</t>
  </si>
  <si>
    <t>RCP-0018</t>
  </si>
  <si>
    <t>Bahria Town (Pvt) Ltd (parent company)</t>
  </si>
  <si>
    <t>Third-party authority letter TPA-2025-014</t>
  </si>
  <si>
    <t>Imran Bashir - Managing Partner - 0321-4150992</t>
  </si>
  <si>
    <t>United Bank Ltd / 0415-2280117</t>
  </si>
  <si>
    <t>IBFT287792734</t>
  </si>
  <si>
    <t>RCP-0019</t>
  </si>
  <si>
    <t>Arshad Mahmood - Partner - 0321-8845120</t>
  </si>
  <si>
    <t>Habib Bank Ltd - Main Branch Lahore</t>
  </si>
  <si>
    <t>Cleared - 06-May-2025</t>
  </si>
  <si>
    <t>RCP-0020</t>
  </si>
  <si>
    <t>IBFT294167159</t>
  </si>
  <si>
    <t>JV-RCP-0020 / 16-May-2025</t>
  </si>
  <si>
    <t>RCP-0021</t>
  </si>
  <si>
    <t>Habib Bank Ltd / 1478-79009876-01</t>
  </si>
  <si>
    <t>IBFT280147528</t>
  </si>
  <si>
    <t>RCP-0022</t>
  </si>
  <si>
    <t>Cleared - 06-Jun-2025</t>
  </si>
  <si>
    <t>RCP-0023</t>
  </si>
  <si>
    <t>IBFT294411264</t>
  </si>
  <si>
    <t>RCP-0024</t>
  </si>
  <si>
    <t>IBFT317223836</t>
  </si>
  <si>
    <t>CPR-IT-2025-602559 / 01-Jul-2025</t>
  </si>
  <si>
    <t>RCP-0025</t>
  </si>
  <si>
    <t>Faysal Bank Ltd - Main Branch Lahore</t>
  </si>
  <si>
    <t>Cleared - 01-Jul-2025</t>
  </si>
  <si>
    <t>RCP-0026</t>
  </si>
  <si>
    <t>IBFT327080394</t>
  </si>
  <si>
    <t>RCP-0027</t>
  </si>
  <si>
    <t>IBFT262141528</t>
  </si>
  <si>
    <t>RCP-0028</t>
  </si>
  <si>
    <t>United Bank Ltd - Main Branch Lahore</t>
  </si>
  <si>
    <t>Cleared - 16-Aug-2025</t>
  </si>
  <si>
    <t>RCP-0029</t>
  </si>
  <si>
    <t>Haji Muhammad Rafiq - Proprietor - 0300-6421785</t>
  </si>
  <si>
    <t>Cash</t>
  </si>
  <si>
    <t>Cash counter - Head office</t>
  </si>
  <si>
    <t>Customer premises - Main godown - Gujranwala</t>
  </si>
  <si>
    <t>MCR-5028</t>
  </si>
  <si>
    <t>DS-8828 / 01-Sep-2025</t>
  </si>
  <si>
    <t>RCP-0030</t>
  </si>
  <si>
    <t>IBFT289471561</t>
  </si>
  <si>
    <t>RCP-0031</t>
  </si>
  <si>
    <t>Customer premises - MAC-BAG-01 DHA Phase 9 site</t>
  </si>
  <si>
    <t>MCR-5030</t>
  </si>
  <si>
    <t>DS-8830 / 04-Sep-2025</t>
  </si>
  <si>
    <t>RCP-0032</t>
  </si>
  <si>
    <t>Standard Chartered Bank / 01-7654321-01</t>
  </si>
  <si>
    <t>IBFT289323626</t>
  </si>
  <si>
    <t>CPR-IT-2025-880435 / 18-Sep-2025</t>
  </si>
  <si>
    <t>RCP-0033</t>
  </si>
  <si>
    <t>MCR-5032</t>
  </si>
  <si>
    <t>DS-8832 / 19-Sep-2025</t>
  </si>
  <si>
    <t>RCP-0034</t>
  </si>
  <si>
    <t>Cleared - 26-Sep-2025</t>
  </si>
  <si>
    <t>CPR-IT-2025-228515 / 04-Oct-2025</t>
  </si>
  <si>
    <t>RCP-0035</t>
  </si>
  <si>
    <t>IBFT356287190</t>
  </si>
  <si>
    <t>CPR-IT-2025-664560 / 18-Nov-2025</t>
  </si>
  <si>
    <t>RCP-0036</t>
  </si>
  <si>
    <t>Allied Bank Ltd - Main Branch Lahore</t>
  </si>
  <si>
    <t>Cleared - 27-Nov-2025</t>
  </si>
  <si>
    <t>RCP-0037</t>
  </si>
  <si>
    <t>Cleared - 28-Nov-2025</t>
  </si>
  <si>
    <t>CPR-IT-2025-110231 / 06-Dec-2025</t>
  </si>
  <si>
    <t>RCP-0038</t>
  </si>
  <si>
    <t>IBFT266758673</t>
  </si>
  <si>
    <t>CPR-IT-2025-751602 / 17-Dec-2025</t>
  </si>
  <si>
    <t>RCP-0039</t>
  </si>
  <si>
    <t>MCR-5038</t>
  </si>
  <si>
    <t>DS-8838 / 10-Dec-2025</t>
  </si>
  <si>
    <t>RCP-0040</t>
  </si>
  <si>
    <t>Cleared - 25-Dec-2025</t>
  </si>
  <si>
    <t>CPR-IT-2025-331798 / 02-Jan-2026</t>
  </si>
  <si>
    <t>RCP-0041</t>
  </si>
  <si>
    <t>MCR-5040</t>
  </si>
  <si>
    <t>DS-8840 / 26-Dec-2025</t>
  </si>
  <si>
    <t>RCP-0042</t>
  </si>
  <si>
    <t>IBFT331213461</t>
  </si>
  <si>
    <t>CPR-IT-2026-513849 / 18-Jan-2026</t>
  </si>
  <si>
    <t>RCP-0043</t>
  </si>
  <si>
    <t>Cleared - 28-Jan-2026</t>
  </si>
  <si>
    <t>CPR-IT-2026-422284 / 05-Feb-2026</t>
  </si>
  <si>
    <t>RCP-0044</t>
  </si>
  <si>
    <t>IBFT308690603</t>
  </si>
  <si>
    <t>CPR-IT-2026-482377 / 22-Feb-2026</t>
  </si>
  <si>
    <t>RCP-0045</t>
  </si>
  <si>
    <t>IBFT328623329</t>
  </si>
  <si>
    <t>CPR-IT-2026-600986 / 08-Mar-2026</t>
  </si>
  <si>
    <t>RCP-0046</t>
  </si>
  <si>
    <t>Cleared - 11-Mar-2026</t>
  </si>
  <si>
    <t>CPR-IT-2026-292697 / 19-Mar-2026</t>
  </si>
  <si>
    <t>RCP-0047</t>
  </si>
  <si>
    <t>IBFT312414663</t>
  </si>
  <si>
    <t>CPR-IT-2026-939318 / 22-Mar-2026</t>
  </si>
  <si>
    <t>RCP-0048</t>
  </si>
  <si>
    <t>IBFT341317033</t>
  </si>
  <si>
    <t>CPR-IT-2026-560386 / 24-Mar-2026</t>
  </si>
  <si>
    <t>RCP-0049</t>
  </si>
  <si>
    <t>Cleared - 02-Apr-2026</t>
  </si>
  <si>
    <t>CPR-IT-2026-209854 / 10-Apr-2026</t>
  </si>
  <si>
    <t>RCP-0050</t>
  </si>
  <si>
    <t>IBFT307914532</t>
  </si>
  <si>
    <t>CPR-IT-2026-707142 / 20-Apr-2026</t>
  </si>
  <si>
    <t>RCP-0051</t>
  </si>
  <si>
    <t>MCR-5050</t>
  </si>
  <si>
    <t>DS-8850 / 28-Apr-2026</t>
  </si>
  <si>
    <t>RCP-0052</t>
  </si>
  <si>
    <t>Cleared - 14-May-2026</t>
  </si>
  <si>
    <t>RCP-0053</t>
  </si>
  <si>
    <t>IBFT314452230</t>
  </si>
  <si>
    <t>CPR-IT-2026-601483 / 20-May-2026</t>
  </si>
  <si>
    <t>RCP-0054</t>
  </si>
  <si>
    <t>IBFT353460878</t>
  </si>
  <si>
    <t>RCP-0055</t>
  </si>
  <si>
    <t>Cleared - 27-May-2026</t>
  </si>
  <si>
    <t>CPR-IT-2026-197589 / 04-Jun-2026</t>
  </si>
  <si>
    <t>RCP-0056</t>
  </si>
  <si>
    <t>IBFT303719317</t>
  </si>
  <si>
    <t>CPR-IT-2026-629876 / 10-Jun-2026</t>
  </si>
  <si>
    <t>RCP-0057</t>
  </si>
  <si>
    <t>IBFT274325641</t>
  </si>
  <si>
    <t>CPR-IT-2026-200366 / 19-Jun-2026</t>
  </si>
  <si>
    <t>RCP-0058</t>
  </si>
  <si>
    <t>Cleared - 29-Jun-2026</t>
  </si>
  <si>
    <t>RCP-0059</t>
  </si>
  <si>
    <t>IBFT318773521</t>
  </si>
  <si>
    <t>CPR-IT-2026-830263 / 08-Jul-2026</t>
  </si>
  <si>
    <t>RCP-0060</t>
  </si>
  <si>
    <t>IBFT287382825</t>
  </si>
  <si>
    <t>Cleared - 29-Jul-2026</t>
  </si>
  <si>
    <t>CPR-IT-2026-452950 / 06-Aug-2026</t>
  </si>
  <si>
    <t>JV-RCP-0002 / 27-Nov-2024</t>
  </si>
  <si>
    <t>JV-RCP-0004 / 29-Nov-2024</t>
  </si>
  <si>
    <t>JV-RCP-0005 / 05-Dec-2024</t>
  </si>
  <si>
    <t>JV-RCP-0006 / 23-Dec-2024</t>
  </si>
  <si>
    <t>JV-RCP-0007 / 02-Jan-2025</t>
  </si>
  <si>
    <t>JV-RCP-0008 / 11-Jan-2025</t>
  </si>
  <si>
    <t>JV-RCP-0009 / 26-Jan-2025</t>
  </si>
  <si>
    <t>JV-RCP-0010 / 28-Jan-2025</t>
  </si>
  <si>
    <t>JV-RCP-0011 / 01-Feb-2025</t>
  </si>
  <si>
    <t>JV-RCP-0012 / 11-Mar-2025</t>
  </si>
  <si>
    <t>JV-RCP-0014 / 04-Apr-2025</t>
  </si>
  <si>
    <t>JV-RCP-0015 / 12-Apr-2025</t>
  </si>
  <si>
    <t>JV-RCP-0016 / 27-Apr-2025</t>
  </si>
  <si>
    <t>JV-RCP-0017 / 03-May-2025</t>
  </si>
  <si>
    <t>JV-RCP-0018 / 04-May-2025</t>
  </si>
  <si>
    <t>JV-RCP-0019 / 16-May-2025</t>
  </si>
  <si>
    <t>JV-RCP-0021 / 04-Jun-2025</t>
  </si>
  <si>
    <t>JV-RCP-0022 / 11-Jun-2025</t>
  </si>
  <si>
    <t>JV-RCP-0023 / 21-Jun-2025</t>
  </si>
  <si>
    <t>JV-RCP-0024 / 29-Jun-2025</t>
  </si>
  <si>
    <t>JV-RCP-0025 / 10-Jul-2025</t>
  </si>
  <si>
    <t>JV-RCP-0026 / 01-Aug-2025</t>
  </si>
  <si>
    <t>JV-RCP-0027 / 14-Aug-2025</t>
  </si>
  <si>
    <t>JV-RCP-0028 / 31-Aug-2025</t>
  </si>
  <si>
    <t>JV-RCP-0029 / 02-Sep-2025</t>
  </si>
  <si>
    <t>JV-RCP-0030 / 03-Sep-2025</t>
  </si>
  <si>
    <t>JV-RCP-0031 / 08-Sep-2025</t>
  </si>
  <si>
    <t>JV-RCP-0032 / 18-Sep-2025</t>
  </si>
  <si>
    <t>JV-RCP-0033 / 24-Sep-2025</t>
  </si>
  <si>
    <t>JV-RCP-0034 / 08-Nov-2025</t>
  </si>
  <si>
    <t>JV-RCP-0035 / 25-Nov-2025</t>
  </si>
  <si>
    <t>JV-RCP-0036 / 26-Nov-2025</t>
  </si>
  <si>
    <t>JV-RCP-0037 / 07-Dec-2025</t>
  </si>
  <si>
    <t>JV-RCP-0038 / 09-Dec-2025</t>
  </si>
  <si>
    <t>JV-RCP-0039 / 23-Dec-2025</t>
  </si>
  <si>
    <t>JV-RCP-0040 / 25-Dec-2025</t>
  </si>
  <si>
    <t>JV-RCP-0041 / 08-Jan-2026</t>
  </si>
  <si>
    <t>JV-RCP-0042 / 26-Jan-2026</t>
  </si>
  <si>
    <t>JV-RCP-0043 / 12-Feb-2026</t>
  </si>
  <si>
    <t>JV-RCP-0044 / 26-Feb-2026</t>
  </si>
  <si>
    <t>JV-RCP-0045 / 09-Mar-2026</t>
  </si>
  <si>
    <t>JV-RCP-0046 / 12-Mar-2026</t>
  </si>
  <si>
    <t>JV-RCP-0047 / 14-Mar-2026</t>
  </si>
  <si>
    <t>JV-RCP-0048 / 31-Mar-2026</t>
  </si>
  <si>
    <t>JV-RCP-0049 / 10-Apr-2026</t>
  </si>
  <si>
    <t>JV-RCP-0050 / 27-Apr-2026</t>
  </si>
  <si>
    <t>JV-RCP-0051 / 05-May-2026</t>
  </si>
  <si>
    <t>JV-RCP-0052 / 10-May-2026</t>
  </si>
  <si>
    <t>JV-RCP-0053 / 16-May-2026</t>
  </si>
  <si>
    <t>JV-RCP-0054 / 25-May-2026</t>
  </si>
  <si>
    <t>JV-RCP-0055 / 31-May-2026</t>
  </si>
  <si>
    <t>JV-RCP-0056 / 09-Jun-2026</t>
  </si>
  <si>
    <t>JV-RCP-0057 / 27-Jun-2026</t>
  </si>
  <si>
    <t>JV-RCP-0058 / 28-Jun-2026</t>
  </si>
  <si>
    <t>JV-RCP-0059 / 02-Jul-2026</t>
  </si>
  <si>
    <t>JV-RCP-0060 / 27-Jul-2026</t>
  </si>
  <si>
    <t>VEN-102 Lahore Electric Supply Co (LESCO) (NTN 1234567-0)</t>
  </si>
  <si>
    <t>102/2410/9332</t>
  </si>
  <si>
    <t>DRY-00001</t>
  </si>
  <si>
    <t>Yes - SMS &amp; email</t>
  </si>
  <si>
    <t>BB-0001</t>
  </si>
  <si>
    <t>Utilities</t>
  </si>
  <si>
    <t>Head office - Lahore</t>
  </si>
  <si>
    <t>CC-ADMIN</t>
  </si>
  <si>
    <t>06-Oct-2024 - Email</t>
  </si>
  <si>
    <t>Other vendor - Utilities</t>
  </si>
  <si>
    <t>VEN-102 - Lahore Electric Supply Co (LESCO)</t>
  </si>
  <si>
    <t>1234567-0</t>
  </si>
  <si>
    <t>Accounts desk - 042-35960143</t>
  </si>
  <si>
    <t>HBL - 5983-5300965</t>
  </si>
  <si>
    <t>Credit 10 days</t>
  </si>
  <si>
    <t>N/A - tax collected in bill</t>
  </si>
  <si>
    <t>Normal</t>
  </si>
  <si>
    <t>Hassan Raza - 08-Oct-2024</t>
  </si>
  <si>
    <t>Sana Iqbal - 09-Oct-2024</t>
  </si>
  <si>
    <t>VEN-101 Sundar Estate Properties (Pvt) Ltd (NTN 3345120-7)</t>
  </si>
  <si>
    <t>101/2410/2595</t>
  </si>
  <si>
    <t>DRY-00002</t>
  </si>
  <si>
    <t>BB-0002</t>
  </si>
  <si>
    <t>Rent</t>
  </si>
  <si>
    <t>Raiwind Road warehouse</t>
  </si>
  <si>
    <t>CC-WH</t>
  </si>
  <si>
    <t>16-Oct-2024 - Email</t>
  </si>
  <si>
    <t>Other vendor - Rent</t>
  </si>
  <si>
    <t>VEN-101 - Sundar Estate Properties (Pvt) Ltd</t>
  </si>
  <si>
    <t>3345120-7</t>
  </si>
  <si>
    <t>Accounts desk - 042-35006081</t>
  </si>
  <si>
    <t>HBL - 1948-4340372</t>
  </si>
  <si>
    <t>Advance (quarterly)</t>
  </si>
  <si>
    <t>Lease LA-2024-07</t>
  </si>
  <si>
    <t>155 rent - 15%</t>
  </si>
  <si>
    <t>Hassan Raza - 18-Oct-2024</t>
  </si>
  <si>
    <t>Sana Iqbal - 19-Oct-2024</t>
  </si>
  <si>
    <t>VEN-103 Shield Security Services (Pvt) Ltd (NTN 4567812-3)</t>
  </si>
  <si>
    <t>103/2410/2040</t>
  </si>
  <si>
    <t>DRY-00003</t>
  </si>
  <si>
    <t>BB-0003</t>
  </si>
  <si>
    <t>Services</t>
  </si>
  <si>
    <t>24-Oct-2024 - Email</t>
  </si>
  <si>
    <t>Other vendor - Services</t>
  </si>
  <si>
    <t>VEN-103 - Shield Security Services (Pvt) Ltd</t>
  </si>
  <si>
    <t>4567812-3</t>
  </si>
  <si>
    <t>Accounts desk - 042-35813307</t>
  </si>
  <si>
    <t>MCB - 9830-6278689</t>
  </si>
  <si>
    <t>153(1)(b) services - 11%</t>
  </si>
  <si>
    <t>Hassan Raza - 26-Oct-2024</t>
  </si>
  <si>
    <t>Sana Iqbal - 27-Oct-2024</t>
  </si>
  <si>
    <t>SUP-001 Margalla Cement Ltd (NTN 0712345-6)</t>
  </si>
  <si>
    <t>MCL/INV/2410/556</t>
  </si>
  <si>
    <t>DRY-00004</t>
  </si>
  <si>
    <t>BB-0004</t>
  </si>
  <si>
    <t>Goods purchase (cement)</t>
  </si>
  <si>
    <t>Supplier plant - direct dispatch</t>
  </si>
  <si>
    <t>CC-SALES-LHR</t>
  </si>
  <si>
    <t>01-Nov-2024 - Email</t>
  </si>
  <si>
    <t>Manufacturer / supplier</t>
  </si>
  <si>
    <t>SUP-001 - Margalla Cement Ltd</t>
  </si>
  <si>
    <t>Shahid Iqbal - 0300-8451290</t>
  </si>
  <si>
    <t>Habib Bank Ltd - 1234-79001122-03</t>
  </si>
  <si>
    <t>PO-2410-1</t>
  </si>
  <si>
    <t>07-Oct-2024 / PKR 11148000 (approx.)</t>
  </si>
  <si>
    <t>SA-SUP-001-2024</t>
  </si>
  <si>
    <t>153(1)(a) goods - 5%</t>
  </si>
  <si>
    <t>High</t>
  </si>
  <si>
    <t>Hassan Raza - 01-Nov-2024</t>
  </si>
  <si>
    <t>Sana Iqbal - 02-Nov-2024</t>
  </si>
  <si>
    <t>14-Oct-2024 / PKR 11148000 (approx.)</t>
  </si>
  <si>
    <t>SUP-002 Indus Valley Cement (Pvt) Ltd (NTN 3398761-2)</t>
  </si>
  <si>
    <t>IVC/INV/2410/306</t>
  </si>
  <si>
    <t>DRY-00005</t>
  </si>
  <si>
    <t>BB-0005</t>
  </si>
  <si>
    <t>SUP-002 - Indus Valley Cement (Pvt) Ltd</t>
  </si>
  <si>
    <t>Rizwan Akhtar - 0302-4418823</t>
  </si>
  <si>
    <t>MCB Bank Ltd - 0876-5501234401</t>
  </si>
  <si>
    <t>PO-2410-2</t>
  </si>
  <si>
    <t>12-Oct-2024 / PKR 1452000 (approx.)</t>
  </si>
  <si>
    <t>SA-SUP-002-2024</t>
  </si>
  <si>
    <t>TRN-003 Punjab Bulk Carriers (AOP) (NTN 4098877-2)</t>
  </si>
  <si>
    <t>DRY-00006</t>
  </si>
  <si>
    <t>BB-0006</t>
  </si>
  <si>
    <t>Freight / transport</t>
  </si>
  <si>
    <t>CC-LOG</t>
  </si>
  <si>
    <t>02-Nov-2024 - By hand</t>
  </si>
  <si>
    <t>Transporter</t>
  </si>
  <si>
    <t>Sajjad Hussain - 0333-4128876</t>
  </si>
  <si>
    <t>United Bank Ltd - 0900-2201456</t>
  </si>
  <si>
    <t>TC-TRN-003-2024</t>
  </si>
  <si>
    <t>153(1)(b) transport - 8% (non-filer)</t>
  </si>
  <si>
    <t>Hassan Raza - 04-Nov-2024</t>
  </si>
  <si>
    <t>Sana Iqbal - 05-Nov-2024</t>
  </si>
  <si>
    <t>TRN-002 Al-Madina Logistics (Pvt) Ltd (NTN 5567123-4)</t>
  </si>
  <si>
    <t>DRY-00007</t>
  </si>
  <si>
    <t>BB-0007</t>
  </si>
  <si>
    <t>Tahir Mehmood - 0321-4789012</t>
  </si>
  <si>
    <t>MCB Bank Ltd - 0654-7701122301</t>
  </si>
  <si>
    <t>TC-TRN-002-2024</t>
  </si>
  <si>
    <t>153(1)(b) transport - 4%</t>
  </si>
  <si>
    <t>VEN-104 Nayatel (Pvt) Ltd (NTN 2098765-4)</t>
  </si>
  <si>
    <t>104/2411/3182</t>
  </si>
  <si>
    <t>DRY-00008</t>
  </si>
  <si>
    <t>BB-0008</t>
  </si>
  <si>
    <t>21-Nov-2024 - Email</t>
  </si>
  <si>
    <t>VEN-104 - Nayatel (Pvt) Ltd</t>
  </si>
  <si>
    <t>2098765-4</t>
  </si>
  <si>
    <t>Accounts desk - 042-35660073</t>
  </si>
  <si>
    <t>Meezan - 5857-6193451</t>
  </si>
  <si>
    <t>Hassan Raza - 23-Nov-2024</t>
  </si>
  <si>
    <t>Sana Iqbal - 24-Nov-2024</t>
  </si>
  <si>
    <t>VEN-105 Pakistan State Oil - fuel card (NTN 0801523-9)</t>
  </si>
  <si>
    <t>105/2411/8337</t>
  </si>
  <si>
    <t>DRY-00009</t>
  </si>
  <si>
    <t>BB-0009</t>
  </si>
  <si>
    <t>Goods - fuel</t>
  </si>
  <si>
    <t>24-Nov-2024 - Email</t>
  </si>
  <si>
    <t>Other vendor - Goods - fuel</t>
  </si>
  <si>
    <t>VEN-105 - Pakistan State Oil - fuel card</t>
  </si>
  <si>
    <t>0801523-9</t>
  </si>
  <si>
    <t>Accounts desk - 042-35483071</t>
  </si>
  <si>
    <t>Meezan - 9225-9427766</t>
  </si>
  <si>
    <t>N/A - petroleum</t>
  </si>
  <si>
    <t>Hassan Raza - 25-Nov-2024</t>
  </si>
  <si>
    <t>Sana Iqbal - 26-Nov-2024</t>
  </si>
  <si>
    <t>IVC/INV/2411/475</t>
  </si>
  <si>
    <t>DRY-00010</t>
  </si>
  <si>
    <t>BB-0010</t>
  </si>
  <si>
    <t>02-Dec-2024 - Email</t>
  </si>
  <si>
    <t>PO-2411-2</t>
  </si>
  <si>
    <t>09-Nov-2024 / PKR 10153000 (approx.)</t>
  </si>
  <si>
    <t>Hassan Raza - 01-Dec-2024</t>
  </si>
  <si>
    <t>Sana Iqbal - 02-Dec-2024</t>
  </si>
  <si>
    <t>07-Nov-2024 / PKR 10153000 (approx.)</t>
  </si>
  <si>
    <t>MCL/INV/2411/182</t>
  </si>
  <si>
    <t>DRY-00011</t>
  </si>
  <si>
    <t>BB-0011</t>
  </si>
  <si>
    <t>PO-2411-1</t>
  </si>
  <si>
    <t>18-Nov-2024 / PKR 503000 (approx.)</t>
  </si>
  <si>
    <t>DRY-00012</t>
  </si>
  <si>
    <t>BB-0012</t>
  </si>
  <si>
    <t>03-Dec-2024 - By hand</t>
  </si>
  <si>
    <t>Hassan Raza - 04-Dec-2024</t>
  </si>
  <si>
    <t>Sana Iqbal - 05-Dec-2024</t>
  </si>
  <si>
    <t>TRN-001 Khan Goods Transport Co (NTN 17301-5567812-9 (CNIC))</t>
  </si>
  <si>
    <t>DRY-00013</t>
  </si>
  <si>
    <t>BB-0013</t>
  </si>
  <si>
    <t>02-Dec-2024 - By hand</t>
  </si>
  <si>
    <t>Gul Khan - 0300-5991287</t>
  </si>
  <si>
    <t>Habib Bank Ltd - 2210-79004455-01</t>
  </si>
  <si>
    <t>TC-TRN-001-2024</t>
  </si>
  <si>
    <t>VEN-107 Al-Noor Printers (NTN 35201-9922113-7 (CNIC))</t>
  </si>
  <si>
    <t>107/2412/7414</t>
  </si>
  <si>
    <t>DRY-00014</t>
  </si>
  <si>
    <t>BB-0014</t>
  </si>
  <si>
    <t>Goods - stationery</t>
  </si>
  <si>
    <t>08-Dec-2024 - Email</t>
  </si>
  <si>
    <t>Other vendor - Goods - stationery</t>
  </si>
  <si>
    <t>VEN-107 - Al-Noor Printers</t>
  </si>
  <si>
    <t>35201-9922113-7 (CNIC)</t>
  </si>
  <si>
    <t>Accounts desk - 042-35471673</t>
  </si>
  <si>
    <t>MCB - 5110-1855303</t>
  </si>
  <si>
    <t>PO-2412-906</t>
  </si>
  <si>
    <t>12-Nov-2024 / PKR 18000 (approx.)</t>
  </si>
  <si>
    <t>Hassan Raza - 10-Dec-2024</t>
  </si>
  <si>
    <t>Sana Iqbal - 11-Dec-2024</t>
  </si>
  <si>
    <t>VEN-106 Ghani Tyre &amp; Lubricants (NTN 35202-1188776-5 (CNIC))</t>
  </si>
  <si>
    <t>106/2412/3261</t>
  </si>
  <si>
    <t>DRY-00015</t>
  </si>
  <si>
    <t>BB-0015</t>
  </si>
  <si>
    <t>Goods - spares</t>
  </si>
  <si>
    <t>19-Dec-2024 - Email</t>
  </si>
  <si>
    <t>Other vendor - Goods - spares</t>
  </si>
  <si>
    <t>VEN-106 - Ghani Tyre &amp; Lubricants</t>
  </si>
  <si>
    <t>35202-1188776-5 (CNIC)</t>
  </si>
  <si>
    <t>Accounts desk - 042-35386602</t>
  </si>
  <si>
    <t>UBL - 6713-9542407</t>
  </si>
  <si>
    <t>PO-2412-905</t>
  </si>
  <si>
    <t>29-Nov-2024 / PKR 525000 (approx.)</t>
  </si>
  <si>
    <t>Hassan Raza - 20-Dec-2024</t>
  </si>
  <si>
    <t>Sana Iqbal - 21-Dec-2024</t>
  </si>
  <si>
    <t>04-Dec-2024 / PKR 525000 (approx.)</t>
  </si>
  <si>
    <t>VEN-108 Punjab Timber Works (NTN 6612098-1)</t>
  </si>
  <si>
    <t>108/2412/6671</t>
  </si>
  <si>
    <t>DRY-00016</t>
  </si>
  <si>
    <t>BB-0016</t>
  </si>
  <si>
    <t>Goods - consumables</t>
  </si>
  <si>
    <t>20-Dec-2024 - Email</t>
  </si>
  <si>
    <t>Other vendor - Goods - consumables</t>
  </si>
  <si>
    <t>VEN-108 - Punjab Timber Works</t>
  </si>
  <si>
    <t>6612098-1</t>
  </si>
  <si>
    <t>Accounts desk - 042-35231500</t>
  </si>
  <si>
    <t>Meezan - 3873-3050891</t>
  </si>
  <si>
    <t>PO-2412-907</t>
  </si>
  <si>
    <t>05-Dec-2024 / PKR 105000 (approx.)</t>
  </si>
  <si>
    <t>Hassan Raza - 22-Dec-2024</t>
  </si>
  <si>
    <t>Sana Iqbal - 23-Dec-2024</t>
  </si>
  <si>
    <t>06-Dec-2024 / PKR 105000 (approx.)</t>
  </si>
  <si>
    <t>MCL/INV/2412/277</t>
  </si>
  <si>
    <t>DRY-00017</t>
  </si>
  <si>
    <t>BB-0017</t>
  </si>
  <si>
    <t>01-Jan-2025 - Email</t>
  </si>
  <si>
    <t>PO-2412-1</t>
  </si>
  <si>
    <t>13-Dec-2024 / PKR 7814000 (approx.)</t>
  </si>
  <si>
    <t>Hassan Raza - 01-Jan-2025</t>
  </si>
  <si>
    <t>Sana Iqbal - 02-Jan-2025</t>
  </si>
  <si>
    <t>DRY-00018</t>
  </si>
  <si>
    <t>BB-0018</t>
  </si>
  <si>
    <t>02-Jan-2025 - By hand</t>
  </si>
  <si>
    <t>Hassan Raza - 04-Jan-2025</t>
  </si>
  <si>
    <t>Sana Iqbal - 05-Jan-2025</t>
  </si>
  <si>
    <t>102/2501/9863</t>
  </si>
  <si>
    <t>DRY-00019</t>
  </si>
  <si>
    <t>BB-0019</t>
  </si>
  <si>
    <t>11-Jan-2025 - Email</t>
  </si>
  <si>
    <t>Hassan Raza - 12-Jan-2025</t>
  </si>
  <si>
    <t>Sana Iqbal - 13-Jan-2025</t>
  </si>
  <si>
    <t>VEN-110 Quick Fix Auto Workshop (NTN 35202-5566443-1 (CNIC))</t>
  </si>
  <si>
    <t>110/2501/1229</t>
  </si>
  <si>
    <t>DRY-00020</t>
  </si>
  <si>
    <t>BB-0020</t>
  </si>
  <si>
    <t>24-Jan-2025 - Email</t>
  </si>
  <si>
    <t>VEN-110 - Quick Fix Auto Workshop</t>
  </si>
  <si>
    <t>35202-5566443-1 (CNIC)</t>
  </si>
  <si>
    <t>Accounts desk - 042-35925976</t>
  </si>
  <si>
    <t>Meezan - 9420-1341943</t>
  </si>
  <si>
    <t>Hassan Raza - 25-Jan-2025</t>
  </si>
  <si>
    <t>Sana Iqbal - 26-Jan-2025</t>
  </si>
  <si>
    <t>SUP-003 Salt Range White Cement Ltd (NTN 2276540-9)</t>
  </si>
  <si>
    <t>SRW/INV/2501/234</t>
  </si>
  <si>
    <t>DRY-00021</t>
  </si>
  <si>
    <t>BB-0021</t>
  </si>
  <si>
    <t>01-Feb-2025 - Email</t>
  </si>
  <si>
    <t>SUP-003 - Salt Range White Cement Ltd</t>
  </si>
  <si>
    <t>Ayesha Siddiqui - 0333-4290176</t>
  </si>
  <si>
    <t>Bank Alfalah Ltd - 5501-1004-0098712</t>
  </si>
  <si>
    <t>PO-2501-3</t>
  </si>
  <si>
    <t>18-Jan-2025 / PKR 11492000 (approx.)</t>
  </si>
  <si>
    <t>SA-SUP-003-2024</t>
  </si>
  <si>
    <t>Hassan Raza - 01-Feb-2025</t>
  </si>
  <si>
    <t>Sana Iqbal - 02-Feb-2025</t>
  </si>
  <si>
    <t>06-Jan-2025 / PKR 11492000 (approx.)</t>
  </si>
  <si>
    <t>DRY-00022</t>
  </si>
  <si>
    <t>BB-0022</t>
  </si>
  <si>
    <t>02-Feb-2025 - By hand</t>
  </si>
  <si>
    <t>Hassan Raza - 04-Feb-2025</t>
  </si>
  <si>
    <t>Sana Iqbal - 05-Feb-2025</t>
  </si>
  <si>
    <t>DRY-00023</t>
  </si>
  <si>
    <t>BB-0023</t>
  </si>
  <si>
    <t>103/2502/6684</t>
  </si>
  <si>
    <t>DRY-00024</t>
  </si>
  <si>
    <t>BB-0024</t>
  </si>
  <si>
    <t>13-Feb-2025 - Email</t>
  </si>
  <si>
    <t>Hassan Raza - 14-Feb-2025</t>
  </si>
  <si>
    <t>Sana Iqbal - 15-Feb-2025</t>
  </si>
  <si>
    <t>104/2502/6643</t>
  </si>
  <si>
    <t>DRY-00025</t>
  </si>
  <si>
    <t>BB-0025</t>
  </si>
  <si>
    <t>16-Feb-2025 - Email</t>
  </si>
  <si>
    <t>Hassan Raza - 17-Feb-2025</t>
  </si>
  <si>
    <t>Sana Iqbal - 18-Feb-2025</t>
  </si>
  <si>
    <t>101/2502/5559</t>
  </si>
  <si>
    <t>DRY-00026</t>
  </si>
  <si>
    <t>BB-0026</t>
  </si>
  <si>
    <t>22-Feb-2025 - Email</t>
  </si>
  <si>
    <t>Hassan Raza - 23-Feb-2025</t>
  </si>
  <si>
    <t>Sana Iqbal - 24-Feb-2025</t>
  </si>
  <si>
    <t>MCL/INV/2502/509</t>
  </si>
  <si>
    <t>DRY-00027</t>
  </si>
  <si>
    <t>BB-0027</t>
  </si>
  <si>
    <t>02-Mar-2025 - Email</t>
  </si>
  <si>
    <t>PO-2502-1</t>
  </si>
  <si>
    <t>07-Feb-2025 / PKR 9481000 (approx.)</t>
  </si>
  <si>
    <t>Hassan Raza - 01-Mar-2025</t>
  </si>
  <si>
    <t>Sana Iqbal - 02-Mar-2025</t>
  </si>
  <si>
    <t>05-Feb-2025 / PKR 9481000 (approx.)</t>
  </si>
  <si>
    <t>IVC/INV/2502/112</t>
  </si>
  <si>
    <t>DRY-00028</t>
  </si>
  <si>
    <t>BB-0028</t>
  </si>
  <si>
    <t>PO-2502-2</t>
  </si>
  <si>
    <t>03-Feb-2025 / PKR 2119000 (approx.)</t>
  </si>
  <si>
    <t>DRY-00029</t>
  </si>
  <si>
    <t>BB-0029</t>
  </si>
  <si>
    <t>02-Mar-2025 - By hand</t>
  </si>
  <si>
    <t>Hassan Raza - 04-Mar-2025</t>
  </si>
  <si>
    <t>Sana Iqbal - 05-Mar-2025</t>
  </si>
  <si>
    <t>DRY-00030</t>
  </si>
  <si>
    <t>BB-0030</t>
  </si>
  <si>
    <t>103/2503/8179</t>
  </si>
  <si>
    <t>DRY-00031</t>
  </si>
  <si>
    <t>BB-0031</t>
  </si>
  <si>
    <t>07-Mar-2025 - Email</t>
  </si>
  <si>
    <t>Hassan Raza - 08-Mar-2025</t>
  </si>
  <si>
    <t>Sana Iqbal - 09-Mar-2025</t>
  </si>
  <si>
    <t>102/2503/5338</t>
  </si>
  <si>
    <t>DRY-00032</t>
  </si>
  <si>
    <t>BB-0032</t>
  </si>
  <si>
    <t>25-Mar-2025 - Email</t>
  </si>
  <si>
    <t>Hassan Raza - 26-Mar-2025</t>
  </si>
  <si>
    <t>Sana Iqbal - 27-Mar-2025</t>
  </si>
  <si>
    <t>MCL/INV/2503/899</t>
  </si>
  <si>
    <t>DRY-00033</t>
  </si>
  <si>
    <t>BB-0033</t>
  </si>
  <si>
    <t>01-Apr-2025 - Email</t>
  </si>
  <si>
    <t>PO-2503-1</t>
  </si>
  <si>
    <t>21-Mar-2025 / PKR 1964000 (approx.)</t>
  </si>
  <si>
    <t>SA-SUP-001-2024 (advance PV-0002)</t>
  </si>
  <si>
    <t>Hassan Raza - 01-Apr-2025</t>
  </si>
  <si>
    <t>Sana Iqbal - 02-Apr-2025</t>
  </si>
  <si>
    <t>IVC/INV/2503/814</t>
  </si>
  <si>
    <t>DRY-00034</t>
  </si>
  <si>
    <t>BB-0034</t>
  </si>
  <si>
    <t>02-Apr-2025 - Email</t>
  </si>
  <si>
    <t>PO-2503-2</t>
  </si>
  <si>
    <t>06-Mar-2025 / PKR 3623000 (approx.)</t>
  </si>
  <si>
    <t>10-Mar-2025 / PKR 3623000 (approx.)</t>
  </si>
  <si>
    <t>DRY-00035</t>
  </si>
  <si>
    <t>BB-0035</t>
  </si>
  <si>
    <t>03-Apr-2025 - By hand</t>
  </si>
  <si>
    <t>Hassan Raza - 04-Apr-2025</t>
  </si>
  <si>
    <t>Sana Iqbal - 05-Apr-2025</t>
  </si>
  <si>
    <t>DRY-00036</t>
  </si>
  <si>
    <t>BB-0036</t>
  </si>
  <si>
    <t>105/2504/2575</t>
  </si>
  <si>
    <t>DRY-00037</t>
  </si>
  <si>
    <t>BB-0037</t>
  </si>
  <si>
    <t>03-Apr-2025 - Email</t>
  </si>
  <si>
    <t>Hassan Raza - 05-Apr-2025</t>
  </si>
  <si>
    <t>Sana Iqbal - 06-Apr-2025</t>
  </si>
  <si>
    <t>104/2504/9825</t>
  </si>
  <si>
    <t>DRY-00038</t>
  </si>
  <si>
    <t>BB-0038</t>
  </si>
  <si>
    <t>15-Apr-2025 - Email</t>
  </si>
  <si>
    <t>Hassan Raza - 16-Apr-2025</t>
  </si>
  <si>
    <t>Sana Iqbal - 17-Apr-2025</t>
  </si>
  <si>
    <t>106/2504/7213</t>
  </si>
  <si>
    <t>DRY-00039</t>
  </si>
  <si>
    <t>BB-0039</t>
  </si>
  <si>
    <t>21-Apr-2025 - Email</t>
  </si>
  <si>
    <t>PO-2504-917</t>
  </si>
  <si>
    <t>07-Apr-2025 / PKR 635000 (approx.)</t>
  </si>
  <si>
    <t>Hassan Raza - 23-Apr-2025</t>
  </si>
  <si>
    <t>Sana Iqbal - 24-Apr-2025</t>
  </si>
  <si>
    <t>05-Apr-2025 / PKR 635000 (approx.)</t>
  </si>
  <si>
    <t>MCL/INV/2504/372</t>
  </si>
  <si>
    <t>DRY-00040</t>
  </si>
  <si>
    <t>BB-0040</t>
  </si>
  <si>
    <t>02-May-2025 - Email</t>
  </si>
  <si>
    <t>PO-2504-1</t>
  </si>
  <si>
    <t>14-Apr-2025 / PKR 970000 (approx.)</t>
  </si>
  <si>
    <t>Hassan Raza - 01-May-2025</t>
  </si>
  <si>
    <t>Sana Iqbal - 02-May-2025</t>
  </si>
  <si>
    <t>18-Apr-2025 / PKR 970000 (approx.)</t>
  </si>
  <si>
    <t>SRW/INV/2504/363</t>
  </si>
  <si>
    <t>DRY-00041</t>
  </si>
  <si>
    <t>BB-0041</t>
  </si>
  <si>
    <t>PO-2504-3</t>
  </si>
  <si>
    <t>14-Apr-2025 / PKR 821000 (approx.)</t>
  </si>
  <si>
    <t>IVC/INV/2504/886</t>
  </si>
  <si>
    <t>DRY-00042</t>
  </si>
  <si>
    <t>BB-0042</t>
  </si>
  <si>
    <t>PO-2504-2</t>
  </si>
  <si>
    <t>14-Apr-2025 / PKR 2445000 (approx.)</t>
  </si>
  <si>
    <t>DRY-00043</t>
  </si>
  <si>
    <t>BB-0043</t>
  </si>
  <si>
    <t>03-May-2025 - By hand</t>
  </si>
  <si>
    <t>Hassan Raza - 04-May-2025</t>
  </si>
  <si>
    <t>Sana Iqbal - 05-May-2025</t>
  </si>
  <si>
    <t>DRY-00044</t>
  </si>
  <si>
    <t>BB-0044</t>
  </si>
  <si>
    <t>02-May-2025 - By hand</t>
  </si>
  <si>
    <t>108/2505/8806</t>
  </si>
  <si>
    <t>DRY-00045</t>
  </si>
  <si>
    <t>BB-0045</t>
  </si>
  <si>
    <t>15-May-2025 - Email</t>
  </si>
  <si>
    <t>PO-2505-919</t>
  </si>
  <si>
    <t>28-Apr-2025 / PKR 247000 (approx.)</t>
  </si>
  <si>
    <t>Hassan Raza - 16-May-2025</t>
  </si>
  <si>
    <t>Sana Iqbal - 17-May-2025</t>
  </si>
  <si>
    <t>22-Apr-2025 / PKR 247000 (approx.)</t>
  </si>
  <si>
    <t>107/2505/3236</t>
  </si>
  <si>
    <t>DRY-00046</t>
  </si>
  <si>
    <t>BB-0046</t>
  </si>
  <si>
    <t>19-May-2025 - Email</t>
  </si>
  <si>
    <t>PO-2505-918</t>
  </si>
  <si>
    <t>29-Apr-2025 / PKR 18000 (approx.)</t>
  </si>
  <si>
    <t>Hassan Raza - 21-May-2025</t>
  </si>
  <si>
    <t>Sana Iqbal - 22-May-2025</t>
  </si>
  <si>
    <t>MCL/INV/2505/923</t>
  </si>
  <si>
    <t>DRY-00047</t>
  </si>
  <si>
    <t>BB-0047</t>
  </si>
  <si>
    <t>01-Jun-2025 - Email</t>
  </si>
  <si>
    <t>PO-2505-1</t>
  </si>
  <si>
    <t>09-May-2025 / PKR 8150000 (approx.)</t>
  </si>
  <si>
    <t>Hassan Raza - 01-Jun-2025</t>
  </si>
  <si>
    <t>Sana Iqbal - 02-Jun-2025</t>
  </si>
  <si>
    <t>SRW/INV/2505/504</t>
  </si>
  <si>
    <t>DRY-00048</t>
  </si>
  <si>
    <t>BB-0048</t>
  </si>
  <si>
    <t>PO-2505-3</t>
  </si>
  <si>
    <t>08-May-2025 / PKR 3536000 (approx.)</t>
  </si>
  <si>
    <t>IVC/INV/2505/468</t>
  </si>
  <si>
    <t>DRY-00049</t>
  </si>
  <si>
    <t>BB-0049</t>
  </si>
  <si>
    <t>PO-2505-2</t>
  </si>
  <si>
    <t>07-May-2025 / PKR 2638000 (approx.)</t>
  </si>
  <si>
    <t>DRY-00050</t>
  </si>
  <si>
    <t>BB-0050</t>
  </si>
  <si>
    <t>02-Jun-2025 - By hand</t>
  </si>
  <si>
    <t>Hassan Raza - 04-Jun-2025</t>
  </si>
  <si>
    <t>Sana Iqbal - 05-Jun-2025</t>
  </si>
  <si>
    <t>103/2506/4558</t>
  </si>
  <si>
    <t>DRY-00051</t>
  </si>
  <si>
    <t>BB-0051</t>
  </si>
  <si>
    <t>06-Jun-2025 - Email</t>
  </si>
  <si>
    <t>Hassan Raza - 07-Jun-2025</t>
  </si>
  <si>
    <t>Sana Iqbal - 08-Jun-2025</t>
  </si>
  <si>
    <t>VEN-109 Toyota Industrial Equipment Pakistan (NTN 5510987-2)</t>
  </si>
  <si>
    <t>109/2506/3004</t>
  </si>
  <si>
    <t>DRY-00052</t>
  </si>
  <si>
    <t>BB-0052</t>
  </si>
  <si>
    <t>Capital purchase</t>
  </si>
  <si>
    <t>07-Jun-2025 - Email</t>
  </si>
  <si>
    <t>Other vendor - Capital purchase</t>
  </si>
  <si>
    <t>VEN-109 - Toyota Industrial Equipment Pakistan</t>
  </si>
  <si>
    <t>5510987-2</t>
  </si>
  <si>
    <t>Accounts desk - 042-35560167</t>
  </si>
  <si>
    <t>UBL - 1324-8813324</t>
  </si>
  <si>
    <t>PO-2506-920</t>
  </si>
  <si>
    <t>17-May-2025 / PKR 5115000 (approx.)</t>
  </si>
  <si>
    <t>Hassan Raza - 08-Jun-2025</t>
  </si>
  <si>
    <t>Sana Iqbal - 09-Jun-2025</t>
  </si>
  <si>
    <t>102/2506/6682</t>
  </si>
  <si>
    <t>DRY-00053</t>
  </si>
  <si>
    <t>BB-0053</t>
  </si>
  <si>
    <t>SRW/INV/2506/665</t>
  </si>
  <si>
    <t>DRY-00054</t>
  </si>
  <si>
    <t>BB-0054</t>
  </si>
  <si>
    <t>02-Jul-2025 - Email</t>
  </si>
  <si>
    <t>PO-2506-3</t>
  </si>
  <si>
    <t>16-Jun-2025 / PKR 8770000 (approx.)</t>
  </si>
  <si>
    <t>Hassan Raza - 01-Jul-2025</t>
  </si>
  <si>
    <t>Sana Iqbal - 02-Jul-2025</t>
  </si>
  <si>
    <t>17-Jun-2025 / PKR 8770000 (approx.)</t>
  </si>
  <si>
    <t>DRY-00055</t>
  </si>
  <si>
    <t>BB-0055</t>
  </si>
  <si>
    <t>03-Jul-2025 - By hand</t>
  </si>
  <si>
    <t>Hassan Raza - 04-Jul-2025</t>
  </si>
  <si>
    <t>DRY-00056</t>
  </si>
  <si>
    <t>BB-0056</t>
  </si>
  <si>
    <t>02-Jul-2025 - By hand</t>
  </si>
  <si>
    <t>101/2507/5839</t>
  </si>
  <si>
    <t>DRY-00057</t>
  </si>
  <si>
    <t>BB-0057</t>
  </si>
  <si>
    <t>08-Jul-2025 - Email</t>
  </si>
  <si>
    <t>Hassan Raza - 09-Jul-2025</t>
  </si>
  <si>
    <t>Sana Iqbal - 10-Jul-2025</t>
  </si>
  <si>
    <t>104/2507/6952</t>
  </si>
  <si>
    <t>DRY-00058</t>
  </si>
  <si>
    <t>BB-0058</t>
  </si>
  <si>
    <t>23-Jul-2025 - Email</t>
  </si>
  <si>
    <t>Hassan Raza - 24-Jul-2025</t>
  </si>
  <si>
    <t>Sana Iqbal - 25-Jul-2025</t>
  </si>
  <si>
    <t>IVC/INV/2507/478</t>
  </si>
  <si>
    <t>DRY-00059</t>
  </si>
  <si>
    <t>BB-0059</t>
  </si>
  <si>
    <t>02-Aug-2025 - Email</t>
  </si>
  <si>
    <t>Yes - 153(1)(a) goods - 1% (exemption)</t>
  </si>
  <si>
    <t>PO-2507-2</t>
  </si>
  <si>
    <t>21-Jul-2025 / PKR 3914000 (approx.)</t>
  </si>
  <si>
    <t>153(1)(a) goods - 1% (exemption)</t>
  </si>
  <si>
    <t>Yes - reduced rate certificate</t>
  </si>
  <si>
    <t>Hassan Raza - 01-Aug-2025</t>
  </si>
  <si>
    <t>Sana Iqbal - 02-Aug-2025</t>
  </si>
  <si>
    <t>12-Jul-2025 / PKR 3914000 (approx.)</t>
  </si>
  <si>
    <t>SRW/INV/2507/110</t>
  </si>
  <si>
    <t>DRY-00060</t>
  </si>
  <si>
    <t>BB-0060</t>
  </si>
  <si>
    <t>01-Aug-2025 - Email</t>
  </si>
  <si>
    <t>PO-2507-3</t>
  </si>
  <si>
    <t>20-Jul-2025 / PKR 905000 (approx.)</t>
  </si>
  <si>
    <t>DRY-00061</t>
  </si>
  <si>
    <t>BB-0061</t>
  </si>
  <si>
    <t>02-Aug-2025 - By hand</t>
  </si>
  <si>
    <t>Hassan Raza - 04-Aug-2025</t>
  </si>
  <si>
    <t>Sana Iqbal - 05-Aug-2025</t>
  </si>
  <si>
    <t>DRY-00062</t>
  </si>
  <si>
    <t>BB-0062</t>
  </si>
  <si>
    <t>102/2508/7138</t>
  </si>
  <si>
    <t>DRY-00063</t>
  </si>
  <si>
    <t>BB-0063</t>
  </si>
  <si>
    <t>07-Aug-2025 - Email</t>
  </si>
  <si>
    <t>Hassan Raza - 08-Aug-2025</t>
  </si>
  <si>
    <t>Sana Iqbal - 09-Aug-2025</t>
  </si>
  <si>
    <t>103/2508/9717</t>
  </si>
  <si>
    <t>DRY-00064</t>
  </si>
  <si>
    <t>BB-0064</t>
  </si>
  <si>
    <t>12-Aug-2025 - Email</t>
  </si>
  <si>
    <t>Hassan Raza - 14-Aug-2025</t>
  </si>
  <si>
    <t>Sana Iqbal - 15-Aug-2025</t>
  </si>
  <si>
    <t>104/2508/7918</t>
  </si>
  <si>
    <t>DRY-00065</t>
  </si>
  <si>
    <t>BB-0065</t>
  </si>
  <si>
    <t>15-Aug-2025 - Email</t>
  </si>
  <si>
    <t>Hassan Raza - 17-Aug-2025</t>
  </si>
  <si>
    <t>Sana Iqbal - 18-Aug-2025</t>
  </si>
  <si>
    <t>SRW/INV/2508/365</t>
  </si>
  <si>
    <t>DRY-00066</t>
  </si>
  <si>
    <t>BB-0066</t>
  </si>
  <si>
    <t>02-Sep-2025 - Email</t>
  </si>
  <si>
    <t>PO-2508-3</t>
  </si>
  <si>
    <t>18-Aug-2025 / PKR 7812000 (approx.)</t>
  </si>
  <si>
    <t>Hassan Raza - 01-Sep-2025</t>
  </si>
  <si>
    <t>Sana Iqbal - 02-Sep-2025</t>
  </si>
  <si>
    <t>15-Aug-2025 / PKR 7812000 (approx.)</t>
  </si>
  <si>
    <t>IVC/INV/2508/868</t>
  </si>
  <si>
    <t>DRY-00067</t>
  </si>
  <si>
    <t>BB-0067</t>
  </si>
  <si>
    <t>PO-2508-2</t>
  </si>
  <si>
    <t>12-Aug-2025 / PKR 3537000 (approx.)</t>
  </si>
  <si>
    <t>13-Aug-2025 / PKR 3537000 (approx.)</t>
  </si>
  <si>
    <t>DRY-00068</t>
  </si>
  <si>
    <t>BB-0068</t>
  </si>
  <si>
    <t>02-Sep-2025 - By hand</t>
  </si>
  <si>
    <t>Hassan Raza - 04-Sep-2025</t>
  </si>
  <si>
    <t>Sana Iqbal - 05-Sep-2025</t>
  </si>
  <si>
    <t>DRY-00069</t>
  </si>
  <si>
    <t>BB-0069</t>
  </si>
  <si>
    <t>105/2509/4372</t>
  </si>
  <si>
    <t>DRY-00070</t>
  </si>
  <si>
    <t>BB-0070</t>
  </si>
  <si>
    <t>05-Sep-2025 - Email</t>
  </si>
  <si>
    <t>Hassan Raza - 07-Sep-2025</t>
  </si>
  <si>
    <t>Sana Iqbal - 08-Sep-2025</t>
  </si>
  <si>
    <t>106/2509/1096</t>
  </si>
  <si>
    <t>DRY-00071</t>
  </si>
  <si>
    <t>BB-0071</t>
  </si>
  <si>
    <t>07-Sep-2025 - Email</t>
  </si>
  <si>
    <t>PO-2509-929</t>
  </si>
  <si>
    <t>16-Aug-2025 / PKR 647000 (approx.)</t>
  </si>
  <si>
    <t>Hassan Raza - 09-Sep-2025</t>
  </si>
  <si>
    <t>Sana Iqbal - 10-Sep-2025</t>
  </si>
  <si>
    <t>18-Aug-2025 / PKR 647000 (approx.)</t>
  </si>
  <si>
    <t>MCL/INV/2509/536</t>
  </si>
  <si>
    <t>DRY-00072</t>
  </si>
  <si>
    <t>BB-0072</t>
  </si>
  <si>
    <t>02-Oct-2025 - Email</t>
  </si>
  <si>
    <t>PO-2509-1</t>
  </si>
  <si>
    <t>14-Sep-2025 / PKR 7397000 (approx.)</t>
  </si>
  <si>
    <t>Hassan Raza - 01-Oct-2025</t>
  </si>
  <si>
    <t>Sana Iqbal - 02-Oct-2025</t>
  </si>
  <si>
    <t>06-Sep-2025 / PKR 7397000 (approx.)</t>
  </si>
  <si>
    <t>DRY-00073</t>
  </si>
  <si>
    <t>BB-0073</t>
  </si>
  <si>
    <t>03-Oct-2025 - By hand</t>
  </si>
  <si>
    <t>Hassan Raza - 04-Oct-2025</t>
  </si>
  <si>
    <t>Sana Iqbal - 05-Oct-2025</t>
  </si>
  <si>
    <t>DRY-00074</t>
  </si>
  <si>
    <t>BB-0074</t>
  </si>
  <si>
    <t>02-Oct-2025 - By hand</t>
  </si>
  <si>
    <t>110/2510/1329</t>
  </si>
  <si>
    <t>DRY-00075</t>
  </si>
  <si>
    <t>BB-0075</t>
  </si>
  <si>
    <t>05-Oct-2025 - Email</t>
  </si>
  <si>
    <t>Hassan Raza - 07-Oct-2025</t>
  </si>
  <si>
    <t>Sana Iqbal - 08-Oct-2025</t>
  </si>
  <si>
    <t>108/2510/3957</t>
  </si>
  <si>
    <t>DRY-00076</t>
  </si>
  <si>
    <t>BB-0076</t>
  </si>
  <si>
    <t>10-Oct-2025 - Email</t>
  </si>
  <si>
    <t>PO-2510-931</t>
  </si>
  <si>
    <t>27-Sep-2025 / PKR 294000 (approx.)</t>
  </si>
  <si>
    <t>Hassan Raza - 11-Oct-2025</t>
  </si>
  <si>
    <t>Sana Iqbal - 12-Oct-2025</t>
  </si>
  <si>
    <t>15-Sep-2025 / PKR 294000 (approx.)</t>
  </si>
  <si>
    <t>107/2510/3605</t>
  </si>
  <si>
    <t>DRY-00077</t>
  </si>
  <si>
    <t>BB-0077</t>
  </si>
  <si>
    <t>20-Oct-2025 - Email</t>
  </si>
  <si>
    <t>PO-2510-930</t>
  </si>
  <si>
    <t>29-Sep-2025 / PKR 19000 (approx.)</t>
  </si>
  <si>
    <t>Hassan Raza - 22-Oct-2025</t>
  </si>
  <si>
    <t>Sana Iqbal - 23-Oct-2025</t>
  </si>
  <si>
    <t>MCL/INV/2510/604</t>
  </si>
  <si>
    <t>DRY-00078</t>
  </si>
  <si>
    <t>BB-0078</t>
  </si>
  <si>
    <t>02-Nov-2025 - Email</t>
  </si>
  <si>
    <t>PO-2510-1</t>
  </si>
  <si>
    <t>12-Oct-2025 / PKR 13948000 (approx.)</t>
  </si>
  <si>
    <t>Hassan Raza - 01-Nov-2025</t>
  </si>
  <si>
    <t>Sana Iqbal - 02-Nov-2025</t>
  </si>
  <si>
    <t>13-Oct-2025 / PKR 13948000 (approx.)</t>
  </si>
  <si>
    <t>DRY-00079</t>
  </si>
  <si>
    <t>BB-0079</t>
  </si>
  <si>
    <t>02-Nov-2025 - By hand</t>
  </si>
  <si>
    <t>Hassan Raza - 04-Nov-2025</t>
  </si>
  <si>
    <t>Sana Iqbal - 05-Nov-2025</t>
  </si>
  <si>
    <t>DRY-00080</t>
  </si>
  <si>
    <t>BB-0080</t>
  </si>
  <si>
    <t>03-Nov-2025 - By hand</t>
  </si>
  <si>
    <t>DRY-00081</t>
  </si>
  <si>
    <t>BB-0081</t>
  </si>
  <si>
    <t>102/2511/9656</t>
  </si>
  <si>
    <t>DRY-00082</t>
  </si>
  <si>
    <t>BB-0082</t>
  </si>
  <si>
    <t>04-Nov-2025 - Email</t>
  </si>
  <si>
    <t>Hassan Raza - 06-Nov-2025</t>
  </si>
  <si>
    <t>Sana Iqbal - 07-Nov-2025</t>
  </si>
  <si>
    <t>103/2511/8669</t>
  </si>
  <si>
    <t>DRY-00083</t>
  </si>
  <si>
    <t>BB-0083</t>
  </si>
  <si>
    <t>14-Nov-2025 - Email</t>
  </si>
  <si>
    <t>Hassan Raza - 16-Nov-2025</t>
  </si>
  <si>
    <t>Sana Iqbal - 17-Nov-2025</t>
  </si>
  <si>
    <t>MCL/INV/2511/714</t>
  </si>
  <si>
    <t>DRY-00084</t>
  </si>
  <si>
    <t>BB-0084</t>
  </si>
  <si>
    <t>01-Dec-2025 - Email</t>
  </si>
  <si>
    <t>PO-2511-1</t>
  </si>
  <si>
    <t>09-Nov-2025 / PKR 10849000 (approx.)</t>
  </si>
  <si>
    <t>Hassan Raza - 01-Dec-2025</t>
  </si>
  <si>
    <t>Sana Iqbal - 02-Dec-2025</t>
  </si>
  <si>
    <t>10-Nov-2025 / PKR 10849000 (approx.)</t>
  </si>
  <si>
    <t>19-Nov-2025 / PKR 10849000 (approx.)</t>
  </si>
  <si>
    <t>IVC/INV/2511/387</t>
  </si>
  <si>
    <t>DRY-00085</t>
  </si>
  <si>
    <t>BB-0085</t>
  </si>
  <si>
    <t>02-Dec-2025 - Email</t>
  </si>
  <si>
    <t>PO-2511-2</t>
  </si>
  <si>
    <t>08-Nov-2025 / PKR 1159000 (approx.)</t>
  </si>
  <si>
    <t>DRY-00086</t>
  </si>
  <si>
    <t>BB-0086</t>
  </si>
  <si>
    <t>02-Dec-2025 - By hand</t>
  </si>
  <si>
    <t>Hassan Raza - 04-Dec-2025</t>
  </si>
  <si>
    <t>Sana Iqbal - 05-Dec-2025</t>
  </si>
  <si>
    <t>DRY-00087</t>
  </si>
  <si>
    <t>BB-0087</t>
  </si>
  <si>
    <t>DRY-00088</t>
  </si>
  <si>
    <t>BB-0088</t>
  </si>
  <si>
    <t>03-Dec-2025 - By hand</t>
  </si>
  <si>
    <t>102/2512/5613</t>
  </si>
  <si>
    <t>DRY-00089</t>
  </si>
  <si>
    <t>BB-0089</t>
  </si>
  <si>
    <t>15-Dec-2025 - Email</t>
  </si>
  <si>
    <t>Hassan Raza - 17-Dec-2025</t>
  </si>
  <si>
    <t>Sana Iqbal - 18-Dec-2025</t>
  </si>
  <si>
    <t>104/2512/8397</t>
  </si>
  <si>
    <t>DRY-00090</t>
  </si>
  <si>
    <t>BB-0090</t>
  </si>
  <si>
    <t>19-Dec-2025 - Email</t>
  </si>
  <si>
    <t>Hassan Raza - 21-Dec-2025</t>
  </si>
  <si>
    <t>Sana Iqbal - 22-Dec-2025</t>
  </si>
  <si>
    <t>101/2512/3017</t>
  </si>
  <si>
    <t>DRY-00091</t>
  </si>
  <si>
    <t>BB-0091</t>
  </si>
  <si>
    <t>23-Dec-2025 - Email</t>
  </si>
  <si>
    <t>Hassan Raza - 24-Dec-2025</t>
  </si>
  <si>
    <t>Sana Iqbal - 25-Dec-2025</t>
  </si>
  <si>
    <t>MCL/INV/2512/481</t>
  </si>
  <si>
    <t>DRY-00092</t>
  </si>
  <si>
    <t>BB-0092</t>
  </si>
  <si>
    <t>01-Jan-2026 - Email</t>
  </si>
  <si>
    <t>PO-2512-1</t>
  </si>
  <si>
    <t>20-Dec-2025 / PKR 6498000 (approx.)</t>
  </si>
  <si>
    <t>Hassan Raza - 01-Jan-2026</t>
  </si>
  <si>
    <t>Sana Iqbal - 02-Jan-2026</t>
  </si>
  <si>
    <t>DRY-00093</t>
  </si>
  <si>
    <t>BB-0093</t>
  </si>
  <si>
    <t>03-Jan-2026 - By hand</t>
  </si>
  <si>
    <t>Hassan Raza - 04-Jan-2026</t>
  </si>
  <si>
    <t>Sana Iqbal - 05-Jan-2026</t>
  </si>
  <si>
    <t>104/2601/9179</t>
  </si>
  <si>
    <t>DRY-00094</t>
  </si>
  <si>
    <t>BB-0094</t>
  </si>
  <si>
    <t>06-Jan-2026 - Email</t>
  </si>
  <si>
    <t>Hassan Raza - 08-Jan-2026</t>
  </si>
  <si>
    <t>Sana Iqbal - 09-Jan-2026</t>
  </si>
  <si>
    <t>103/2601/6998</t>
  </si>
  <si>
    <t>DRY-00095</t>
  </si>
  <si>
    <t>BB-0095</t>
  </si>
  <si>
    <t>21-Jan-2026 - Email</t>
  </si>
  <si>
    <t>Hassan Raza - 23-Jan-2026</t>
  </si>
  <si>
    <t>Sana Iqbal - 24-Jan-2026</t>
  </si>
  <si>
    <t>MCL/INV/2601/192</t>
  </si>
  <si>
    <t>DRY-00096</t>
  </si>
  <si>
    <t>BB-0096</t>
  </si>
  <si>
    <t>01-Feb-2026 - Email</t>
  </si>
  <si>
    <t>PO-2601-1</t>
  </si>
  <si>
    <t>09-Jan-2026 / PKR 7968000 (approx.)</t>
  </si>
  <si>
    <t>SA-SUP-001-2024 (advance PV-0030)</t>
  </si>
  <si>
    <t>Hassan Raza - 01-Feb-2026</t>
  </si>
  <si>
    <t>Sana Iqbal - 02-Feb-2026</t>
  </si>
  <si>
    <t>SRW/INV/2601/338</t>
  </si>
  <si>
    <t>DRY-00097</t>
  </si>
  <si>
    <t>BB-0097</t>
  </si>
  <si>
    <t>02-Feb-2026 - Email</t>
  </si>
  <si>
    <t>PO-2601-3</t>
  </si>
  <si>
    <t>06-Jan-2026 / PKR 4494000 (approx.)</t>
  </si>
  <si>
    <t>IVC/INV/2601/407</t>
  </si>
  <si>
    <t>DRY-00098</t>
  </si>
  <si>
    <t>BB-0098</t>
  </si>
  <si>
    <t>PO-2601-2</t>
  </si>
  <si>
    <t>08-Jan-2026 / PKR 3718000 (approx.)</t>
  </si>
  <si>
    <t>DRY-00099</t>
  </si>
  <si>
    <t>BB-0099</t>
  </si>
  <si>
    <t>02-Feb-2026 - By hand</t>
  </si>
  <si>
    <t>Hassan Raza - 04-Feb-2026</t>
  </si>
  <si>
    <t>Sana Iqbal - 05-Feb-2026</t>
  </si>
  <si>
    <t>DRY-00100</t>
  </si>
  <si>
    <t>BB-0100</t>
  </si>
  <si>
    <t>03-Feb-2026 - By hand</t>
  </si>
  <si>
    <t>DRY-00101</t>
  </si>
  <si>
    <t>BB-0101</t>
  </si>
  <si>
    <t>106/2602/2509</t>
  </si>
  <si>
    <t>DRY-00102</t>
  </si>
  <si>
    <t>BB-0102</t>
  </si>
  <si>
    <t>05-Feb-2026 - Email</t>
  </si>
  <si>
    <t>PO-2602-941</t>
  </si>
  <si>
    <t>09-Jan-2026 / PKR 574000 (approx.)</t>
  </si>
  <si>
    <t>Hassan Raza - 06-Feb-2026</t>
  </si>
  <si>
    <t>Sana Iqbal - 07-Feb-2026</t>
  </si>
  <si>
    <t>16-Jan-2026 / PKR 574000 (approx.)</t>
  </si>
  <si>
    <t>107/2602/7816</t>
  </si>
  <si>
    <t>DRY-00103</t>
  </si>
  <si>
    <t>BB-0103</t>
  </si>
  <si>
    <t>07-Feb-2026 - Email</t>
  </si>
  <si>
    <t>PO-2602-942</t>
  </si>
  <si>
    <t>26-Jan-2026 / PKR 19000 (approx.)</t>
  </si>
  <si>
    <t>Hassan Raza - 08-Feb-2026</t>
  </si>
  <si>
    <t>Sana Iqbal - 09-Feb-2026</t>
  </si>
  <si>
    <t>105/2602/6549</t>
  </si>
  <si>
    <t>DRY-00104</t>
  </si>
  <si>
    <t>BB-0104</t>
  </si>
  <si>
    <t>08-Feb-2026 - Email</t>
  </si>
  <si>
    <t>Hassan Raza - 09-Feb-2026</t>
  </si>
  <si>
    <t>Sana Iqbal - 10-Feb-2026</t>
  </si>
  <si>
    <t>MCL/INV/2602/419</t>
  </si>
  <si>
    <t>DRY-00105</t>
  </si>
  <si>
    <t>BB-0105</t>
  </si>
  <si>
    <t>01-Mar-2026 - Email</t>
  </si>
  <si>
    <t>PO-2602-1</t>
  </si>
  <si>
    <t>12-Feb-2026 / PKR 14010000 (approx.)</t>
  </si>
  <si>
    <t>Hassan Raza - 01-Mar-2026</t>
  </si>
  <si>
    <t>Sana Iqbal - 02-Mar-2026</t>
  </si>
  <si>
    <t>DRY-00106</t>
  </si>
  <si>
    <t>BB-0106</t>
  </si>
  <si>
    <t>03-Mar-2026 - By hand</t>
  </si>
  <si>
    <t>Hassan Raza - 04-Mar-2026</t>
  </si>
  <si>
    <t>Sana Iqbal - 05-Mar-2026</t>
  </si>
  <si>
    <t>DRY-00107</t>
  </si>
  <si>
    <t>BB-0107</t>
  </si>
  <si>
    <t>108/2603/2070</t>
  </si>
  <si>
    <t>DRY-00108</t>
  </si>
  <si>
    <t>BB-0108</t>
  </si>
  <si>
    <t>19-Mar-2026 - Email</t>
  </si>
  <si>
    <t>PO-2603-943</t>
  </si>
  <si>
    <t>27-Feb-2026 / PKR 249000 (approx.)</t>
  </si>
  <si>
    <t>Hassan Raza - 20-Mar-2026</t>
  </si>
  <si>
    <t>Sana Iqbal - 21-Mar-2026</t>
  </si>
  <si>
    <t>25-Feb-2026 / PKR 249000 (approx.)</t>
  </si>
  <si>
    <t>110/2603/2431</t>
  </si>
  <si>
    <t>DRY-00109</t>
  </si>
  <si>
    <t>BB-0109</t>
  </si>
  <si>
    <t>23-Mar-2026 - Email</t>
  </si>
  <si>
    <t>Hassan Raza - 24-Mar-2026</t>
  </si>
  <si>
    <t>Sana Iqbal - 25-Mar-2026</t>
  </si>
  <si>
    <t>MCL/INV/2603/915</t>
  </si>
  <si>
    <t>DRY-00110</t>
  </si>
  <si>
    <t>BB-0110</t>
  </si>
  <si>
    <t>01-Apr-2026 - Email</t>
  </si>
  <si>
    <t>PO-2603-1</t>
  </si>
  <si>
    <t>16-Mar-2026 / PKR 3874000 (approx.)</t>
  </si>
  <si>
    <t>Hassan Raza - 01-Apr-2026</t>
  </si>
  <si>
    <t>Sana Iqbal - 02-Apr-2026</t>
  </si>
  <si>
    <t>DRY-00111</t>
  </si>
  <si>
    <t>BB-0111</t>
  </si>
  <si>
    <t>03-Apr-2026 - By hand</t>
  </si>
  <si>
    <t>Hassan Raza - 04-Apr-2026</t>
  </si>
  <si>
    <t>Sana Iqbal - 05-Apr-2026</t>
  </si>
  <si>
    <t>104/2604/1708</t>
  </si>
  <si>
    <t>DRY-00112</t>
  </si>
  <si>
    <t>BB-0112</t>
  </si>
  <si>
    <t>15-Apr-2026 - Email</t>
  </si>
  <si>
    <t>Hassan Raza - 16-Apr-2026</t>
  </si>
  <si>
    <t>Sana Iqbal - 17-Apr-2026</t>
  </si>
  <si>
    <t>102/2604/3701</t>
  </si>
  <si>
    <t>DRY-00113</t>
  </si>
  <si>
    <t>BB-0113</t>
  </si>
  <si>
    <t>22-Apr-2026 - Email</t>
  </si>
  <si>
    <t>Hassan Raza - 24-Apr-2026</t>
  </si>
  <si>
    <t>Sana Iqbal - 25-Apr-2026</t>
  </si>
  <si>
    <t>103/2604/3412</t>
  </si>
  <si>
    <t>DRY-00114</t>
  </si>
  <si>
    <t>BB-0114</t>
  </si>
  <si>
    <t>25-Apr-2026 - Email</t>
  </si>
  <si>
    <t>Hassan Raza - 26-Apr-2026</t>
  </si>
  <si>
    <t>Sana Iqbal - 27-Apr-2026</t>
  </si>
  <si>
    <t>MCL/INV/2604/576</t>
  </si>
  <si>
    <t>DRY-00115</t>
  </si>
  <si>
    <t>BB-0115</t>
  </si>
  <si>
    <t>02-May-2026 - Email</t>
  </si>
  <si>
    <t>PO-2604-1</t>
  </si>
  <si>
    <t>13-Apr-2026 / PKR 6809000 (approx.)</t>
  </si>
  <si>
    <t>Hassan Raza - 01-May-2026</t>
  </si>
  <si>
    <t>Sana Iqbal - 02-May-2026</t>
  </si>
  <si>
    <t>SRW/INV/2604/469</t>
  </si>
  <si>
    <t>DRY-00116</t>
  </si>
  <si>
    <t>BB-0116</t>
  </si>
  <si>
    <t>PO-2604-3</t>
  </si>
  <si>
    <t>19-Apr-2026 / PKR 3612000 (approx.)</t>
  </si>
  <si>
    <t>IVC/INV/2604/755</t>
  </si>
  <si>
    <t>DRY-00117</t>
  </si>
  <si>
    <t>BB-0117</t>
  </si>
  <si>
    <t>PO-2604-2</t>
  </si>
  <si>
    <t>10-Apr-2026 / PKR 1977000 (approx.)</t>
  </si>
  <si>
    <t>DRY-00118</t>
  </si>
  <si>
    <t>BB-0118</t>
  </si>
  <si>
    <t>03-May-2026 - By hand</t>
  </si>
  <si>
    <t>Hassan Raza - 04-May-2026</t>
  </si>
  <si>
    <t>Sana Iqbal - 05-May-2026</t>
  </si>
  <si>
    <t>DRY-00119</t>
  </si>
  <si>
    <t>BB-0119</t>
  </si>
  <si>
    <t>DRY-00120</t>
  </si>
  <si>
    <t>BB-0120</t>
  </si>
  <si>
    <t>102/2605/7762</t>
  </si>
  <si>
    <t>DRY-00121</t>
  </si>
  <si>
    <t>BB-0121</t>
  </si>
  <si>
    <t>06-May-2026 - Email</t>
  </si>
  <si>
    <t>Hassan Raza - 08-May-2026</t>
  </si>
  <si>
    <t>Sana Iqbal - 09-May-2026</t>
  </si>
  <si>
    <t>101/2605/5884</t>
  </si>
  <si>
    <t>DRY-00122</t>
  </si>
  <si>
    <t>BB-0122</t>
  </si>
  <si>
    <t>13-May-2026 - Email</t>
  </si>
  <si>
    <t>Hassan Raza - 14-May-2026</t>
  </si>
  <si>
    <t>Sana Iqbal - 15-May-2026</t>
  </si>
  <si>
    <t>MCL/INV/2605/684</t>
  </si>
  <si>
    <t>DRY-00123</t>
  </si>
  <si>
    <t>BB-0123</t>
  </si>
  <si>
    <t>01-Jun-2026 - Email</t>
  </si>
  <si>
    <t>PO-2605-1</t>
  </si>
  <si>
    <t>13-May-2026 / PKR 8479000 (approx.)</t>
  </si>
  <si>
    <t>Hassan Raza - 01-Jun-2026</t>
  </si>
  <si>
    <t>Sana Iqbal - 02-Jun-2026</t>
  </si>
  <si>
    <t>IVC/INV/2605/465</t>
  </si>
  <si>
    <t>DRY-00124</t>
  </si>
  <si>
    <t>BB-0124</t>
  </si>
  <si>
    <t>02-Jun-2026 - Email</t>
  </si>
  <si>
    <t>PO-2605-2</t>
  </si>
  <si>
    <t>17-May-2026 / PKR 5955000 (approx.)</t>
  </si>
  <si>
    <t>DRY-00125</t>
  </si>
  <si>
    <t>BB-0125</t>
  </si>
  <si>
    <t>03-Jun-2026 - By hand</t>
  </si>
  <si>
    <t>On hold - trip count mismatch</t>
  </si>
  <si>
    <t>Hassan Raza - 04-Jun-2026</t>
  </si>
  <si>
    <t>DRY-00126</t>
  </si>
  <si>
    <t>BB-0126</t>
  </si>
  <si>
    <t>02-Jun-2026 - By hand</t>
  </si>
  <si>
    <t>Sana Iqbal - 05-Jun-2026</t>
  </si>
  <si>
    <t>DRY-00127</t>
  </si>
  <si>
    <t>BB-0127</t>
  </si>
  <si>
    <t>103/2606/3747</t>
  </si>
  <si>
    <t>DRY-00128</t>
  </si>
  <si>
    <t>BB-0128</t>
  </si>
  <si>
    <t>03-Jun-2026 - Email</t>
  </si>
  <si>
    <t>Hassan Raza - 05-Jun-2026</t>
  </si>
  <si>
    <t>Sana Iqbal - 06-Jun-2026</t>
  </si>
  <si>
    <t>104/2606/1858</t>
  </si>
  <si>
    <t>DRY-00129</t>
  </si>
  <si>
    <t>BB-0129</t>
  </si>
  <si>
    <t>07-Jun-2026 - Email</t>
  </si>
  <si>
    <t>Hassan Raza - 08-Jun-2026</t>
  </si>
  <si>
    <t>Sana Iqbal - 09-Jun-2026</t>
  </si>
  <si>
    <t>105/2606/4463</t>
  </si>
  <si>
    <t>DRY-00130</t>
  </si>
  <si>
    <t>BB-0130</t>
  </si>
  <si>
    <t>18-Jun-2026 - Email</t>
  </si>
  <si>
    <t>Hassan Raza - 20-Jun-2026</t>
  </si>
  <si>
    <t>Sana Iqbal - 21-Jun-2026</t>
  </si>
  <si>
    <t>MCL/INV/2606/336</t>
  </si>
  <si>
    <t>DRY-00131</t>
  </si>
  <si>
    <t>BB-0131</t>
  </si>
  <si>
    <t>02-Jul-2026 - Email</t>
  </si>
  <si>
    <t>PO-2606-1</t>
  </si>
  <si>
    <t>15-Jun-2026 / PKR 3469000 (approx.)</t>
  </si>
  <si>
    <t>Hassan Raza - 01-Jul-2026</t>
  </si>
  <si>
    <t>Sana Iqbal - 02-Jul-2026</t>
  </si>
  <si>
    <t>IVC/INV/2606/319</t>
  </si>
  <si>
    <t>DRY-00132</t>
  </si>
  <si>
    <t>BB-0132</t>
  </si>
  <si>
    <t>01-Jul-2026 - Email</t>
  </si>
  <si>
    <t>PO-2606-2</t>
  </si>
  <si>
    <t>10-Jun-2026 / PKR 1740000 (approx.)</t>
  </si>
  <si>
    <t>DRY-00133</t>
  </si>
  <si>
    <t>BB-0133</t>
  </si>
  <si>
    <t>03-Jul-2026 - By hand</t>
  </si>
  <si>
    <t>Yes - 153(1)(b) transport - 2% (exemption)</t>
  </si>
  <si>
    <t>153(1)(b) transport - 2% (exemption)</t>
  </si>
  <si>
    <t>Hassan Raza - 04-Jul-2026</t>
  </si>
  <si>
    <t>Sana Iqbal - 05-Jul-2026</t>
  </si>
  <si>
    <t>106/2607/4416</t>
  </si>
  <si>
    <t>DRY-00134</t>
  </si>
  <si>
    <t>BB-0134</t>
  </si>
  <si>
    <t>06-Jul-2026 - Email</t>
  </si>
  <si>
    <t>PO-2607-953</t>
  </si>
  <si>
    <t>16-Jun-2026 / PKR 301000 (approx.)</t>
  </si>
  <si>
    <t>Hassan Raza - 08-Jul-2026</t>
  </si>
  <si>
    <t>Sana Iqbal - 09-Jul-2026</t>
  </si>
  <si>
    <t>25-Jun-2026 / PKR 301000 (approx.)</t>
  </si>
  <si>
    <t>107/2607/9480</t>
  </si>
  <si>
    <t>DRY-00135</t>
  </si>
  <si>
    <t>BB-0135</t>
  </si>
  <si>
    <t>22-Jul-2026 - Email</t>
  </si>
  <si>
    <t>PO-2607-954</t>
  </si>
  <si>
    <t>29-Jun-2026 / PKR 19000 (approx.)</t>
  </si>
  <si>
    <t>Hassan Raza - 23-Jul-2026</t>
  </si>
  <si>
    <t>Sana Iqbal - 24-Jul-2026</t>
  </si>
  <si>
    <t>SRW/INV/2607/417</t>
  </si>
  <si>
    <t>DRY-00136</t>
  </si>
  <si>
    <t>BB-0136</t>
  </si>
  <si>
    <t>02-Aug-2026 - Email</t>
  </si>
  <si>
    <t>PO-2607-3</t>
  </si>
  <si>
    <t>11-Jul-2026 / PKR 21934000 (approx.)</t>
  </si>
  <si>
    <t>On hold - short supply dispute</t>
  </si>
  <si>
    <t>Hassan Raza - 01-Aug-2026</t>
  </si>
  <si>
    <t>MCL/INV/2607/125</t>
  </si>
  <si>
    <t>DRY-00137</t>
  </si>
  <si>
    <t>BB-0137</t>
  </si>
  <si>
    <t>PO-2607-1</t>
  </si>
  <si>
    <t>21-Jul-2026 / PKR 2690000 (approx.)</t>
  </si>
  <si>
    <t>Sana Iqbal - 02-Aug-2026</t>
  </si>
  <si>
    <t>DRY-00138</t>
  </si>
  <si>
    <t>BB-0138</t>
  </si>
  <si>
    <t>02-Aug-2026 - By hand</t>
  </si>
  <si>
    <t>Hassan Raza - 04-Aug-2026</t>
  </si>
  <si>
    <t>Sana Iqbal - 05-Aug-2026</t>
  </si>
  <si>
    <t>DRY-00139</t>
  </si>
  <si>
    <t>BB-0139</t>
  </si>
  <si>
    <t>110/2608/1759</t>
  </si>
  <si>
    <t>DRY-00140</t>
  </si>
  <si>
    <t>BB-0140</t>
  </si>
  <si>
    <t>04-Aug-2026 - Email</t>
  </si>
  <si>
    <t>Hassan Raza - 06-Aug-2026</t>
  </si>
  <si>
    <t>Sana Iqbal - 07-Aug-2026</t>
  </si>
  <si>
    <t>102/2608/5858</t>
  </si>
  <si>
    <t>DRY-00141</t>
  </si>
  <si>
    <t>BB-0141</t>
  </si>
  <si>
    <t>06-Aug-2026 - Email</t>
  </si>
  <si>
    <t>Hassan Raza - 08-Aug-2026</t>
  </si>
  <si>
    <t>Sana Iqbal - 09-Aug-2026</t>
  </si>
  <si>
    <t>108/2608/7685</t>
  </si>
  <si>
    <t>DRY-00142</t>
  </si>
  <si>
    <t>BB-0142</t>
  </si>
  <si>
    <t>19-Aug-2026 - Email</t>
  </si>
  <si>
    <t>PO-2608-955</t>
  </si>
  <si>
    <t>27-Jul-2026 / PKR 278000 (approx.)</t>
  </si>
  <si>
    <t>Hassan Raza - 20-Aug-2026</t>
  </si>
  <si>
    <t>Sana Iqbal - 21-Aug-2026</t>
  </si>
  <si>
    <t>23-Jul-2026 / PKR 278000 (approx.)</t>
  </si>
  <si>
    <t>SRW/INV/2608/274</t>
  </si>
  <si>
    <t>DRY-00143</t>
  </si>
  <si>
    <t>BB-0143</t>
  </si>
  <si>
    <t>02-Sep-2026 - Email</t>
  </si>
  <si>
    <t>PO-2608-3</t>
  </si>
  <si>
    <t>21-Aug-2026 / PKR 8959000 (approx.)</t>
  </si>
  <si>
    <t>Hassan Raza - 01-Sep-2026</t>
  </si>
  <si>
    <t>Sana Iqbal - 02-Sep-2026</t>
  </si>
  <si>
    <t>MCL/INV/2608/618</t>
  </si>
  <si>
    <t>DRY-00144</t>
  </si>
  <si>
    <t>BB-0144</t>
  </si>
  <si>
    <t>PO-2608-1</t>
  </si>
  <si>
    <t>10-Aug-2026 / PKR 5310000 (approx.)</t>
  </si>
  <si>
    <t>11-Aug-2026 / PKR 5310000 (approx.)</t>
  </si>
  <si>
    <t>DRY-00145</t>
  </si>
  <si>
    <t>BB-0145</t>
  </si>
  <si>
    <t>02-Sep-2026 - By hand</t>
  </si>
  <si>
    <t>Hassan Raza - 04-Sep-2026</t>
  </si>
  <si>
    <t>Sana Iqbal - 05-Sep-2026</t>
  </si>
  <si>
    <t>DRY-00146</t>
  </si>
  <si>
    <t>BB-0146</t>
  </si>
  <si>
    <t>03-Sep-2026 - By hand</t>
  </si>
  <si>
    <t>103/2609/9813</t>
  </si>
  <si>
    <t>DRY-00147</t>
  </si>
  <si>
    <t>BB-0147</t>
  </si>
  <si>
    <t>21-Sep-2026 - Email</t>
  </si>
  <si>
    <t>Hassan Raza - 22-Sep-2026</t>
  </si>
  <si>
    <t>Sana Iqbal - 23-Sep-2026</t>
  </si>
  <si>
    <t>MCL/INV/2609/933</t>
  </si>
  <si>
    <t>DRY-00148</t>
  </si>
  <si>
    <t>BB-0148</t>
  </si>
  <si>
    <t>25-Sep-2026 - Email</t>
  </si>
  <si>
    <t>PO-2609-1</t>
  </si>
  <si>
    <t>07-Sep-2026 / PKR 21423000 (approx.)</t>
  </si>
  <si>
    <t>Hassan Raza - 24-Sep-2026</t>
  </si>
  <si>
    <t>Sana Iqbal - 25-Sep-2026</t>
  </si>
  <si>
    <t>05-Sep-2026 / PKR 21423000 (approx.)</t>
  </si>
  <si>
    <t>IVC/INV/2609/509</t>
  </si>
  <si>
    <t>DRY-00149</t>
  </si>
  <si>
    <t>BB-0149</t>
  </si>
  <si>
    <t>24-Sep-2026 - Email</t>
  </si>
  <si>
    <t>PO-2609-2</t>
  </si>
  <si>
    <t>06-Sep-2026 / PKR 5050000 (approx.)</t>
  </si>
  <si>
    <t>01-Sep-2026 / PKR 5050000 (approx.)</t>
  </si>
  <si>
    <t>104/2609/1908</t>
  </si>
  <si>
    <t>DRY-00150</t>
  </si>
  <si>
    <t>BB-0150</t>
  </si>
  <si>
    <t>Hassan Raza - 25-Sep-2026</t>
  </si>
  <si>
    <t>Sana Iqbal - 26-Sep-2026</t>
  </si>
  <si>
    <t>PV-0001</t>
  </si>
  <si>
    <t>Against bill</t>
  </si>
  <si>
    <t>PKR @ 1.0000</t>
  </si>
  <si>
    <t>N/A (IBFT)</t>
  </si>
  <si>
    <t>Paid</t>
  </si>
  <si>
    <t>Verified</t>
  </si>
  <si>
    <t>Approved</t>
  </si>
  <si>
    <t>Complete</t>
  </si>
  <si>
    <t>2101 Trade payables - SUP-001</t>
  </si>
  <si>
    <t>Payment - Goods purchase (cement) MCL/INV/2410/556</t>
  </si>
  <si>
    <t>CPR-IT-2503-20000 / 11-Apr-2025</t>
  </si>
  <si>
    <t>Issued</t>
  </si>
  <si>
    <t>Received</t>
  </si>
  <si>
    <t>JV-PV-0001 / 14-Mar-2025</t>
  </si>
  <si>
    <t>Yes - GRN attached</t>
  </si>
  <si>
    <t>Prepared: Mariam Khalid; Verified: Hassan Raza; Approved: Sana Iqbal</t>
  </si>
  <si>
    <t>Payment - Goods purchase (cement) MCL/INV/2411/182</t>
  </si>
  <si>
    <t>CPR-IT-2503-20000 / 09-Apr-2025</t>
  </si>
  <si>
    <t>Payment - Goods purchase (cement) MCL/INV/2412/277</t>
  </si>
  <si>
    <t>CPR-IT-2503-20000 / 07-Apr-2025</t>
  </si>
  <si>
    <t>Payment - Goods purchase (cement) MCL/INV/2502/509</t>
  </si>
  <si>
    <t>PV-0002</t>
  </si>
  <si>
    <t>Advance to vendor</t>
  </si>
  <si>
    <t>ADV-REQ-2503-01</t>
  </si>
  <si>
    <t>REQ-ADV-2503</t>
  </si>
  <si>
    <t>1401 Advances to suppliers - SUP-001</t>
  </si>
  <si>
    <t>Advance against cement order (adjusted in BB-0033)</t>
  </si>
  <si>
    <t>N/A - advance</t>
  </si>
  <si>
    <t>JV-PV-0002 / 21-Mar-2025</t>
  </si>
  <si>
    <t>PV-0003</t>
  </si>
  <si>
    <t>2101 Trade payables - TRN-002</t>
  </si>
  <si>
    <t>Payment - Freight / transport FB-TRN002-2410</t>
  </si>
  <si>
    <t>CPR-IT-2503-20002 / 07-Apr-2025</t>
  </si>
  <si>
    <t>JV-PV-0003 / 31-Mar-2025</t>
  </si>
  <si>
    <t>Yes - trip sheets</t>
  </si>
  <si>
    <t>Payment - Freight / transport FB-TRN002-2411</t>
  </si>
  <si>
    <t>CPR-IT-2503-20002 / 14-Apr-2025</t>
  </si>
  <si>
    <t>Payment - Freight / transport FB-TRN002-2501</t>
  </si>
  <si>
    <t>CPR-IT-2503-20002 / 11-Apr-2025</t>
  </si>
  <si>
    <t>Payment - Freight / transport FB-TRN002-2502</t>
  </si>
  <si>
    <t>PV-0004</t>
  </si>
  <si>
    <t>2101 Trade payables - SUP-002</t>
  </si>
  <si>
    <t>Payment - Goods purchase (cement) IVC/INV/2410/306</t>
  </si>
  <si>
    <t>CPR-IT-2504-20003 / 06-May-2025</t>
  </si>
  <si>
    <t>JV-PV-0004 / 20-Apr-2025</t>
  </si>
  <si>
    <t>Payment - Goods purchase (cement) IVC/INV/2411/475</t>
  </si>
  <si>
    <t>CPR-IT-2504-20003 / 07-May-2025</t>
  </si>
  <si>
    <t>Payment - Goods purchase (cement) IVC/INV/2502/112</t>
  </si>
  <si>
    <t>CPR-IT-2504-20003 / 11-May-2025</t>
  </si>
  <si>
    <t>Payment - Goods purchase (cement) IVC/INV/2503/814</t>
  </si>
  <si>
    <t>PV-0005</t>
  </si>
  <si>
    <t>2101 Trade payables - TRN-001</t>
  </si>
  <si>
    <t>Payment - Freight / transport FB-TRN001-2411</t>
  </si>
  <si>
    <t>CPR-IT-2505-20004 / 07-Jun-2025</t>
  </si>
  <si>
    <t>JV-PV-0005 / 04-May-2025</t>
  </si>
  <si>
    <t>Payment - Freight / transport FB-TRN001-2501</t>
  </si>
  <si>
    <t>CPR-IT-2505-20004 / 14-Jun-2025</t>
  </si>
  <si>
    <t>Payment - Freight / transport FB-TRN001-2502</t>
  </si>
  <si>
    <t>CPR-IT-2505-20004 / 12-Jun-2025</t>
  </si>
  <si>
    <t>Payment - Freight / transport FB-TRN001-2503</t>
  </si>
  <si>
    <t>CPR-IT-2505-20004 / 06-Jun-2025</t>
  </si>
  <si>
    <t>PV-0006</t>
  </si>
  <si>
    <t>HBL</t>
  </si>
  <si>
    <t>Lahore Electric Supply Co (LESCO)</t>
  </si>
  <si>
    <t>5983-5300965</t>
  </si>
  <si>
    <t>2101 Trade payables - VEN-102</t>
  </si>
  <si>
    <t>Payment - Utilities 102/2410/9332</t>
  </si>
  <si>
    <t>CPR-IT-2506-20005 / 09-Jul-2025</t>
  </si>
  <si>
    <t>JV-PV-0006 / 18-Jun-2025</t>
  </si>
  <si>
    <t>Payment - Utilities 102/2501/9863</t>
  </si>
  <si>
    <t>CPR-IT-2506-20005 / 14-Jul-2025</t>
  </si>
  <si>
    <t>Payment - Utilities 102/2503/5338</t>
  </si>
  <si>
    <t>Payment - Utilities 102/2506/6682</t>
  </si>
  <si>
    <t>CPR-IT-2506-20005 / 10-Jul-2025</t>
  </si>
  <si>
    <t>PV-0007</t>
  </si>
  <si>
    <t>CHQ 40001006 / 08-Jul-2025</t>
  </si>
  <si>
    <t>MCB</t>
  </si>
  <si>
    <t>Shield Security Services (Pvt) Ltd</t>
  </si>
  <si>
    <t>9830-6278689</t>
  </si>
  <si>
    <t>2101 Trade payables - VEN-103</t>
  </si>
  <si>
    <t>Payment - Services 103/2410/2040</t>
  </si>
  <si>
    <t>CPR-IT-2507-20006 / 15-Aug-2025</t>
  </si>
  <si>
    <t>Cleared</t>
  </si>
  <si>
    <t>JV-PV-0007 / 08-Jul-2025</t>
  </si>
  <si>
    <t>Payment - Services 103/2502/6684</t>
  </si>
  <si>
    <t>CPR-IT-2507-20006 / 08-Aug-2025</t>
  </si>
  <si>
    <t>Payment - Services 103/2503/8179</t>
  </si>
  <si>
    <t>Payment - Services 103/2506/4558</t>
  </si>
  <si>
    <t>PV-0008</t>
  </si>
  <si>
    <t>UBL</t>
  </si>
  <si>
    <t>Toyota Industrial Equipment Pakistan</t>
  </si>
  <si>
    <t>1324-8813324</t>
  </si>
  <si>
    <t>2101 Trade payables - VEN-109</t>
  </si>
  <si>
    <t>Payment - Capital purchase 109/2506/3004</t>
  </si>
  <si>
    <t>CPR-IT-2507-20007 / 13-Aug-2025</t>
  </si>
  <si>
    <t>JV-PV-0008 / 09-Jul-2025</t>
  </si>
  <si>
    <t>PV-0009</t>
  </si>
  <si>
    <t>2101 Trade payables - SUP-003</t>
  </si>
  <si>
    <t>Payment - Goods purchase (cement) SRW/INV/2501/234</t>
  </si>
  <si>
    <t>CPR-IT-2507-20008 / 11-Aug-2025</t>
  </si>
  <si>
    <t>JV-PV-0009 / 12-Jul-2025</t>
  </si>
  <si>
    <t>Payment - Goods purchase (cement) SRW/INV/2504/363</t>
  </si>
  <si>
    <t>CPR-IT-2507-20008 / 13-Aug-2025</t>
  </si>
  <si>
    <t>Payment - Goods purchase (cement) SRW/INV/2505/504</t>
  </si>
  <si>
    <t>CPR-IT-2507-20008 / 10-Aug-2025</t>
  </si>
  <si>
    <t>Payment - Goods purchase (cement) SRW/INV/2506/665</t>
  </si>
  <si>
    <t>CPR-IT-2507-20008 / 09-Aug-2025</t>
  </si>
  <si>
    <t>PV-0010</t>
  </si>
  <si>
    <t>CHQ 40001009 / 10-Aug-2025</t>
  </si>
  <si>
    <t>Meezan</t>
  </si>
  <si>
    <t>Nayatel (Pvt) Ltd</t>
  </si>
  <si>
    <t>5857-6193451</t>
  </si>
  <si>
    <t>2101 Trade payables - VEN-104</t>
  </si>
  <si>
    <t>Payment - Utilities 104/2411/3182</t>
  </si>
  <si>
    <t>CPR-IT-2508-20009 / 07-Sep-2025</t>
  </si>
  <si>
    <t>JV-PV-0010 / 10-Aug-2025</t>
  </si>
  <si>
    <t>Payment - Utilities 104/2502/6643</t>
  </si>
  <si>
    <t>CPR-IT-2508-20009 / 12-Sep-2025</t>
  </si>
  <si>
    <t>Payment - Utilities 104/2504/9825</t>
  </si>
  <si>
    <t>Payment - Utilities 104/2507/6952</t>
  </si>
  <si>
    <t>CPR-IT-2508-20009 / 09-Sep-2025</t>
  </si>
  <si>
    <t>PV-0011</t>
  </si>
  <si>
    <t>Final payment - Goods purchase (cement) IVC/INV/2507/478</t>
  </si>
  <si>
    <t>CPR-IT-2508-20010 / 06-Sep-2025</t>
  </si>
  <si>
    <t>JV-PV-0011 / 31-Aug-2025</t>
  </si>
  <si>
    <t>PV-0012</t>
  </si>
  <si>
    <t>Payment - Freight / transport FB-TRN002-2503</t>
  </si>
  <si>
    <t>CPR-IT-2509-20011 / 15-Oct-2025</t>
  </si>
  <si>
    <t>JV-PV-0012 / 06-Sep-2025</t>
  </si>
  <si>
    <t>Payment - Freight / transport FB-TRN002-2504</t>
  </si>
  <si>
    <t>CPR-IT-2509-20011 / 14-Oct-2025</t>
  </si>
  <si>
    <t>Payment - Freight / transport FB-TRN002-2506</t>
  </si>
  <si>
    <t>CPR-IT-2509-20011 / 11-Oct-2025</t>
  </si>
  <si>
    <t>Payment - Freight / transport FB-TRN002-2507</t>
  </si>
  <si>
    <t>CPR-IT-2509-20011 / 06-Oct-2025</t>
  </si>
  <si>
    <t>PV-0013</t>
  </si>
  <si>
    <t>Payment - Goods purchase (cement) IVC/INV/2504/886</t>
  </si>
  <si>
    <t>CPR-IT-2509-20012 / 08-Oct-2025</t>
  </si>
  <si>
    <t>JV-PV-0013 / 13-Sep-2025</t>
  </si>
  <si>
    <t>Payment - Goods purchase (cement) IVC/INV/2505/468</t>
  </si>
  <si>
    <t>CPR-IT-2509-20012 / 06-Oct-2025</t>
  </si>
  <si>
    <t>Part payment - Goods purchase (cement) IVC/INV/2507/478</t>
  </si>
  <si>
    <t>CPR-IT-2509-20012 / 12-Oct-2025</t>
  </si>
  <si>
    <t>Payment - Goods purchase (cement) IVC/INV/2508/868</t>
  </si>
  <si>
    <t>PV-0014</t>
  </si>
  <si>
    <t>Payment - Freight / transport FB-TRN002-2508</t>
  </si>
  <si>
    <t>CPR-IT-2509-20013 / 10-Oct-2025</t>
  </si>
  <si>
    <t>JV-PV-0014 / 29-Sep-2025</t>
  </si>
  <si>
    <t>PV-0015</t>
  </si>
  <si>
    <t>Payment - Freight / transport FB-TRN001-2504</t>
  </si>
  <si>
    <t>CPR-IT-2510-20014 / 15-Nov-2025</t>
  </si>
  <si>
    <t>JV-PV-0015 / 04-Oct-2025</t>
  </si>
  <si>
    <t>Payment - Freight / transport FB-TRN001-2506</t>
  </si>
  <si>
    <t>CPR-IT-2510-20014 / 08-Nov-2025</t>
  </si>
  <si>
    <t>Payment - Freight / transport FB-TRN001-2507</t>
  </si>
  <si>
    <t>CPR-IT-2510-20014 / 14-Nov-2025</t>
  </si>
  <si>
    <t>Payment - Freight / transport FB-TRN001-2508</t>
  </si>
  <si>
    <t>PV-0016</t>
  </si>
  <si>
    <t>Payment - Goods purchase (cement) MCL/INV/2503/899</t>
  </si>
  <si>
    <t>CPR-IT-2510-20015 / 07-Nov-2025</t>
  </si>
  <si>
    <t>JV-PV-0016 / 14-Oct-2025</t>
  </si>
  <si>
    <t>Payment - Goods purchase (cement) MCL/INV/2504/372</t>
  </si>
  <si>
    <t>Payment - Goods purchase (cement) MCL/INV/2505/923</t>
  </si>
  <si>
    <t>CPR-IT-2510-20015 / 06-Nov-2025</t>
  </si>
  <si>
    <t>Payment - Goods purchase (cement) MCL/INV/2509/536</t>
  </si>
  <si>
    <t>CPR-IT-2510-20015 / 15-Nov-2025</t>
  </si>
  <si>
    <t>PV-0017</t>
  </si>
  <si>
    <t>Payment - Freight / transport FB-TRN002-2509</t>
  </si>
  <si>
    <t>CPR-IT-2510-20016 / 10-Nov-2025</t>
  </si>
  <si>
    <t>JV-PV-0017 / 28-Oct-2025</t>
  </si>
  <si>
    <t>PV-0018</t>
  </si>
  <si>
    <t>Payment - Freight / transport FB-TRN001-2509</t>
  </si>
  <si>
    <t>CPR-IT-2511-20017 / 15-Dec-2025</t>
  </si>
  <si>
    <t>JV-PV-0018 / 01-Nov-2025</t>
  </si>
  <si>
    <t>PV-0019</t>
  </si>
  <si>
    <t>Payment - Goods purchase (cement) MCL/INV/2510/604</t>
  </si>
  <si>
    <t>CPR-IT-2511-20018 / 09-Dec-2025</t>
  </si>
  <si>
    <t>JV-PV-0019 / 15-Nov-2025</t>
  </si>
  <si>
    <t>PV-0020</t>
  </si>
  <si>
    <t>Payment - Freight / transport FB-TRN001-2510</t>
  </si>
  <si>
    <t>CPR-IT-2512-20019 / 15-Jan-2026</t>
  </si>
  <si>
    <t>JV-PV-0020 / 02-Dec-2025</t>
  </si>
  <si>
    <t>PV-0021</t>
  </si>
  <si>
    <t>Payment - Freight / transport FB-TRN002-2510</t>
  </si>
  <si>
    <t>CPR-IT-2512-20020 / 07-Jan-2026</t>
  </si>
  <si>
    <t>JV-PV-0021 / 02-Dec-2025</t>
  </si>
  <si>
    <t>PV-0022</t>
  </si>
  <si>
    <t>2101 Trade payables - TRN-003</t>
  </si>
  <si>
    <t>Payment - Freight / transport FB-TRN003-2410</t>
  </si>
  <si>
    <t>CPR-IT-2512-20021 / 12-Jan-2026</t>
  </si>
  <si>
    <t>JV-PV-0022 / 04-Dec-2025</t>
  </si>
  <si>
    <t>Payment - Freight / transport FB-TRN003-2412</t>
  </si>
  <si>
    <t>CPR-IT-2512-20021 / 15-Jan-2026</t>
  </si>
  <si>
    <t>Payment - Freight / transport FB-TRN003-2505</t>
  </si>
  <si>
    <t>CPR-IT-2512-20021 / 09-Jan-2026</t>
  </si>
  <si>
    <t>Payment - Freight / transport FB-TRN003-2510</t>
  </si>
  <si>
    <t>CPR-IT-2512-20021 / 10-Jan-2026</t>
  </si>
  <si>
    <t>PV-0023</t>
  </si>
  <si>
    <t>Payment - Goods purchase (cement) IVC/INV/2511/387</t>
  </si>
  <si>
    <t>CPR-IT-2512-20022 / 14-Jan-2026</t>
  </si>
  <si>
    <t>JV-PV-0023 / 12-Dec-2025</t>
  </si>
  <si>
    <t>PV-0024</t>
  </si>
  <si>
    <t>Payment - Goods purchase (cement) MCL/INV/2511/714</t>
  </si>
  <si>
    <t>CPR-IT-2512-20023 / 15-Jan-2026</t>
  </si>
  <si>
    <t>JV-PV-0024 / 18-Dec-2025</t>
  </si>
  <si>
    <t>PV-0025</t>
  </si>
  <si>
    <t>CHQ 40001024 / 26-Dec-2025</t>
  </si>
  <si>
    <t>Sundar Estate Properties (Pvt) Ltd</t>
  </si>
  <si>
    <t>1948-4340372</t>
  </si>
  <si>
    <t>2101 Trade payables - VEN-101</t>
  </si>
  <si>
    <t>Payment - Rent 101/2410/2595</t>
  </si>
  <si>
    <t>CPR-IT-2512-20024 / 15-Jan-2026</t>
  </si>
  <si>
    <t>JV-PV-0025 / 26-Dec-2025</t>
  </si>
  <si>
    <t>Payment - Rent 101/2502/5559</t>
  </si>
  <si>
    <t>CPR-IT-2512-20024 / 13-Jan-2026</t>
  </si>
  <si>
    <t>Payment - Rent 101/2507/5839</t>
  </si>
  <si>
    <t>CPR-IT-2512-20024 / 14-Jan-2026</t>
  </si>
  <si>
    <t>Payment - Rent 101/2512/3017</t>
  </si>
  <si>
    <t>PV-0026</t>
  </si>
  <si>
    <t>Payment - Freight / transport FB-TRN001-2511</t>
  </si>
  <si>
    <t>CPR-IT-2512-20025 / 07-Jan-2026</t>
  </si>
  <si>
    <t>JV-PV-0026 / 29-Dec-2025</t>
  </si>
  <si>
    <t>PV-0027</t>
  </si>
  <si>
    <t>Payment - Freight / transport FB-TRN003-2511</t>
  </si>
  <si>
    <t>CPR-IT-2512-20026 / 09-Jan-2026</t>
  </si>
  <si>
    <t>JV-PV-0027 / 30-Dec-2025</t>
  </si>
  <si>
    <t>PV-0028</t>
  </si>
  <si>
    <t>Payment - Freight / transport FB-TRN002-2511</t>
  </si>
  <si>
    <t>CPR-IT-2512-20027 / 09-Jan-2026</t>
  </si>
  <si>
    <t>JV-PV-0028 / 30-Dec-2025</t>
  </si>
  <si>
    <t>PV-0029</t>
  </si>
  <si>
    <t>Payment - Goods purchase (cement) MCL/INV/2512/481</t>
  </si>
  <si>
    <t>CPR-IT-2601-20028 / 12-Feb-2026</t>
  </si>
  <si>
    <t>JV-PV-0029 / 18-Jan-2026</t>
  </si>
  <si>
    <t>PV-0030</t>
  </si>
  <si>
    <t>ADV-REQ-2601-01</t>
  </si>
  <si>
    <t>REQ-ADV-2601</t>
  </si>
  <si>
    <t>Advance against cement order (adjusted in BB-0096)</t>
  </si>
  <si>
    <t>JV-PV-0030 / 18-Jan-2026</t>
  </si>
  <si>
    <t>PV-0031</t>
  </si>
  <si>
    <t>Payment - Freight / transport FB-TRN003-2512</t>
  </si>
  <si>
    <t>CPR-IT-2602-20030 / 15-Mar-2026</t>
  </si>
  <si>
    <t>JV-PV-0031 / 03-Feb-2026</t>
  </si>
  <si>
    <t>PV-0032</t>
  </si>
  <si>
    <t>Payment - Goods purchase (cement) IVC/INV/2601/407</t>
  </si>
  <si>
    <t>CPR-IT-2602-20031 / 11-Mar-2026</t>
  </si>
  <si>
    <t>JV-PV-0032 / 13-Feb-2026</t>
  </si>
  <si>
    <t>PV-0033</t>
  </si>
  <si>
    <t>Payment - Goods purchase (cement) MCL/INV/2601/192</t>
  </si>
  <si>
    <t>CPR-IT-2602-20032 / 08-Mar-2026</t>
  </si>
  <si>
    <t>JV-PV-0033 / 21-Feb-2026</t>
  </si>
  <si>
    <t>PV-0034</t>
  </si>
  <si>
    <t>CHQ 40001033 / 23-Feb-2026</t>
  </si>
  <si>
    <t>Pakistan State Oil - fuel card</t>
  </si>
  <si>
    <t>9225-9427766</t>
  </si>
  <si>
    <t>2101 Trade payables - VEN-105</t>
  </si>
  <si>
    <t>Payment - Goods - fuel 105/2411/8337</t>
  </si>
  <si>
    <t>CPR-IT-2602-20033 / 12-Mar-2026</t>
  </si>
  <si>
    <t>JV-PV-0034 / 23-Feb-2026</t>
  </si>
  <si>
    <t>Payment - Goods - fuel 105/2504/2575</t>
  </si>
  <si>
    <t>CPR-IT-2602-20033 / 09-Mar-2026</t>
  </si>
  <si>
    <t>Payment - Goods - fuel 105/2509/4372</t>
  </si>
  <si>
    <t>CPR-IT-2602-20033 / 06-Mar-2026</t>
  </si>
  <si>
    <t>Payment - Goods - fuel 105/2602/6549</t>
  </si>
  <si>
    <t>PV-0035</t>
  </si>
  <si>
    <t>Payment - Freight / transport FB-TRN003-2601</t>
  </si>
  <si>
    <t>CPR-IT-2602-20034 / 14-Mar-2026</t>
  </si>
  <si>
    <t>JV-PV-0035 / 28-Feb-2026</t>
  </si>
  <si>
    <t>PV-0036</t>
  </si>
  <si>
    <t>Payment - Freight / transport FB-TRN001-2601</t>
  </si>
  <si>
    <t>CPR-IT-2602-20035 / 11-Mar-2026</t>
  </si>
  <si>
    <t>JV-PV-0036 / 28-Feb-2026</t>
  </si>
  <si>
    <t>PV-0037</t>
  </si>
  <si>
    <t>Payment - Freight / transport FB-TRN002-2601</t>
  </si>
  <si>
    <t>CPR-IT-2603-20036 / 11-Apr-2026</t>
  </si>
  <si>
    <t>JV-PV-0037 / 03-Mar-2026</t>
  </si>
  <si>
    <t>PV-0038</t>
  </si>
  <si>
    <t>Al-Noor Printers</t>
  </si>
  <si>
    <t>5110-1855303</t>
  </si>
  <si>
    <t>2101 Trade payables - VEN-107</t>
  </si>
  <si>
    <t>Payment - Goods - stationery 107/2412/7414</t>
  </si>
  <si>
    <t>CPR-IT-2603-20037 / 07-Apr-2026</t>
  </si>
  <si>
    <t>JV-PV-0038 / 06-Mar-2026</t>
  </si>
  <si>
    <t>Payment - Goods - stationery 107/2505/3236</t>
  </si>
  <si>
    <t>CPR-IT-2603-20037 / 08-Apr-2026</t>
  </si>
  <si>
    <t>Payment - Goods - stationery 107/2510/3605</t>
  </si>
  <si>
    <t>CPR-IT-2603-20037 / 14-Apr-2026</t>
  </si>
  <si>
    <t>Payment - Goods - stationery 107/2602/7816</t>
  </si>
  <si>
    <t>CPR-IT-2603-20037 / 06-Apr-2026</t>
  </si>
  <si>
    <t>PV-0039</t>
  </si>
  <si>
    <t>Ghani Tyre &amp; Lubricants</t>
  </si>
  <si>
    <t>6713-9542407</t>
  </si>
  <si>
    <t>2101 Trade payables - VEN-106</t>
  </si>
  <si>
    <t>Payment - Goods - spares 106/2412/3261</t>
  </si>
  <si>
    <t>CPR-IT-2603-20038 / 07-Apr-2026</t>
  </si>
  <si>
    <t>JV-PV-0039 / 06-Mar-2026</t>
  </si>
  <si>
    <t>Payment - Goods - spares 106/2504/7213</t>
  </si>
  <si>
    <t>CPR-IT-2603-20038 / 08-Apr-2026</t>
  </si>
  <si>
    <t>Payment - Goods - spares 106/2509/1096</t>
  </si>
  <si>
    <t>Payment - Goods - spares 106/2602/2509</t>
  </si>
  <si>
    <t>CPR-IT-2603-20038 / 15-Apr-2026</t>
  </si>
  <si>
    <t>PV-0040</t>
  </si>
  <si>
    <t>Payment - Goods purchase (cement) MCL/INV/2602/419</t>
  </si>
  <si>
    <t>CPR-IT-2603-20039 / 12-Apr-2026</t>
  </si>
  <si>
    <t>JV-PV-0040 / 13-Mar-2026</t>
  </si>
  <si>
    <t>PV-0041</t>
  </si>
  <si>
    <t>Payment - Freight / transport FB-TRN001-2602</t>
  </si>
  <si>
    <t>CPR-IT-2603-20040 / 06-Apr-2026</t>
  </si>
  <si>
    <t>JV-PV-0041 / 29-Mar-2026</t>
  </si>
  <si>
    <t>PV-0042</t>
  </si>
  <si>
    <t>Payment - Freight / transport FB-TRN002-2602</t>
  </si>
  <si>
    <t>CPR-IT-2604-20041 / 13-May-2026</t>
  </si>
  <si>
    <t>JV-PV-0042 / 06-Apr-2026</t>
  </si>
  <si>
    <t>PV-0043</t>
  </si>
  <si>
    <t>Payment - Goods purchase (cement) MCL/INV/2603/915</t>
  </si>
  <si>
    <t>CPR-IT-2604-20042 / 11-May-2026</t>
  </si>
  <si>
    <t>JV-PV-0043 / 19-Apr-2026</t>
  </si>
  <si>
    <t>PV-0044</t>
  </si>
  <si>
    <t>Punjab Timber Works</t>
  </si>
  <si>
    <t>3873-3050891</t>
  </si>
  <si>
    <t>2101 Trade payables - VEN-108</t>
  </si>
  <si>
    <t>Payment - Goods - consumables 108/2412/6671</t>
  </si>
  <si>
    <t>CPR-IT-2604-20043 / 13-May-2026</t>
  </si>
  <si>
    <t>JV-PV-0044 / 21-Apr-2026</t>
  </si>
  <si>
    <t>Payment - Goods - consumables 108/2505/8806</t>
  </si>
  <si>
    <t>CPR-IT-2604-20043 / 06-May-2026</t>
  </si>
  <si>
    <t>Payment - Goods - consumables 108/2510/3957</t>
  </si>
  <si>
    <t>Payment - Goods - consumables 108/2603/2070</t>
  </si>
  <si>
    <t>CPR-IT-2604-20043 / 10-May-2026</t>
  </si>
  <si>
    <t>PV-0045</t>
  </si>
  <si>
    <t>Payment - Utilities 104/2508/7918</t>
  </si>
  <si>
    <t>CPR-IT-2604-20044 / 07-May-2026</t>
  </si>
  <si>
    <t>JV-PV-0045 / 28-Apr-2026</t>
  </si>
  <si>
    <t>Payment - Utilities 104/2512/8397</t>
  </si>
  <si>
    <t>CPR-IT-2604-20044 / 13-May-2026</t>
  </si>
  <si>
    <t>Payment - Utilities 104/2601/9179</t>
  </si>
  <si>
    <t>CPR-IT-2604-20044 / 15-May-2026</t>
  </si>
  <si>
    <t>Payment - Utilities 104/2604/1708</t>
  </si>
  <si>
    <t>PV-0046</t>
  </si>
  <si>
    <t>Payment - Freight / transport FB-TRN002-2603</t>
  </si>
  <si>
    <t>CPR-IT-2604-20045 / 10-May-2026</t>
  </si>
  <si>
    <t>JV-PV-0046 / 29-Apr-2026</t>
  </si>
  <si>
    <t>PV-0047</t>
  </si>
  <si>
    <t>Payment - Goods purchase (cement) MCL/INV/2604/576</t>
  </si>
  <si>
    <t>CPR-IT-2605-20046 / 06-Jun-2026</t>
  </si>
  <si>
    <t>JV-PV-0047 / 12-May-2026</t>
  </si>
  <si>
    <t>PV-0048</t>
  </si>
  <si>
    <t>Payment - Goods purchase (cement) SRW/INV/2507/110</t>
  </si>
  <si>
    <t>CPR-IT-2605-20047 / 06-Jun-2026</t>
  </si>
  <si>
    <t>JV-PV-0048 / 14-May-2026</t>
  </si>
  <si>
    <t>Payment - Goods purchase (cement) SRW/INV/2508/365</t>
  </si>
  <si>
    <t>CPR-IT-2605-20047 / 10-Jun-2026</t>
  </si>
  <si>
    <t>Payment - Goods purchase (cement) SRW/INV/2601/338</t>
  </si>
  <si>
    <t>CPR-IT-2605-20047 / 08-Jun-2026</t>
  </si>
  <si>
    <t>Payment - Goods purchase (cement) SRW/INV/2604/469</t>
  </si>
  <si>
    <t>CPR-IT-2605-20047 / 13-Jun-2026</t>
  </si>
  <si>
    <t>PV-0049</t>
  </si>
  <si>
    <t>Payment - Goods purchase (cement) IVC/INV/2604/755</t>
  </si>
  <si>
    <t>CPR-IT-2605-20048 / 12-Jun-2026</t>
  </si>
  <si>
    <t>JV-PV-0049 / 16-May-2026</t>
  </si>
  <si>
    <t>PV-0050</t>
  </si>
  <si>
    <t>Payment - Rent 101/2605/5884</t>
  </si>
  <si>
    <t>CPR-IT-2605-20049 / 07-Jun-2026</t>
  </si>
  <si>
    <t>JV-PV-0050 / 16-May-2026</t>
  </si>
  <si>
    <t>PV-0051</t>
  </si>
  <si>
    <t>Payment - Utilities 102/2604/3701</t>
  </si>
  <si>
    <t>CPR-IT-2605-20050 / 13-Jun-2026</t>
  </si>
  <si>
    <t>JV-PV-0051 / 17-May-2026</t>
  </si>
  <si>
    <t>Payment - Utilities 102/2605/7762</t>
  </si>
  <si>
    <t>PV-0052</t>
  </si>
  <si>
    <t>CHQ 40001051 / 27-May-2026</t>
  </si>
  <si>
    <t>Payment - Services 103/2508/9717</t>
  </si>
  <si>
    <t>CPR-IT-2605-20051 / 13-Jun-2026</t>
  </si>
  <si>
    <t>JV-PV-0052 / 27-May-2026</t>
  </si>
  <si>
    <t>Payment - Services 103/2511/8669</t>
  </si>
  <si>
    <t>CPR-IT-2605-20051 / 07-Jun-2026</t>
  </si>
  <si>
    <t>Payment - Services 103/2601/6998</t>
  </si>
  <si>
    <t>CPR-IT-2605-20051 / 09-Jun-2026</t>
  </si>
  <si>
    <t>Payment - Services 103/2604/3412</t>
  </si>
  <si>
    <t>PV-0053</t>
  </si>
  <si>
    <t>Payment - Freight / transport FB-TRN001-2604</t>
  </si>
  <si>
    <t>CPR-IT-2606-20052 / 11-Jul-2026</t>
  </si>
  <si>
    <t>JV-PV-0053 / 01-Jun-2026</t>
  </si>
  <si>
    <t>PV-0054</t>
  </si>
  <si>
    <t>Payment - Freight / transport FB-TRN002-2604</t>
  </si>
  <si>
    <t>CPR-IT-2606-20053 / 09-Jul-2026</t>
  </si>
  <si>
    <t>JV-PV-0054 / 02-Jun-2026</t>
  </si>
  <si>
    <t>PV-0055</t>
  </si>
  <si>
    <t>Payment - Freight / transport FB-TRN003-2604</t>
  </si>
  <si>
    <t>CPR-IT-2606-20054 / 13-Jul-2026</t>
  </si>
  <si>
    <t>JV-PV-0055 / 03-Jun-2026</t>
  </si>
  <si>
    <t>PV-0056</t>
  </si>
  <si>
    <t>Payment - Goods purchase (cement) IVC/INV/2605/465</t>
  </si>
  <si>
    <t>CPR-IT-2606-20055 / 08-Jul-2026</t>
  </si>
  <si>
    <t>JV-PV-0056 / 13-Jun-2026</t>
  </si>
  <si>
    <t>PV-0057</t>
  </si>
  <si>
    <t>Payment - Goods purchase (cement) MCL/INV/2605/684</t>
  </si>
  <si>
    <t>CPR-IT-2606-20056 / 09-Jul-2026</t>
  </si>
  <si>
    <t>JV-PV-0057 / 16-Jun-2026</t>
  </si>
  <si>
    <t>PV-0058</t>
  </si>
  <si>
    <t>CHQ 40001057 / 19-Jun-2026</t>
  </si>
  <si>
    <t>Payment - Utilities 104/2606/1858</t>
  </si>
  <si>
    <t>CPR-IT-2606-20057 / 09-Jul-2026</t>
  </si>
  <si>
    <t>JV-PV-0058 / 19-Jun-2026</t>
  </si>
  <si>
    <t>PV-0059</t>
  </si>
  <si>
    <t>Payment - Freight / transport FB-TRN002-2605</t>
  </si>
  <si>
    <t>CPR-IT-2606-20058 / 06-Jul-2026</t>
  </si>
  <si>
    <t>JV-PV-0059 / 29-Jun-2026</t>
  </si>
  <si>
    <t>PV-0060</t>
  </si>
  <si>
    <t>Payment - Freight / transport FB-TRN001-2605</t>
  </si>
  <si>
    <t>CPR-IT-2607-20059 / 10-Aug-2026</t>
  </si>
  <si>
    <t>JV-PV-0060 / 04-Jul-2026</t>
  </si>
  <si>
    <t>PV-0061</t>
  </si>
  <si>
    <t>CHQ 40001060 / 05-Jul-2026</t>
  </si>
  <si>
    <t>Payment - Services 103/2606/3747</t>
  </si>
  <si>
    <t>CPR-IT-2607-20060 / 06-Aug-2026</t>
  </si>
  <si>
    <t>JV-PV-0061 / 05-Jul-2026</t>
  </si>
  <si>
    <t>PV-0062</t>
  </si>
  <si>
    <t>Payment - Goods - fuel 105/2606/4463</t>
  </si>
  <si>
    <t>CPR-IT-2607-20061 / 09-Aug-2026</t>
  </si>
  <si>
    <t>JV-PV-0062 / 08-Jul-2026</t>
  </si>
  <si>
    <t>PV-0063</t>
  </si>
  <si>
    <t>Payment - Goods purchase (cement) IVC/INV/2606/319</t>
  </si>
  <si>
    <t>CPR-IT-2607-20062 / 11-Aug-2026</t>
  </si>
  <si>
    <t>JV-PV-0063 / 14-Jul-2026</t>
  </si>
  <si>
    <t>PV-0064</t>
  </si>
  <si>
    <t>Payment - Goods purchase (cement) MCL/INV/2606/336</t>
  </si>
  <si>
    <t>CPR-IT-2607-20063 / 06-Aug-2026</t>
  </si>
  <si>
    <t>JV-PV-0064 / 15-Jul-2026</t>
  </si>
  <si>
    <t>PV-0065</t>
  </si>
  <si>
    <t>Payment - Freight / transport FB-TRN002-2606</t>
  </si>
  <si>
    <t>CPR-IT-2608-20064 / 08-Sep-2026</t>
  </si>
  <si>
    <t>JV-PV-0065 / 04-Aug-2026</t>
  </si>
  <si>
    <t>PV-0066</t>
  </si>
  <si>
    <t>Payment - Goods - spares 106/2607/4416</t>
  </si>
  <si>
    <t>CPR-IT-2608-20065 / 07-Sep-2026</t>
  </si>
  <si>
    <t>JV-PV-0066 / 10-Aug-2026</t>
  </si>
  <si>
    <t>PV-0067</t>
  </si>
  <si>
    <t>Payment - Goods purchase (cement) MCL/INV/2607/125</t>
  </si>
  <si>
    <t>CPR-IT-2608-20066 / 09-Sep-2026</t>
  </si>
  <si>
    <t>JV-PV-0067 / 15-Aug-2026</t>
  </si>
  <si>
    <t>PV-0068</t>
  </si>
  <si>
    <t>Payment - Utilities 102/2508/7138</t>
  </si>
  <si>
    <t>CPR-IT-2608-20067 / 10-Sep-2026</t>
  </si>
  <si>
    <t>JV-PV-0068 / 16-Aug-2026</t>
  </si>
  <si>
    <t>Payment - Utilities 102/2511/9656</t>
  </si>
  <si>
    <t>CPR-IT-2608-20067 / 07-Sep-2026</t>
  </si>
  <si>
    <t>Payment - Utilities 102/2512/5613</t>
  </si>
  <si>
    <t>CPR-IT-2608-20067 / 14-Sep-2026</t>
  </si>
  <si>
    <t>Payment - Utilities 102/2608/5858</t>
  </si>
  <si>
    <t>CPR-IT-2608-20067 / 08-Sep-2026</t>
  </si>
  <si>
    <t>PV-0069</t>
  </si>
  <si>
    <t>Payment - Goods - stationery 107/2607/9480</t>
  </si>
  <si>
    <t>CPR-IT-2608-20068 / 10-Sep-2026</t>
  </si>
  <si>
    <t>JV-PV-0069 / 19-Aug-2026</t>
  </si>
  <si>
    <t>PV-0070</t>
  </si>
  <si>
    <t>Payment - Freight / transport FB-TRN002-2607</t>
  </si>
  <si>
    <t>CPR-IT-2608-20069 / 10-Sep-2026</t>
  </si>
  <si>
    <t>JV-PV-0070 / 30-Aug-2026</t>
  </si>
  <si>
    <t>PV-0071</t>
  </si>
  <si>
    <t>Quick Fix Auto Workshop</t>
  </si>
  <si>
    <t>9420-1341943</t>
  </si>
  <si>
    <t>2101 Trade payables - VEN-110</t>
  </si>
  <si>
    <t>Payment - Services 110/2501/1229</t>
  </si>
  <si>
    <t>CPR-IT-2608-20070 / 11-Sep-2026</t>
  </si>
  <si>
    <t>JV-PV-0071 / 31-Aug-2026</t>
  </si>
  <si>
    <t>Payment - Services 110/2510/1329</t>
  </si>
  <si>
    <t>CPR-IT-2608-20070 / 09-Sep-2026</t>
  </si>
  <si>
    <t>Payment - Services 110/2603/2431</t>
  </si>
  <si>
    <t>CPR-IT-2608-20070 / 10-Sep-2026</t>
  </si>
  <si>
    <t>Payment - Services 110/2608/1759</t>
  </si>
  <si>
    <t>PV-0072</t>
  </si>
  <si>
    <t>Payment - Freight / transport FB-TRN001-2607</t>
  </si>
  <si>
    <t>CPR-IT-2609-20071 / 08-Oct-2026</t>
  </si>
  <si>
    <t>JV-PV-0072 / 01-Sep-2026</t>
  </si>
  <si>
    <t>PV-0073</t>
  </si>
  <si>
    <t>Payment - Goods purchase (cement) SRW/INV/2608/274</t>
  </si>
  <si>
    <t>CPR-IT-2609-20072 / 09-Oct-2026</t>
  </si>
  <si>
    <t>JV-PV-0073 / 12-Sep-2026</t>
  </si>
  <si>
    <t>PV-0074</t>
  </si>
  <si>
    <t>Payment - Goods - consumables 108/2608/7685</t>
  </si>
  <si>
    <t>CPR-IT-2609-20073 / 15-Oct-2026</t>
  </si>
  <si>
    <t>JV-PV-0074 / 14-Sep-2026</t>
  </si>
  <si>
    <t>PV-0075</t>
  </si>
  <si>
    <t>Payment - Goods purchase (cement) MCL/INV/2608/618</t>
  </si>
  <si>
    <t>CPR-IT-2609-20074 / 13-Oct-2026</t>
  </si>
  <si>
    <t>JV-PV-0075 / 19-Sep-2026</t>
  </si>
  <si>
    <t>PR-2026-05</t>
  </si>
  <si>
    <t>01-May-2026 to 31-May-2026</t>
  </si>
  <si>
    <t>Regular monthly</t>
  </si>
  <si>
    <t>EMP-001 - Usman Tariq</t>
  </si>
  <si>
    <t>Management / Confirmed</t>
  </si>
  <si>
    <t>3 late arrivals - warning issued</t>
  </si>
  <si>
    <t>Eid-ul-Adha bonus (50% of basic) paid</t>
  </si>
  <si>
    <t>CPR-IT-2605-SAL-4248 / 11-Jun-2026</t>
  </si>
  <si>
    <t>Filed with monthly statement - Jun-2026</t>
  </si>
  <si>
    <t>EMP-002 - Kashif Nadeem</t>
  </si>
  <si>
    <t>Staff / Confirmed</t>
  </si>
  <si>
    <t>CPR-IT-2605-SAL-5701 / 08-Jun-2026</t>
  </si>
  <si>
    <t>EMP-003 - Sana Iqbal</t>
  </si>
  <si>
    <t>CPR-IT-2605-SAL-1085 / 13-Jun-2026</t>
  </si>
  <si>
    <t>EMP-004 - Hassan Raza</t>
  </si>
  <si>
    <t>CPR-IT-2605-SAL-3484 / 09-Jun-2026</t>
  </si>
  <si>
    <t>EMP-005 - Mariam Khalid</t>
  </si>
  <si>
    <t>CPR-IT-2605-SAL-7040 / 14-Jun-2026</t>
  </si>
  <si>
    <t>EMP-006 - Abdul Rehman</t>
  </si>
  <si>
    <t>CPR-IT-2605-SAL-3452 / 13-Jun-2026</t>
  </si>
  <si>
    <t>EMP-007 - Omer Farooq</t>
  </si>
  <si>
    <t>CPR-IT-2605-SAL-7342 / 09-Jun-2026</t>
  </si>
  <si>
    <t>EMP-008 - Ali Hamza</t>
  </si>
  <si>
    <t>CPR-IT-2605-SAL-4530 / 12-Jun-2026</t>
  </si>
  <si>
    <t>EMP-009 - Zeeshan Anwar</t>
  </si>
  <si>
    <t>Staff / Contract</t>
  </si>
  <si>
    <t>CPR-IT-2605-SAL-1364 / 14-Jun-2026</t>
  </si>
  <si>
    <t>EMP-010 - Naeem Akhtar</t>
  </si>
  <si>
    <t>CPR-IT-2605-SAL-3052 / 08-Jun-2026</t>
  </si>
  <si>
    <t>EMP-011 - Irfan Ali</t>
  </si>
  <si>
    <t>CPR-IT-2605-SAL-5729 / 09-Jun-2026</t>
  </si>
  <si>
    <t>EMP-012 - Shakeel Ahmed</t>
  </si>
  <si>
    <t>CPR-IT-2605-SAL-1231 / 13-Jun-2026</t>
  </si>
  <si>
    <t>EMP-013 - Babar Hussain</t>
  </si>
  <si>
    <t>CPR-IT-2605-SAL-1688 / 08-Jun-2026</t>
  </si>
  <si>
    <t>EMP-014 - Hina Aslam</t>
  </si>
  <si>
    <t>CPR-IT-2605-SAL-4065 / 11-Jun-2026</t>
  </si>
  <si>
    <t>EMP-015 - Fahad Saleem</t>
  </si>
  <si>
    <t>CPR-IT-2605-SAL-4186 / 09-Jun-2026</t>
  </si>
  <si>
    <t>EMP-016 - Ghulam Mustafa</t>
  </si>
  <si>
    <t>CPR-IT-2605-SAL-2270 / 14-Jun-2026</t>
  </si>
  <si>
    <t>EMP-017 - Rashid Mehmood</t>
  </si>
  <si>
    <t>Staff / Resigned - notice period</t>
  </si>
  <si>
    <t>CPR-IT-2605-SAL-4528 / 10-Jun-2026</t>
  </si>
  <si>
    <t>EMP-018 - Muhammad Riaz</t>
  </si>
  <si>
    <t>Driver / Confirmed</t>
  </si>
  <si>
    <t>CPR-IT-2605-SAL-6494 / 12-Jun-2026</t>
  </si>
  <si>
    <t>EMP-019 - Allah Ditta</t>
  </si>
  <si>
    <t>CPR-IT-2605-SAL-5878 / 08-Jun-2026</t>
  </si>
  <si>
    <t>EMP-020 - Sher Zaman</t>
  </si>
  <si>
    <t>CPR-IT-2605-SAL-7391 / 10-Jun-2026</t>
  </si>
  <si>
    <t>EMP-021 - Nazir Ahmed</t>
  </si>
  <si>
    <t>Driver / Contract</t>
  </si>
  <si>
    <t>CPR-IT-2605-SAL-9031 / 09-Jun-2026</t>
  </si>
  <si>
    <t>EMP-022 - Javed Iqbal</t>
  </si>
  <si>
    <t>CPR-IT-2605-SAL-1088 / 13-Jun-2026</t>
  </si>
  <si>
    <t>EMP-023 - Khalid Mehmood</t>
  </si>
  <si>
    <t>CPR-IT-2605-SAL-6763 / 11-Jun-2026</t>
  </si>
  <si>
    <t>EMP-024 - Amjad Ali</t>
  </si>
  <si>
    <t>CPR-IT-2605-SAL-1834 / 14-Jun-2026</t>
  </si>
  <si>
    <t>EMP-025 - Fazal Rabbi</t>
  </si>
  <si>
    <t>CPR-IT-2605-SAL-6432 / 12-Jun-2026</t>
  </si>
  <si>
    <t>PR-2026-06</t>
  </si>
  <si>
    <t>01-Jun-2026 to 30-Jun-2026</t>
  </si>
  <si>
    <t>Eid bonus not repeated</t>
  </si>
  <si>
    <t>CPR-IT-2606-SAL-4808 / 08-Jul-2026</t>
  </si>
  <si>
    <t>Filed with monthly statement - Jul-2026</t>
  </si>
  <si>
    <t>CPR-IT-2606-SAL-8802 / 08-Jul-2026</t>
  </si>
  <si>
    <t>CPR-IT-2606-SAL-7343 / 08-Jul-2026</t>
  </si>
  <si>
    <t>CPR-IT-2606-SAL-5896 / 09-Jul-2026</t>
  </si>
  <si>
    <t>CPR-IT-2606-SAL-4625 / 14-Jul-2026</t>
  </si>
  <si>
    <t>CPR-IT-2606-SAL-3415 / 10-Jul-2026</t>
  </si>
  <si>
    <t>CPR-IT-2606-SAL-6576 / 12-Jul-2026</t>
  </si>
  <si>
    <t>CPR-IT-2606-SAL-3721 / 13-Jul-2026</t>
  </si>
  <si>
    <t>CPR-IT-2606-SAL-8122 / 10-Jul-2026</t>
  </si>
  <si>
    <t>CPR-IT-2606-SAL-6976 / 10-Jul-2026</t>
  </si>
  <si>
    <t>CPR-IT-2606-SAL-6983 / 14-Jul-2026</t>
  </si>
  <si>
    <t>CPR-IT-2606-SAL-5797 / 09-Jul-2026</t>
  </si>
  <si>
    <t>CPR-IT-2606-SAL-3518 / 14-Jul-2026</t>
  </si>
  <si>
    <t>CPR-IT-2606-SAL-2324 / 08-Jul-2026</t>
  </si>
  <si>
    <t>CPR-IT-2606-SAL-4206 / 14-Jul-2026</t>
  </si>
  <si>
    <t>CPR-IT-2606-SAL-3650 / 11-Jul-2026</t>
  </si>
  <si>
    <t>CPR-IT-2606-SAL-3017 / 13-Jul-2026</t>
  </si>
  <si>
    <t>CPR-IT-2606-SAL-5668 / 14-Jul-2026</t>
  </si>
  <si>
    <t>CPR-IT-2606-SAL-4670 / 14-Jul-2026</t>
  </si>
  <si>
    <t>CPR-IT-2606-SAL-3199 / 10-Jul-2026</t>
  </si>
  <si>
    <t>CPR-IT-2606-SAL-7349 / 11-Jul-2026</t>
  </si>
  <si>
    <t>CPR-IT-2606-SAL-8235 / 13-Jul-2026</t>
  </si>
  <si>
    <t>CPR-IT-2606-SAL-8395 / 13-Jul-2026</t>
  </si>
  <si>
    <t>CPR-IT-2606-SAL-5813 / 09-Jul-2026</t>
  </si>
  <si>
    <t>CPR-IT-2606-SAL-7868 / 11-Jul-2026</t>
  </si>
  <si>
    <t>PR-2026-07</t>
  </si>
  <si>
    <t>01-Jul-2026 to 31-Jul-2026</t>
  </si>
  <si>
    <t>New tax year - tax slabs reset; lower overtime</t>
  </si>
  <si>
    <t>CPR-IT-2607-SAL-6850 / 12-Aug-2026</t>
  </si>
  <si>
    <t>Filed with monthly statement - Aug-2026</t>
  </si>
  <si>
    <t>CPR-IT-2607-SAL-1239 / 14-Aug-2026</t>
  </si>
  <si>
    <t>CPR-IT-2607-SAL-6972 / 11-Aug-2026</t>
  </si>
  <si>
    <t>CPR-IT-2607-SAL-5064 / 13-Aug-2026</t>
  </si>
  <si>
    <t>CPR-IT-2607-SAL-5955 / 13-Aug-2026</t>
  </si>
  <si>
    <t>CPR-IT-2607-SAL-7719 / 11-Aug-2026</t>
  </si>
  <si>
    <t>CPR-IT-2607-SAL-1080 / 09-Aug-2026</t>
  </si>
  <si>
    <t>CPR-IT-2607-SAL-7363 / 10-Aug-2026</t>
  </si>
  <si>
    <t>CPR-IT-2607-SAL-8791 / 12-Aug-2026</t>
  </si>
  <si>
    <t>CPR-IT-2607-SAL-5601 / 10-Aug-2026</t>
  </si>
  <si>
    <t>CPR-IT-2607-SAL-5445 / 09-Aug-2026</t>
  </si>
  <si>
    <t>CPR-IT-2607-SAL-2633 / 10-Aug-2026</t>
  </si>
  <si>
    <t>CPR-IT-2607-SAL-6366 / 13-Aug-2026</t>
  </si>
  <si>
    <t>CPR-IT-2607-SAL-2297 / 09-Aug-2026</t>
  </si>
  <si>
    <t>CPR-IT-2607-SAL-4271 / 11-Aug-2026</t>
  </si>
  <si>
    <t>CPR-IT-2607-SAL-7775 / 13-Aug-2026</t>
  </si>
  <si>
    <t>CPR-IT-2607-SAL-9643 / 14-Aug-2026</t>
  </si>
  <si>
    <t>CPR-IT-2607-SAL-1865 / 12-Aug-2026</t>
  </si>
  <si>
    <t>CPR-IT-2607-SAL-6723 / 09-Aug-2026</t>
  </si>
  <si>
    <t>CPR-IT-2607-SAL-7216 / 12-Aug-2026</t>
  </si>
  <si>
    <t>CPR-IT-2607-SAL-3254 / 14-Aug-2026</t>
  </si>
  <si>
    <t>CPR-IT-2607-SAL-5390 / 09-Aug-2026</t>
  </si>
  <si>
    <t>CPR-IT-2607-SAL-8529 / 13-Aug-2026</t>
  </si>
  <si>
    <t>CPR-IT-2607-SAL-2917 / 11-Aug-2026</t>
  </si>
  <si>
    <t>CPR-IT-2607-SAL-4279 / 08-Aug-2026</t>
  </si>
  <si>
    <t>PR-2026-08</t>
  </si>
  <si>
    <t>01-Aug-2026 to 31-Aug-2026</t>
  </si>
  <si>
    <t>Independence Day holiday working paid</t>
  </si>
  <si>
    <t>CPR-IT-2608-SAL-7191 / 11-Sep-2026</t>
  </si>
  <si>
    <t>Filed with monthly statement - Sep-2026</t>
  </si>
  <si>
    <t>CPR-IT-2608-SAL-8172 / 11-Sep-2026</t>
  </si>
  <si>
    <t>CPR-IT-2608-SAL-4727 / 09-Sep-2026</t>
  </si>
  <si>
    <t>CPR-IT-2608-SAL-2444 / 08-Sep-2026</t>
  </si>
  <si>
    <t>CPR-IT-2608-SAL-6368 / 12-Sep-2026</t>
  </si>
  <si>
    <t>CPR-IT-2608-SAL-5160 / 12-Sep-2026</t>
  </si>
  <si>
    <t>CPR-IT-2608-SAL-9531 / 13-Sep-2026</t>
  </si>
  <si>
    <t>CPR-IT-2608-SAL-6045 / 09-Sep-2026</t>
  </si>
  <si>
    <t>CPR-IT-2608-SAL-5867 / 10-Sep-2026</t>
  </si>
  <si>
    <t>CPR-IT-2608-SAL-4678 / 13-Sep-2026</t>
  </si>
  <si>
    <t>CPR-IT-2608-SAL-1875 / 10-Sep-2026</t>
  </si>
  <si>
    <t>CPR-IT-2608-SAL-5982 / 10-Sep-2026</t>
  </si>
  <si>
    <t>CPR-IT-2608-SAL-9295 / 10-Sep-2026</t>
  </si>
  <si>
    <t>CPR-IT-2608-SAL-3040 / 14-Sep-2026</t>
  </si>
  <si>
    <t>CPR-IT-2608-SAL-4004 / 14-Sep-2026</t>
  </si>
  <si>
    <t>CPR-IT-2608-SAL-4511 / 13-Sep-2026</t>
  </si>
  <si>
    <t>CPR-IT-2608-SAL-4827 / 10-Sep-2026</t>
  </si>
  <si>
    <t>CPR-IT-2608-SAL-4456 / 08-Sep-2026</t>
  </si>
  <si>
    <t>CPR-IT-2608-SAL-4655 / 11-Sep-2026</t>
  </si>
  <si>
    <t>CPR-IT-2608-SAL-5280 / 08-Sep-2026</t>
  </si>
  <si>
    <t>CPR-IT-2608-SAL-3216 / 08-Sep-2026</t>
  </si>
  <si>
    <t>CPR-IT-2608-SAL-9341 / 13-Sep-2026</t>
  </si>
  <si>
    <t>CPR-IT-2608-SAL-4398 / 08-Sep-2026</t>
  </si>
  <si>
    <t>CPR-IT-2608-SAL-8114 / 11-Sep-2026</t>
  </si>
  <si>
    <t>CPR-IT-2608-SAL-1470 / 08-Sep-2026</t>
  </si>
  <si>
    <t>PR-2026-09</t>
  </si>
  <si>
    <t>01-Sep-2026 to 30-Sep-2026</t>
  </si>
  <si>
    <t>Processed - pending approval</t>
  </si>
  <si>
    <t>Final settlement of EMP-017 (contract ended 20-Sep)</t>
  </si>
  <si>
    <t>Due with Sep-2026 return</t>
  </si>
  <si>
    <t>3277876123455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</si>
</sst>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m/yyyy"/>
    <numFmt numFmtId="165" formatCode="0.0%"/>
    <numFmt numFmtId="166" formatCode="dd/mmm/yyyy\ hh:mm"/>
    <numFmt numFmtId="167" formatCode="#,##0;\(#,##0\);\-"/>
  </numFmts>
  <fonts count="9" x14ac:knownFonts="1">
    <font>
      <sz val="11"/>
      <color theme="1"/>
      <name val="Segoe UI"/>
      <family val="2"/>
    </font>
    <font>
      <sz val="11"/>
      <color rgb="FF000000"/>
      <name val="Segoe UI"/>
    </font>
    <font>
      <u/>
      <sz val="11"/>
      <color theme="10"/>
      <name val="Segoe UI"/>
      <family val="2"/>
    </font>
    <font>
      <b/>
      <sz val="11"/>
      <color rgb="FFFFFFFF"/>
      <name val="Segoe UI"/>
    </font>
    <font>
      <i/>
      <sz val="11"/>
      <color rgb="FF1F3864"/>
      <name val="Segoe UI"/>
    </font>
    <font>
      <b/>
      <sz val="16"/>
      <color rgb="FFFFFFFF"/>
      <name val="Segoe UI"/>
    </font>
    <font>
      <b/>
      <sz val="10"/>
      <color rgb="FFFFFFFF"/>
      <name val="Calibri"/>
    </font>
    <font>
      <b/>
      <sz val="10"/>
      <color rgb="FF1F3864"/>
      <name val="Calibri"/>
    </font>
    <font>
      <sz val="1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49" fontId="2" fillId="0" borderId="1" xfId="1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5" fillId="3" borderId="0" xfId="0" applyFont="1" applyFill="1"/>
    <xf numFmtId="49" fontId="6" fillId="3" borderId="2" xfId="0" applyNumberFormat="1" applyFont="1" applyFill="1" applyBorder="1" applyAlignment="1">
      <alignment vertical="top" wrapText="1"/>
    </xf>
    <xf numFmtId="49" fontId="6" fillId="3" borderId="3" xfId="0" applyNumberFormat="1" applyFont="1" applyFill="1" applyBorder="1" applyAlignment="1">
      <alignment vertical="top" wrapText="1"/>
    </xf>
    <xf numFmtId="49" fontId="6" fillId="3" borderId="4" xfId="0" applyNumberFormat="1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49" fontId="7" fillId="4" borderId="2" xfId="0" applyNumberFormat="1" applyFont="1" applyFill="1" applyBorder="1" applyAlignment="1">
      <alignment vertical="top" wrapText="1"/>
    </xf>
    <xf numFmtId="49" fontId="7" fillId="4" borderId="3" xfId="0" applyNumberFormat="1" applyFont="1" applyFill="1" applyBorder="1" applyAlignment="1">
      <alignment vertical="top" wrapText="1"/>
    </xf>
    <xf numFmtId="49" fontId="7" fillId="4" borderId="4" xfId="0" applyNumberFormat="1" applyFont="1" applyFill="1" applyBorder="1" applyAlignment="1">
      <alignment vertical="top" wrapText="1"/>
    </xf>
    <xf numFmtId="0" fontId="5" fillId="3" borderId="0" xfId="0" applyFont="1" applyFill="1"/>
    <xf numFmtId="0" fontId="4" fillId="0" borderId="0" xfId="0" applyFont="1"/>
    <xf numFmtId="0" fontId="3" fillId="2" borderId="0" xfId="0" applyFont="1" applyFill="1" applyBorder="1" applyAlignment="1">
      <alignment horizontal="left"/>
    </xf>
    <xf numFmtId="0" fontId="1" fillId="0" borderId="0" xfId="0" applyFont="1" applyBorder="1" applyAlignment="1">
      <alignment horizontal="left"/>
    </xf>
    <xf numFmtId="0" fontId="8" fillId="0" borderId="5" xfId="0" applyFont="1" applyBorder="1" applyAlignment="1">
      <alignment vertical="top"/>
    </xf>
    <xf numFmtId="0" fontId="8" fillId="0" borderId="6" xfId="0" applyFont="1" applyBorder="1" applyAlignment="1">
      <alignment vertical="top"/>
    </xf>
    <xf numFmtId="9" fontId="8" fillId="0" borderId="5" xfId="0" applyNumberFormat="1" applyFont="1" applyBorder="1" applyAlignment="1">
      <alignment vertical="top"/>
    </xf>
    <xf numFmtId="9" fontId="8" fillId="0" borderId="6" xfId="0" applyNumberFormat="1" applyFont="1" applyBorder="1" applyAlignment="1">
      <alignment vertical="top"/>
    </xf>
    <xf numFmtId="3" fontId="8" fillId="0" borderId="5" xfId="0" applyNumberFormat="1" applyFont="1" applyBorder="1" applyAlignment="1">
      <alignment vertical="top"/>
    </xf>
    <xf numFmtId="3" fontId="8" fillId="0" borderId="6" xfId="0" applyNumberFormat="1" applyFont="1" applyBorder="1" applyAlignment="1">
      <alignment vertical="top"/>
    </xf>
    <xf numFmtId="20" fontId="8" fillId="0" borderId="5" xfId="0" applyNumberFormat="1" applyFont="1" applyBorder="1" applyAlignment="1">
      <alignment vertical="top"/>
    </xf>
    <xf numFmtId="20" fontId="8" fillId="0" borderId="6" xfId="0" applyNumberFormat="1" applyFont="1" applyBorder="1" applyAlignment="1">
      <alignment vertical="top"/>
    </xf>
    <xf numFmtId="164" fontId="8" fillId="0" borderId="5" xfId="0" applyNumberFormat="1" applyFont="1" applyBorder="1" applyAlignment="1">
      <alignment vertical="top"/>
    </xf>
    <xf numFmtId="164" fontId="8" fillId="0" borderId="6" xfId="0" applyNumberFormat="1" applyFont="1" applyBorder="1" applyAlignment="1">
      <alignment vertical="top"/>
    </xf>
    <xf numFmtId="165" fontId="8" fillId="0" borderId="5" xfId="0" applyNumberFormat="1" applyFont="1" applyBorder="1" applyAlignment="1">
      <alignment vertical="top"/>
    </xf>
    <xf numFmtId="165" fontId="8" fillId="0" borderId="6" xfId="0" applyNumberFormat="1" applyFont="1" applyBorder="1" applyAlignment="1">
      <alignment vertical="top"/>
    </xf>
    <xf numFmtId="4" fontId="8" fillId="0" borderId="5" xfId="0" applyNumberFormat="1" applyFont="1" applyBorder="1" applyAlignment="1">
      <alignment vertical="top"/>
    </xf>
    <xf numFmtId="4" fontId="8" fillId="0" borderId="6" xfId="0" applyNumberFormat="1" applyFont="1" applyBorder="1" applyAlignment="1">
      <alignment vertical="top"/>
    </xf>
    <xf numFmtId="166" fontId="8" fillId="0" borderId="5" xfId="0" applyNumberFormat="1" applyFont="1" applyBorder="1" applyAlignment="1">
      <alignment vertical="top"/>
    </xf>
    <xf numFmtId="166" fontId="8" fillId="0" borderId="6" xfId="0" applyNumberFormat="1" applyFont="1" applyBorder="1" applyAlignment="1">
      <alignment vertical="top"/>
    </xf>
    <xf numFmtId="167" fontId="8" fillId="0" borderId="5" xfId="0" applyNumberFormat="1" applyFont="1" applyBorder="1" applyAlignment="1">
      <alignment vertical="top"/>
    </xf>
    <xf numFmtId="167" fontId="8" fillId="0" borderId="6" xfId="0" applyNumberFormat="1" applyFont="1" applyBorder="1" applyAlignment="1">
      <alignment vertical="top"/>
    </xf>
    <xf numFmtId="17" fontId="8" fillId="0" borderId="5" xfId="0" applyNumberFormat="1" applyFont="1" applyBorder="1" applyAlignment="1">
      <alignment vertical="top"/>
    </xf>
    <xf numFmtId="17" fontId="8" fillId="0" borderId="6" xfId="0" applyNumberFormat="1" applyFont="1" applyBorder="1" applyAlignment="1">
      <alignment vertical="top"/>
    </xf>
    <xf numFmtId="49" fontId="8" fillId="0" borderId="5" xfId="0" applyNumberFormat="1" applyFont="1" applyBorder="1" applyAlignment="1">
      <alignment vertical="top"/>
    </xf>
    <xf numFmtId="49" fontId="8" fillId="0" borderId="6" xfId="0" applyNumberFormat="1" applyFont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F211AB7-359D-4BE3-B81F-B21A37D782C3}">
  <we:reference id="11d7cf85-ae5a-43b8-bc58-1e1a151cce24" version="1.0.0.1" store="EXCatalog" storeType="EXCatalog"/>
  <we:alternateReferences>
    <we:reference id="WA200010725" version="1.0.0.1" store="en-GB" storeType="OMEX"/>
  </we:alternateReferences>
  <we:properties>
    <we:property name="claude.fileId" value="&quot;55c33896-c483-4f96-9f77-dc28ec7c26c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5331F-4789-4F62-A1BB-82EAE4824A48}">
  <dimension ref="A1:E19"/>
  <sheetViews>
    <sheetView workbookViewId="0">
      <pane ySplit="4" topLeftCell="A5" activePane="bottomLeft" state="frozen"/>
      <selection activeCell="B16" sqref="B16"/>
      <selection pane="bottomLeft" activeCell="E20" sqref="E20"/>
    </sheetView>
  </sheetViews>
  <sheetFormatPr defaultRowHeight="16.5" x14ac:dyDescent="0.3"/>
  <cols>
    <col min="1" max="1" width="9.125" style="1" customWidth="1"/>
    <col min="2" max="2" width="11.625" customWidth="1"/>
    <col min="3" max="3" width="55" customWidth="1"/>
    <col min="4" max="4" width="38.375" customWidth="1"/>
    <col min="5" max="5" width="21.25" customWidth="1"/>
  </cols>
  <sheetData>
    <row r="1" spans="1:5" ht="25.5" x14ac:dyDescent="0.5">
      <c r="A1" s="8" t="s">
        <v>38</v>
      </c>
      <c r="B1" s="8"/>
      <c r="C1" s="8"/>
      <c r="D1" s="8"/>
      <c r="E1" s="16"/>
    </row>
    <row r="2" spans="1:5" x14ac:dyDescent="0.3">
      <c r="A2" s="7" t="s">
        <v>37</v>
      </c>
      <c r="B2" s="7"/>
      <c r="C2" s="7"/>
      <c r="D2" s="7"/>
      <c r="E2" s="17"/>
    </row>
    <row r="3" spans="1:5" x14ac:dyDescent="0.3">
      <c r="A3"/>
    </row>
    <row r="4" spans="1:5" x14ac:dyDescent="0.3">
      <c r="A4" s="6" t="s">
        <v>36</v>
      </c>
      <c r="B4" s="6" t="s">
        <v>35</v>
      </c>
      <c r="C4" s="5" t="s">
        <v>34</v>
      </c>
      <c r="D4" s="5" t="s">
        <v>33</v>
      </c>
      <c r="E4" s="18" t="s">
        <v>742</v>
      </c>
    </row>
    <row r="5" spans="1:5" x14ac:dyDescent="0.3">
      <c r="A5" s="4">
        <v>1</v>
      </c>
      <c r="B5" s="3" t="s">
        <v>32</v>
      </c>
      <c r="C5" s="2" t="s">
        <v>31</v>
      </c>
      <c r="D5" s="2" t="s">
        <v>3</v>
      </c>
      <c r="E5" s="19">
        <v>1</v>
      </c>
    </row>
    <row r="6" spans="1:5" x14ac:dyDescent="0.3">
      <c r="A6" s="4">
        <v>2</v>
      </c>
      <c r="B6" s="3" t="s">
        <v>30</v>
      </c>
      <c r="C6" s="2" t="s">
        <v>29</v>
      </c>
      <c r="D6" s="2" t="s">
        <v>6</v>
      </c>
      <c r="E6" s="19">
        <v>3</v>
      </c>
    </row>
    <row r="7" spans="1:5" x14ac:dyDescent="0.3">
      <c r="A7" s="4">
        <v>3</v>
      </c>
      <c r="B7" s="3" t="s">
        <v>28</v>
      </c>
      <c r="C7" s="2" t="s">
        <v>27</v>
      </c>
      <c r="D7" s="2" t="s">
        <v>6</v>
      </c>
      <c r="E7" s="19">
        <v>5</v>
      </c>
    </row>
    <row r="8" spans="1:5" x14ac:dyDescent="0.3">
      <c r="A8" s="4">
        <v>4</v>
      </c>
      <c r="B8" s="3" t="s">
        <v>26</v>
      </c>
      <c r="C8" s="2" t="s">
        <v>25</v>
      </c>
      <c r="D8" s="2" t="s">
        <v>6</v>
      </c>
      <c r="E8" s="19">
        <v>5</v>
      </c>
    </row>
    <row r="9" spans="1:5" x14ac:dyDescent="0.3">
      <c r="A9" s="4">
        <v>5</v>
      </c>
      <c r="B9" s="3" t="s">
        <v>24</v>
      </c>
      <c r="C9" s="2" t="s">
        <v>23</v>
      </c>
      <c r="D9" s="2" t="s">
        <v>3</v>
      </c>
      <c r="E9" s="19">
        <v>3</v>
      </c>
    </row>
    <row r="10" spans="1:5" x14ac:dyDescent="0.3">
      <c r="A10" s="4">
        <v>6</v>
      </c>
      <c r="B10" s="3" t="s">
        <v>22</v>
      </c>
      <c r="C10" s="2" t="s">
        <v>21</v>
      </c>
      <c r="D10" s="2" t="s">
        <v>3</v>
      </c>
      <c r="E10" s="19">
        <v>20</v>
      </c>
    </row>
    <row r="11" spans="1:5" x14ac:dyDescent="0.3">
      <c r="A11" s="4">
        <v>7</v>
      </c>
      <c r="B11" s="3" t="s">
        <v>20</v>
      </c>
      <c r="C11" s="2" t="s">
        <v>19</v>
      </c>
      <c r="D11" s="2" t="s">
        <v>3</v>
      </c>
      <c r="E11" s="19">
        <v>25</v>
      </c>
    </row>
    <row r="12" spans="1:5" x14ac:dyDescent="0.3">
      <c r="A12" s="4">
        <v>8</v>
      </c>
      <c r="B12" s="3" t="s">
        <v>18</v>
      </c>
      <c r="C12" s="2" t="s">
        <v>17</v>
      </c>
      <c r="D12" s="2" t="s">
        <v>3</v>
      </c>
      <c r="E12" s="19">
        <v>150</v>
      </c>
    </row>
    <row r="13" spans="1:5" x14ac:dyDescent="0.3">
      <c r="A13" s="4">
        <v>9</v>
      </c>
      <c r="B13" s="3" t="s">
        <v>16</v>
      </c>
      <c r="C13" s="2" t="s">
        <v>15</v>
      </c>
      <c r="D13" s="2" t="s">
        <v>6</v>
      </c>
      <c r="E13" s="19">
        <v>50</v>
      </c>
    </row>
    <row r="14" spans="1:5" x14ac:dyDescent="0.3">
      <c r="A14" s="4">
        <v>10</v>
      </c>
      <c r="B14" s="3" t="s">
        <v>14</v>
      </c>
      <c r="C14" s="2" t="s">
        <v>13</v>
      </c>
      <c r="D14" s="2" t="s">
        <v>0</v>
      </c>
      <c r="E14" s="19">
        <v>75</v>
      </c>
    </row>
    <row r="15" spans="1:5" x14ac:dyDescent="0.3">
      <c r="A15" s="4">
        <v>11</v>
      </c>
      <c r="B15" s="3" t="s">
        <v>12</v>
      </c>
      <c r="C15" s="2" t="s">
        <v>11</v>
      </c>
      <c r="D15" s="2" t="s">
        <v>6</v>
      </c>
      <c r="E15" s="19">
        <v>40</v>
      </c>
    </row>
    <row r="16" spans="1:5" x14ac:dyDescent="0.3">
      <c r="A16" s="4">
        <v>12</v>
      </c>
      <c r="B16" s="3" t="s">
        <v>10</v>
      </c>
      <c r="C16" s="2" t="s">
        <v>9</v>
      </c>
      <c r="D16" s="2" t="s">
        <v>3</v>
      </c>
      <c r="E16" s="19">
        <v>5</v>
      </c>
    </row>
    <row r="17" spans="1:5" x14ac:dyDescent="0.3">
      <c r="A17" s="4">
        <v>13</v>
      </c>
      <c r="B17" s="3" t="s">
        <v>8</v>
      </c>
      <c r="C17" s="2" t="s">
        <v>7</v>
      </c>
      <c r="D17" s="2" t="s">
        <v>6</v>
      </c>
      <c r="E17" s="19">
        <v>25</v>
      </c>
    </row>
    <row r="18" spans="1:5" x14ac:dyDescent="0.3">
      <c r="A18" s="4">
        <v>14</v>
      </c>
      <c r="B18" s="3" t="s">
        <v>5</v>
      </c>
      <c r="C18" s="2" t="s">
        <v>4</v>
      </c>
      <c r="D18" s="2" t="s">
        <v>3</v>
      </c>
      <c r="E18" s="19">
        <v>250</v>
      </c>
    </row>
    <row r="19" spans="1:5" x14ac:dyDescent="0.3">
      <c r="A19" s="4">
        <v>15</v>
      </c>
      <c r="B19" s="3" t="s">
        <v>2</v>
      </c>
      <c r="C19" s="2" t="s">
        <v>1</v>
      </c>
      <c r="D19" s="2" t="s">
        <v>0</v>
      </c>
      <c r="E19" s="19">
        <v>60</v>
      </c>
    </row>
  </sheetData>
  <mergeCells count="2">
    <mergeCell ref="A1:D1"/>
    <mergeCell ref="A2:D2"/>
  </mergeCells>
  <hyperlinks>
    <hyperlink ref="B5" location="'01'!A1" tooltip="Go to sheet 01" display="01" xr:uid="{89821564-6F4D-4992-BAF0-6F827ABC5920}"/>
    <hyperlink ref="B6" location="'02'!A1" tooltip="Go to sheet 02" display="02" xr:uid="{631D782C-4291-4850-860F-4AE20E183E4D}"/>
    <hyperlink ref="B7" location="'03'!A1" tooltip="Go to sheet 03" display="03" xr:uid="{7B465A96-83F4-4784-9E7F-F9A03D2A0F47}"/>
    <hyperlink ref="B8" location="'04'!A1" tooltip="Go to sheet 04" display="04" xr:uid="{65D0EA71-3DB4-44FB-93DA-5455B0173650}"/>
    <hyperlink ref="B9" location="'05'!A1" tooltip="Go to sheet 05" display="05" xr:uid="{1151A85E-CF87-4629-A328-41FE58B42865}"/>
    <hyperlink ref="B10" location="'06'!A1" tooltip="Go to sheet 06" display="06" xr:uid="{D979D38D-7C2B-41F3-8B42-BF977B9CC563}"/>
    <hyperlink ref="B11" location="'07'!A1" tooltip="Go to sheet 07" display="07" xr:uid="{DA2836BF-71A5-4C7B-9EA0-D2076C857882}"/>
    <hyperlink ref="B12" location="'08'!A1" tooltip="Go to sheet 08" display="08" xr:uid="{A8E7E4B4-C25E-444A-8725-6CB3781BC8EF}"/>
    <hyperlink ref="B13" location="'09'!A1" tooltip="Go to sheet 09" display="09" xr:uid="{584ED2C7-E0F9-46D0-B263-388A3B921D19}"/>
    <hyperlink ref="B14" location="'10'!A1" tooltip="Go to sheet 10" display="10" xr:uid="{6FD1BC7D-AF5F-414E-889E-23443908B300}"/>
    <hyperlink ref="B15" location="'11'!A1" tooltip="Go to sheet 11" display="11" xr:uid="{F6236BB0-8E04-430A-A2CB-EA41E454965D}"/>
    <hyperlink ref="B16" location="'12'!A1" tooltip="Go to sheet 12" display="12" xr:uid="{8C3CE69B-B8A4-4C4F-8000-D0372BFCE6CD}"/>
    <hyperlink ref="B17" location="'13'!A1" tooltip="Go to sheet 13" display="13" xr:uid="{F7A6D8C7-65B2-4FF8-8EEB-BB12717C0D79}"/>
    <hyperlink ref="B18" location="'14'!A1" tooltip="Go to sheet 14" display="14" xr:uid="{69C874F3-2CA4-4016-AB03-9E01EFFC90BB}"/>
    <hyperlink ref="B19" location="'15'!A1" tooltip="Go to sheet 15" display="15" xr:uid="{FF91C213-6538-4995-873B-4405DFE1055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74E92-F971-4F26-8D03-B3B2BB14AB77}">
  <dimension ref="A1:U3"/>
  <sheetViews>
    <sheetView workbookViewId="0">
      <pane ySplit="2" topLeftCell="A3" activePane="bottomLeft" state="frozen"/>
      <selection activeCell="B16" sqref="B16"/>
      <selection pane="bottomLeft" activeCell="B16" sqref="B16"/>
    </sheetView>
  </sheetViews>
  <sheetFormatPr defaultRowHeight="16.5" x14ac:dyDescent="0.3"/>
  <cols>
    <col min="1" max="21" width="18.375" customWidth="1"/>
  </cols>
  <sheetData>
    <row r="1" spans="1:21" s="12" customFormat="1" ht="30" customHeight="1" x14ac:dyDescent="0.3">
      <c r="A1" s="15" t="s">
        <v>64</v>
      </c>
      <c r="B1" s="14" t="s">
        <v>60</v>
      </c>
      <c r="C1" s="14" t="s">
        <v>60</v>
      </c>
      <c r="D1" s="14" t="s">
        <v>60</v>
      </c>
      <c r="E1" s="14" t="s">
        <v>63</v>
      </c>
      <c r="F1" s="14" t="s">
        <v>60</v>
      </c>
      <c r="G1" s="14" t="s">
        <v>60</v>
      </c>
      <c r="H1" s="14" t="s">
        <v>60</v>
      </c>
      <c r="I1" s="14" t="s">
        <v>60</v>
      </c>
      <c r="J1" s="14" t="s">
        <v>60</v>
      </c>
      <c r="K1" s="14" t="s">
        <v>60</v>
      </c>
      <c r="L1" s="14" t="s">
        <v>60</v>
      </c>
      <c r="M1" s="14" t="s">
        <v>60</v>
      </c>
      <c r="N1" s="14" t="s">
        <v>60</v>
      </c>
      <c r="O1" s="14" t="s">
        <v>60</v>
      </c>
      <c r="P1" s="14" t="s">
        <v>62</v>
      </c>
      <c r="Q1" s="14" t="s">
        <v>60</v>
      </c>
      <c r="R1" s="14" t="s">
        <v>60</v>
      </c>
      <c r="S1" s="14" t="s">
        <v>61</v>
      </c>
      <c r="T1" s="14" t="s">
        <v>60</v>
      </c>
      <c r="U1" s="13" t="s">
        <v>60</v>
      </c>
    </row>
    <row r="2" spans="1:21" ht="45" customHeight="1" x14ac:dyDescent="0.3">
      <c r="A2" s="11" t="s">
        <v>59</v>
      </c>
      <c r="B2" s="10" t="s">
        <v>58</v>
      </c>
      <c r="C2" s="10" t="s">
        <v>57</v>
      </c>
      <c r="D2" s="10" t="s">
        <v>56</v>
      </c>
      <c r="E2" s="10" t="s">
        <v>55</v>
      </c>
      <c r="F2" s="10" t="s">
        <v>54</v>
      </c>
      <c r="G2" s="10" t="s">
        <v>53</v>
      </c>
      <c r="H2" s="10" t="s">
        <v>52</v>
      </c>
      <c r="I2" s="10" t="s">
        <v>51</v>
      </c>
      <c r="J2" s="10" t="s">
        <v>50</v>
      </c>
      <c r="K2" s="10" t="s">
        <v>49</v>
      </c>
      <c r="L2" s="10" t="s">
        <v>48</v>
      </c>
      <c r="M2" s="10" t="s">
        <v>47</v>
      </c>
      <c r="N2" s="10" t="s">
        <v>46</v>
      </c>
      <c r="O2" s="10" t="s">
        <v>45</v>
      </c>
      <c r="P2" s="10" t="s">
        <v>44</v>
      </c>
      <c r="Q2" s="10" t="s">
        <v>43</v>
      </c>
      <c r="R2" s="10" t="s">
        <v>42</v>
      </c>
      <c r="S2" s="10" t="s">
        <v>41</v>
      </c>
      <c r="T2" s="10" t="s">
        <v>40</v>
      </c>
      <c r="U2" s="9" t="s">
        <v>39</v>
      </c>
    </row>
    <row r="3" spans="1:21" x14ac:dyDescent="0.3">
      <c r="A3" s="20" t="s">
        <v>743</v>
      </c>
      <c r="B3" s="20" t="s">
        <v>744</v>
      </c>
      <c r="C3" s="20" t="s">
        <v>745</v>
      </c>
      <c r="D3" s="20" t="s">
        <v>746</v>
      </c>
      <c r="E3" s="20" t="s">
        <v>747</v>
      </c>
      <c r="F3" s="20" t="s">
        <v>748</v>
      </c>
      <c r="G3" s="20" t="s">
        <v>749</v>
      </c>
      <c r="H3" s="20" t="s">
        <v>750</v>
      </c>
      <c r="I3" s="20" t="s">
        <v>751</v>
      </c>
      <c r="J3" s="20" t="s">
        <v>752</v>
      </c>
      <c r="K3" s="20" t="s">
        <v>753</v>
      </c>
      <c r="L3" s="20" t="s">
        <v>754</v>
      </c>
      <c r="M3" s="20" t="s">
        <v>755</v>
      </c>
      <c r="N3" s="20" t="s">
        <v>756</v>
      </c>
      <c r="O3" s="20" t="s">
        <v>757</v>
      </c>
      <c r="P3" s="20" t="s">
        <v>758</v>
      </c>
      <c r="Q3" s="20" t="s">
        <v>759</v>
      </c>
      <c r="R3" s="20" t="s">
        <v>760</v>
      </c>
      <c r="S3" s="20" t="s">
        <v>761</v>
      </c>
      <c r="T3" s="20" t="s">
        <v>743</v>
      </c>
      <c r="U3" s="20" t="s">
        <v>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034AC-097B-4B2C-81A2-31011E0AA3F9}">
  <dimension ref="A1:AR5"/>
  <sheetViews>
    <sheetView workbookViewId="0">
      <pane ySplit="2" topLeftCell="A3" activePane="bottomLeft" state="frozen"/>
      <selection activeCell="B16" sqref="B16"/>
      <selection pane="bottomLeft" activeCell="B16" sqref="B16"/>
    </sheetView>
  </sheetViews>
  <sheetFormatPr defaultRowHeight="16.5" x14ac:dyDescent="0.3"/>
  <cols>
    <col min="1" max="44" width="18.375" customWidth="1"/>
  </cols>
  <sheetData>
    <row r="1" spans="1:44" s="12" customFormat="1" ht="30" customHeight="1" x14ac:dyDescent="0.3">
      <c r="A1" s="15" t="s">
        <v>64</v>
      </c>
      <c r="B1" s="14" t="s">
        <v>60</v>
      </c>
      <c r="C1" s="14" t="s">
        <v>60</v>
      </c>
      <c r="D1" s="14" t="s">
        <v>60</v>
      </c>
      <c r="E1" s="14" t="s">
        <v>106</v>
      </c>
      <c r="F1" s="14" t="s">
        <v>60</v>
      </c>
      <c r="G1" s="14" t="s">
        <v>60</v>
      </c>
      <c r="H1" s="14" t="s">
        <v>60</v>
      </c>
      <c r="I1" s="14" t="s">
        <v>60</v>
      </c>
      <c r="J1" s="14" t="s">
        <v>60</v>
      </c>
      <c r="K1" s="14" t="s">
        <v>60</v>
      </c>
      <c r="L1" s="14" t="s">
        <v>60</v>
      </c>
      <c r="M1" s="14" t="s">
        <v>60</v>
      </c>
      <c r="N1" s="14" t="s">
        <v>60</v>
      </c>
      <c r="O1" s="14" t="s">
        <v>60</v>
      </c>
      <c r="P1" s="14" t="s">
        <v>60</v>
      </c>
      <c r="Q1" s="14" t="s">
        <v>60</v>
      </c>
      <c r="R1" s="14" t="s">
        <v>62</v>
      </c>
      <c r="S1" s="14" t="s">
        <v>60</v>
      </c>
      <c r="T1" s="14" t="s">
        <v>60</v>
      </c>
      <c r="U1" s="14" t="s">
        <v>105</v>
      </c>
      <c r="V1" s="14" t="s">
        <v>60</v>
      </c>
      <c r="W1" s="14" t="s">
        <v>60</v>
      </c>
      <c r="X1" s="14" t="s">
        <v>104</v>
      </c>
      <c r="Y1" s="14" t="s">
        <v>60</v>
      </c>
      <c r="Z1" s="14" t="s">
        <v>60</v>
      </c>
      <c r="AA1" s="14" t="s">
        <v>60</v>
      </c>
      <c r="AB1" s="14" t="s">
        <v>60</v>
      </c>
      <c r="AC1" s="14" t="s">
        <v>60</v>
      </c>
      <c r="AD1" s="14" t="s">
        <v>60</v>
      </c>
      <c r="AE1" s="14" t="s">
        <v>60</v>
      </c>
      <c r="AF1" s="14" t="s">
        <v>60</v>
      </c>
      <c r="AG1" s="14" t="s">
        <v>60</v>
      </c>
      <c r="AH1" s="14" t="s">
        <v>60</v>
      </c>
      <c r="AI1" s="14" t="s">
        <v>60</v>
      </c>
      <c r="AJ1" s="14" t="s">
        <v>60</v>
      </c>
      <c r="AK1" s="14" t="s">
        <v>103</v>
      </c>
      <c r="AL1" s="14" t="s">
        <v>60</v>
      </c>
      <c r="AM1" s="14" t="s">
        <v>60</v>
      </c>
      <c r="AN1" s="14" t="s">
        <v>60</v>
      </c>
      <c r="AO1" s="14" t="s">
        <v>60</v>
      </c>
      <c r="AP1" s="14" t="s">
        <v>102</v>
      </c>
      <c r="AQ1" s="14" t="s">
        <v>60</v>
      </c>
      <c r="AR1" s="13" t="s">
        <v>60</v>
      </c>
    </row>
    <row r="2" spans="1:44" ht="45" customHeight="1" x14ac:dyDescent="0.3">
      <c r="A2" s="11" t="s">
        <v>59</v>
      </c>
      <c r="B2" s="10" t="s">
        <v>58</v>
      </c>
      <c r="C2" s="10" t="s">
        <v>57</v>
      </c>
      <c r="D2" s="10" t="s">
        <v>56</v>
      </c>
      <c r="E2" s="10" t="s">
        <v>101</v>
      </c>
      <c r="F2" s="10" t="s">
        <v>100</v>
      </c>
      <c r="G2" s="10" t="s">
        <v>99</v>
      </c>
      <c r="H2" s="10" t="s">
        <v>98</v>
      </c>
      <c r="I2" s="10" t="s">
        <v>97</v>
      </c>
      <c r="J2" s="10" t="s">
        <v>96</v>
      </c>
      <c r="K2" s="10" t="s">
        <v>95</v>
      </c>
      <c r="L2" s="10" t="s">
        <v>94</v>
      </c>
      <c r="M2" s="10" t="s">
        <v>93</v>
      </c>
      <c r="N2" s="10" t="s">
        <v>92</v>
      </c>
      <c r="O2" s="10" t="s">
        <v>91</v>
      </c>
      <c r="P2" s="10" t="s">
        <v>90</v>
      </c>
      <c r="Q2" s="10" t="s">
        <v>89</v>
      </c>
      <c r="R2" s="10" t="s">
        <v>88</v>
      </c>
      <c r="S2" s="10" t="s">
        <v>87</v>
      </c>
      <c r="T2" s="10" t="s">
        <v>86</v>
      </c>
      <c r="U2" s="10" t="s">
        <v>41</v>
      </c>
      <c r="V2" s="10" t="s">
        <v>40</v>
      </c>
      <c r="W2" s="10" t="s">
        <v>39</v>
      </c>
      <c r="X2" s="10" t="s">
        <v>85</v>
      </c>
      <c r="Y2" s="10" t="s">
        <v>84</v>
      </c>
      <c r="Z2" s="10" t="s">
        <v>83</v>
      </c>
      <c r="AA2" s="10" t="s">
        <v>82</v>
      </c>
      <c r="AB2" s="10" t="s">
        <v>81</v>
      </c>
      <c r="AC2" s="10" t="s">
        <v>80</v>
      </c>
      <c r="AD2" s="10" t="s">
        <v>79</v>
      </c>
      <c r="AE2" s="10" t="s">
        <v>78</v>
      </c>
      <c r="AF2" s="10" t="s">
        <v>77</v>
      </c>
      <c r="AG2" s="10" t="s">
        <v>76</v>
      </c>
      <c r="AH2" s="10" t="s">
        <v>75</v>
      </c>
      <c r="AI2" s="10" t="s">
        <v>74</v>
      </c>
      <c r="AJ2" s="10" t="s">
        <v>73</v>
      </c>
      <c r="AK2" s="10" t="s">
        <v>72</v>
      </c>
      <c r="AL2" s="10" t="s">
        <v>71</v>
      </c>
      <c r="AM2" s="10" t="s">
        <v>70</v>
      </c>
      <c r="AN2" s="10" t="s">
        <v>69</v>
      </c>
      <c r="AO2" s="10" t="s">
        <v>68</v>
      </c>
      <c r="AP2" s="10" t="s">
        <v>67</v>
      </c>
      <c r="AQ2" s="10" t="s">
        <v>66</v>
      </c>
      <c r="AR2" s="9" t="s">
        <v>65</v>
      </c>
    </row>
    <row r="3" spans="1:44" x14ac:dyDescent="0.3">
      <c r="A3" s="20" t="s">
        <v>965</v>
      </c>
      <c r="B3" s="20" t="s">
        <v>966</v>
      </c>
      <c r="C3" s="20" t="s">
        <v>967</v>
      </c>
      <c r="D3" s="20" t="s">
        <v>746</v>
      </c>
      <c r="E3" s="20">
        <v>1</v>
      </c>
      <c r="F3" s="20" t="s">
        <v>968</v>
      </c>
      <c r="G3" s="20" t="s">
        <v>969</v>
      </c>
      <c r="H3" s="20" t="s">
        <v>970</v>
      </c>
      <c r="I3" s="20" t="s">
        <v>971</v>
      </c>
      <c r="J3" s="20" t="s">
        <v>972</v>
      </c>
      <c r="K3" s="20" t="s">
        <v>973</v>
      </c>
      <c r="L3" s="20" t="s">
        <v>974</v>
      </c>
      <c r="M3" s="20" t="s">
        <v>975</v>
      </c>
      <c r="N3" s="20" t="s">
        <v>976</v>
      </c>
      <c r="O3" s="20" t="s">
        <v>977</v>
      </c>
      <c r="P3" s="20" t="s">
        <v>978</v>
      </c>
      <c r="Q3" s="20" t="s">
        <v>979</v>
      </c>
      <c r="R3" s="20" t="s">
        <v>980</v>
      </c>
      <c r="S3" s="20" t="s">
        <v>981</v>
      </c>
      <c r="T3" s="20" t="s">
        <v>982</v>
      </c>
      <c r="U3" s="20" t="s">
        <v>983</v>
      </c>
      <c r="V3" s="20" t="s">
        <v>984</v>
      </c>
      <c r="W3" s="20" t="s">
        <v>985</v>
      </c>
      <c r="X3" s="20">
        <v>6</v>
      </c>
      <c r="Y3" s="20" t="s">
        <v>986</v>
      </c>
      <c r="Z3" s="20" t="s">
        <v>987</v>
      </c>
      <c r="AA3" s="20" t="s">
        <v>988</v>
      </c>
      <c r="AB3" s="20" t="s">
        <v>989</v>
      </c>
      <c r="AC3" s="26">
        <v>0.58333333333333337</v>
      </c>
      <c r="AD3" s="20" t="s">
        <v>990</v>
      </c>
      <c r="AE3" s="20" t="s">
        <v>991</v>
      </c>
      <c r="AF3" s="20" t="s">
        <v>992</v>
      </c>
      <c r="AG3" s="20" t="s">
        <v>993</v>
      </c>
      <c r="AH3" s="20" t="s">
        <v>994</v>
      </c>
      <c r="AI3" s="20" t="s">
        <v>968</v>
      </c>
      <c r="AJ3" s="20" t="s">
        <v>995</v>
      </c>
      <c r="AK3" s="20" t="s">
        <v>766</v>
      </c>
      <c r="AL3" s="20" t="s">
        <v>768</v>
      </c>
      <c r="AM3" s="20">
        <v>1290</v>
      </c>
      <c r="AN3" s="20" t="s">
        <v>996</v>
      </c>
      <c r="AO3" s="20" t="s">
        <v>997</v>
      </c>
      <c r="AP3" s="20" t="s">
        <v>846</v>
      </c>
      <c r="AQ3" s="20" t="s">
        <v>844</v>
      </c>
      <c r="AR3" s="30" t="s">
        <v>844</v>
      </c>
    </row>
    <row r="4" spans="1:44" x14ac:dyDescent="0.3">
      <c r="A4" s="21" t="s">
        <v>998</v>
      </c>
      <c r="B4" s="21" t="s">
        <v>744</v>
      </c>
      <c r="C4" s="21" t="s">
        <v>999</v>
      </c>
      <c r="D4" s="21" t="s">
        <v>746</v>
      </c>
      <c r="E4" s="21">
        <v>1</v>
      </c>
      <c r="F4" s="21" t="s">
        <v>1000</v>
      </c>
      <c r="G4" s="21" t="s">
        <v>1001</v>
      </c>
      <c r="H4" s="21" t="s">
        <v>1002</v>
      </c>
      <c r="I4" s="21" t="s">
        <v>1003</v>
      </c>
      <c r="J4" s="21" t="s">
        <v>1004</v>
      </c>
      <c r="K4" s="21" t="s">
        <v>1005</v>
      </c>
      <c r="L4" s="21" t="s">
        <v>1006</v>
      </c>
      <c r="M4" s="21" t="s">
        <v>1007</v>
      </c>
      <c r="N4" s="21" t="s">
        <v>1008</v>
      </c>
      <c r="O4" s="21" t="s">
        <v>1009</v>
      </c>
      <c r="P4" s="21" t="s">
        <v>1010</v>
      </c>
      <c r="Q4" s="21" t="s">
        <v>979</v>
      </c>
      <c r="R4" s="21" t="s">
        <v>1011</v>
      </c>
      <c r="S4" s="21" t="s">
        <v>1012</v>
      </c>
      <c r="T4" s="21" t="s">
        <v>1013</v>
      </c>
      <c r="U4" s="21" t="s">
        <v>1014</v>
      </c>
      <c r="V4" s="21" t="s">
        <v>998</v>
      </c>
      <c r="W4" s="21" t="s">
        <v>1015</v>
      </c>
      <c r="X4" s="21">
        <v>6</v>
      </c>
      <c r="Y4" s="21" t="s">
        <v>986</v>
      </c>
      <c r="Z4" s="21" t="s">
        <v>987</v>
      </c>
      <c r="AA4" s="21" t="s">
        <v>988</v>
      </c>
      <c r="AB4" s="21" t="s">
        <v>989</v>
      </c>
      <c r="AC4" s="27">
        <v>0.58333333333333337</v>
      </c>
      <c r="AD4" s="21" t="s">
        <v>990</v>
      </c>
      <c r="AE4" s="21" t="s">
        <v>991</v>
      </c>
      <c r="AF4" s="21" t="s">
        <v>992</v>
      </c>
      <c r="AG4" s="21" t="s">
        <v>993</v>
      </c>
      <c r="AH4" s="21" t="s">
        <v>994</v>
      </c>
      <c r="AI4" s="21" t="s">
        <v>1000</v>
      </c>
      <c r="AJ4" s="21" t="s">
        <v>995</v>
      </c>
      <c r="AK4" s="21" t="s">
        <v>801</v>
      </c>
      <c r="AL4" s="21" t="s">
        <v>768</v>
      </c>
      <c r="AM4" s="21">
        <v>1240</v>
      </c>
      <c r="AN4" s="21" t="s">
        <v>1016</v>
      </c>
      <c r="AO4" s="21" t="s">
        <v>1017</v>
      </c>
      <c r="AP4" s="21" t="s">
        <v>753</v>
      </c>
      <c r="AQ4" s="21" t="s">
        <v>1018</v>
      </c>
      <c r="AR4" s="31">
        <v>0.01</v>
      </c>
    </row>
    <row r="5" spans="1:44" x14ac:dyDescent="0.3">
      <c r="A5" s="21" t="s">
        <v>1019</v>
      </c>
      <c r="B5" s="21" t="s">
        <v>1020</v>
      </c>
      <c r="C5" s="21" t="s">
        <v>1021</v>
      </c>
      <c r="D5" s="21" t="s">
        <v>746</v>
      </c>
      <c r="E5" s="21">
        <v>1</v>
      </c>
      <c r="F5" s="21" t="s">
        <v>1022</v>
      </c>
      <c r="G5" s="21" t="s">
        <v>1023</v>
      </c>
      <c r="H5" s="21" t="s">
        <v>1024</v>
      </c>
      <c r="I5" s="21" t="s">
        <v>1025</v>
      </c>
      <c r="J5" s="21" t="s">
        <v>1026</v>
      </c>
      <c r="K5" s="21" t="s">
        <v>1027</v>
      </c>
      <c r="L5" s="21" t="s">
        <v>1028</v>
      </c>
      <c r="M5" s="21" t="s">
        <v>1029</v>
      </c>
      <c r="N5" s="21" t="s">
        <v>1030</v>
      </c>
      <c r="O5" s="21" t="s">
        <v>1031</v>
      </c>
      <c r="P5" s="21" t="s">
        <v>1032</v>
      </c>
      <c r="Q5" s="21" t="s">
        <v>1033</v>
      </c>
      <c r="R5" s="21" t="s">
        <v>1034</v>
      </c>
      <c r="S5" s="21" t="s">
        <v>1035</v>
      </c>
      <c r="T5" s="21" t="s">
        <v>1036</v>
      </c>
      <c r="U5" s="21" t="s">
        <v>1037</v>
      </c>
      <c r="V5" s="21" t="s">
        <v>1019</v>
      </c>
      <c r="W5" s="21" t="s">
        <v>1038</v>
      </c>
      <c r="X5" s="21">
        <v>6</v>
      </c>
      <c r="Y5" s="21" t="s">
        <v>986</v>
      </c>
      <c r="Z5" s="21" t="s">
        <v>1039</v>
      </c>
      <c r="AA5" s="21" t="s">
        <v>1040</v>
      </c>
      <c r="AB5" s="21" t="s">
        <v>1041</v>
      </c>
      <c r="AC5" s="27">
        <v>0.58333333333333337</v>
      </c>
      <c r="AD5" s="21" t="s">
        <v>990</v>
      </c>
      <c r="AE5" s="21" t="s">
        <v>1042</v>
      </c>
      <c r="AF5" s="21" t="s">
        <v>992</v>
      </c>
      <c r="AG5" s="21" t="s">
        <v>993</v>
      </c>
      <c r="AH5" s="21" t="s">
        <v>994</v>
      </c>
      <c r="AI5" s="21" t="s">
        <v>1022</v>
      </c>
      <c r="AJ5" s="21" t="s">
        <v>995</v>
      </c>
      <c r="AK5" s="21" t="s">
        <v>814</v>
      </c>
      <c r="AL5" s="21" t="s">
        <v>768</v>
      </c>
      <c r="AM5" s="21">
        <v>2350</v>
      </c>
      <c r="AN5" s="21" t="s">
        <v>848</v>
      </c>
      <c r="AO5" s="21" t="s">
        <v>844</v>
      </c>
      <c r="AP5" s="21" t="s">
        <v>846</v>
      </c>
      <c r="AQ5" s="21" t="s">
        <v>844</v>
      </c>
      <c r="AR5" s="31" t="s">
        <v>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6A2AA-97C6-4BD7-A177-94264EAC6F8D}">
  <dimension ref="A1:L7"/>
  <sheetViews>
    <sheetView workbookViewId="0">
      <pane ySplit="2" topLeftCell="A3" activePane="bottomLeft" state="frozen"/>
      <selection activeCell="B16" sqref="B16"/>
      <selection pane="bottomLeft" activeCell="B16" sqref="B16"/>
    </sheetView>
  </sheetViews>
  <sheetFormatPr defaultRowHeight="16.5" x14ac:dyDescent="0.3"/>
  <cols>
    <col min="1" max="12" width="18.375" customWidth="1"/>
  </cols>
  <sheetData>
    <row r="1" spans="1:12" s="12" customFormat="1" ht="30" customHeight="1" x14ac:dyDescent="0.3">
      <c r="A1" s="15" t="s">
        <v>64</v>
      </c>
      <c r="B1" s="14" t="s">
        <v>60</v>
      </c>
      <c r="C1" s="14" t="s">
        <v>60</v>
      </c>
      <c r="D1" s="14" t="s">
        <v>60</v>
      </c>
      <c r="E1" s="14" t="s">
        <v>117</v>
      </c>
      <c r="F1" s="14" t="s">
        <v>60</v>
      </c>
      <c r="G1" s="14" t="s">
        <v>60</v>
      </c>
      <c r="H1" s="14" t="s">
        <v>116</v>
      </c>
      <c r="I1" s="14" t="s">
        <v>60</v>
      </c>
      <c r="J1" s="14" t="s">
        <v>60</v>
      </c>
      <c r="K1" s="14" t="s">
        <v>115</v>
      </c>
      <c r="L1" s="13" t="s">
        <v>60</v>
      </c>
    </row>
    <row r="2" spans="1:12" ht="45" customHeight="1" x14ac:dyDescent="0.3">
      <c r="A2" s="11" t="s">
        <v>59</v>
      </c>
      <c r="B2" s="10" t="s">
        <v>58</v>
      </c>
      <c r="C2" s="10" t="s">
        <v>57</v>
      </c>
      <c r="D2" s="10" t="s">
        <v>56</v>
      </c>
      <c r="E2" s="10" t="s">
        <v>114</v>
      </c>
      <c r="F2" s="10" t="s">
        <v>113</v>
      </c>
      <c r="G2" s="10" t="s">
        <v>112</v>
      </c>
      <c r="H2" s="10" t="s">
        <v>111</v>
      </c>
      <c r="I2" s="10" t="s">
        <v>110</v>
      </c>
      <c r="J2" s="10" t="s">
        <v>109</v>
      </c>
      <c r="K2" s="10" t="s">
        <v>108</v>
      </c>
      <c r="L2" s="9" t="s">
        <v>107</v>
      </c>
    </row>
    <row r="3" spans="1:12" x14ac:dyDescent="0.3">
      <c r="A3" s="20" t="s">
        <v>1043</v>
      </c>
      <c r="B3" s="20" t="s">
        <v>1044</v>
      </c>
      <c r="C3" s="20" t="s">
        <v>1045</v>
      </c>
      <c r="D3" s="20" t="s">
        <v>746</v>
      </c>
      <c r="E3" s="20" t="s">
        <v>1046</v>
      </c>
      <c r="F3" s="20" t="s">
        <v>1047</v>
      </c>
      <c r="G3" s="20" t="s">
        <v>1048</v>
      </c>
      <c r="H3" s="20" t="s">
        <v>1049</v>
      </c>
      <c r="I3" s="20" t="s">
        <v>1043</v>
      </c>
      <c r="J3" s="20" t="s">
        <v>1050</v>
      </c>
      <c r="K3" s="20" t="s">
        <v>1051</v>
      </c>
      <c r="L3" s="20" t="s">
        <v>1052</v>
      </c>
    </row>
    <row r="4" spans="1:12" x14ac:dyDescent="0.3">
      <c r="A4" s="21" t="s">
        <v>1053</v>
      </c>
      <c r="B4" s="21" t="s">
        <v>1054</v>
      </c>
      <c r="C4" s="21" t="s">
        <v>1055</v>
      </c>
      <c r="D4" s="21" t="s">
        <v>746</v>
      </c>
      <c r="E4" s="21" t="s">
        <v>1056</v>
      </c>
      <c r="F4" s="21" t="s">
        <v>1057</v>
      </c>
      <c r="G4" s="21" t="s">
        <v>1058</v>
      </c>
      <c r="H4" s="21" t="s">
        <v>1059</v>
      </c>
      <c r="I4" s="21" t="s">
        <v>1060</v>
      </c>
      <c r="J4" s="21" t="s">
        <v>1061</v>
      </c>
      <c r="K4" s="21" t="s">
        <v>1062</v>
      </c>
      <c r="L4" s="21" t="s">
        <v>1063</v>
      </c>
    </row>
    <row r="5" spans="1:12" x14ac:dyDescent="0.3">
      <c r="A5" s="21" t="s">
        <v>1064</v>
      </c>
      <c r="B5" s="21" t="s">
        <v>1044</v>
      </c>
      <c r="C5" s="21" t="s">
        <v>1065</v>
      </c>
      <c r="D5" s="21" t="s">
        <v>1066</v>
      </c>
      <c r="E5" s="21" t="s">
        <v>1067</v>
      </c>
      <c r="F5" s="21" t="s">
        <v>1047</v>
      </c>
      <c r="G5" s="21" t="s">
        <v>1068</v>
      </c>
      <c r="H5" s="21" t="s">
        <v>1069</v>
      </c>
      <c r="I5" s="21" t="s">
        <v>1067</v>
      </c>
      <c r="J5" s="21" t="s">
        <v>1070</v>
      </c>
      <c r="K5" s="21" t="s">
        <v>1071</v>
      </c>
      <c r="L5" s="21" t="s">
        <v>848</v>
      </c>
    </row>
    <row r="6" spans="1:12" x14ac:dyDescent="0.3">
      <c r="A6" s="21" t="s">
        <v>1072</v>
      </c>
      <c r="B6" s="21" t="s">
        <v>744</v>
      </c>
      <c r="C6" s="21" t="s">
        <v>1073</v>
      </c>
      <c r="D6" s="21" t="s">
        <v>746</v>
      </c>
      <c r="E6" s="21" t="s">
        <v>1074</v>
      </c>
      <c r="F6" s="21" t="s">
        <v>1075</v>
      </c>
      <c r="G6" s="21" t="s">
        <v>1076</v>
      </c>
      <c r="H6" s="21" t="s">
        <v>761</v>
      </c>
      <c r="I6" s="21" t="s">
        <v>1072</v>
      </c>
      <c r="J6" s="21" t="s">
        <v>1077</v>
      </c>
      <c r="K6" s="21" t="s">
        <v>1051</v>
      </c>
      <c r="L6" s="21" t="s">
        <v>1078</v>
      </c>
    </row>
    <row r="7" spans="1:12" x14ac:dyDescent="0.3">
      <c r="A7" s="21" t="s">
        <v>1079</v>
      </c>
      <c r="B7" s="21" t="s">
        <v>1054</v>
      </c>
      <c r="C7" s="21" t="s">
        <v>1080</v>
      </c>
      <c r="D7" s="21" t="s">
        <v>746</v>
      </c>
      <c r="E7" s="21" t="s">
        <v>1081</v>
      </c>
      <c r="F7" s="21" t="s">
        <v>1082</v>
      </c>
      <c r="G7" s="21" t="s">
        <v>1083</v>
      </c>
      <c r="H7" s="21" t="s">
        <v>1084</v>
      </c>
      <c r="I7" s="21" t="s">
        <v>1085</v>
      </c>
      <c r="J7" s="21" t="s">
        <v>1086</v>
      </c>
      <c r="K7" s="21" t="s">
        <v>1087</v>
      </c>
      <c r="L7" s="21" t="s">
        <v>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731C-7B5A-419B-B38F-B06B6F3A532B}">
  <dimension ref="A1:AW7"/>
  <sheetViews>
    <sheetView workbookViewId="0">
      <pane ySplit="2" topLeftCell="A3" activePane="bottomLeft" state="frozen"/>
      <selection activeCell="B16" sqref="B16"/>
      <selection pane="bottomLeft" activeCell="B16" sqref="B16"/>
    </sheetView>
  </sheetViews>
  <sheetFormatPr defaultRowHeight="16.5" x14ac:dyDescent="0.3"/>
  <cols>
    <col min="1" max="49" width="18.375" customWidth="1"/>
  </cols>
  <sheetData>
    <row r="1" spans="1:49" s="12" customFormat="1" ht="30" customHeight="1" x14ac:dyDescent="0.3">
      <c r="A1" s="15" t="s">
        <v>64</v>
      </c>
      <c r="B1" s="14" t="s">
        <v>60</v>
      </c>
      <c r="C1" s="14" t="s">
        <v>60</v>
      </c>
      <c r="D1" s="14" t="s">
        <v>60</v>
      </c>
      <c r="E1" s="14" t="s">
        <v>168</v>
      </c>
      <c r="F1" s="14" t="s">
        <v>60</v>
      </c>
      <c r="G1" s="14" t="s">
        <v>60</v>
      </c>
      <c r="H1" s="14" t="s">
        <v>60</v>
      </c>
      <c r="I1" s="14" t="s">
        <v>60</v>
      </c>
      <c r="J1" s="14" t="s">
        <v>60</v>
      </c>
      <c r="K1" s="14" t="s">
        <v>60</v>
      </c>
      <c r="L1" s="14" t="s">
        <v>60</v>
      </c>
      <c r="M1" s="14" t="s">
        <v>60</v>
      </c>
      <c r="N1" s="14" t="s">
        <v>60</v>
      </c>
      <c r="O1" s="14" t="s">
        <v>167</v>
      </c>
      <c r="P1" s="14" t="s">
        <v>60</v>
      </c>
      <c r="Q1" s="14" t="s">
        <v>60</v>
      </c>
      <c r="R1" s="14" t="s">
        <v>60</v>
      </c>
      <c r="S1" s="14" t="s">
        <v>60</v>
      </c>
      <c r="T1" s="14" t="s">
        <v>60</v>
      </c>
      <c r="U1" s="14" t="s">
        <v>60</v>
      </c>
      <c r="V1" s="14" t="s">
        <v>60</v>
      </c>
      <c r="W1" s="14" t="s">
        <v>60</v>
      </c>
      <c r="X1" s="14" t="s">
        <v>60</v>
      </c>
      <c r="Y1" s="14" t="s">
        <v>60</v>
      </c>
      <c r="Z1" s="14" t="s">
        <v>60</v>
      </c>
      <c r="AA1" s="14" t="s">
        <v>60</v>
      </c>
      <c r="AB1" s="14" t="s">
        <v>60</v>
      </c>
      <c r="AC1" s="14" t="s">
        <v>166</v>
      </c>
      <c r="AD1" s="14" t="s">
        <v>60</v>
      </c>
      <c r="AE1" s="14" t="s">
        <v>60</v>
      </c>
      <c r="AF1" s="14" t="s">
        <v>60</v>
      </c>
      <c r="AG1" s="14" t="s">
        <v>165</v>
      </c>
      <c r="AH1" s="14" t="s">
        <v>60</v>
      </c>
      <c r="AI1" s="14" t="s">
        <v>60</v>
      </c>
      <c r="AJ1" s="14" t="s">
        <v>164</v>
      </c>
      <c r="AK1" s="14" t="s">
        <v>60</v>
      </c>
      <c r="AL1" s="14" t="s">
        <v>60</v>
      </c>
      <c r="AM1" s="14" t="s">
        <v>163</v>
      </c>
      <c r="AN1" s="14" t="s">
        <v>60</v>
      </c>
      <c r="AO1" s="14" t="s">
        <v>60</v>
      </c>
      <c r="AP1" s="14" t="s">
        <v>60</v>
      </c>
      <c r="AQ1" s="14" t="s">
        <v>60</v>
      </c>
      <c r="AR1" s="14" t="s">
        <v>60</v>
      </c>
      <c r="AS1" s="14" t="s">
        <v>60</v>
      </c>
      <c r="AT1" s="14" t="s">
        <v>60</v>
      </c>
      <c r="AU1" s="14" t="s">
        <v>60</v>
      </c>
      <c r="AV1" s="14" t="s">
        <v>60</v>
      </c>
      <c r="AW1" s="13" t="s">
        <v>60</v>
      </c>
    </row>
    <row r="2" spans="1:49" ht="45" customHeight="1" x14ac:dyDescent="0.3">
      <c r="A2" s="11" t="s">
        <v>59</v>
      </c>
      <c r="B2" s="10" t="s">
        <v>58</v>
      </c>
      <c r="C2" s="10" t="s">
        <v>57</v>
      </c>
      <c r="D2" s="10" t="s">
        <v>56</v>
      </c>
      <c r="E2" s="10" t="s">
        <v>162</v>
      </c>
      <c r="F2" s="10" t="s">
        <v>161</v>
      </c>
      <c r="G2" s="10" t="s">
        <v>160</v>
      </c>
      <c r="H2" s="10" t="s">
        <v>159</v>
      </c>
      <c r="I2" s="10" t="s">
        <v>158</v>
      </c>
      <c r="J2" s="10" t="s">
        <v>157</v>
      </c>
      <c r="K2" s="10" t="s">
        <v>156</v>
      </c>
      <c r="L2" s="10" t="s">
        <v>155</v>
      </c>
      <c r="M2" s="10" t="s">
        <v>154</v>
      </c>
      <c r="N2" s="10" t="s">
        <v>153</v>
      </c>
      <c r="O2" s="10" t="s">
        <v>152</v>
      </c>
      <c r="P2" s="10" t="s">
        <v>151</v>
      </c>
      <c r="Q2" s="10" t="s">
        <v>150</v>
      </c>
      <c r="R2" s="10" t="s">
        <v>149</v>
      </c>
      <c r="S2" s="10" t="s">
        <v>148</v>
      </c>
      <c r="T2" s="10" t="s">
        <v>147</v>
      </c>
      <c r="U2" s="10" t="s">
        <v>146</v>
      </c>
      <c r="V2" s="10" t="s">
        <v>145</v>
      </c>
      <c r="W2" s="10" t="s">
        <v>144</v>
      </c>
      <c r="X2" s="10" t="s">
        <v>143</v>
      </c>
      <c r="Y2" s="10" t="s">
        <v>142</v>
      </c>
      <c r="Z2" s="10" t="s">
        <v>141</v>
      </c>
      <c r="AA2" s="10" t="s">
        <v>140</v>
      </c>
      <c r="AB2" s="10" t="s">
        <v>139</v>
      </c>
      <c r="AC2" s="10" t="s">
        <v>138</v>
      </c>
      <c r="AD2" s="10" t="s">
        <v>137</v>
      </c>
      <c r="AE2" s="10" t="s">
        <v>136</v>
      </c>
      <c r="AF2" s="10" t="s">
        <v>135</v>
      </c>
      <c r="AG2" s="10" t="s">
        <v>134</v>
      </c>
      <c r="AH2" s="10" t="s">
        <v>133</v>
      </c>
      <c r="AI2" s="10" t="s">
        <v>132</v>
      </c>
      <c r="AJ2" s="10" t="s">
        <v>131</v>
      </c>
      <c r="AK2" s="10" t="s">
        <v>130</v>
      </c>
      <c r="AL2" s="10" t="s">
        <v>129</v>
      </c>
      <c r="AM2" s="10" t="s">
        <v>128</v>
      </c>
      <c r="AN2" s="10" t="s">
        <v>127</v>
      </c>
      <c r="AO2" s="10" t="s">
        <v>126</v>
      </c>
      <c r="AP2" s="10" t="s">
        <v>125</v>
      </c>
      <c r="AQ2" s="10" t="s">
        <v>124</v>
      </c>
      <c r="AR2" s="10" t="s">
        <v>123</v>
      </c>
      <c r="AS2" s="10" t="s">
        <v>122</v>
      </c>
      <c r="AT2" s="10" t="s">
        <v>121</v>
      </c>
      <c r="AU2" s="10" t="s">
        <v>120</v>
      </c>
      <c r="AV2" s="10" t="s">
        <v>119</v>
      </c>
      <c r="AW2" s="9" t="s">
        <v>118</v>
      </c>
    </row>
    <row r="3" spans="1:49" x14ac:dyDescent="0.3">
      <c r="A3" s="20" t="s">
        <v>1088</v>
      </c>
      <c r="B3" s="20" t="s">
        <v>744</v>
      </c>
      <c r="C3" s="20" t="s">
        <v>1089</v>
      </c>
      <c r="D3" s="20" t="s">
        <v>746</v>
      </c>
      <c r="E3" s="20" t="s">
        <v>1090</v>
      </c>
      <c r="F3" s="20">
        <v>1</v>
      </c>
      <c r="G3" s="20">
        <v>1</v>
      </c>
      <c r="H3" s="20" t="s">
        <v>1091</v>
      </c>
      <c r="I3" s="20" t="s">
        <v>1092</v>
      </c>
      <c r="J3" s="20" t="s">
        <v>1093</v>
      </c>
      <c r="K3" s="20" t="s">
        <v>1094</v>
      </c>
      <c r="L3" s="20">
        <v>24</v>
      </c>
      <c r="M3" s="20" t="s">
        <v>1095</v>
      </c>
      <c r="N3" s="20" t="s">
        <v>1096</v>
      </c>
      <c r="O3" s="20">
        <v>1</v>
      </c>
      <c r="P3" s="20" t="s">
        <v>1097</v>
      </c>
      <c r="Q3" s="20" t="s">
        <v>1098</v>
      </c>
      <c r="R3" s="20" t="s">
        <v>1099</v>
      </c>
      <c r="S3" s="20" t="s">
        <v>749</v>
      </c>
      <c r="T3" s="20" t="s">
        <v>751</v>
      </c>
      <c r="U3" s="20" t="s">
        <v>1100</v>
      </c>
      <c r="V3" s="20" t="s">
        <v>1101</v>
      </c>
      <c r="W3" s="20" t="s">
        <v>1094</v>
      </c>
      <c r="X3" s="20" t="s">
        <v>1102</v>
      </c>
      <c r="Y3" s="20" t="s">
        <v>1103</v>
      </c>
      <c r="Z3" s="20" t="s">
        <v>1104</v>
      </c>
      <c r="AA3" s="20" t="s">
        <v>753</v>
      </c>
      <c r="AB3" s="20" t="s">
        <v>767</v>
      </c>
      <c r="AC3" s="20" t="s">
        <v>1105</v>
      </c>
      <c r="AD3" s="20" t="s">
        <v>1106</v>
      </c>
      <c r="AE3" s="20" t="s">
        <v>1107</v>
      </c>
      <c r="AF3" s="20" t="s">
        <v>1108</v>
      </c>
      <c r="AG3" s="20" t="s">
        <v>1109</v>
      </c>
      <c r="AH3" s="20" t="s">
        <v>1110</v>
      </c>
      <c r="AI3" s="20" t="s">
        <v>1111</v>
      </c>
      <c r="AJ3" s="20" t="s">
        <v>1037</v>
      </c>
      <c r="AK3" s="20" t="s">
        <v>1088</v>
      </c>
      <c r="AL3" s="20" t="s">
        <v>1112</v>
      </c>
      <c r="AM3" s="20" t="s">
        <v>844</v>
      </c>
      <c r="AN3" s="20" t="s">
        <v>844</v>
      </c>
      <c r="AO3" s="20" t="s">
        <v>844</v>
      </c>
      <c r="AP3" s="20" t="s">
        <v>844</v>
      </c>
      <c r="AQ3" s="20" t="s">
        <v>844</v>
      </c>
      <c r="AR3" s="28" t="s">
        <v>844</v>
      </c>
      <c r="AS3" s="28" t="s">
        <v>844</v>
      </c>
      <c r="AT3" s="20" t="s">
        <v>844</v>
      </c>
      <c r="AU3" s="20" t="s">
        <v>846</v>
      </c>
      <c r="AV3" s="20" t="s">
        <v>844</v>
      </c>
      <c r="AW3" s="20" t="s">
        <v>1113</v>
      </c>
    </row>
    <row r="4" spans="1:49" x14ac:dyDescent="0.3">
      <c r="A4" s="21" t="s">
        <v>1114</v>
      </c>
      <c r="B4" s="21" t="s">
        <v>1054</v>
      </c>
      <c r="C4" s="21" t="s">
        <v>1115</v>
      </c>
      <c r="D4" s="21" t="s">
        <v>746</v>
      </c>
      <c r="E4" s="21" t="s">
        <v>1116</v>
      </c>
      <c r="F4" s="21">
        <v>1</v>
      </c>
      <c r="G4" s="21">
        <v>0</v>
      </c>
      <c r="H4" s="21" t="s">
        <v>1117</v>
      </c>
      <c r="I4" s="21" t="s">
        <v>1118</v>
      </c>
      <c r="J4" s="21" t="s">
        <v>1093</v>
      </c>
      <c r="K4" s="21" t="s">
        <v>1041</v>
      </c>
      <c r="L4" s="21">
        <v>12</v>
      </c>
      <c r="M4" s="21" t="s">
        <v>1119</v>
      </c>
      <c r="N4" s="21" t="s">
        <v>1120</v>
      </c>
      <c r="O4" s="21">
        <v>1</v>
      </c>
      <c r="P4" s="21" t="s">
        <v>1121</v>
      </c>
      <c r="Q4" s="21" t="s">
        <v>1122</v>
      </c>
      <c r="R4" s="21" t="s">
        <v>1123</v>
      </c>
      <c r="S4" s="21" t="s">
        <v>749</v>
      </c>
      <c r="T4" s="21" t="s">
        <v>751</v>
      </c>
      <c r="U4" s="21" t="s">
        <v>1124</v>
      </c>
      <c r="V4" s="21" t="s">
        <v>1125</v>
      </c>
      <c r="W4" s="21" t="s">
        <v>1041</v>
      </c>
      <c r="X4" s="21" t="s">
        <v>846</v>
      </c>
      <c r="Y4" s="21" t="s">
        <v>1126</v>
      </c>
      <c r="Z4" s="21" t="s">
        <v>1127</v>
      </c>
      <c r="AA4" s="21" t="s">
        <v>753</v>
      </c>
      <c r="AB4" s="21" t="s">
        <v>767</v>
      </c>
      <c r="AC4" s="21" t="s">
        <v>844</v>
      </c>
      <c r="AD4" s="21" t="s">
        <v>844</v>
      </c>
      <c r="AE4" s="21" t="s">
        <v>844</v>
      </c>
      <c r="AF4" s="21" t="s">
        <v>844</v>
      </c>
      <c r="AG4" s="21" t="s">
        <v>1128</v>
      </c>
      <c r="AH4" s="21" t="s">
        <v>1082</v>
      </c>
      <c r="AI4" s="21" t="s">
        <v>1129</v>
      </c>
      <c r="AJ4" s="21" t="s">
        <v>983</v>
      </c>
      <c r="AK4" s="21" t="s">
        <v>1130</v>
      </c>
      <c r="AL4" s="21" t="s">
        <v>1131</v>
      </c>
      <c r="AM4" s="21" t="s">
        <v>844</v>
      </c>
      <c r="AN4" s="21" t="s">
        <v>844</v>
      </c>
      <c r="AO4" s="21" t="s">
        <v>844</v>
      </c>
      <c r="AP4" s="21" t="s">
        <v>844</v>
      </c>
      <c r="AQ4" s="21" t="s">
        <v>844</v>
      </c>
      <c r="AR4" s="29" t="s">
        <v>844</v>
      </c>
      <c r="AS4" s="29" t="s">
        <v>844</v>
      </c>
      <c r="AT4" s="21" t="s">
        <v>844</v>
      </c>
      <c r="AU4" s="21" t="s">
        <v>846</v>
      </c>
      <c r="AV4" s="21" t="s">
        <v>844</v>
      </c>
      <c r="AW4" s="21" t="s">
        <v>1113</v>
      </c>
    </row>
    <row r="5" spans="1:49" x14ac:dyDescent="0.3">
      <c r="A5" s="21" t="s">
        <v>1132</v>
      </c>
      <c r="B5" s="21" t="s">
        <v>744</v>
      </c>
      <c r="C5" s="21" t="s">
        <v>1133</v>
      </c>
      <c r="D5" s="21" t="s">
        <v>746</v>
      </c>
      <c r="E5" s="21" t="s">
        <v>1134</v>
      </c>
      <c r="F5" s="21">
        <v>0</v>
      </c>
      <c r="G5" s="21">
        <v>1</v>
      </c>
      <c r="H5" s="21" t="s">
        <v>1091</v>
      </c>
      <c r="I5" s="21" t="s">
        <v>1092</v>
      </c>
      <c r="J5" s="21" t="s">
        <v>1135</v>
      </c>
      <c r="K5" s="21" t="s">
        <v>1136</v>
      </c>
      <c r="L5" s="21">
        <v>48</v>
      </c>
      <c r="M5" s="21" t="s">
        <v>1137</v>
      </c>
      <c r="N5" s="21" t="s">
        <v>1138</v>
      </c>
      <c r="O5" s="21" t="s">
        <v>844</v>
      </c>
      <c r="P5" s="21" t="s">
        <v>844</v>
      </c>
      <c r="Q5" s="21" t="s">
        <v>844</v>
      </c>
      <c r="R5" s="21" t="s">
        <v>844</v>
      </c>
      <c r="S5" s="21" t="s">
        <v>844</v>
      </c>
      <c r="T5" s="21" t="s">
        <v>844</v>
      </c>
      <c r="U5" s="21" t="s">
        <v>844</v>
      </c>
      <c r="V5" s="21" t="s">
        <v>844</v>
      </c>
      <c r="W5" s="21" t="s">
        <v>844</v>
      </c>
      <c r="X5" s="21" t="s">
        <v>844</v>
      </c>
      <c r="Y5" s="21" t="s">
        <v>844</v>
      </c>
      <c r="Z5" s="21" t="s">
        <v>844</v>
      </c>
      <c r="AA5" s="21" t="s">
        <v>844</v>
      </c>
      <c r="AB5" s="21" t="s">
        <v>844</v>
      </c>
      <c r="AC5" s="21" t="s">
        <v>1139</v>
      </c>
      <c r="AD5" s="21" t="s">
        <v>1140</v>
      </c>
      <c r="AE5" s="21" t="s">
        <v>1141</v>
      </c>
      <c r="AF5" s="21" t="s">
        <v>1142</v>
      </c>
      <c r="AG5" s="21" t="s">
        <v>1143</v>
      </c>
      <c r="AH5" s="21" t="s">
        <v>1144</v>
      </c>
      <c r="AI5" s="21" t="s">
        <v>1145</v>
      </c>
      <c r="AJ5" s="21" t="s">
        <v>1146</v>
      </c>
      <c r="AK5" s="21" t="s">
        <v>1147</v>
      </c>
      <c r="AL5" s="21" t="s">
        <v>1148</v>
      </c>
      <c r="AM5" s="21" t="s">
        <v>1149</v>
      </c>
      <c r="AN5" s="21" t="s">
        <v>1150</v>
      </c>
      <c r="AO5" s="21" t="s">
        <v>1151</v>
      </c>
      <c r="AP5" s="21" t="s">
        <v>1152</v>
      </c>
      <c r="AQ5" s="23">
        <v>0.01</v>
      </c>
      <c r="AR5" s="29">
        <v>45839</v>
      </c>
      <c r="AS5" s="29">
        <v>46203</v>
      </c>
      <c r="AT5" s="21">
        <v>30</v>
      </c>
      <c r="AU5" s="21" t="s">
        <v>753</v>
      </c>
      <c r="AV5" s="21" t="s">
        <v>1153</v>
      </c>
      <c r="AW5" s="21" t="s">
        <v>1154</v>
      </c>
    </row>
    <row r="6" spans="1:49" x14ac:dyDescent="0.3">
      <c r="A6" s="21" t="s">
        <v>1155</v>
      </c>
      <c r="B6" s="21" t="s">
        <v>744</v>
      </c>
      <c r="C6" s="21" t="s">
        <v>1156</v>
      </c>
      <c r="D6" s="21" t="s">
        <v>746</v>
      </c>
      <c r="E6" s="21" t="s">
        <v>1090</v>
      </c>
      <c r="F6" s="21">
        <v>1</v>
      </c>
      <c r="G6" s="21">
        <v>1</v>
      </c>
      <c r="H6" s="21" t="s">
        <v>1091</v>
      </c>
      <c r="I6" s="21" t="s">
        <v>1092</v>
      </c>
      <c r="J6" s="21" t="s">
        <v>1157</v>
      </c>
      <c r="K6" s="21" t="s">
        <v>1158</v>
      </c>
      <c r="L6" s="21">
        <v>24</v>
      </c>
      <c r="M6" s="21" t="s">
        <v>1159</v>
      </c>
      <c r="N6" s="21" t="s">
        <v>1160</v>
      </c>
      <c r="O6" s="21">
        <v>1</v>
      </c>
      <c r="P6" s="21" t="s">
        <v>1161</v>
      </c>
      <c r="Q6" s="21" t="s">
        <v>1162</v>
      </c>
      <c r="R6" s="21" t="s">
        <v>1163</v>
      </c>
      <c r="S6" s="21" t="s">
        <v>749</v>
      </c>
      <c r="T6" s="21" t="s">
        <v>751</v>
      </c>
      <c r="U6" s="21" t="s">
        <v>1164</v>
      </c>
      <c r="V6" s="21" t="s">
        <v>1165</v>
      </c>
      <c r="W6" s="21" t="s">
        <v>1158</v>
      </c>
      <c r="X6" s="21" t="s">
        <v>1166</v>
      </c>
      <c r="Y6" s="21" t="s">
        <v>1103</v>
      </c>
      <c r="Z6" s="21" t="s">
        <v>1104</v>
      </c>
      <c r="AA6" s="21" t="s">
        <v>753</v>
      </c>
      <c r="AB6" s="21" t="s">
        <v>767</v>
      </c>
      <c r="AC6" s="21" t="s">
        <v>1167</v>
      </c>
      <c r="AD6" s="21" t="s">
        <v>1168</v>
      </c>
      <c r="AE6" s="21" t="s">
        <v>1169</v>
      </c>
      <c r="AF6" s="21" t="s">
        <v>1170</v>
      </c>
      <c r="AG6" s="21" t="s">
        <v>1171</v>
      </c>
      <c r="AH6" s="21" t="s">
        <v>1172</v>
      </c>
      <c r="AI6" s="21" t="s">
        <v>1173</v>
      </c>
      <c r="AJ6" s="21" t="s">
        <v>1174</v>
      </c>
      <c r="AK6" s="21" t="s">
        <v>1155</v>
      </c>
      <c r="AL6" s="21" t="s">
        <v>1175</v>
      </c>
      <c r="AM6" s="21" t="s">
        <v>1176</v>
      </c>
      <c r="AN6" s="21" t="s">
        <v>1177</v>
      </c>
      <c r="AO6" s="21" t="s">
        <v>1151</v>
      </c>
      <c r="AP6" s="21" t="s">
        <v>1152</v>
      </c>
      <c r="AQ6" s="23">
        <v>0.02</v>
      </c>
      <c r="AR6" s="29">
        <v>46204</v>
      </c>
      <c r="AS6" s="29">
        <v>46568</v>
      </c>
      <c r="AT6" s="21">
        <v>30</v>
      </c>
      <c r="AU6" s="21" t="s">
        <v>753</v>
      </c>
      <c r="AV6" s="21" t="s">
        <v>1178</v>
      </c>
      <c r="AW6" s="21" t="s">
        <v>1179</v>
      </c>
    </row>
    <row r="7" spans="1:49" x14ac:dyDescent="0.3">
      <c r="A7" s="21" t="s">
        <v>1180</v>
      </c>
      <c r="B7" s="21" t="s">
        <v>1044</v>
      </c>
      <c r="C7" s="21" t="s">
        <v>1181</v>
      </c>
      <c r="D7" s="21" t="s">
        <v>746</v>
      </c>
      <c r="E7" s="21" t="s">
        <v>1116</v>
      </c>
      <c r="F7" s="21">
        <v>1</v>
      </c>
      <c r="G7" s="21">
        <v>0</v>
      </c>
      <c r="H7" s="21" t="s">
        <v>1091</v>
      </c>
      <c r="I7" s="21" t="s">
        <v>1092</v>
      </c>
      <c r="J7" s="21" t="s">
        <v>1093</v>
      </c>
      <c r="K7" s="21" t="s">
        <v>1182</v>
      </c>
      <c r="L7" s="21">
        <v>12</v>
      </c>
      <c r="M7" s="21" t="s">
        <v>848</v>
      </c>
      <c r="N7" s="21" t="s">
        <v>1120</v>
      </c>
      <c r="O7" s="21">
        <v>1</v>
      </c>
      <c r="P7" s="21" t="s">
        <v>1183</v>
      </c>
      <c r="Q7" s="21" t="s">
        <v>1184</v>
      </c>
      <c r="R7" s="21" t="s">
        <v>1185</v>
      </c>
      <c r="S7" s="21" t="s">
        <v>749</v>
      </c>
      <c r="T7" s="21" t="s">
        <v>751</v>
      </c>
      <c r="U7" s="21" t="s">
        <v>1186</v>
      </c>
      <c r="V7" s="21" t="s">
        <v>1187</v>
      </c>
      <c r="W7" s="21" t="s">
        <v>1182</v>
      </c>
      <c r="X7" s="21" t="s">
        <v>1188</v>
      </c>
      <c r="Y7" s="21" t="s">
        <v>1126</v>
      </c>
      <c r="Z7" s="21" t="s">
        <v>1127</v>
      </c>
      <c r="AA7" s="21" t="s">
        <v>753</v>
      </c>
      <c r="AB7" s="21" t="s">
        <v>767</v>
      </c>
      <c r="AC7" s="21" t="s">
        <v>844</v>
      </c>
      <c r="AD7" s="21" t="s">
        <v>844</v>
      </c>
      <c r="AE7" s="21" t="s">
        <v>844</v>
      </c>
      <c r="AF7" s="21" t="s">
        <v>844</v>
      </c>
      <c r="AG7" s="21" t="s">
        <v>1189</v>
      </c>
      <c r="AH7" s="21" t="s">
        <v>1047</v>
      </c>
      <c r="AI7" s="21" t="s">
        <v>1190</v>
      </c>
      <c r="AJ7" s="21" t="s">
        <v>1191</v>
      </c>
      <c r="AK7" s="21" t="s">
        <v>1189</v>
      </c>
      <c r="AL7" s="21" t="s">
        <v>1192</v>
      </c>
      <c r="AM7" s="21" t="s">
        <v>844</v>
      </c>
      <c r="AN7" s="21" t="s">
        <v>844</v>
      </c>
      <c r="AO7" s="21" t="s">
        <v>844</v>
      </c>
      <c r="AP7" s="21" t="s">
        <v>844</v>
      </c>
      <c r="AQ7" s="21" t="s">
        <v>844</v>
      </c>
      <c r="AR7" s="29" t="s">
        <v>844</v>
      </c>
      <c r="AS7" s="29" t="s">
        <v>844</v>
      </c>
      <c r="AT7" s="21" t="s">
        <v>844</v>
      </c>
      <c r="AU7" s="21" t="s">
        <v>846</v>
      </c>
      <c r="AV7" s="21" t="s">
        <v>844</v>
      </c>
      <c r="AW7" s="21" t="s">
        <v>1113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6D613-1F80-4900-9205-37548E6F48F6}">
  <dimension ref="A1:M5"/>
  <sheetViews>
    <sheetView workbookViewId="0">
      <pane ySplit="2" topLeftCell="A3" activePane="bottomLeft" state="frozen"/>
      <selection activeCell="B16" sqref="B16"/>
      <selection pane="bottomLeft" activeCell="B16" sqref="B16"/>
    </sheetView>
  </sheetViews>
  <sheetFormatPr defaultRowHeight="16.5" x14ac:dyDescent="0.3"/>
  <cols>
    <col min="1" max="13" width="18.375" customWidth="1"/>
  </cols>
  <sheetData>
    <row r="1" spans="1:13" s="12" customFormat="1" ht="30" customHeight="1" x14ac:dyDescent="0.3">
      <c r="A1" s="15" t="s">
        <v>64</v>
      </c>
      <c r="B1" s="14" t="s">
        <v>60</v>
      </c>
      <c r="C1" s="14" t="s">
        <v>60</v>
      </c>
      <c r="D1" s="14" t="s">
        <v>60</v>
      </c>
      <c r="E1" s="14" t="s">
        <v>117</v>
      </c>
      <c r="F1" s="14" t="s">
        <v>60</v>
      </c>
      <c r="G1" s="14" t="s">
        <v>60</v>
      </c>
      <c r="H1" s="14" t="s">
        <v>116</v>
      </c>
      <c r="I1" s="14" t="s">
        <v>60</v>
      </c>
      <c r="J1" s="14" t="s">
        <v>60</v>
      </c>
      <c r="K1" s="14" t="s">
        <v>172</v>
      </c>
      <c r="L1" s="14" t="s">
        <v>60</v>
      </c>
      <c r="M1" s="13" t="s">
        <v>60</v>
      </c>
    </row>
    <row r="2" spans="1:13" ht="45" customHeight="1" x14ac:dyDescent="0.3">
      <c r="A2" s="11" t="s">
        <v>59</v>
      </c>
      <c r="B2" s="10" t="s">
        <v>58</v>
      </c>
      <c r="C2" s="10" t="s">
        <v>57</v>
      </c>
      <c r="D2" s="10" t="s">
        <v>56</v>
      </c>
      <c r="E2" s="10" t="s">
        <v>114</v>
      </c>
      <c r="F2" s="10" t="s">
        <v>113</v>
      </c>
      <c r="G2" s="10" t="s">
        <v>112</v>
      </c>
      <c r="H2" s="10" t="s">
        <v>111</v>
      </c>
      <c r="I2" s="10" t="s">
        <v>110</v>
      </c>
      <c r="J2" s="10" t="s">
        <v>109</v>
      </c>
      <c r="K2" s="10" t="s">
        <v>171</v>
      </c>
      <c r="L2" s="10" t="s">
        <v>170</v>
      </c>
      <c r="M2" s="9" t="s">
        <v>169</v>
      </c>
    </row>
    <row r="3" spans="1:13" x14ac:dyDescent="0.3">
      <c r="A3" s="20" t="s">
        <v>1193</v>
      </c>
      <c r="B3" s="20" t="s">
        <v>1044</v>
      </c>
      <c r="C3" s="20" t="s">
        <v>1194</v>
      </c>
      <c r="D3" s="20" t="s">
        <v>746</v>
      </c>
      <c r="E3" s="20" t="s">
        <v>1195</v>
      </c>
      <c r="F3" s="20" t="s">
        <v>1196</v>
      </c>
      <c r="G3" s="20" t="s">
        <v>1197</v>
      </c>
      <c r="H3" s="20" t="s">
        <v>983</v>
      </c>
      <c r="I3" s="20" t="s">
        <v>1193</v>
      </c>
      <c r="J3" s="20" t="s">
        <v>1198</v>
      </c>
      <c r="K3" s="20" t="s">
        <v>846</v>
      </c>
      <c r="L3" s="20" t="s">
        <v>844</v>
      </c>
      <c r="M3" s="30" t="s">
        <v>844</v>
      </c>
    </row>
    <row r="4" spans="1:13" x14ac:dyDescent="0.3">
      <c r="A4" s="21" t="s">
        <v>1199</v>
      </c>
      <c r="B4" s="21" t="s">
        <v>744</v>
      </c>
      <c r="C4" s="21" t="s">
        <v>1200</v>
      </c>
      <c r="D4" s="21" t="s">
        <v>746</v>
      </c>
      <c r="E4" s="21" t="s">
        <v>1201</v>
      </c>
      <c r="F4" s="21" t="s">
        <v>1202</v>
      </c>
      <c r="G4" s="21" t="s">
        <v>1203</v>
      </c>
      <c r="H4" s="21" t="s">
        <v>1014</v>
      </c>
      <c r="I4" s="21" t="s">
        <v>1199</v>
      </c>
      <c r="J4" s="21" t="s">
        <v>1204</v>
      </c>
      <c r="K4" s="21" t="s">
        <v>753</v>
      </c>
      <c r="L4" s="21" t="s">
        <v>1205</v>
      </c>
      <c r="M4" s="31">
        <v>0.02</v>
      </c>
    </row>
    <row r="5" spans="1:13" x14ac:dyDescent="0.3">
      <c r="A5" s="21" t="s">
        <v>1206</v>
      </c>
      <c r="B5" s="21" t="s">
        <v>1054</v>
      </c>
      <c r="C5" s="21" t="s">
        <v>1207</v>
      </c>
      <c r="D5" s="21" t="s">
        <v>1066</v>
      </c>
      <c r="E5" s="21" t="s">
        <v>1208</v>
      </c>
      <c r="F5" s="21" t="s">
        <v>1057</v>
      </c>
      <c r="G5" s="21" t="s">
        <v>1209</v>
      </c>
      <c r="H5" s="21" t="s">
        <v>1059</v>
      </c>
      <c r="I5" s="21" t="s">
        <v>1210</v>
      </c>
      <c r="J5" s="21" t="s">
        <v>1211</v>
      </c>
      <c r="K5" s="21" t="s">
        <v>846</v>
      </c>
      <c r="L5" s="21" t="s">
        <v>844</v>
      </c>
      <c r="M5" s="31" t="s">
        <v>844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7BE2-AE02-483A-8E08-346018F84B82}">
  <dimension ref="A1:X22"/>
  <sheetViews>
    <sheetView workbookViewId="0">
      <pane ySplit="2" topLeftCell="A3" activePane="bottomLeft" state="frozen"/>
      <selection activeCell="B16" sqref="B16"/>
      <selection pane="bottomLeft" activeCell="B16" sqref="B16"/>
    </sheetView>
  </sheetViews>
  <sheetFormatPr defaultRowHeight="16.5" x14ac:dyDescent="0.3"/>
  <cols>
    <col min="1" max="24" width="18.375" customWidth="1"/>
  </cols>
  <sheetData>
    <row r="1" spans="1:24" s="12" customFormat="1" ht="30" customHeight="1" x14ac:dyDescent="0.3">
      <c r="A1" s="15" t="s">
        <v>198</v>
      </c>
      <c r="B1" s="14" t="s">
        <v>60</v>
      </c>
      <c r="C1" s="14" t="s">
        <v>60</v>
      </c>
      <c r="D1" s="14" t="s">
        <v>60</v>
      </c>
      <c r="E1" s="14" t="s">
        <v>60</v>
      </c>
      <c r="F1" s="14" t="s">
        <v>60</v>
      </c>
      <c r="G1" s="14" t="s">
        <v>60</v>
      </c>
      <c r="H1" s="14" t="s">
        <v>60</v>
      </c>
      <c r="I1" s="14" t="s">
        <v>60</v>
      </c>
      <c r="J1" s="14" t="s">
        <v>60</v>
      </c>
      <c r="K1" s="14" t="s">
        <v>60</v>
      </c>
      <c r="L1" s="14" t="s">
        <v>60</v>
      </c>
      <c r="M1" s="14" t="s">
        <v>60</v>
      </c>
      <c r="N1" s="14" t="s">
        <v>60</v>
      </c>
      <c r="O1" s="14" t="s">
        <v>60</v>
      </c>
      <c r="P1" s="14" t="s">
        <v>60</v>
      </c>
      <c r="Q1" s="14" t="s">
        <v>197</v>
      </c>
      <c r="R1" s="14" t="s">
        <v>60</v>
      </c>
      <c r="S1" s="14" t="s">
        <v>60</v>
      </c>
      <c r="T1" s="14" t="s">
        <v>60</v>
      </c>
      <c r="U1" s="14" t="s">
        <v>60</v>
      </c>
      <c r="V1" s="14" t="s">
        <v>60</v>
      </c>
      <c r="W1" s="14" t="s">
        <v>60</v>
      </c>
      <c r="X1" s="13" t="s">
        <v>60</v>
      </c>
    </row>
    <row r="2" spans="1:24" ht="45" customHeight="1" x14ac:dyDescent="0.3">
      <c r="A2" s="11" t="s">
        <v>196</v>
      </c>
      <c r="B2" s="10" t="s">
        <v>195</v>
      </c>
      <c r="C2" s="10" t="s">
        <v>194</v>
      </c>
      <c r="D2" s="10" t="s">
        <v>193</v>
      </c>
      <c r="E2" s="10" t="s">
        <v>192</v>
      </c>
      <c r="F2" s="10" t="s">
        <v>191</v>
      </c>
      <c r="G2" s="10" t="s">
        <v>190</v>
      </c>
      <c r="H2" s="10" t="s">
        <v>189</v>
      </c>
      <c r="I2" s="10" t="s">
        <v>188</v>
      </c>
      <c r="J2" s="10" t="s">
        <v>187</v>
      </c>
      <c r="K2" s="10" t="s">
        <v>186</v>
      </c>
      <c r="L2" s="10" t="s">
        <v>185</v>
      </c>
      <c r="M2" s="10" t="s">
        <v>184</v>
      </c>
      <c r="N2" s="10" t="s">
        <v>183</v>
      </c>
      <c r="O2" s="10" t="s">
        <v>182</v>
      </c>
      <c r="P2" s="10" t="s">
        <v>181</v>
      </c>
      <c r="Q2" s="10" t="s">
        <v>180</v>
      </c>
      <c r="R2" s="10" t="s">
        <v>179</v>
      </c>
      <c r="S2" s="10" t="s">
        <v>178</v>
      </c>
      <c r="T2" s="10" t="s">
        <v>177</v>
      </c>
      <c r="U2" s="10" t="s">
        <v>176</v>
      </c>
      <c r="V2" s="10" t="s">
        <v>175</v>
      </c>
      <c r="W2" s="10" t="s">
        <v>174</v>
      </c>
      <c r="X2" s="9" t="s">
        <v>173</v>
      </c>
    </row>
    <row r="3" spans="1:24" x14ac:dyDescent="0.3">
      <c r="A3" s="20" t="s">
        <v>1212</v>
      </c>
      <c r="B3" s="20" t="s">
        <v>1213</v>
      </c>
      <c r="C3" s="20" t="s">
        <v>1214</v>
      </c>
      <c r="D3" s="20" t="s">
        <v>1215</v>
      </c>
      <c r="E3" s="20" t="s">
        <v>1216</v>
      </c>
      <c r="F3" s="20" t="s">
        <v>1217</v>
      </c>
      <c r="G3" s="28">
        <v>41934</v>
      </c>
      <c r="H3" s="20" t="s">
        <v>1218</v>
      </c>
      <c r="I3" s="20" t="s">
        <v>1219</v>
      </c>
      <c r="J3" s="20" t="s">
        <v>1104</v>
      </c>
      <c r="K3" s="20" t="s">
        <v>1220</v>
      </c>
      <c r="L3" s="20">
        <v>2014</v>
      </c>
      <c r="M3" s="20" t="s">
        <v>1221</v>
      </c>
      <c r="N3" s="20" t="s">
        <v>1222</v>
      </c>
      <c r="O3" s="20" t="s">
        <v>1223</v>
      </c>
      <c r="P3" s="20" t="s">
        <v>767</v>
      </c>
      <c r="Q3" s="20" t="s">
        <v>1224</v>
      </c>
      <c r="R3" s="28">
        <v>46467</v>
      </c>
      <c r="S3" s="20" t="str">
        <f ca="1">IF(R3&lt;TODAY(),"Expired",IF(R3-TODAY()&lt;=30,"Expiring soon","Valid"))</f>
        <v>Valid</v>
      </c>
      <c r="T3" s="20" t="s">
        <v>1225</v>
      </c>
      <c r="U3" s="28">
        <v>46517</v>
      </c>
      <c r="V3" s="20" t="str">
        <f ca="1">IF(U3&lt;TODAY(),"Expired",IF(U3-TODAY()&lt;=30,"Expiring soon","Valid"))</f>
        <v>Valid</v>
      </c>
      <c r="W3" s="28">
        <v>46568</v>
      </c>
      <c r="X3" s="20" t="str">
        <f ca="1">IF(W3&lt;TODAY(),"Expired",IF(W3-TODAY()&lt;=30,"Expiring soon","Valid"))</f>
        <v>Valid</v>
      </c>
    </row>
    <row r="4" spans="1:24" x14ac:dyDescent="0.3">
      <c r="A4" s="21" t="s">
        <v>1226</v>
      </c>
      <c r="B4" s="21" t="s">
        <v>1213</v>
      </c>
      <c r="C4" s="21" t="s">
        <v>1214</v>
      </c>
      <c r="D4" s="21" t="s">
        <v>1215</v>
      </c>
      <c r="E4" s="21" t="s">
        <v>1227</v>
      </c>
      <c r="F4" s="21" t="s">
        <v>1217</v>
      </c>
      <c r="G4" s="29">
        <v>44553</v>
      </c>
      <c r="H4" s="21" t="s">
        <v>1228</v>
      </c>
      <c r="I4" s="21" t="s">
        <v>1219</v>
      </c>
      <c r="J4" s="21" t="s">
        <v>1127</v>
      </c>
      <c r="K4" s="21" t="s">
        <v>1229</v>
      </c>
      <c r="L4" s="21">
        <v>2021</v>
      </c>
      <c r="M4" s="21" t="s">
        <v>1230</v>
      </c>
      <c r="N4" s="21" t="s">
        <v>1231</v>
      </c>
      <c r="O4" s="21" t="s">
        <v>1232</v>
      </c>
      <c r="P4" s="21" t="s">
        <v>767</v>
      </c>
      <c r="Q4" s="21" t="s">
        <v>1233</v>
      </c>
      <c r="R4" s="29">
        <v>46644</v>
      </c>
      <c r="S4" s="21" t="str">
        <f ca="1">IF(R4&lt;TODAY(),"Expired",IF(R4-TODAY()&lt;=30,"Expiring soon","Valid"))</f>
        <v>Valid</v>
      </c>
      <c r="T4" s="21" t="s">
        <v>1234</v>
      </c>
      <c r="U4" s="29">
        <v>46315</v>
      </c>
      <c r="V4" s="21" t="str">
        <f ca="1">IF(U4&lt;TODAY(),"Expired",IF(U4-TODAY()&lt;=30,"Expiring soon","Valid"))</f>
        <v>Expiring soon</v>
      </c>
      <c r="W4" s="29">
        <v>46568</v>
      </c>
      <c r="X4" s="21" t="str">
        <f ca="1">IF(W4&lt;TODAY(),"Expired",IF(W4-TODAY()&lt;=30,"Expiring soon","Valid"))</f>
        <v>Valid</v>
      </c>
    </row>
    <row r="5" spans="1:24" x14ac:dyDescent="0.3">
      <c r="A5" s="21" t="s">
        <v>1235</v>
      </c>
      <c r="B5" s="21" t="s">
        <v>1213</v>
      </c>
      <c r="C5" s="21" t="s">
        <v>1214</v>
      </c>
      <c r="D5" s="21" t="s">
        <v>1215</v>
      </c>
      <c r="E5" s="21" t="s">
        <v>1236</v>
      </c>
      <c r="F5" s="21" t="s">
        <v>1217</v>
      </c>
      <c r="G5" s="29">
        <v>45021</v>
      </c>
      <c r="H5" s="21" t="s">
        <v>1237</v>
      </c>
      <c r="I5" s="21" t="s">
        <v>1219</v>
      </c>
      <c r="J5" s="21" t="s">
        <v>1127</v>
      </c>
      <c r="K5" s="21" t="s">
        <v>1238</v>
      </c>
      <c r="L5" s="21">
        <v>2023</v>
      </c>
      <c r="M5" s="21" t="s">
        <v>1239</v>
      </c>
      <c r="N5" s="21" t="s">
        <v>1240</v>
      </c>
      <c r="O5" s="21" t="s">
        <v>1223</v>
      </c>
      <c r="P5" s="21" t="s">
        <v>767</v>
      </c>
      <c r="Q5" s="21" t="s">
        <v>1241</v>
      </c>
      <c r="R5" s="29">
        <v>46531</v>
      </c>
      <c r="S5" s="21" t="str">
        <f ca="1">IF(R5&lt;TODAY(),"Expired",IF(R5-TODAY()&lt;=30,"Expiring soon","Valid"))</f>
        <v>Valid</v>
      </c>
      <c r="T5" s="21" t="s">
        <v>1242</v>
      </c>
      <c r="U5" s="29">
        <v>46280</v>
      </c>
      <c r="V5" s="21" t="str">
        <f ca="1">IF(U5&lt;TODAY(),"Expired",IF(U5-TODAY()&lt;=30,"Expiring soon","Valid"))</f>
        <v>Expired</v>
      </c>
      <c r="W5" s="29">
        <v>46568</v>
      </c>
      <c r="X5" s="21" t="str">
        <f ca="1">IF(W5&lt;TODAY(),"Expired",IF(W5-TODAY()&lt;=30,"Expiring soon","Valid"))</f>
        <v>Valid</v>
      </c>
    </row>
    <row r="6" spans="1:24" x14ac:dyDescent="0.3">
      <c r="A6" s="21" t="s">
        <v>1243</v>
      </c>
      <c r="B6" s="21" t="s">
        <v>1213</v>
      </c>
      <c r="C6" s="21" t="s">
        <v>1214</v>
      </c>
      <c r="D6" s="21" t="s">
        <v>1215</v>
      </c>
      <c r="E6" s="21" t="s">
        <v>1244</v>
      </c>
      <c r="F6" s="21" t="s">
        <v>1217</v>
      </c>
      <c r="G6" s="29">
        <v>44718</v>
      </c>
      <c r="H6" s="21" t="s">
        <v>1245</v>
      </c>
      <c r="I6" s="21" t="s">
        <v>1246</v>
      </c>
      <c r="J6" s="21" t="s">
        <v>1247</v>
      </c>
      <c r="K6" s="21" t="s">
        <v>1248</v>
      </c>
      <c r="L6" s="21">
        <v>2022</v>
      </c>
      <c r="M6" s="21" t="s">
        <v>1249</v>
      </c>
      <c r="N6" s="21" t="s">
        <v>1250</v>
      </c>
      <c r="O6" s="21" t="s">
        <v>1251</v>
      </c>
      <c r="P6" s="21" t="s">
        <v>767</v>
      </c>
      <c r="Q6" s="21" t="s">
        <v>1252</v>
      </c>
      <c r="R6" s="29">
        <v>46265</v>
      </c>
      <c r="S6" s="21" t="str">
        <f ca="1">IF(R6&lt;TODAY(),"Expired",IF(R6-TODAY()&lt;=30,"Expiring soon","Valid"))</f>
        <v>Expired</v>
      </c>
      <c r="T6" s="21" t="s">
        <v>1253</v>
      </c>
      <c r="U6" s="29">
        <v>46553</v>
      </c>
      <c r="V6" s="21" t="str">
        <f ca="1">IF(U6&lt;TODAY(),"Expired",IF(U6-TODAY()&lt;=30,"Expiring soon","Valid"))</f>
        <v>Valid</v>
      </c>
      <c r="W6" s="29">
        <v>46568</v>
      </c>
      <c r="X6" s="21" t="str">
        <f ca="1">IF(W6&lt;TODAY(),"Expired",IF(W6-TODAY()&lt;=30,"Expiring soon","Valid"))</f>
        <v>Valid</v>
      </c>
    </row>
    <row r="7" spans="1:24" x14ac:dyDescent="0.3">
      <c r="A7" s="21" t="s">
        <v>1254</v>
      </c>
      <c r="B7" s="21" t="s">
        <v>1213</v>
      </c>
      <c r="C7" s="21" t="s">
        <v>1214</v>
      </c>
      <c r="D7" s="21" t="s">
        <v>1215</v>
      </c>
      <c r="E7" s="21" t="s">
        <v>1255</v>
      </c>
      <c r="F7" s="21" t="s">
        <v>1217</v>
      </c>
      <c r="G7" s="29">
        <v>43664</v>
      </c>
      <c r="H7" s="21" t="s">
        <v>1256</v>
      </c>
      <c r="I7" s="21" t="s">
        <v>1219</v>
      </c>
      <c r="J7" s="21" t="s">
        <v>1104</v>
      </c>
      <c r="K7" s="21" t="s">
        <v>1220</v>
      </c>
      <c r="L7" s="21">
        <v>2019</v>
      </c>
      <c r="M7" s="21" t="s">
        <v>1257</v>
      </c>
      <c r="N7" s="21" t="s">
        <v>1258</v>
      </c>
      <c r="O7" s="21" t="s">
        <v>1223</v>
      </c>
      <c r="P7" s="21" t="s">
        <v>767</v>
      </c>
      <c r="Q7" s="21" t="s">
        <v>1259</v>
      </c>
      <c r="R7" s="29">
        <v>46488</v>
      </c>
      <c r="S7" s="21" t="str">
        <f ca="1">IF(R7&lt;TODAY(),"Expired",IF(R7-TODAY()&lt;=30,"Expiring soon","Valid"))</f>
        <v>Valid</v>
      </c>
      <c r="T7" s="21" t="s">
        <v>1260</v>
      </c>
      <c r="U7" s="29">
        <v>46487</v>
      </c>
      <c r="V7" s="21" t="str">
        <f ca="1">IF(U7&lt;TODAY(),"Expired",IF(U7-TODAY()&lt;=30,"Expiring soon","Valid"))</f>
        <v>Valid</v>
      </c>
      <c r="W7" s="29">
        <v>46203</v>
      </c>
      <c r="X7" s="21" t="str">
        <f ca="1">IF(W7&lt;TODAY(),"Expired",IF(W7-TODAY()&lt;=30,"Expiring soon","Valid"))</f>
        <v>Expired</v>
      </c>
    </row>
    <row r="8" spans="1:24" x14ac:dyDescent="0.3">
      <c r="A8" s="21" t="s">
        <v>1261</v>
      </c>
      <c r="B8" s="21" t="s">
        <v>1213</v>
      </c>
      <c r="C8" s="21" t="s">
        <v>1262</v>
      </c>
      <c r="D8" s="21" t="s">
        <v>1263</v>
      </c>
      <c r="E8" s="21" t="s">
        <v>1264</v>
      </c>
      <c r="F8" s="21" t="s">
        <v>1217</v>
      </c>
      <c r="G8" s="29">
        <v>43572</v>
      </c>
      <c r="H8" s="21" t="s">
        <v>1265</v>
      </c>
      <c r="I8" s="21" t="s">
        <v>1219</v>
      </c>
      <c r="J8" s="21" t="s">
        <v>1127</v>
      </c>
      <c r="K8" s="21" t="s">
        <v>1229</v>
      </c>
      <c r="L8" s="21">
        <v>2019</v>
      </c>
      <c r="M8" s="21" t="s">
        <v>1266</v>
      </c>
      <c r="N8" s="21" t="s">
        <v>1267</v>
      </c>
      <c r="O8" s="21" t="s">
        <v>1232</v>
      </c>
      <c r="P8" s="21" t="s">
        <v>767</v>
      </c>
      <c r="Q8" s="21" t="s">
        <v>1268</v>
      </c>
      <c r="R8" s="29">
        <v>46307</v>
      </c>
      <c r="S8" s="21" t="str">
        <f ca="1">IF(R8&lt;TODAY(),"Expired",IF(R8-TODAY()&lt;=30,"Expiring soon","Valid"))</f>
        <v>Expiring soon</v>
      </c>
      <c r="T8" s="21" t="s">
        <v>1269</v>
      </c>
      <c r="U8" s="29">
        <v>46642</v>
      </c>
      <c r="V8" s="21" t="str">
        <f ca="1">IF(U8&lt;TODAY(),"Expired",IF(U8-TODAY()&lt;=30,"Expiring soon","Valid"))</f>
        <v>Valid</v>
      </c>
      <c r="W8" s="29">
        <v>46568</v>
      </c>
      <c r="X8" s="21" t="str">
        <f ca="1">IF(W8&lt;TODAY(),"Expired",IF(W8-TODAY()&lt;=30,"Expiring soon","Valid"))</f>
        <v>Valid</v>
      </c>
    </row>
    <row r="9" spans="1:24" x14ac:dyDescent="0.3">
      <c r="A9" s="21" t="s">
        <v>1270</v>
      </c>
      <c r="B9" s="21" t="s">
        <v>1213</v>
      </c>
      <c r="C9" s="21" t="s">
        <v>1214</v>
      </c>
      <c r="D9" s="21" t="s">
        <v>1215</v>
      </c>
      <c r="E9" s="21" t="s">
        <v>1271</v>
      </c>
      <c r="F9" s="21" t="s">
        <v>1217</v>
      </c>
      <c r="G9" s="29">
        <v>44778</v>
      </c>
      <c r="H9" s="21" t="s">
        <v>1272</v>
      </c>
      <c r="I9" s="21" t="s">
        <v>1219</v>
      </c>
      <c r="J9" s="21" t="s">
        <v>1127</v>
      </c>
      <c r="K9" s="21" t="s">
        <v>1238</v>
      </c>
      <c r="L9" s="21">
        <v>2022</v>
      </c>
      <c r="M9" s="21" t="s">
        <v>1273</v>
      </c>
      <c r="N9" s="21" t="s">
        <v>1274</v>
      </c>
      <c r="O9" s="21" t="s">
        <v>1223</v>
      </c>
      <c r="P9" s="21" t="s">
        <v>767</v>
      </c>
      <c r="Q9" s="21" t="s">
        <v>1275</v>
      </c>
      <c r="R9" s="29">
        <v>46421</v>
      </c>
      <c r="S9" s="21" t="str">
        <f ca="1">IF(R9&lt;TODAY(),"Expired",IF(R9-TODAY()&lt;=30,"Expiring soon","Valid"))</f>
        <v>Valid</v>
      </c>
      <c r="T9" s="21" t="s">
        <v>1276</v>
      </c>
      <c r="U9" s="29">
        <v>46637</v>
      </c>
      <c r="V9" s="21" t="str">
        <f ca="1">IF(U9&lt;TODAY(),"Expired",IF(U9-TODAY()&lt;=30,"Expiring soon","Valid"))</f>
        <v>Valid</v>
      </c>
      <c r="W9" s="29">
        <v>46568</v>
      </c>
      <c r="X9" s="21" t="str">
        <f ca="1">IF(W9&lt;TODAY(),"Expired",IF(W9-TODAY()&lt;=30,"Expiring soon","Valid"))</f>
        <v>Valid</v>
      </c>
    </row>
    <row r="10" spans="1:24" x14ac:dyDescent="0.3">
      <c r="A10" s="21" t="s">
        <v>1277</v>
      </c>
      <c r="B10" s="21" t="s">
        <v>1278</v>
      </c>
      <c r="C10" s="21" t="s">
        <v>1214</v>
      </c>
      <c r="D10" s="21" t="s">
        <v>1279</v>
      </c>
      <c r="E10" s="21" t="s">
        <v>1280</v>
      </c>
      <c r="F10" s="21" t="s">
        <v>1217</v>
      </c>
      <c r="G10" s="29">
        <v>44579</v>
      </c>
      <c r="H10" s="21" t="s">
        <v>1281</v>
      </c>
      <c r="I10" s="21" t="s">
        <v>1246</v>
      </c>
      <c r="J10" s="21" t="s">
        <v>1247</v>
      </c>
      <c r="K10" s="21" t="s">
        <v>1248</v>
      </c>
      <c r="L10" s="21">
        <v>2022</v>
      </c>
      <c r="M10" s="21" t="s">
        <v>1282</v>
      </c>
      <c r="N10" s="21" t="s">
        <v>1283</v>
      </c>
      <c r="O10" s="21" t="s">
        <v>1232</v>
      </c>
      <c r="P10" s="21" t="s">
        <v>767</v>
      </c>
      <c r="Q10" s="21" t="s">
        <v>1284</v>
      </c>
      <c r="R10" s="29">
        <v>46478</v>
      </c>
      <c r="S10" s="21" t="str">
        <f ca="1">IF(R10&lt;TODAY(),"Expired",IF(R10-TODAY()&lt;=30,"Expiring soon","Valid"))</f>
        <v>Valid</v>
      </c>
      <c r="T10" s="21" t="s">
        <v>1285</v>
      </c>
      <c r="U10" s="29">
        <v>46449</v>
      </c>
      <c r="V10" s="21" t="str">
        <f ca="1">IF(U10&lt;TODAY(),"Expired",IF(U10-TODAY()&lt;=30,"Expiring soon","Valid"))</f>
        <v>Valid</v>
      </c>
      <c r="W10" s="29">
        <v>46568</v>
      </c>
      <c r="X10" s="21" t="str">
        <f ca="1">IF(W10&lt;TODAY(),"Expired",IF(W10-TODAY()&lt;=30,"Expiring soon","Valid"))</f>
        <v>Valid</v>
      </c>
    </row>
    <row r="11" spans="1:24" x14ac:dyDescent="0.3">
      <c r="A11" s="21" t="s">
        <v>1286</v>
      </c>
      <c r="B11" s="21" t="s">
        <v>1278</v>
      </c>
      <c r="C11" s="21" t="s">
        <v>1214</v>
      </c>
      <c r="D11" s="21" t="s">
        <v>1279</v>
      </c>
      <c r="E11" s="21" t="s">
        <v>1287</v>
      </c>
      <c r="F11" s="21" t="s">
        <v>1217</v>
      </c>
      <c r="G11" s="29">
        <v>42395</v>
      </c>
      <c r="H11" s="21" t="s">
        <v>1288</v>
      </c>
      <c r="I11" s="21" t="s">
        <v>1219</v>
      </c>
      <c r="J11" s="21" t="s">
        <v>1104</v>
      </c>
      <c r="K11" s="21" t="s">
        <v>1220</v>
      </c>
      <c r="L11" s="21">
        <v>2016</v>
      </c>
      <c r="M11" s="21" t="s">
        <v>1289</v>
      </c>
      <c r="N11" s="21" t="s">
        <v>1290</v>
      </c>
      <c r="O11" s="21" t="s">
        <v>1223</v>
      </c>
      <c r="P11" s="21" t="s">
        <v>767</v>
      </c>
      <c r="Q11" s="21" t="s">
        <v>1291</v>
      </c>
      <c r="R11" s="29">
        <v>46432</v>
      </c>
      <c r="S11" s="21" t="str">
        <f ca="1">IF(R11&lt;TODAY(),"Expired",IF(R11-TODAY()&lt;=30,"Expiring soon","Valid"))</f>
        <v>Valid</v>
      </c>
      <c r="T11" s="21" t="s">
        <v>1292</v>
      </c>
      <c r="U11" s="29">
        <v>46280</v>
      </c>
      <c r="V11" s="21" t="str">
        <f ca="1">IF(U11&lt;TODAY(),"Expired",IF(U11-TODAY()&lt;=30,"Expiring soon","Valid"))</f>
        <v>Expired</v>
      </c>
      <c r="W11" s="29">
        <v>46568</v>
      </c>
      <c r="X11" s="21" t="str">
        <f ca="1">IF(W11&lt;TODAY(),"Expired",IF(W11-TODAY()&lt;=30,"Expiring soon","Valid"))</f>
        <v>Valid</v>
      </c>
    </row>
    <row r="12" spans="1:24" x14ac:dyDescent="0.3">
      <c r="A12" s="21" t="s">
        <v>1293</v>
      </c>
      <c r="B12" s="21" t="s">
        <v>1278</v>
      </c>
      <c r="C12" s="21" t="s">
        <v>1214</v>
      </c>
      <c r="D12" s="21" t="s">
        <v>1279</v>
      </c>
      <c r="E12" s="21" t="s">
        <v>1294</v>
      </c>
      <c r="F12" s="21" t="s">
        <v>1217</v>
      </c>
      <c r="G12" s="29">
        <v>43648</v>
      </c>
      <c r="H12" s="21" t="s">
        <v>1295</v>
      </c>
      <c r="I12" s="21" t="s">
        <v>1219</v>
      </c>
      <c r="J12" s="21" t="s">
        <v>1127</v>
      </c>
      <c r="K12" s="21" t="s">
        <v>1229</v>
      </c>
      <c r="L12" s="21">
        <v>2019</v>
      </c>
      <c r="M12" s="21" t="s">
        <v>1296</v>
      </c>
      <c r="N12" s="21" t="s">
        <v>1297</v>
      </c>
      <c r="O12" s="21" t="s">
        <v>1298</v>
      </c>
      <c r="P12" s="21" t="s">
        <v>767</v>
      </c>
      <c r="Q12" s="21" t="s">
        <v>1299</v>
      </c>
      <c r="R12" s="29">
        <v>46452</v>
      </c>
      <c r="S12" s="21" t="str">
        <f ca="1">IF(R12&lt;TODAY(),"Expired",IF(R12-TODAY()&lt;=30,"Expiring soon","Valid"))</f>
        <v>Valid</v>
      </c>
      <c r="T12" s="21" t="s">
        <v>1300</v>
      </c>
      <c r="U12" s="29">
        <v>46315</v>
      </c>
      <c r="V12" s="21" t="str">
        <f ca="1">IF(U12&lt;TODAY(),"Expired",IF(U12-TODAY()&lt;=30,"Expiring soon","Valid"))</f>
        <v>Expiring soon</v>
      </c>
      <c r="W12" s="29">
        <v>46203</v>
      </c>
      <c r="X12" s="21" t="str">
        <f ca="1">IF(W12&lt;TODAY(),"Expired",IF(W12-TODAY()&lt;=30,"Expiring soon","Valid"))</f>
        <v>Expired</v>
      </c>
    </row>
    <row r="13" spans="1:24" x14ac:dyDescent="0.3">
      <c r="A13" s="21" t="s">
        <v>1301</v>
      </c>
      <c r="B13" s="21" t="s">
        <v>1278</v>
      </c>
      <c r="C13" s="21" t="s">
        <v>1214</v>
      </c>
      <c r="D13" s="21" t="s">
        <v>1279</v>
      </c>
      <c r="E13" s="21" t="s">
        <v>1302</v>
      </c>
      <c r="F13" s="21" t="s">
        <v>1217</v>
      </c>
      <c r="G13" s="29">
        <v>45255</v>
      </c>
      <c r="H13" s="21" t="s">
        <v>1303</v>
      </c>
      <c r="I13" s="21" t="s">
        <v>1219</v>
      </c>
      <c r="J13" s="21" t="s">
        <v>1127</v>
      </c>
      <c r="K13" s="21" t="s">
        <v>1238</v>
      </c>
      <c r="L13" s="21">
        <v>2023</v>
      </c>
      <c r="M13" s="21" t="s">
        <v>1304</v>
      </c>
      <c r="N13" s="21" t="s">
        <v>1305</v>
      </c>
      <c r="O13" s="21" t="s">
        <v>1298</v>
      </c>
      <c r="P13" s="21" t="s">
        <v>767</v>
      </c>
      <c r="Q13" s="21" t="s">
        <v>1306</v>
      </c>
      <c r="R13" s="29">
        <v>46265</v>
      </c>
      <c r="S13" s="21" t="str">
        <f ca="1">IF(R13&lt;TODAY(),"Expired",IF(R13-TODAY()&lt;=30,"Expiring soon","Valid"))</f>
        <v>Expired</v>
      </c>
      <c r="T13" s="21" t="s">
        <v>1307</v>
      </c>
      <c r="U13" s="29">
        <v>46632</v>
      </c>
      <c r="V13" s="21" t="str">
        <f ca="1">IF(U13&lt;TODAY(),"Expired",IF(U13-TODAY()&lt;=30,"Expiring soon","Valid"))</f>
        <v>Valid</v>
      </c>
      <c r="W13" s="29">
        <v>46568</v>
      </c>
      <c r="X13" s="21" t="str">
        <f ca="1">IF(W13&lt;TODAY(),"Expired",IF(W13-TODAY()&lt;=30,"Expiring soon","Valid"))</f>
        <v>Valid</v>
      </c>
    </row>
    <row r="14" spans="1:24" x14ac:dyDescent="0.3">
      <c r="A14" s="21" t="s">
        <v>1308</v>
      </c>
      <c r="B14" s="21" t="s">
        <v>1278</v>
      </c>
      <c r="C14" s="21" t="s">
        <v>1262</v>
      </c>
      <c r="D14" s="21" t="s">
        <v>1309</v>
      </c>
      <c r="E14" s="21" t="s">
        <v>1310</v>
      </c>
      <c r="F14" s="21" t="s">
        <v>1217</v>
      </c>
      <c r="G14" s="29">
        <v>44814</v>
      </c>
      <c r="H14" s="21" t="s">
        <v>1311</v>
      </c>
      <c r="I14" s="21" t="s">
        <v>1246</v>
      </c>
      <c r="J14" s="21" t="s">
        <v>1247</v>
      </c>
      <c r="K14" s="21" t="s">
        <v>1248</v>
      </c>
      <c r="L14" s="21">
        <v>2022</v>
      </c>
      <c r="M14" s="21" t="s">
        <v>1312</v>
      </c>
      <c r="N14" s="21" t="s">
        <v>1313</v>
      </c>
      <c r="O14" s="21" t="s">
        <v>1251</v>
      </c>
      <c r="P14" s="21" t="s">
        <v>767</v>
      </c>
      <c r="Q14" s="21" t="s">
        <v>1314</v>
      </c>
      <c r="R14" s="29">
        <v>46532</v>
      </c>
      <c r="S14" s="21" t="str">
        <f ca="1">IF(R14&lt;TODAY(),"Expired",IF(R14-TODAY()&lt;=30,"Expiring soon","Valid"))</f>
        <v>Valid</v>
      </c>
      <c r="T14" s="21" t="s">
        <v>1315</v>
      </c>
      <c r="U14" s="29">
        <v>46548</v>
      </c>
      <c r="V14" s="21" t="str">
        <f ca="1">IF(U14&lt;TODAY(),"Expired",IF(U14-TODAY()&lt;=30,"Expiring soon","Valid"))</f>
        <v>Valid</v>
      </c>
      <c r="W14" s="29">
        <v>46568</v>
      </c>
      <c r="X14" s="21" t="str">
        <f ca="1">IF(W14&lt;TODAY(),"Expired",IF(W14-TODAY()&lt;=30,"Expiring soon","Valid"))</f>
        <v>Valid</v>
      </c>
    </row>
    <row r="15" spans="1:24" x14ac:dyDescent="0.3">
      <c r="A15" s="21" t="s">
        <v>1316</v>
      </c>
      <c r="B15" s="21" t="s">
        <v>1278</v>
      </c>
      <c r="C15" s="21" t="s">
        <v>1214</v>
      </c>
      <c r="D15" s="21" t="s">
        <v>1279</v>
      </c>
      <c r="E15" s="21" t="s">
        <v>1317</v>
      </c>
      <c r="F15" s="21" t="s">
        <v>1217</v>
      </c>
      <c r="G15" s="29">
        <v>44034</v>
      </c>
      <c r="H15" s="21" t="s">
        <v>1318</v>
      </c>
      <c r="I15" s="21" t="s">
        <v>1219</v>
      </c>
      <c r="J15" s="21" t="s">
        <v>1104</v>
      </c>
      <c r="K15" s="21" t="s">
        <v>1220</v>
      </c>
      <c r="L15" s="21">
        <v>2020</v>
      </c>
      <c r="M15" s="21" t="s">
        <v>1319</v>
      </c>
      <c r="N15" s="21" t="s">
        <v>1320</v>
      </c>
      <c r="O15" s="21" t="s">
        <v>1298</v>
      </c>
      <c r="P15" s="21" t="s">
        <v>767</v>
      </c>
      <c r="Q15" s="21" t="s">
        <v>1321</v>
      </c>
      <c r="R15" s="29">
        <v>46465</v>
      </c>
      <c r="S15" s="21" t="str">
        <f ca="1">IF(R15&lt;TODAY(),"Expired",IF(R15-TODAY()&lt;=30,"Expiring soon","Valid"))</f>
        <v>Valid</v>
      </c>
      <c r="T15" s="21" t="s">
        <v>1322</v>
      </c>
      <c r="U15" s="29">
        <v>46432</v>
      </c>
      <c r="V15" s="21" t="str">
        <f ca="1">IF(U15&lt;TODAY(),"Expired",IF(U15-TODAY()&lt;=30,"Expiring soon","Valid"))</f>
        <v>Valid</v>
      </c>
      <c r="W15" s="29">
        <v>46568</v>
      </c>
      <c r="X15" s="21" t="str">
        <f ca="1">IF(W15&lt;TODAY(),"Expired",IF(W15-TODAY()&lt;=30,"Expiring soon","Valid"))</f>
        <v>Valid</v>
      </c>
    </row>
    <row r="16" spans="1:24" x14ac:dyDescent="0.3">
      <c r="A16" s="21" t="s">
        <v>1323</v>
      </c>
      <c r="B16" s="21" t="s">
        <v>1278</v>
      </c>
      <c r="C16" s="21" t="s">
        <v>1214</v>
      </c>
      <c r="D16" s="21" t="s">
        <v>1279</v>
      </c>
      <c r="E16" s="21" t="s">
        <v>1324</v>
      </c>
      <c r="F16" s="21" t="s">
        <v>1217</v>
      </c>
      <c r="G16" s="29">
        <v>43571</v>
      </c>
      <c r="H16" s="21" t="s">
        <v>1325</v>
      </c>
      <c r="I16" s="21" t="s">
        <v>1219</v>
      </c>
      <c r="J16" s="21" t="s">
        <v>1127</v>
      </c>
      <c r="K16" s="21" t="s">
        <v>1229</v>
      </c>
      <c r="L16" s="21">
        <v>2019</v>
      </c>
      <c r="M16" s="21" t="s">
        <v>1326</v>
      </c>
      <c r="N16" s="21" t="s">
        <v>1327</v>
      </c>
      <c r="O16" s="21" t="s">
        <v>1251</v>
      </c>
      <c r="P16" s="21" t="s">
        <v>1328</v>
      </c>
      <c r="Q16" s="21" t="s">
        <v>1329</v>
      </c>
      <c r="R16" s="29">
        <v>46671</v>
      </c>
      <c r="S16" s="21" t="str">
        <f ca="1">IF(R16&lt;TODAY(),"Expired",IF(R16-TODAY()&lt;=30,"Expiring soon","Valid"))</f>
        <v>Valid</v>
      </c>
      <c r="T16" s="21" t="s">
        <v>1330</v>
      </c>
      <c r="U16" s="29">
        <v>46569</v>
      </c>
      <c r="V16" s="21" t="str">
        <f ca="1">IF(U16&lt;TODAY(),"Expired",IF(U16-TODAY()&lt;=30,"Expiring soon","Valid"))</f>
        <v>Valid</v>
      </c>
      <c r="W16" s="29">
        <v>46568</v>
      </c>
      <c r="X16" s="21" t="str">
        <f ca="1">IF(W16&lt;TODAY(),"Expired",IF(W16-TODAY()&lt;=30,"Expiring soon","Valid"))</f>
        <v>Valid</v>
      </c>
    </row>
    <row r="17" spans="1:24" x14ac:dyDescent="0.3">
      <c r="A17" s="21" t="s">
        <v>1331</v>
      </c>
      <c r="B17" s="21" t="s">
        <v>1278</v>
      </c>
      <c r="C17" s="21" t="s">
        <v>1214</v>
      </c>
      <c r="D17" s="21" t="s">
        <v>1279</v>
      </c>
      <c r="E17" s="21" t="s">
        <v>1332</v>
      </c>
      <c r="F17" s="21" t="s">
        <v>1217</v>
      </c>
      <c r="G17" s="29">
        <v>41969</v>
      </c>
      <c r="H17" s="21" t="s">
        <v>1333</v>
      </c>
      <c r="I17" s="21" t="s">
        <v>1219</v>
      </c>
      <c r="J17" s="21" t="s">
        <v>1127</v>
      </c>
      <c r="K17" s="21" t="s">
        <v>1238</v>
      </c>
      <c r="L17" s="21">
        <v>2014</v>
      </c>
      <c r="M17" s="21" t="s">
        <v>1334</v>
      </c>
      <c r="N17" s="21" t="s">
        <v>1335</v>
      </c>
      <c r="O17" s="21" t="s">
        <v>1232</v>
      </c>
      <c r="P17" s="21" t="s">
        <v>767</v>
      </c>
      <c r="Q17" s="21" t="s">
        <v>1336</v>
      </c>
      <c r="R17" s="29">
        <v>46307</v>
      </c>
      <c r="S17" s="21" t="str">
        <f ca="1">IF(R17&lt;TODAY(),"Expired",IF(R17-TODAY()&lt;=30,"Expiring soon","Valid"))</f>
        <v>Expiring soon</v>
      </c>
      <c r="T17" s="21" t="s">
        <v>1337</v>
      </c>
      <c r="U17" s="29">
        <v>46280</v>
      </c>
      <c r="V17" s="21" t="str">
        <f ca="1">IF(U17&lt;TODAY(),"Expired",IF(U17-TODAY()&lt;=30,"Expiring soon","Valid"))</f>
        <v>Expired</v>
      </c>
      <c r="W17" s="29">
        <v>46203</v>
      </c>
      <c r="X17" s="21" t="str">
        <f ca="1">IF(W17&lt;TODAY(),"Expired",IF(W17-TODAY()&lt;=30,"Expiring soon","Valid"))</f>
        <v>Expired</v>
      </c>
    </row>
    <row r="18" spans="1:24" x14ac:dyDescent="0.3">
      <c r="A18" s="21" t="s">
        <v>1338</v>
      </c>
      <c r="B18" s="21" t="s">
        <v>1339</v>
      </c>
      <c r="C18" s="21" t="s">
        <v>1214</v>
      </c>
      <c r="D18" s="21" t="s">
        <v>1340</v>
      </c>
      <c r="E18" s="21" t="s">
        <v>1341</v>
      </c>
      <c r="F18" s="21" t="s">
        <v>1217</v>
      </c>
      <c r="G18" s="29">
        <v>44800</v>
      </c>
      <c r="H18" s="21" t="s">
        <v>1342</v>
      </c>
      <c r="I18" s="21" t="s">
        <v>1219</v>
      </c>
      <c r="J18" s="21" t="s">
        <v>1343</v>
      </c>
      <c r="K18" s="21" t="s">
        <v>1344</v>
      </c>
      <c r="L18" s="21">
        <v>2022</v>
      </c>
      <c r="M18" s="21" t="s">
        <v>1345</v>
      </c>
      <c r="N18" s="21" t="s">
        <v>1346</v>
      </c>
      <c r="O18" s="21" t="s">
        <v>1232</v>
      </c>
      <c r="P18" s="21" t="s">
        <v>767</v>
      </c>
      <c r="Q18" s="21" t="s">
        <v>1347</v>
      </c>
      <c r="R18" s="29">
        <v>46391</v>
      </c>
      <c r="S18" s="21" t="str">
        <f ca="1">IF(R18&lt;TODAY(),"Expired",IF(R18-TODAY()&lt;=30,"Expiring soon","Valid"))</f>
        <v>Valid</v>
      </c>
      <c r="T18" s="21" t="s">
        <v>1348</v>
      </c>
      <c r="U18" s="29">
        <v>46388</v>
      </c>
      <c r="V18" s="21" t="str">
        <f ca="1">IF(U18&lt;TODAY(),"Expired",IF(U18-TODAY()&lt;=30,"Expiring soon","Valid"))</f>
        <v>Valid</v>
      </c>
      <c r="W18" s="29">
        <v>46568</v>
      </c>
      <c r="X18" s="21" t="str">
        <f ca="1">IF(W18&lt;TODAY(),"Expired",IF(W18-TODAY()&lt;=30,"Expiring soon","Valid"))</f>
        <v>Valid</v>
      </c>
    </row>
    <row r="19" spans="1:24" x14ac:dyDescent="0.3">
      <c r="A19" s="21" t="s">
        <v>1349</v>
      </c>
      <c r="B19" s="21" t="s">
        <v>1339</v>
      </c>
      <c r="C19" s="21" t="s">
        <v>1214</v>
      </c>
      <c r="D19" s="21" t="s">
        <v>1340</v>
      </c>
      <c r="E19" s="21" t="s">
        <v>1350</v>
      </c>
      <c r="F19" s="21" t="s">
        <v>1217</v>
      </c>
      <c r="G19" s="29">
        <v>45008</v>
      </c>
      <c r="H19" s="21" t="s">
        <v>1351</v>
      </c>
      <c r="I19" s="21" t="s">
        <v>1219</v>
      </c>
      <c r="J19" s="21" t="s">
        <v>1352</v>
      </c>
      <c r="K19" s="21" t="s">
        <v>1353</v>
      </c>
      <c r="L19" s="21">
        <v>2023</v>
      </c>
      <c r="M19" s="21" t="s">
        <v>1354</v>
      </c>
      <c r="N19" s="21" t="s">
        <v>1355</v>
      </c>
      <c r="O19" s="21" t="s">
        <v>1298</v>
      </c>
      <c r="P19" s="21" t="s">
        <v>767</v>
      </c>
      <c r="Q19" s="21" t="s">
        <v>1356</v>
      </c>
      <c r="R19" s="29">
        <v>46672</v>
      </c>
      <c r="S19" s="21" t="str">
        <f ca="1">IF(R19&lt;TODAY(),"Expired",IF(R19-TODAY()&lt;=30,"Expiring soon","Valid"))</f>
        <v>Valid</v>
      </c>
      <c r="T19" s="21" t="s">
        <v>1357</v>
      </c>
      <c r="U19" s="29">
        <v>46479</v>
      </c>
      <c r="V19" s="21" t="str">
        <f ca="1">IF(U19&lt;TODAY(),"Expired",IF(U19-TODAY()&lt;=30,"Expiring soon","Valid"))</f>
        <v>Valid</v>
      </c>
      <c r="W19" s="29">
        <v>46568</v>
      </c>
      <c r="X19" s="21" t="str">
        <f ca="1">IF(W19&lt;TODAY(),"Expired",IF(W19-TODAY()&lt;=30,"Expiring soon","Valid"))</f>
        <v>Valid</v>
      </c>
    </row>
    <row r="20" spans="1:24" x14ac:dyDescent="0.3">
      <c r="A20" s="21" t="s">
        <v>1358</v>
      </c>
      <c r="B20" s="21" t="s">
        <v>1339</v>
      </c>
      <c r="C20" s="21" t="s">
        <v>1262</v>
      </c>
      <c r="D20" s="21" t="s">
        <v>1359</v>
      </c>
      <c r="E20" s="21" t="s">
        <v>1360</v>
      </c>
      <c r="F20" s="21" t="s">
        <v>1217</v>
      </c>
      <c r="G20" s="29">
        <v>44059</v>
      </c>
      <c r="H20" s="21" t="s">
        <v>1361</v>
      </c>
      <c r="I20" s="21" t="s">
        <v>1219</v>
      </c>
      <c r="J20" s="21" t="s">
        <v>1343</v>
      </c>
      <c r="K20" s="21" t="s">
        <v>1344</v>
      </c>
      <c r="L20" s="21">
        <v>2020</v>
      </c>
      <c r="M20" s="21" t="s">
        <v>1362</v>
      </c>
      <c r="N20" s="21" t="s">
        <v>1363</v>
      </c>
      <c r="O20" s="21" t="s">
        <v>1298</v>
      </c>
      <c r="P20" s="21" t="s">
        <v>767</v>
      </c>
      <c r="Q20" s="21" t="s">
        <v>1364</v>
      </c>
      <c r="R20" s="29">
        <v>46265</v>
      </c>
      <c r="S20" s="21" t="str">
        <f ca="1">IF(R20&lt;TODAY(),"Expired",IF(R20-TODAY()&lt;=30,"Expiring soon","Valid"))</f>
        <v>Expired</v>
      </c>
      <c r="T20" s="21" t="s">
        <v>1365</v>
      </c>
      <c r="U20" s="29">
        <v>46315</v>
      </c>
      <c r="V20" s="21" t="str">
        <f ca="1">IF(U20&lt;TODAY(),"Expired",IF(U20-TODAY()&lt;=30,"Expiring soon","Valid"))</f>
        <v>Expiring soon</v>
      </c>
      <c r="W20" s="29">
        <v>46568</v>
      </c>
      <c r="X20" s="21" t="str">
        <f ca="1">IF(W20&lt;TODAY(),"Expired",IF(W20-TODAY()&lt;=30,"Expiring soon","Valid"))</f>
        <v>Valid</v>
      </c>
    </row>
    <row r="21" spans="1:24" x14ac:dyDescent="0.3">
      <c r="A21" s="21" t="s">
        <v>1366</v>
      </c>
      <c r="B21" s="21" t="s">
        <v>1339</v>
      </c>
      <c r="C21" s="21" t="s">
        <v>1214</v>
      </c>
      <c r="D21" s="21" t="s">
        <v>1340</v>
      </c>
      <c r="E21" s="21" t="s">
        <v>1367</v>
      </c>
      <c r="F21" s="21" t="s">
        <v>1217</v>
      </c>
      <c r="G21" s="29">
        <v>41814</v>
      </c>
      <c r="H21" s="21" t="s">
        <v>1368</v>
      </c>
      <c r="I21" s="21" t="s">
        <v>1219</v>
      </c>
      <c r="J21" s="21" t="s">
        <v>1352</v>
      </c>
      <c r="K21" s="21" t="s">
        <v>1353</v>
      </c>
      <c r="L21" s="21">
        <v>2014</v>
      </c>
      <c r="M21" s="21" t="s">
        <v>1369</v>
      </c>
      <c r="N21" s="21" t="s">
        <v>1370</v>
      </c>
      <c r="O21" s="21" t="s">
        <v>1298</v>
      </c>
      <c r="P21" s="21" t="s">
        <v>767</v>
      </c>
      <c r="Q21" s="21" t="s">
        <v>1371</v>
      </c>
      <c r="R21" s="29">
        <v>46472</v>
      </c>
      <c r="S21" s="21" t="str">
        <f ca="1">IF(R21&lt;TODAY(),"Expired",IF(R21-TODAY()&lt;=30,"Expiring soon","Valid"))</f>
        <v>Valid</v>
      </c>
      <c r="T21" s="21" t="s">
        <v>1372</v>
      </c>
      <c r="U21" s="29">
        <v>46590</v>
      </c>
      <c r="V21" s="21" t="str">
        <f ca="1">IF(U21&lt;TODAY(),"Expired",IF(U21-TODAY()&lt;=30,"Expiring soon","Valid"))</f>
        <v>Valid</v>
      </c>
      <c r="W21" s="29">
        <v>46568</v>
      </c>
      <c r="X21" s="21" t="str">
        <f ca="1">IF(W21&lt;TODAY(),"Expired",IF(W21-TODAY()&lt;=30,"Expiring soon","Valid"))</f>
        <v>Valid</v>
      </c>
    </row>
    <row r="22" spans="1:24" x14ac:dyDescent="0.3">
      <c r="A22" s="21" t="s">
        <v>1373</v>
      </c>
      <c r="B22" s="21" t="s">
        <v>1339</v>
      </c>
      <c r="C22" s="21" t="s">
        <v>1214</v>
      </c>
      <c r="D22" s="21" t="s">
        <v>1340</v>
      </c>
      <c r="E22" s="21" t="s">
        <v>1374</v>
      </c>
      <c r="F22" s="21" t="s">
        <v>1217</v>
      </c>
      <c r="G22" s="29">
        <v>43428</v>
      </c>
      <c r="H22" s="21" t="s">
        <v>1375</v>
      </c>
      <c r="I22" s="21" t="s">
        <v>1219</v>
      </c>
      <c r="J22" s="21" t="s">
        <v>1343</v>
      </c>
      <c r="K22" s="21" t="s">
        <v>1344</v>
      </c>
      <c r="L22" s="21">
        <v>2018</v>
      </c>
      <c r="M22" s="21" t="s">
        <v>1376</v>
      </c>
      <c r="N22" s="21" t="s">
        <v>1377</v>
      </c>
      <c r="O22" s="21" t="s">
        <v>1223</v>
      </c>
      <c r="P22" s="21" t="s">
        <v>808</v>
      </c>
      <c r="Q22" s="21" t="s">
        <v>1378</v>
      </c>
      <c r="R22" s="29">
        <v>46649</v>
      </c>
      <c r="S22" s="21" t="str">
        <f ca="1">IF(R22&lt;TODAY(),"Expired",IF(R22-TODAY()&lt;=30,"Expiring soon","Valid"))</f>
        <v>Valid</v>
      </c>
      <c r="T22" s="21" t="s">
        <v>1379</v>
      </c>
      <c r="U22" s="29">
        <v>46559</v>
      </c>
      <c r="V22" s="21" t="str">
        <f ca="1">IF(U22&lt;TODAY(),"Expired",IF(U22-TODAY()&lt;=30,"Expiring soon","Valid"))</f>
        <v>Valid</v>
      </c>
      <c r="W22" s="29">
        <v>46203</v>
      </c>
      <c r="X22" s="21" t="str">
        <f ca="1">IF(W22&lt;TODAY(),"Expired",IF(W22-TODAY()&lt;=30,"Expiring soon","Valid"))</f>
        <v>Expired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20236-3D29-4132-9AFA-6935378F7C8B}">
  <dimension ref="A1:BQ27"/>
  <sheetViews>
    <sheetView workbookViewId="0">
      <pane ySplit="2" topLeftCell="A3" activePane="bottomLeft" state="frozen"/>
      <selection activeCell="B16" sqref="B16"/>
      <selection pane="bottomLeft" activeCell="B16" sqref="B16"/>
    </sheetView>
  </sheetViews>
  <sheetFormatPr defaultRowHeight="16.5" x14ac:dyDescent="0.3"/>
  <cols>
    <col min="1" max="69" width="18.375" customWidth="1"/>
  </cols>
  <sheetData>
    <row r="1" spans="1:69" s="12" customFormat="1" ht="30" customHeight="1" x14ac:dyDescent="0.3">
      <c r="A1" s="15" t="s">
        <v>276</v>
      </c>
      <c r="B1" s="14" t="s">
        <v>60</v>
      </c>
      <c r="C1" s="14" t="s">
        <v>60</v>
      </c>
      <c r="D1" s="14" t="s">
        <v>60</v>
      </c>
      <c r="E1" s="14" t="s">
        <v>60</v>
      </c>
      <c r="F1" s="14" t="s">
        <v>60</v>
      </c>
      <c r="G1" s="14" t="s">
        <v>60</v>
      </c>
      <c r="H1" s="14" t="s">
        <v>60</v>
      </c>
      <c r="I1" s="14" t="s">
        <v>60</v>
      </c>
      <c r="J1" s="14" t="s">
        <v>60</v>
      </c>
      <c r="K1" s="14" t="s">
        <v>60</v>
      </c>
      <c r="L1" s="14" t="s">
        <v>60</v>
      </c>
      <c r="M1" s="14" t="s">
        <v>275</v>
      </c>
      <c r="N1" s="14" t="s">
        <v>60</v>
      </c>
      <c r="O1" s="14" t="s">
        <v>60</v>
      </c>
      <c r="P1" s="14" t="s">
        <v>60</v>
      </c>
      <c r="Q1" s="14" t="s">
        <v>60</v>
      </c>
      <c r="R1" s="14" t="s">
        <v>60</v>
      </c>
      <c r="S1" s="14" t="s">
        <v>60</v>
      </c>
      <c r="T1" s="14" t="s">
        <v>60</v>
      </c>
      <c r="U1" s="14" t="s">
        <v>60</v>
      </c>
      <c r="V1" s="14" t="s">
        <v>274</v>
      </c>
      <c r="W1" s="14" t="s">
        <v>60</v>
      </c>
      <c r="X1" s="14" t="s">
        <v>60</v>
      </c>
      <c r="Y1" s="14" t="s">
        <v>60</v>
      </c>
      <c r="Z1" s="14" t="s">
        <v>60</v>
      </c>
      <c r="AA1" s="14" t="s">
        <v>60</v>
      </c>
      <c r="AB1" s="14" t="s">
        <v>60</v>
      </c>
      <c r="AC1" s="14" t="s">
        <v>60</v>
      </c>
      <c r="AD1" s="14" t="s">
        <v>60</v>
      </c>
      <c r="AE1" s="14" t="s">
        <v>273</v>
      </c>
      <c r="AF1" s="14" t="s">
        <v>60</v>
      </c>
      <c r="AG1" s="14" t="s">
        <v>60</v>
      </c>
      <c r="AH1" s="14" t="s">
        <v>60</v>
      </c>
      <c r="AI1" s="14" t="s">
        <v>60</v>
      </c>
      <c r="AJ1" s="14" t="s">
        <v>60</v>
      </c>
      <c r="AK1" s="14" t="s">
        <v>60</v>
      </c>
      <c r="AL1" s="14" t="s">
        <v>272</v>
      </c>
      <c r="AM1" s="14" t="s">
        <v>60</v>
      </c>
      <c r="AN1" s="14" t="s">
        <v>60</v>
      </c>
      <c r="AO1" s="14" t="s">
        <v>60</v>
      </c>
      <c r="AP1" s="14" t="s">
        <v>60</v>
      </c>
      <c r="AQ1" s="14" t="s">
        <v>60</v>
      </c>
      <c r="AR1" s="14" t="s">
        <v>271</v>
      </c>
      <c r="AS1" s="14" t="s">
        <v>60</v>
      </c>
      <c r="AT1" s="14" t="s">
        <v>60</v>
      </c>
      <c r="AU1" s="14" t="s">
        <v>60</v>
      </c>
      <c r="AV1" s="14" t="s">
        <v>60</v>
      </c>
      <c r="AW1" s="14" t="s">
        <v>270</v>
      </c>
      <c r="AX1" s="14" t="s">
        <v>60</v>
      </c>
      <c r="AY1" s="14" t="s">
        <v>60</v>
      </c>
      <c r="AZ1" s="14" t="s">
        <v>269</v>
      </c>
      <c r="BA1" s="14" t="s">
        <v>60</v>
      </c>
      <c r="BB1" s="14" t="s">
        <v>60</v>
      </c>
      <c r="BC1" s="14" t="s">
        <v>60</v>
      </c>
      <c r="BD1" s="14" t="s">
        <v>60</v>
      </c>
      <c r="BE1" s="14" t="s">
        <v>60</v>
      </c>
      <c r="BF1" s="14" t="s">
        <v>60</v>
      </c>
      <c r="BG1" s="14" t="s">
        <v>268</v>
      </c>
      <c r="BH1" s="14" t="s">
        <v>60</v>
      </c>
      <c r="BI1" s="14" t="s">
        <v>60</v>
      </c>
      <c r="BJ1" s="14" t="s">
        <v>60</v>
      </c>
      <c r="BK1" s="14" t="s">
        <v>60</v>
      </c>
      <c r="BL1" s="14" t="s">
        <v>60</v>
      </c>
      <c r="BM1" s="14" t="s">
        <v>60</v>
      </c>
      <c r="BN1" s="14" t="s">
        <v>60</v>
      </c>
      <c r="BO1" s="14" t="s">
        <v>60</v>
      </c>
      <c r="BP1" s="14" t="s">
        <v>60</v>
      </c>
      <c r="BQ1" s="13" t="s">
        <v>60</v>
      </c>
    </row>
    <row r="2" spans="1:69" ht="45" customHeight="1" x14ac:dyDescent="0.3">
      <c r="A2" s="11" t="s">
        <v>267</v>
      </c>
      <c r="B2" s="10" t="s">
        <v>266</v>
      </c>
      <c r="C2" s="10" t="s">
        <v>265</v>
      </c>
      <c r="D2" s="10" t="s">
        <v>264</v>
      </c>
      <c r="E2" s="10" t="s">
        <v>263</v>
      </c>
      <c r="F2" s="10" t="s">
        <v>262</v>
      </c>
      <c r="G2" s="10" t="s">
        <v>261</v>
      </c>
      <c r="H2" s="10" t="s">
        <v>260</v>
      </c>
      <c r="I2" s="10" t="s">
        <v>259</v>
      </c>
      <c r="J2" s="10" t="s">
        <v>258</v>
      </c>
      <c r="K2" s="10" t="s">
        <v>257</v>
      </c>
      <c r="L2" s="10" t="s">
        <v>256</v>
      </c>
      <c r="M2" s="10" t="s">
        <v>255</v>
      </c>
      <c r="N2" s="10" t="s">
        <v>254</v>
      </c>
      <c r="O2" s="10" t="s">
        <v>253</v>
      </c>
      <c r="P2" s="10" t="s">
        <v>252</v>
      </c>
      <c r="Q2" s="10" t="s">
        <v>251</v>
      </c>
      <c r="R2" s="10" t="s">
        <v>250</v>
      </c>
      <c r="S2" s="10" t="s">
        <v>249</v>
      </c>
      <c r="T2" s="10" t="s">
        <v>248</v>
      </c>
      <c r="U2" s="10" t="s">
        <v>247</v>
      </c>
      <c r="V2" s="10" t="s">
        <v>246</v>
      </c>
      <c r="W2" s="10" t="s">
        <v>245</v>
      </c>
      <c r="X2" s="10" t="s">
        <v>244</v>
      </c>
      <c r="Y2" s="10" t="s">
        <v>243</v>
      </c>
      <c r="Z2" s="10" t="s">
        <v>242</v>
      </c>
      <c r="AA2" s="10" t="s">
        <v>241</v>
      </c>
      <c r="AB2" s="10" t="s">
        <v>240</v>
      </c>
      <c r="AC2" s="10" t="s">
        <v>239</v>
      </c>
      <c r="AD2" s="10" t="s">
        <v>238</v>
      </c>
      <c r="AE2" s="10" t="s">
        <v>237</v>
      </c>
      <c r="AF2" s="10" t="s">
        <v>236</v>
      </c>
      <c r="AG2" s="10" t="s">
        <v>235</v>
      </c>
      <c r="AH2" s="10" t="s">
        <v>234</v>
      </c>
      <c r="AI2" s="10" t="s">
        <v>233</v>
      </c>
      <c r="AJ2" s="10" t="s">
        <v>232</v>
      </c>
      <c r="AK2" s="10" t="s">
        <v>231</v>
      </c>
      <c r="AL2" s="10" t="s">
        <v>230</v>
      </c>
      <c r="AM2" s="10" t="s">
        <v>229</v>
      </c>
      <c r="AN2" s="10" t="s">
        <v>228</v>
      </c>
      <c r="AO2" s="10" t="s">
        <v>227</v>
      </c>
      <c r="AP2" s="10" t="s">
        <v>226</v>
      </c>
      <c r="AQ2" s="10" t="s">
        <v>225</v>
      </c>
      <c r="AR2" s="10" t="s">
        <v>224</v>
      </c>
      <c r="AS2" s="10" t="s">
        <v>223</v>
      </c>
      <c r="AT2" s="10" t="s">
        <v>222</v>
      </c>
      <c r="AU2" s="10" t="s">
        <v>221</v>
      </c>
      <c r="AV2" s="10" t="s">
        <v>220</v>
      </c>
      <c r="AW2" s="10" t="s">
        <v>219</v>
      </c>
      <c r="AX2" s="10" t="s">
        <v>218</v>
      </c>
      <c r="AY2" s="10" t="s">
        <v>217</v>
      </c>
      <c r="AZ2" s="10" t="s">
        <v>216</v>
      </c>
      <c r="BA2" s="10" t="s">
        <v>215</v>
      </c>
      <c r="BB2" s="10" t="s">
        <v>214</v>
      </c>
      <c r="BC2" s="10" t="s">
        <v>213</v>
      </c>
      <c r="BD2" s="10" t="s">
        <v>212</v>
      </c>
      <c r="BE2" s="10" t="s">
        <v>211</v>
      </c>
      <c r="BF2" s="10" t="s">
        <v>210</v>
      </c>
      <c r="BG2" s="10" t="s">
        <v>209</v>
      </c>
      <c r="BH2" s="10" t="s">
        <v>208</v>
      </c>
      <c r="BI2" s="10" t="s">
        <v>207</v>
      </c>
      <c r="BJ2" s="10" t="s">
        <v>206</v>
      </c>
      <c r="BK2" s="10" t="s">
        <v>205</v>
      </c>
      <c r="BL2" s="10" t="s">
        <v>204</v>
      </c>
      <c r="BM2" s="10" t="s">
        <v>203</v>
      </c>
      <c r="BN2" s="10" t="s">
        <v>202</v>
      </c>
      <c r="BO2" s="10" t="s">
        <v>201</v>
      </c>
      <c r="BP2" s="10" t="s">
        <v>200</v>
      </c>
      <c r="BQ2" s="9" t="s">
        <v>199</v>
      </c>
    </row>
    <row r="3" spans="1:69" x14ac:dyDescent="0.3">
      <c r="A3" s="20" t="s">
        <v>1380</v>
      </c>
      <c r="B3" s="20" t="s">
        <v>743</v>
      </c>
      <c r="C3" s="20" t="s">
        <v>1381</v>
      </c>
      <c r="D3" s="20" t="s">
        <v>758</v>
      </c>
      <c r="E3" s="20" t="s">
        <v>1382</v>
      </c>
      <c r="F3" s="28">
        <v>31317</v>
      </c>
      <c r="G3" s="20">
        <f ca="1">DATEDIF(F3,TODAY(),"Y")</f>
        <v>41</v>
      </c>
      <c r="H3" s="20" t="s">
        <v>1383</v>
      </c>
      <c r="I3" s="20" t="s">
        <v>1384</v>
      </c>
      <c r="J3" s="20" t="s">
        <v>1385</v>
      </c>
      <c r="K3" s="20" t="s">
        <v>1386</v>
      </c>
      <c r="L3" s="20" t="s">
        <v>1387</v>
      </c>
      <c r="M3" s="20" t="s">
        <v>1388</v>
      </c>
      <c r="N3" s="20" t="s">
        <v>1389</v>
      </c>
      <c r="O3" s="20" t="s">
        <v>1390</v>
      </c>
      <c r="P3" s="20" t="s">
        <v>1391</v>
      </c>
      <c r="Q3" s="20" t="s">
        <v>1392</v>
      </c>
      <c r="R3" s="20" t="s">
        <v>1393</v>
      </c>
      <c r="S3" s="20" t="s">
        <v>1394</v>
      </c>
      <c r="T3" s="20" t="s">
        <v>1395</v>
      </c>
      <c r="U3" s="20" t="s">
        <v>1396</v>
      </c>
      <c r="V3" s="28">
        <v>45577</v>
      </c>
      <c r="W3" s="20" t="s">
        <v>759</v>
      </c>
      <c r="X3" s="20" t="s">
        <v>1381</v>
      </c>
      <c r="Y3" s="20" t="s">
        <v>1397</v>
      </c>
      <c r="Z3" s="20" t="s">
        <v>1398</v>
      </c>
      <c r="AA3" s="20" t="s">
        <v>1399</v>
      </c>
      <c r="AB3" s="28" t="s">
        <v>844</v>
      </c>
      <c r="AC3" s="28" t="s">
        <v>844</v>
      </c>
      <c r="AD3" s="20" t="str">
        <f ca="1">IF(ISNUMBER(AC3),IF(AC3&lt;TODAY(),"Expired",IF(AC3-TODAY()&lt;=30,"Expiring soon","Active")),"Not applicable")</f>
        <v>Not applicable</v>
      </c>
      <c r="AE3" s="20" t="s">
        <v>1400</v>
      </c>
      <c r="AF3" s="20" t="s">
        <v>1401</v>
      </c>
      <c r="AG3" s="20" t="s">
        <v>1402</v>
      </c>
      <c r="AH3" s="20" t="s">
        <v>844</v>
      </c>
      <c r="AI3" s="20">
        <v>17</v>
      </c>
      <c r="AJ3" s="20" t="s">
        <v>1403</v>
      </c>
      <c r="AK3" s="28">
        <v>45593</v>
      </c>
      <c r="AL3" s="20" t="s">
        <v>1404</v>
      </c>
      <c r="AM3" s="20" t="s">
        <v>1405</v>
      </c>
      <c r="AN3" s="20" t="s">
        <v>1406</v>
      </c>
      <c r="AO3" s="28">
        <v>45593</v>
      </c>
      <c r="AP3" s="20" t="s">
        <v>1407</v>
      </c>
      <c r="AQ3" s="20" t="str">
        <f>IF(AND(LEFT(AP3,8)="Verified",AN3&lt;&gt;"Pending"),"Compliant","Non-compliant")</f>
        <v>Compliant</v>
      </c>
      <c r="AR3" s="24">
        <v>1200000</v>
      </c>
      <c r="AS3" s="24">
        <f>ROUND(AR3*0.6,0)</f>
        <v>720000</v>
      </c>
      <c r="AT3" s="24">
        <f>ROUND(AS3*0.45,0)</f>
        <v>324000</v>
      </c>
      <c r="AU3" s="20" t="s">
        <v>1408</v>
      </c>
      <c r="AV3" s="20" t="s">
        <v>1409</v>
      </c>
      <c r="AW3" s="20" t="s">
        <v>1014</v>
      </c>
      <c r="AX3" s="20" t="s">
        <v>758</v>
      </c>
      <c r="AY3" s="20" t="s">
        <v>1410</v>
      </c>
      <c r="AZ3" s="20">
        <v>14</v>
      </c>
      <c r="BA3" s="20">
        <v>10</v>
      </c>
      <c r="BB3" s="20">
        <v>8</v>
      </c>
      <c r="BC3" s="20" t="s">
        <v>1411</v>
      </c>
      <c r="BD3" s="20">
        <v>4</v>
      </c>
      <c r="BE3" s="20" t="s">
        <v>1412</v>
      </c>
      <c r="BF3" s="20" t="s">
        <v>1413</v>
      </c>
      <c r="BG3" s="20" t="s">
        <v>846</v>
      </c>
      <c r="BH3" s="20" t="s">
        <v>844</v>
      </c>
      <c r="BI3" s="20" t="s">
        <v>844</v>
      </c>
      <c r="BJ3" s="20" t="s">
        <v>844</v>
      </c>
      <c r="BK3" s="28" t="s">
        <v>844</v>
      </c>
      <c r="BL3" s="20" t="s">
        <v>1113</v>
      </c>
      <c r="BM3" s="20" t="s">
        <v>844</v>
      </c>
      <c r="BN3" s="28" t="s">
        <v>844</v>
      </c>
      <c r="BO3" s="28" t="s">
        <v>844</v>
      </c>
      <c r="BP3" s="20" t="s">
        <v>1113</v>
      </c>
      <c r="BQ3" s="20" t="s">
        <v>1113</v>
      </c>
    </row>
    <row r="4" spans="1:69" x14ac:dyDescent="0.3">
      <c r="A4" s="21" t="s">
        <v>1414</v>
      </c>
      <c r="B4" s="21" t="s">
        <v>743</v>
      </c>
      <c r="C4" s="21" t="s">
        <v>1415</v>
      </c>
      <c r="D4" s="21" t="s">
        <v>1416</v>
      </c>
      <c r="E4" s="21" t="s">
        <v>1417</v>
      </c>
      <c r="F4" s="29">
        <v>36164</v>
      </c>
      <c r="G4" s="21">
        <f ca="1">DATEDIF(F4,TODAY(),"Y")</f>
        <v>27</v>
      </c>
      <c r="H4" s="21" t="s">
        <v>1383</v>
      </c>
      <c r="I4" s="21" t="s">
        <v>1418</v>
      </c>
      <c r="J4" s="21" t="s">
        <v>1385</v>
      </c>
      <c r="K4" s="21" t="s">
        <v>1419</v>
      </c>
      <c r="L4" s="21" t="s">
        <v>1420</v>
      </c>
      <c r="M4" s="21" t="s">
        <v>1421</v>
      </c>
      <c r="N4" s="21" t="s">
        <v>844</v>
      </c>
      <c r="O4" s="21" t="s">
        <v>1422</v>
      </c>
      <c r="P4" s="21" t="s">
        <v>1391</v>
      </c>
      <c r="Q4" s="21" t="s">
        <v>1392</v>
      </c>
      <c r="R4" s="21" t="s">
        <v>1423</v>
      </c>
      <c r="S4" s="21" t="s">
        <v>1424</v>
      </c>
      <c r="T4" s="21" t="s">
        <v>1395</v>
      </c>
      <c r="U4" s="21" t="s">
        <v>848</v>
      </c>
      <c r="V4" s="29">
        <v>45582</v>
      </c>
      <c r="W4" s="21" t="s">
        <v>1425</v>
      </c>
      <c r="X4" s="21" t="s">
        <v>6</v>
      </c>
      <c r="Y4" s="21" t="s">
        <v>1426</v>
      </c>
      <c r="Z4" s="21" t="s">
        <v>1398</v>
      </c>
      <c r="AA4" s="21" t="s">
        <v>1399</v>
      </c>
      <c r="AB4" s="29" t="s">
        <v>844</v>
      </c>
      <c r="AC4" s="29" t="s">
        <v>844</v>
      </c>
      <c r="AD4" s="21" t="str">
        <f ca="1">IF(ISNUMBER(AC4),IF(AC4&lt;TODAY(),"Expired",IF(AC4-TODAY()&lt;=30,"Expiring soon","Active")),"Not applicable")</f>
        <v>Not applicable</v>
      </c>
      <c r="AE4" s="21" t="s">
        <v>1400</v>
      </c>
      <c r="AF4" s="21" t="s">
        <v>1427</v>
      </c>
      <c r="AG4" s="21" t="s">
        <v>1428</v>
      </c>
      <c r="AH4" s="21" t="s">
        <v>844</v>
      </c>
      <c r="AI4" s="21">
        <v>3</v>
      </c>
      <c r="AJ4" s="21" t="s">
        <v>1429</v>
      </c>
      <c r="AK4" s="29">
        <v>45593</v>
      </c>
      <c r="AL4" s="21" t="s">
        <v>1430</v>
      </c>
      <c r="AM4" s="21" t="s">
        <v>1405</v>
      </c>
      <c r="AN4" s="21" t="s">
        <v>1431</v>
      </c>
      <c r="AO4" s="29">
        <v>45593</v>
      </c>
      <c r="AP4" s="21" t="s">
        <v>1432</v>
      </c>
      <c r="AQ4" s="21" t="str">
        <f>IF(AND(LEFT(AP4,8)="Verified",AN4&lt;&gt;"Pending"),"Compliant","Non-compliant")</f>
        <v>Compliant</v>
      </c>
      <c r="AR4" s="25">
        <v>650000</v>
      </c>
      <c r="AS4" s="25">
        <f>ROUND(AR4*0.6,0)</f>
        <v>390000</v>
      </c>
      <c r="AT4" s="25">
        <f>ROUND(AS4*0.45,0)</f>
        <v>175500</v>
      </c>
      <c r="AU4" s="21" t="s">
        <v>1408</v>
      </c>
      <c r="AV4" s="21" t="s">
        <v>1409</v>
      </c>
      <c r="AW4" s="21" t="s">
        <v>1014</v>
      </c>
      <c r="AX4" s="21" t="s">
        <v>1416</v>
      </c>
      <c r="AY4" s="21" t="s">
        <v>1433</v>
      </c>
      <c r="AZ4" s="21">
        <v>14</v>
      </c>
      <c r="BA4" s="21">
        <v>10</v>
      </c>
      <c r="BB4" s="21">
        <v>8</v>
      </c>
      <c r="BC4" s="21" t="s">
        <v>1411</v>
      </c>
      <c r="BD4" s="21">
        <v>10</v>
      </c>
      <c r="BE4" s="21" t="s">
        <v>1412</v>
      </c>
      <c r="BF4" s="21" t="s">
        <v>1434</v>
      </c>
      <c r="BG4" s="21" t="s">
        <v>846</v>
      </c>
      <c r="BH4" s="21" t="s">
        <v>844</v>
      </c>
      <c r="BI4" s="21" t="s">
        <v>844</v>
      </c>
      <c r="BJ4" s="21" t="s">
        <v>844</v>
      </c>
      <c r="BK4" s="29" t="s">
        <v>844</v>
      </c>
      <c r="BL4" s="21" t="s">
        <v>1113</v>
      </c>
      <c r="BM4" s="21" t="s">
        <v>844</v>
      </c>
      <c r="BN4" s="29" t="s">
        <v>844</v>
      </c>
      <c r="BO4" s="29" t="s">
        <v>844</v>
      </c>
      <c r="BP4" s="21" t="s">
        <v>1113</v>
      </c>
      <c r="BQ4" s="21" t="s">
        <v>1113</v>
      </c>
    </row>
    <row r="5" spans="1:69" x14ac:dyDescent="0.3">
      <c r="A5" s="21" t="s">
        <v>1435</v>
      </c>
      <c r="B5" s="21" t="s">
        <v>743</v>
      </c>
      <c r="C5" s="21" t="s">
        <v>1415</v>
      </c>
      <c r="D5" s="21" t="s">
        <v>1436</v>
      </c>
      <c r="E5" s="21" t="s">
        <v>1417</v>
      </c>
      <c r="F5" s="29">
        <v>33271</v>
      </c>
      <c r="G5" s="21">
        <f ca="1">DATEDIF(F5,TODAY(),"Y")</f>
        <v>35</v>
      </c>
      <c r="H5" s="21" t="s">
        <v>1437</v>
      </c>
      <c r="I5" s="21" t="s">
        <v>1384</v>
      </c>
      <c r="J5" s="21" t="s">
        <v>1385</v>
      </c>
      <c r="K5" s="21" t="s">
        <v>1438</v>
      </c>
      <c r="L5" s="21" t="s">
        <v>1439</v>
      </c>
      <c r="M5" s="21" t="s">
        <v>1440</v>
      </c>
      <c r="N5" s="21" t="s">
        <v>844</v>
      </c>
      <c r="O5" s="21" t="s">
        <v>1441</v>
      </c>
      <c r="P5" s="21" t="s">
        <v>1442</v>
      </c>
      <c r="Q5" s="21" t="s">
        <v>1443</v>
      </c>
      <c r="R5" s="21" t="s">
        <v>1444</v>
      </c>
      <c r="S5" s="21" t="s">
        <v>1445</v>
      </c>
      <c r="T5" s="21" t="s">
        <v>1395</v>
      </c>
      <c r="U5" s="21" t="s">
        <v>1446</v>
      </c>
      <c r="V5" s="29">
        <v>45629</v>
      </c>
      <c r="W5" s="21" t="s">
        <v>1447</v>
      </c>
      <c r="X5" s="21" t="s">
        <v>0</v>
      </c>
      <c r="Y5" s="21" t="s">
        <v>1448</v>
      </c>
      <c r="Z5" s="21" t="s">
        <v>1398</v>
      </c>
      <c r="AA5" s="21" t="s">
        <v>1399</v>
      </c>
      <c r="AB5" s="29" t="s">
        <v>844</v>
      </c>
      <c r="AC5" s="29" t="s">
        <v>844</v>
      </c>
      <c r="AD5" s="21" t="str">
        <f ca="1">IF(ISNUMBER(AC5),IF(AC5&lt;TODAY(),"Expired",IF(AC5-TODAY()&lt;=30,"Expiring soon","Active")),"Not applicable")</f>
        <v>Not applicable</v>
      </c>
      <c r="AE5" s="21" t="s">
        <v>1449</v>
      </c>
      <c r="AF5" s="21" t="s">
        <v>1450</v>
      </c>
      <c r="AG5" s="21" t="s">
        <v>1451</v>
      </c>
      <c r="AH5" s="21" t="s">
        <v>1452</v>
      </c>
      <c r="AI5" s="21">
        <v>11</v>
      </c>
      <c r="AJ5" s="21" t="s">
        <v>1429</v>
      </c>
      <c r="AK5" s="29">
        <v>45654</v>
      </c>
      <c r="AL5" s="21" t="s">
        <v>1453</v>
      </c>
      <c r="AM5" s="21" t="s">
        <v>1405</v>
      </c>
      <c r="AN5" s="21" t="s">
        <v>1454</v>
      </c>
      <c r="AO5" s="29">
        <v>45654</v>
      </c>
      <c r="AP5" s="21" t="s">
        <v>1455</v>
      </c>
      <c r="AQ5" s="21" t="str">
        <f>IF(AND(LEFT(AP5,8)="Verified",AN5&lt;&gt;"Pending"),"Compliant","Non-compliant")</f>
        <v>Compliant</v>
      </c>
      <c r="AR5" s="25">
        <v>450000</v>
      </c>
      <c r="AS5" s="25">
        <f>ROUND(AR5*0.6,0)</f>
        <v>270000</v>
      </c>
      <c r="AT5" s="25">
        <f>ROUND(AS5*0.45,0)</f>
        <v>121500</v>
      </c>
      <c r="AU5" s="21" t="s">
        <v>1408</v>
      </c>
      <c r="AV5" s="21" t="s">
        <v>1409</v>
      </c>
      <c r="AW5" s="21" t="s">
        <v>1014</v>
      </c>
      <c r="AX5" s="21" t="s">
        <v>1436</v>
      </c>
      <c r="AY5" s="21" t="s">
        <v>1456</v>
      </c>
      <c r="AZ5" s="21">
        <v>14</v>
      </c>
      <c r="BA5" s="21">
        <v>10</v>
      </c>
      <c r="BB5" s="21">
        <v>8</v>
      </c>
      <c r="BC5" s="21" t="s">
        <v>1411</v>
      </c>
      <c r="BD5" s="21">
        <v>11</v>
      </c>
      <c r="BE5" s="21" t="s">
        <v>1412</v>
      </c>
      <c r="BF5" s="21" t="s">
        <v>1457</v>
      </c>
      <c r="BG5" s="21" t="s">
        <v>846</v>
      </c>
      <c r="BH5" s="21" t="s">
        <v>844</v>
      </c>
      <c r="BI5" s="21" t="s">
        <v>844</v>
      </c>
      <c r="BJ5" s="21" t="s">
        <v>844</v>
      </c>
      <c r="BK5" s="29" t="s">
        <v>844</v>
      </c>
      <c r="BL5" s="21" t="s">
        <v>1113</v>
      </c>
      <c r="BM5" s="21" t="s">
        <v>844</v>
      </c>
      <c r="BN5" s="29" t="s">
        <v>844</v>
      </c>
      <c r="BO5" s="29" t="s">
        <v>844</v>
      </c>
      <c r="BP5" s="21" t="s">
        <v>1113</v>
      </c>
      <c r="BQ5" s="21" t="s">
        <v>1113</v>
      </c>
    </row>
    <row r="6" spans="1:69" x14ac:dyDescent="0.3">
      <c r="A6" s="21" t="s">
        <v>1458</v>
      </c>
      <c r="B6" s="21" t="s">
        <v>743</v>
      </c>
      <c r="C6" s="21" t="s">
        <v>1415</v>
      </c>
      <c r="D6" s="21" t="s">
        <v>1459</v>
      </c>
      <c r="E6" s="21" t="s">
        <v>1460</v>
      </c>
      <c r="F6" s="29">
        <v>34695</v>
      </c>
      <c r="G6" s="21">
        <f ca="1">DATEDIF(F6,TODAY(),"Y")</f>
        <v>31</v>
      </c>
      <c r="H6" s="21" t="s">
        <v>1383</v>
      </c>
      <c r="I6" s="21" t="s">
        <v>1418</v>
      </c>
      <c r="J6" s="21" t="s">
        <v>1385</v>
      </c>
      <c r="K6" s="21" t="s">
        <v>1419</v>
      </c>
      <c r="L6" s="21" t="s">
        <v>1461</v>
      </c>
      <c r="M6" s="21" t="s">
        <v>1462</v>
      </c>
      <c r="N6" s="21" t="s">
        <v>844</v>
      </c>
      <c r="O6" s="21" t="s">
        <v>1463</v>
      </c>
      <c r="P6" s="21" t="s">
        <v>1391</v>
      </c>
      <c r="Q6" s="21" t="s">
        <v>1392</v>
      </c>
      <c r="R6" s="21" t="s">
        <v>1423</v>
      </c>
      <c r="S6" s="21" t="s">
        <v>1464</v>
      </c>
      <c r="T6" s="21" t="s">
        <v>1395</v>
      </c>
      <c r="U6" s="21" t="s">
        <v>848</v>
      </c>
      <c r="V6" s="29">
        <v>45579</v>
      </c>
      <c r="W6" s="21" t="s">
        <v>1465</v>
      </c>
      <c r="X6" s="21" t="s">
        <v>0</v>
      </c>
      <c r="Y6" s="21" t="s">
        <v>1466</v>
      </c>
      <c r="Z6" s="21" t="s">
        <v>1398</v>
      </c>
      <c r="AA6" s="21" t="s">
        <v>1399</v>
      </c>
      <c r="AB6" s="29" t="s">
        <v>844</v>
      </c>
      <c r="AC6" s="29" t="s">
        <v>844</v>
      </c>
      <c r="AD6" s="21" t="str">
        <f ca="1">IF(ISNUMBER(AC6),IF(AC6&lt;TODAY(),"Expired",IF(AC6-TODAY()&lt;=30,"Expiring soon","Active")),"Not applicable")</f>
        <v>Not applicable</v>
      </c>
      <c r="AE6" s="21" t="s">
        <v>1467</v>
      </c>
      <c r="AF6" s="21" t="s">
        <v>1468</v>
      </c>
      <c r="AG6" s="21" t="s">
        <v>1469</v>
      </c>
      <c r="AH6" s="21" t="s">
        <v>844</v>
      </c>
      <c r="AI6" s="21">
        <v>8</v>
      </c>
      <c r="AJ6" s="21" t="s">
        <v>1403</v>
      </c>
      <c r="AK6" s="29">
        <v>45593</v>
      </c>
      <c r="AL6" s="21" t="s">
        <v>1470</v>
      </c>
      <c r="AM6" s="21" t="s">
        <v>1405</v>
      </c>
      <c r="AN6" s="21" t="s">
        <v>1471</v>
      </c>
      <c r="AO6" s="29">
        <v>45593</v>
      </c>
      <c r="AP6" s="21" t="s">
        <v>1472</v>
      </c>
      <c r="AQ6" s="21" t="str">
        <f>IF(AND(LEFT(AP6,8)="Verified",AN6&lt;&gt;"Pending"),"Compliant","Non-compliant")</f>
        <v>Compliant</v>
      </c>
      <c r="AR6" s="25">
        <v>180000</v>
      </c>
      <c r="AS6" s="25">
        <f>ROUND(AR6*0.6,0)</f>
        <v>108000</v>
      </c>
      <c r="AT6" s="25">
        <f>ROUND(AS6*0.45,0)</f>
        <v>48600</v>
      </c>
      <c r="AU6" s="21" t="s">
        <v>1408</v>
      </c>
      <c r="AV6" s="21" t="s">
        <v>1409</v>
      </c>
      <c r="AW6" s="21" t="s">
        <v>983</v>
      </c>
      <c r="AX6" s="21" t="s">
        <v>1459</v>
      </c>
      <c r="AY6" s="21" t="s">
        <v>1473</v>
      </c>
      <c r="AZ6" s="21">
        <v>14</v>
      </c>
      <c r="BA6" s="21">
        <v>10</v>
      </c>
      <c r="BB6" s="21">
        <v>8</v>
      </c>
      <c r="BC6" s="21" t="s">
        <v>1411</v>
      </c>
      <c r="BD6" s="21">
        <v>8</v>
      </c>
      <c r="BE6" s="21" t="s">
        <v>1412</v>
      </c>
      <c r="BF6" s="21" t="s">
        <v>1457</v>
      </c>
      <c r="BG6" s="21" t="s">
        <v>846</v>
      </c>
      <c r="BH6" s="21" t="s">
        <v>844</v>
      </c>
      <c r="BI6" s="21" t="s">
        <v>844</v>
      </c>
      <c r="BJ6" s="21" t="s">
        <v>844</v>
      </c>
      <c r="BK6" s="29" t="s">
        <v>844</v>
      </c>
      <c r="BL6" s="21" t="s">
        <v>1113</v>
      </c>
      <c r="BM6" s="21" t="s">
        <v>844</v>
      </c>
      <c r="BN6" s="29" t="s">
        <v>844</v>
      </c>
      <c r="BO6" s="29" t="s">
        <v>844</v>
      </c>
      <c r="BP6" s="21" t="s">
        <v>1113</v>
      </c>
      <c r="BQ6" s="21" t="s">
        <v>1113</v>
      </c>
    </row>
    <row r="7" spans="1:69" x14ac:dyDescent="0.3">
      <c r="A7" s="21" t="s">
        <v>1474</v>
      </c>
      <c r="B7" s="21" t="s">
        <v>743</v>
      </c>
      <c r="C7" s="21" t="s">
        <v>1415</v>
      </c>
      <c r="D7" s="21" t="s">
        <v>1475</v>
      </c>
      <c r="E7" s="21" t="s">
        <v>1417</v>
      </c>
      <c r="F7" s="29">
        <v>31652</v>
      </c>
      <c r="G7" s="21">
        <f ca="1">DATEDIF(F7,TODAY(),"Y")</f>
        <v>40</v>
      </c>
      <c r="H7" s="21" t="s">
        <v>1437</v>
      </c>
      <c r="I7" s="21" t="s">
        <v>1384</v>
      </c>
      <c r="J7" s="21" t="s">
        <v>1385</v>
      </c>
      <c r="K7" s="21" t="s">
        <v>1386</v>
      </c>
      <c r="L7" s="21" t="s">
        <v>1476</v>
      </c>
      <c r="M7" s="21" t="s">
        <v>1477</v>
      </c>
      <c r="N7" s="21" t="s">
        <v>1478</v>
      </c>
      <c r="O7" s="21" t="s">
        <v>1479</v>
      </c>
      <c r="P7" s="21" t="s">
        <v>1391</v>
      </c>
      <c r="Q7" s="21" t="s">
        <v>1392</v>
      </c>
      <c r="R7" s="21" t="s">
        <v>1480</v>
      </c>
      <c r="S7" s="21" t="s">
        <v>1481</v>
      </c>
      <c r="T7" s="21" t="s">
        <v>1395</v>
      </c>
      <c r="U7" s="21" t="s">
        <v>1482</v>
      </c>
      <c r="V7" s="29">
        <v>45636</v>
      </c>
      <c r="W7" s="21" t="s">
        <v>1483</v>
      </c>
      <c r="X7" s="21" t="s">
        <v>0</v>
      </c>
      <c r="Y7" s="21" t="s">
        <v>1484</v>
      </c>
      <c r="Z7" s="21" t="s">
        <v>1398</v>
      </c>
      <c r="AA7" s="21" t="s">
        <v>1399</v>
      </c>
      <c r="AB7" s="29" t="s">
        <v>844</v>
      </c>
      <c r="AC7" s="29" t="s">
        <v>844</v>
      </c>
      <c r="AD7" s="21" t="str">
        <f ca="1">IF(ISNUMBER(AC7),IF(AC7&lt;TODAY(),"Expired",IF(AC7-TODAY()&lt;=30,"Expiring soon","Active")),"Not applicable")</f>
        <v>Not applicable</v>
      </c>
      <c r="AE7" s="21" t="s">
        <v>1467</v>
      </c>
      <c r="AF7" s="21" t="s">
        <v>1485</v>
      </c>
      <c r="AG7" s="21" t="s">
        <v>1486</v>
      </c>
      <c r="AH7" s="21" t="s">
        <v>844</v>
      </c>
      <c r="AI7" s="21">
        <v>16</v>
      </c>
      <c r="AJ7" s="21" t="s">
        <v>1487</v>
      </c>
      <c r="AK7" s="29">
        <v>45654</v>
      </c>
      <c r="AL7" s="21" t="s">
        <v>1488</v>
      </c>
      <c r="AM7" s="21" t="s">
        <v>1489</v>
      </c>
      <c r="AN7" s="21" t="s">
        <v>1490</v>
      </c>
      <c r="AO7" s="29">
        <v>45654</v>
      </c>
      <c r="AP7" s="21" t="s">
        <v>1491</v>
      </c>
      <c r="AQ7" s="21" t="str">
        <f>IF(AND(LEFT(AP7,8)="Verified",AN7&lt;&gt;"Pending"),"Compliant","Non-compliant")</f>
        <v>Compliant</v>
      </c>
      <c r="AR7" s="25">
        <v>120000</v>
      </c>
      <c r="AS7" s="25">
        <f>ROUND(AR7*0.6,0)</f>
        <v>72000</v>
      </c>
      <c r="AT7" s="25">
        <f>ROUND(AS7*0.45,0)</f>
        <v>32400</v>
      </c>
      <c r="AU7" s="21" t="s">
        <v>1408</v>
      </c>
      <c r="AV7" s="21" t="s">
        <v>1409</v>
      </c>
      <c r="AW7" s="21" t="s">
        <v>983</v>
      </c>
      <c r="AX7" s="21" t="s">
        <v>1475</v>
      </c>
      <c r="AY7" s="21" t="s">
        <v>1492</v>
      </c>
      <c r="AZ7" s="21">
        <v>14</v>
      </c>
      <c r="BA7" s="21">
        <v>10</v>
      </c>
      <c r="BB7" s="21">
        <v>8</v>
      </c>
      <c r="BC7" s="21" t="s">
        <v>1411</v>
      </c>
      <c r="BD7" s="21">
        <v>11</v>
      </c>
      <c r="BE7" s="21" t="s">
        <v>1412</v>
      </c>
      <c r="BF7" s="21" t="s">
        <v>1457</v>
      </c>
      <c r="BG7" s="21" t="s">
        <v>846</v>
      </c>
      <c r="BH7" s="21" t="s">
        <v>844</v>
      </c>
      <c r="BI7" s="21" t="s">
        <v>844</v>
      </c>
      <c r="BJ7" s="21" t="s">
        <v>844</v>
      </c>
      <c r="BK7" s="29" t="s">
        <v>844</v>
      </c>
      <c r="BL7" s="21" t="s">
        <v>1113</v>
      </c>
      <c r="BM7" s="21" t="s">
        <v>844</v>
      </c>
      <c r="BN7" s="29" t="s">
        <v>844</v>
      </c>
      <c r="BO7" s="29" t="s">
        <v>844</v>
      </c>
      <c r="BP7" s="21" t="s">
        <v>1113</v>
      </c>
      <c r="BQ7" s="21" t="s">
        <v>1113</v>
      </c>
    </row>
    <row r="8" spans="1:69" x14ac:dyDescent="0.3">
      <c r="A8" s="21" t="s">
        <v>1493</v>
      </c>
      <c r="B8" s="21" t="s">
        <v>743</v>
      </c>
      <c r="C8" s="21" t="s">
        <v>1415</v>
      </c>
      <c r="D8" s="21" t="s">
        <v>1494</v>
      </c>
      <c r="E8" s="21" t="s">
        <v>1417</v>
      </c>
      <c r="F8" s="29">
        <v>29137</v>
      </c>
      <c r="G8" s="21">
        <f ca="1">DATEDIF(F8,TODAY(),"Y")</f>
        <v>46</v>
      </c>
      <c r="H8" s="21" t="s">
        <v>1383</v>
      </c>
      <c r="I8" s="21" t="s">
        <v>1384</v>
      </c>
      <c r="J8" s="21" t="s">
        <v>1385</v>
      </c>
      <c r="K8" s="21" t="s">
        <v>1495</v>
      </c>
      <c r="L8" s="21" t="s">
        <v>1496</v>
      </c>
      <c r="M8" s="21" t="s">
        <v>1497</v>
      </c>
      <c r="N8" s="21" t="s">
        <v>844</v>
      </c>
      <c r="O8" s="21" t="s">
        <v>1498</v>
      </c>
      <c r="P8" s="21" t="s">
        <v>1499</v>
      </c>
      <c r="Q8" s="21" t="s">
        <v>1392</v>
      </c>
      <c r="R8" s="21" t="s">
        <v>1500</v>
      </c>
      <c r="S8" s="21" t="s">
        <v>1501</v>
      </c>
      <c r="T8" s="21" t="s">
        <v>1395</v>
      </c>
      <c r="U8" s="21" t="s">
        <v>1482</v>
      </c>
      <c r="V8" s="29">
        <v>45635</v>
      </c>
      <c r="W8" s="21" t="s">
        <v>1502</v>
      </c>
      <c r="X8" s="21" t="s">
        <v>0</v>
      </c>
      <c r="Y8" s="21" t="s">
        <v>1503</v>
      </c>
      <c r="Z8" s="21" t="s">
        <v>1398</v>
      </c>
      <c r="AA8" s="21" t="s">
        <v>1399</v>
      </c>
      <c r="AB8" s="29" t="s">
        <v>844</v>
      </c>
      <c r="AC8" s="29" t="s">
        <v>844</v>
      </c>
      <c r="AD8" s="21" t="str">
        <f ca="1">IF(ISNUMBER(AC8),IF(AC8&lt;TODAY(),"Expired",IF(AC8-TODAY()&lt;=30,"Expiring soon","Active")),"Not applicable")</f>
        <v>Not applicable</v>
      </c>
      <c r="AE8" s="21" t="s">
        <v>1504</v>
      </c>
      <c r="AF8" s="21" t="s">
        <v>1505</v>
      </c>
      <c r="AG8" s="21" t="s">
        <v>1506</v>
      </c>
      <c r="AH8" s="21" t="s">
        <v>844</v>
      </c>
      <c r="AI8" s="21">
        <v>23</v>
      </c>
      <c r="AJ8" s="21" t="s">
        <v>1487</v>
      </c>
      <c r="AK8" s="29">
        <v>45654</v>
      </c>
      <c r="AL8" s="21" t="s">
        <v>1507</v>
      </c>
      <c r="AM8" s="21" t="s">
        <v>1405</v>
      </c>
      <c r="AN8" s="21" t="s">
        <v>1508</v>
      </c>
      <c r="AO8" s="29">
        <v>45654</v>
      </c>
      <c r="AP8" s="21" t="s">
        <v>1407</v>
      </c>
      <c r="AQ8" s="21" t="str">
        <f>IF(AND(LEFT(AP8,8)="Verified",AN8&lt;&gt;"Pending"),"Compliant","Non-compliant")</f>
        <v>Compliant</v>
      </c>
      <c r="AR8" s="25">
        <v>85000</v>
      </c>
      <c r="AS8" s="25">
        <f>ROUND(AR8*0.6,0)</f>
        <v>51000</v>
      </c>
      <c r="AT8" s="25">
        <f>ROUND(AS8*0.45,0)</f>
        <v>22950</v>
      </c>
      <c r="AU8" s="21" t="s">
        <v>1509</v>
      </c>
      <c r="AV8" s="21" t="s">
        <v>1409</v>
      </c>
      <c r="AW8" s="21" t="s">
        <v>983</v>
      </c>
      <c r="AX8" s="21" t="s">
        <v>1494</v>
      </c>
      <c r="AY8" s="21" t="s">
        <v>1510</v>
      </c>
      <c r="AZ8" s="21">
        <v>14</v>
      </c>
      <c r="BA8" s="21">
        <v>10</v>
      </c>
      <c r="BB8" s="21">
        <v>8</v>
      </c>
      <c r="BC8" s="21" t="s">
        <v>1411</v>
      </c>
      <c r="BD8" s="21">
        <v>10</v>
      </c>
      <c r="BE8" s="21" t="s">
        <v>1412</v>
      </c>
      <c r="BF8" s="21" t="s">
        <v>1457</v>
      </c>
      <c r="BG8" s="21" t="s">
        <v>846</v>
      </c>
      <c r="BH8" s="21" t="s">
        <v>844</v>
      </c>
      <c r="BI8" s="21" t="s">
        <v>844</v>
      </c>
      <c r="BJ8" s="21" t="s">
        <v>844</v>
      </c>
      <c r="BK8" s="29" t="s">
        <v>844</v>
      </c>
      <c r="BL8" s="21" t="s">
        <v>1113</v>
      </c>
      <c r="BM8" s="21" t="s">
        <v>844</v>
      </c>
      <c r="BN8" s="29" t="s">
        <v>844</v>
      </c>
      <c r="BO8" s="29" t="s">
        <v>844</v>
      </c>
      <c r="BP8" s="21" t="s">
        <v>1113</v>
      </c>
      <c r="BQ8" s="21" t="s">
        <v>1113</v>
      </c>
    </row>
    <row r="9" spans="1:69" x14ac:dyDescent="0.3">
      <c r="A9" s="21" t="s">
        <v>1511</v>
      </c>
      <c r="B9" s="21" t="s">
        <v>743</v>
      </c>
      <c r="C9" s="21" t="s">
        <v>1415</v>
      </c>
      <c r="D9" s="21" t="s">
        <v>1512</v>
      </c>
      <c r="E9" s="21" t="s">
        <v>1513</v>
      </c>
      <c r="F9" s="29">
        <v>34084</v>
      </c>
      <c r="G9" s="21">
        <f ca="1">DATEDIF(F9,TODAY(),"Y")</f>
        <v>33</v>
      </c>
      <c r="H9" s="21" t="s">
        <v>1383</v>
      </c>
      <c r="I9" s="21" t="s">
        <v>1384</v>
      </c>
      <c r="J9" s="21" t="s">
        <v>1385</v>
      </c>
      <c r="K9" s="21" t="s">
        <v>1419</v>
      </c>
      <c r="L9" s="21" t="s">
        <v>1514</v>
      </c>
      <c r="M9" s="21" t="s">
        <v>1515</v>
      </c>
      <c r="N9" s="21" t="s">
        <v>844</v>
      </c>
      <c r="O9" s="21" t="s">
        <v>1516</v>
      </c>
      <c r="P9" s="21" t="s">
        <v>1391</v>
      </c>
      <c r="Q9" s="21" t="s">
        <v>1392</v>
      </c>
      <c r="R9" s="21" t="s">
        <v>1423</v>
      </c>
      <c r="S9" s="21" t="s">
        <v>1517</v>
      </c>
      <c r="T9" s="21" t="s">
        <v>1395</v>
      </c>
      <c r="U9" s="21" t="s">
        <v>1446</v>
      </c>
      <c r="V9" s="29">
        <v>45650</v>
      </c>
      <c r="W9" s="21" t="s">
        <v>1518</v>
      </c>
      <c r="X9" s="21" t="s">
        <v>6</v>
      </c>
      <c r="Y9" s="21" t="s">
        <v>1448</v>
      </c>
      <c r="Z9" s="21" t="s">
        <v>1398</v>
      </c>
      <c r="AA9" s="21" t="s">
        <v>1399</v>
      </c>
      <c r="AB9" s="29" t="s">
        <v>844</v>
      </c>
      <c r="AC9" s="29" t="s">
        <v>844</v>
      </c>
      <c r="AD9" s="21" t="str">
        <f ca="1">IF(ISNUMBER(AC9),IF(AC9&lt;TODAY(),"Expired",IF(AC9-TODAY()&lt;=30,"Expiring soon","Active")),"Not applicable")</f>
        <v>Not applicable</v>
      </c>
      <c r="AE9" s="21" t="s">
        <v>1467</v>
      </c>
      <c r="AF9" s="21" t="s">
        <v>1519</v>
      </c>
      <c r="AG9" s="21" t="s">
        <v>1520</v>
      </c>
      <c r="AH9" s="21" t="s">
        <v>844</v>
      </c>
      <c r="AI9" s="21">
        <v>9</v>
      </c>
      <c r="AJ9" s="21" t="s">
        <v>1429</v>
      </c>
      <c r="AK9" s="29">
        <v>45654</v>
      </c>
      <c r="AL9" s="21" t="s">
        <v>1521</v>
      </c>
      <c r="AM9" s="21" t="s">
        <v>1405</v>
      </c>
      <c r="AN9" s="21" t="s">
        <v>1522</v>
      </c>
      <c r="AO9" s="29">
        <v>45654</v>
      </c>
      <c r="AP9" s="21" t="s">
        <v>1432</v>
      </c>
      <c r="AQ9" s="21" t="str">
        <f>IF(AND(LEFT(AP9,8)="Verified",AN9&lt;&gt;"Pending"),"Compliant","Non-compliant")</f>
        <v>Compliant</v>
      </c>
      <c r="AR9" s="25">
        <v>300000</v>
      </c>
      <c r="AS9" s="25">
        <f>ROUND(AR9*0.6,0)</f>
        <v>180000</v>
      </c>
      <c r="AT9" s="25">
        <f>ROUND(AS9*0.45,0)</f>
        <v>81000</v>
      </c>
      <c r="AU9" s="21" t="s">
        <v>1408</v>
      </c>
      <c r="AV9" s="21" t="s">
        <v>1409</v>
      </c>
      <c r="AW9" s="21" t="s">
        <v>983</v>
      </c>
      <c r="AX9" s="21" t="s">
        <v>1512</v>
      </c>
      <c r="AY9" s="21" t="s">
        <v>1523</v>
      </c>
      <c r="AZ9" s="21">
        <v>14</v>
      </c>
      <c r="BA9" s="21">
        <v>10</v>
      </c>
      <c r="BB9" s="21">
        <v>8</v>
      </c>
      <c r="BC9" s="21" t="s">
        <v>1411</v>
      </c>
      <c r="BD9" s="21">
        <v>8</v>
      </c>
      <c r="BE9" s="21" t="s">
        <v>1412</v>
      </c>
      <c r="BF9" s="21" t="s">
        <v>1434</v>
      </c>
      <c r="BG9" s="21" t="s">
        <v>846</v>
      </c>
      <c r="BH9" s="21" t="s">
        <v>844</v>
      </c>
      <c r="BI9" s="21" t="s">
        <v>844</v>
      </c>
      <c r="BJ9" s="21" t="s">
        <v>844</v>
      </c>
      <c r="BK9" s="29" t="s">
        <v>844</v>
      </c>
      <c r="BL9" s="21" t="s">
        <v>1113</v>
      </c>
      <c r="BM9" s="21" t="s">
        <v>844</v>
      </c>
      <c r="BN9" s="29" t="s">
        <v>844</v>
      </c>
      <c r="BO9" s="29" t="s">
        <v>844</v>
      </c>
      <c r="BP9" s="21" t="s">
        <v>1113</v>
      </c>
      <c r="BQ9" s="21" t="s">
        <v>1113</v>
      </c>
    </row>
    <row r="10" spans="1:69" x14ac:dyDescent="0.3">
      <c r="A10" s="21" t="s">
        <v>1524</v>
      </c>
      <c r="B10" s="21" t="s">
        <v>743</v>
      </c>
      <c r="C10" s="21" t="s">
        <v>1415</v>
      </c>
      <c r="D10" s="21" t="s">
        <v>1525</v>
      </c>
      <c r="E10" s="21" t="s">
        <v>1417</v>
      </c>
      <c r="F10" s="29">
        <v>32587</v>
      </c>
      <c r="G10" s="21">
        <f ca="1">DATEDIF(F10,TODAY(),"Y")</f>
        <v>37</v>
      </c>
      <c r="H10" s="21" t="s">
        <v>1383</v>
      </c>
      <c r="I10" s="21" t="s">
        <v>1384</v>
      </c>
      <c r="J10" s="21" t="s">
        <v>1385</v>
      </c>
      <c r="K10" s="21" t="s">
        <v>1386</v>
      </c>
      <c r="L10" s="21" t="s">
        <v>1526</v>
      </c>
      <c r="M10" s="21" t="s">
        <v>1527</v>
      </c>
      <c r="N10" s="21" t="s">
        <v>844</v>
      </c>
      <c r="O10" s="21" t="s">
        <v>1528</v>
      </c>
      <c r="P10" s="21" t="s">
        <v>1391</v>
      </c>
      <c r="Q10" s="21" t="s">
        <v>1392</v>
      </c>
      <c r="R10" s="21" t="s">
        <v>1529</v>
      </c>
      <c r="S10" s="21" t="s">
        <v>1530</v>
      </c>
      <c r="T10" s="21" t="s">
        <v>1395</v>
      </c>
      <c r="U10" s="21" t="s">
        <v>1482</v>
      </c>
      <c r="V10" s="29">
        <v>45781</v>
      </c>
      <c r="W10" s="21" t="s">
        <v>1531</v>
      </c>
      <c r="X10" s="21" t="s">
        <v>6</v>
      </c>
      <c r="Y10" s="21" t="s">
        <v>1484</v>
      </c>
      <c r="Z10" s="21" t="s">
        <v>1398</v>
      </c>
      <c r="AA10" s="21" t="s">
        <v>1532</v>
      </c>
      <c r="AB10" s="29" t="s">
        <v>844</v>
      </c>
      <c r="AC10" s="29" t="s">
        <v>844</v>
      </c>
      <c r="AD10" s="21" t="str">
        <f ca="1">IF(ISNUMBER(AC10),IF(AC10&lt;TODAY(),"Expired",IF(AC10-TODAY()&lt;=30,"Expiring soon","Active")),"Not applicable")</f>
        <v>Not applicable</v>
      </c>
      <c r="AE10" s="21" t="s">
        <v>1467</v>
      </c>
      <c r="AF10" s="21" t="s">
        <v>1533</v>
      </c>
      <c r="AG10" s="21" t="s">
        <v>1534</v>
      </c>
      <c r="AH10" s="21" t="s">
        <v>844</v>
      </c>
      <c r="AI10" s="21">
        <v>13</v>
      </c>
      <c r="AJ10" s="21" t="s">
        <v>1487</v>
      </c>
      <c r="AK10" s="29">
        <v>45805</v>
      </c>
      <c r="AL10" s="21" t="s">
        <v>1535</v>
      </c>
      <c r="AM10" s="21" t="s">
        <v>1405</v>
      </c>
      <c r="AN10" s="21" t="s">
        <v>1536</v>
      </c>
      <c r="AO10" s="29">
        <v>45805</v>
      </c>
      <c r="AP10" s="21" t="s">
        <v>1537</v>
      </c>
      <c r="AQ10" s="21" t="str">
        <f>IF(AND(LEFT(AP10,8)="Verified",AN10&lt;&gt;"Pending"),"Compliant","Non-compliant")</f>
        <v>Compliant</v>
      </c>
      <c r="AR10" s="25">
        <v>110000</v>
      </c>
      <c r="AS10" s="25">
        <f>ROUND(AR10*0.6,0)</f>
        <v>66000</v>
      </c>
      <c r="AT10" s="25">
        <f>ROUND(AS10*0.45,0)</f>
        <v>29700</v>
      </c>
      <c r="AU10" s="21" t="s">
        <v>1408</v>
      </c>
      <c r="AV10" s="21" t="s">
        <v>1409</v>
      </c>
      <c r="AW10" s="21" t="s">
        <v>983</v>
      </c>
      <c r="AX10" s="21" t="s">
        <v>1525</v>
      </c>
      <c r="AY10" s="21" t="s">
        <v>1538</v>
      </c>
      <c r="AZ10" s="21">
        <v>14</v>
      </c>
      <c r="BA10" s="21">
        <v>10</v>
      </c>
      <c r="BB10" s="21">
        <v>8</v>
      </c>
      <c r="BC10" s="21" t="s">
        <v>1411</v>
      </c>
      <c r="BD10" s="21">
        <v>1</v>
      </c>
      <c r="BE10" s="21" t="s">
        <v>1412</v>
      </c>
      <c r="BF10" s="21" t="s">
        <v>1434</v>
      </c>
      <c r="BG10" s="21" t="s">
        <v>846</v>
      </c>
      <c r="BH10" s="21" t="s">
        <v>844</v>
      </c>
      <c r="BI10" s="21" t="s">
        <v>844</v>
      </c>
      <c r="BJ10" s="21" t="s">
        <v>844</v>
      </c>
      <c r="BK10" s="29" t="s">
        <v>844</v>
      </c>
      <c r="BL10" s="21" t="s">
        <v>1113</v>
      </c>
      <c r="BM10" s="21" t="s">
        <v>844</v>
      </c>
      <c r="BN10" s="29" t="s">
        <v>844</v>
      </c>
      <c r="BO10" s="29" t="s">
        <v>844</v>
      </c>
      <c r="BP10" s="21" t="s">
        <v>1113</v>
      </c>
      <c r="BQ10" s="21" t="s">
        <v>1113</v>
      </c>
    </row>
    <row r="11" spans="1:69" x14ac:dyDescent="0.3">
      <c r="A11" s="21" t="s">
        <v>1539</v>
      </c>
      <c r="B11" s="21" t="s">
        <v>743</v>
      </c>
      <c r="C11" s="21" t="s">
        <v>1415</v>
      </c>
      <c r="D11" s="21" t="s">
        <v>1540</v>
      </c>
      <c r="E11" s="21" t="s">
        <v>1417</v>
      </c>
      <c r="F11" s="29">
        <v>32266</v>
      </c>
      <c r="G11" s="21">
        <f ca="1">DATEDIF(F11,TODAY(),"Y")</f>
        <v>38</v>
      </c>
      <c r="H11" s="21" t="s">
        <v>1383</v>
      </c>
      <c r="I11" s="21" t="s">
        <v>1384</v>
      </c>
      <c r="J11" s="21" t="s">
        <v>1385</v>
      </c>
      <c r="K11" s="21" t="s">
        <v>1438</v>
      </c>
      <c r="L11" s="21" t="s">
        <v>1541</v>
      </c>
      <c r="M11" s="21" t="s">
        <v>1542</v>
      </c>
      <c r="N11" s="21" t="s">
        <v>1543</v>
      </c>
      <c r="O11" s="21" t="s">
        <v>1544</v>
      </c>
      <c r="P11" s="21" t="s">
        <v>1545</v>
      </c>
      <c r="Q11" s="21" t="s">
        <v>1546</v>
      </c>
      <c r="R11" s="21" t="s">
        <v>1500</v>
      </c>
      <c r="S11" s="21" t="s">
        <v>1547</v>
      </c>
      <c r="T11" s="21" t="s">
        <v>1395</v>
      </c>
      <c r="U11" s="21" t="s">
        <v>1548</v>
      </c>
      <c r="V11" s="29">
        <v>45586</v>
      </c>
      <c r="W11" s="21" t="s">
        <v>1531</v>
      </c>
      <c r="X11" s="21" t="s">
        <v>6</v>
      </c>
      <c r="Y11" s="21" t="s">
        <v>1484</v>
      </c>
      <c r="Z11" s="21" t="s">
        <v>1549</v>
      </c>
      <c r="AA11" s="21" t="s">
        <v>1399</v>
      </c>
      <c r="AB11" s="29">
        <v>45566</v>
      </c>
      <c r="AC11" s="29">
        <v>46568</v>
      </c>
      <c r="AD11" s="21" t="str">
        <f ca="1">IF(ISNUMBER(AC11),IF(AC11&lt;TODAY(),"Expired",IF(AC11-TODAY()&lt;=30,"Expiring soon","Active")),"Not applicable")</f>
        <v>Active</v>
      </c>
      <c r="AE11" s="21" t="s">
        <v>1467</v>
      </c>
      <c r="AF11" s="21" t="s">
        <v>1550</v>
      </c>
      <c r="AG11" s="21" t="s">
        <v>1551</v>
      </c>
      <c r="AH11" s="21" t="s">
        <v>844</v>
      </c>
      <c r="AI11" s="21">
        <v>14</v>
      </c>
      <c r="AJ11" s="21" t="s">
        <v>1552</v>
      </c>
      <c r="AK11" s="29">
        <v>45593</v>
      </c>
      <c r="AL11" s="21" t="s">
        <v>1553</v>
      </c>
      <c r="AM11" s="21" t="s">
        <v>1405</v>
      </c>
      <c r="AN11" s="21" t="s">
        <v>1554</v>
      </c>
      <c r="AO11" s="29">
        <v>45593</v>
      </c>
      <c r="AP11" s="21" t="s">
        <v>1472</v>
      </c>
      <c r="AQ11" s="21" t="str">
        <f>IF(AND(LEFT(AP11,8)="Verified",AN11&lt;&gt;"Pending"),"Compliant","Non-compliant")</f>
        <v>Compliant</v>
      </c>
      <c r="AR11" s="25">
        <v>110000</v>
      </c>
      <c r="AS11" s="25">
        <f>ROUND(AR11*0.6,0)</f>
        <v>66000</v>
      </c>
      <c r="AT11" s="25">
        <f>ROUND(AS11*0.45,0)</f>
        <v>29700</v>
      </c>
      <c r="AU11" s="21" t="s">
        <v>1408</v>
      </c>
      <c r="AV11" s="21" t="s">
        <v>1409</v>
      </c>
      <c r="AW11" s="21" t="s">
        <v>761</v>
      </c>
      <c r="AX11" s="21" t="s">
        <v>1540</v>
      </c>
      <c r="AY11" s="21" t="s">
        <v>1555</v>
      </c>
      <c r="AZ11" s="21">
        <v>14</v>
      </c>
      <c r="BA11" s="21">
        <v>10</v>
      </c>
      <c r="BB11" s="21">
        <v>8</v>
      </c>
      <c r="BC11" s="21" t="s">
        <v>1411</v>
      </c>
      <c r="BD11" s="21">
        <v>11</v>
      </c>
      <c r="BE11" s="21" t="s">
        <v>1412</v>
      </c>
      <c r="BF11" s="21" t="s">
        <v>1434</v>
      </c>
      <c r="BG11" s="21" t="s">
        <v>846</v>
      </c>
      <c r="BH11" s="21" t="s">
        <v>844</v>
      </c>
      <c r="BI11" s="21" t="s">
        <v>844</v>
      </c>
      <c r="BJ11" s="21" t="s">
        <v>844</v>
      </c>
      <c r="BK11" s="29" t="s">
        <v>844</v>
      </c>
      <c r="BL11" s="21" t="s">
        <v>1113</v>
      </c>
      <c r="BM11" s="21" t="s">
        <v>844</v>
      </c>
      <c r="BN11" s="29" t="s">
        <v>844</v>
      </c>
      <c r="BO11" s="29" t="s">
        <v>844</v>
      </c>
      <c r="BP11" s="21" t="s">
        <v>1113</v>
      </c>
      <c r="BQ11" s="21" t="s">
        <v>1113</v>
      </c>
    </row>
    <row r="12" spans="1:69" x14ac:dyDescent="0.3">
      <c r="A12" s="21" t="s">
        <v>1556</v>
      </c>
      <c r="B12" s="21" t="s">
        <v>743</v>
      </c>
      <c r="C12" s="21" t="s">
        <v>1415</v>
      </c>
      <c r="D12" s="21" t="s">
        <v>1557</v>
      </c>
      <c r="E12" s="21" t="s">
        <v>1558</v>
      </c>
      <c r="F12" s="29">
        <v>33152</v>
      </c>
      <c r="G12" s="21">
        <f ca="1">DATEDIF(F12,TODAY(),"Y")</f>
        <v>35</v>
      </c>
      <c r="H12" s="21" t="s">
        <v>1383</v>
      </c>
      <c r="I12" s="21" t="s">
        <v>1384</v>
      </c>
      <c r="J12" s="21" t="s">
        <v>1385</v>
      </c>
      <c r="K12" s="21" t="s">
        <v>1386</v>
      </c>
      <c r="L12" s="21" t="s">
        <v>1559</v>
      </c>
      <c r="M12" s="21" t="s">
        <v>1560</v>
      </c>
      <c r="N12" s="21" t="s">
        <v>844</v>
      </c>
      <c r="O12" s="21" t="s">
        <v>1561</v>
      </c>
      <c r="P12" s="21" t="s">
        <v>1391</v>
      </c>
      <c r="Q12" s="21" t="s">
        <v>1392</v>
      </c>
      <c r="R12" s="21" t="s">
        <v>1393</v>
      </c>
      <c r="S12" s="21" t="s">
        <v>1562</v>
      </c>
      <c r="T12" s="21" t="s">
        <v>1395</v>
      </c>
      <c r="U12" s="21" t="s">
        <v>1446</v>
      </c>
      <c r="V12" s="29">
        <v>45924</v>
      </c>
      <c r="W12" s="21" t="s">
        <v>1563</v>
      </c>
      <c r="X12" s="21" t="s">
        <v>1564</v>
      </c>
      <c r="Y12" s="21" t="s">
        <v>1448</v>
      </c>
      <c r="Z12" s="21" t="s">
        <v>1398</v>
      </c>
      <c r="AA12" s="21" t="s">
        <v>1532</v>
      </c>
      <c r="AB12" s="29" t="s">
        <v>844</v>
      </c>
      <c r="AC12" s="29" t="s">
        <v>844</v>
      </c>
      <c r="AD12" s="21" t="str">
        <f ca="1">IF(ISNUMBER(AC12),IF(AC12&lt;TODAY(),"Expired",IF(AC12-TODAY()&lt;=30,"Expiring soon","Active")),"Not applicable")</f>
        <v>Not applicable</v>
      </c>
      <c r="AE12" s="21" t="s">
        <v>1400</v>
      </c>
      <c r="AF12" s="21" t="s">
        <v>1565</v>
      </c>
      <c r="AG12" s="21" t="s">
        <v>1566</v>
      </c>
      <c r="AH12" s="21" t="s">
        <v>844</v>
      </c>
      <c r="AI12" s="21">
        <v>12</v>
      </c>
      <c r="AJ12" s="21" t="s">
        <v>1552</v>
      </c>
      <c r="AK12" s="29">
        <v>45928</v>
      </c>
      <c r="AL12" s="21" t="s">
        <v>1488</v>
      </c>
      <c r="AM12" s="21" t="s">
        <v>1489</v>
      </c>
      <c r="AN12" s="21" t="s">
        <v>1567</v>
      </c>
      <c r="AO12" s="29">
        <v>45928</v>
      </c>
      <c r="AP12" s="21" t="s">
        <v>1568</v>
      </c>
      <c r="AQ12" s="21" t="str">
        <f>IF(AND(LEFT(AP12,8)="Verified",AN12&lt;&gt;"Pending"),"Compliant","Non-compliant")</f>
        <v>Compliant</v>
      </c>
      <c r="AR12" s="25">
        <v>250000</v>
      </c>
      <c r="AS12" s="25">
        <f>ROUND(AR12*0.6,0)</f>
        <v>150000</v>
      </c>
      <c r="AT12" s="25">
        <f>ROUND(AS12*0.45,0)</f>
        <v>67500</v>
      </c>
      <c r="AU12" s="21" t="s">
        <v>1408</v>
      </c>
      <c r="AV12" s="21" t="s">
        <v>1409</v>
      </c>
      <c r="AW12" s="21" t="s">
        <v>761</v>
      </c>
      <c r="AX12" s="21" t="s">
        <v>1557</v>
      </c>
      <c r="AY12" s="21" t="s">
        <v>1569</v>
      </c>
      <c r="AZ12" s="21">
        <v>14</v>
      </c>
      <c r="BA12" s="21">
        <v>10</v>
      </c>
      <c r="BB12" s="21">
        <v>8</v>
      </c>
      <c r="BC12" s="21" t="s">
        <v>1411</v>
      </c>
      <c r="BD12" s="21">
        <v>0</v>
      </c>
      <c r="BE12" s="21" t="s">
        <v>1412</v>
      </c>
      <c r="BF12" s="21" t="s">
        <v>1570</v>
      </c>
      <c r="BG12" s="21" t="s">
        <v>846</v>
      </c>
      <c r="BH12" s="21" t="s">
        <v>844</v>
      </c>
      <c r="BI12" s="21" t="s">
        <v>844</v>
      </c>
      <c r="BJ12" s="21" t="s">
        <v>844</v>
      </c>
      <c r="BK12" s="29" t="s">
        <v>844</v>
      </c>
      <c r="BL12" s="21" t="s">
        <v>1113</v>
      </c>
      <c r="BM12" s="21" t="s">
        <v>844</v>
      </c>
      <c r="BN12" s="29" t="s">
        <v>844</v>
      </c>
      <c r="BO12" s="29" t="s">
        <v>844</v>
      </c>
      <c r="BP12" s="21" t="s">
        <v>1113</v>
      </c>
      <c r="BQ12" s="21" t="s">
        <v>1113</v>
      </c>
    </row>
    <row r="13" spans="1:69" x14ac:dyDescent="0.3">
      <c r="A13" s="21" t="s">
        <v>1571</v>
      </c>
      <c r="B13" s="21" t="s">
        <v>743</v>
      </c>
      <c r="C13" s="21" t="s">
        <v>1415</v>
      </c>
      <c r="D13" s="21" t="s">
        <v>1572</v>
      </c>
      <c r="E13" s="21" t="s">
        <v>1417</v>
      </c>
      <c r="F13" s="29">
        <v>34312</v>
      </c>
      <c r="G13" s="21">
        <f ca="1">DATEDIF(F13,TODAY(),"Y")</f>
        <v>32</v>
      </c>
      <c r="H13" s="21" t="s">
        <v>1383</v>
      </c>
      <c r="I13" s="21" t="s">
        <v>1384</v>
      </c>
      <c r="J13" s="21" t="s">
        <v>1385</v>
      </c>
      <c r="K13" s="21" t="s">
        <v>1386</v>
      </c>
      <c r="L13" s="21" t="s">
        <v>1573</v>
      </c>
      <c r="M13" s="21" t="s">
        <v>1574</v>
      </c>
      <c r="N13" s="21" t="s">
        <v>844</v>
      </c>
      <c r="O13" s="21" t="s">
        <v>1575</v>
      </c>
      <c r="P13" s="21" t="s">
        <v>1391</v>
      </c>
      <c r="Q13" s="21" t="s">
        <v>1392</v>
      </c>
      <c r="R13" s="21" t="s">
        <v>1576</v>
      </c>
      <c r="S13" s="21" t="s">
        <v>1577</v>
      </c>
      <c r="T13" s="21" t="s">
        <v>1395</v>
      </c>
      <c r="U13" s="21" t="s">
        <v>1482</v>
      </c>
      <c r="V13" s="29">
        <v>45644</v>
      </c>
      <c r="W13" s="21" t="s">
        <v>1578</v>
      </c>
      <c r="X13" s="21" t="s">
        <v>1564</v>
      </c>
      <c r="Y13" s="21" t="s">
        <v>1503</v>
      </c>
      <c r="Z13" s="21" t="s">
        <v>1398</v>
      </c>
      <c r="AA13" s="21" t="s">
        <v>1399</v>
      </c>
      <c r="AB13" s="29" t="s">
        <v>844</v>
      </c>
      <c r="AC13" s="29" t="s">
        <v>844</v>
      </c>
      <c r="AD13" s="21" t="str">
        <f ca="1">IF(ISNUMBER(AC13),IF(AC13&lt;TODAY(),"Expired",IF(AC13-TODAY()&lt;=30,"Expiring soon","Active")),"Not applicable")</f>
        <v>Not applicable</v>
      </c>
      <c r="AE13" s="21" t="s">
        <v>1467</v>
      </c>
      <c r="AF13" s="21" t="s">
        <v>1579</v>
      </c>
      <c r="AG13" s="21" t="s">
        <v>1580</v>
      </c>
      <c r="AH13" s="21" t="s">
        <v>844</v>
      </c>
      <c r="AI13" s="21">
        <v>9</v>
      </c>
      <c r="AJ13" s="21" t="s">
        <v>1487</v>
      </c>
      <c r="AK13" s="29">
        <v>45654</v>
      </c>
      <c r="AL13" s="21" t="s">
        <v>1581</v>
      </c>
      <c r="AM13" s="21" t="s">
        <v>1405</v>
      </c>
      <c r="AN13" s="21" t="s">
        <v>1582</v>
      </c>
      <c r="AO13" s="29">
        <v>45654</v>
      </c>
      <c r="AP13" s="21" t="s">
        <v>1407</v>
      </c>
      <c r="AQ13" s="21" t="str">
        <f>IF(AND(LEFT(AP13,8)="Verified",AN13&lt;&gt;"Pending"),"Compliant","Non-compliant")</f>
        <v>Compliant</v>
      </c>
      <c r="AR13" s="25">
        <v>90000</v>
      </c>
      <c r="AS13" s="25">
        <f>ROUND(AR13*0.6,0)</f>
        <v>54000</v>
      </c>
      <c r="AT13" s="25">
        <f>ROUND(AS13*0.45,0)</f>
        <v>24300</v>
      </c>
      <c r="AU13" s="21" t="s">
        <v>1509</v>
      </c>
      <c r="AV13" s="21" t="s">
        <v>1409</v>
      </c>
      <c r="AW13" s="21" t="s">
        <v>983</v>
      </c>
      <c r="AX13" s="21" t="s">
        <v>1572</v>
      </c>
      <c r="AY13" s="21" t="s">
        <v>1583</v>
      </c>
      <c r="AZ13" s="21">
        <v>14</v>
      </c>
      <c r="BA13" s="21">
        <v>10</v>
      </c>
      <c r="BB13" s="21">
        <v>8</v>
      </c>
      <c r="BC13" s="21" t="s">
        <v>1411</v>
      </c>
      <c r="BD13" s="21">
        <v>8</v>
      </c>
      <c r="BE13" s="21" t="s">
        <v>1412</v>
      </c>
      <c r="BF13" s="21" t="s">
        <v>1570</v>
      </c>
      <c r="BG13" s="21" t="s">
        <v>846</v>
      </c>
      <c r="BH13" s="21" t="s">
        <v>844</v>
      </c>
      <c r="BI13" s="21" t="s">
        <v>844</v>
      </c>
      <c r="BJ13" s="21" t="s">
        <v>844</v>
      </c>
      <c r="BK13" s="29" t="s">
        <v>844</v>
      </c>
      <c r="BL13" s="21" t="s">
        <v>1113</v>
      </c>
      <c r="BM13" s="21" t="s">
        <v>844</v>
      </c>
      <c r="BN13" s="29" t="s">
        <v>844</v>
      </c>
      <c r="BO13" s="29" t="s">
        <v>844</v>
      </c>
      <c r="BP13" s="21" t="s">
        <v>1113</v>
      </c>
      <c r="BQ13" s="21" t="s">
        <v>1113</v>
      </c>
    </row>
    <row r="14" spans="1:69" x14ac:dyDescent="0.3">
      <c r="A14" s="21" t="s">
        <v>1584</v>
      </c>
      <c r="B14" s="21" t="s">
        <v>743</v>
      </c>
      <c r="C14" s="21" t="s">
        <v>1415</v>
      </c>
      <c r="D14" s="21" t="s">
        <v>1585</v>
      </c>
      <c r="E14" s="21" t="s">
        <v>1417</v>
      </c>
      <c r="F14" s="29">
        <v>33935</v>
      </c>
      <c r="G14" s="21">
        <f ca="1">DATEDIF(F14,TODAY(),"Y")</f>
        <v>33</v>
      </c>
      <c r="H14" s="21" t="s">
        <v>1383</v>
      </c>
      <c r="I14" s="21" t="s">
        <v>1384</v>
      </c>
      <c r="J14" s="21" t="s">
        <v>1385</v>
      </c>
      <c r="K14" s="21" t="s">
        <v>1495</v>
      </c>
      <c r="L14" s="21" t="s">
        <v>1586</v>
      </c>
      <c r="M14" s="21" t="s">
        <v>1587</v>
      </c>
      <c r="N14" s="21" t="s">
        <v>844</v>
      </c>
      <c r="O14" s="21" t="s">
        <v>1588</v>
      </c>
      <c r="P14" s="21" t="s">
        <v>1589</v>
      </c>
      <c r="Q14" s="21" t="s">
        <v>1443</v>
      </c>
      <c r="R14" s="21" t="s">
        <v>1423</v>
      </c>
      <c r="S14" s="21" t="s">
        <v>1590</v>
      </c>
      <c r="T14" s="21" t="s">
        <v>1395</v>
      </c>
      <c r="U14" s="21" t="s">
        <v>1548</v>
      </c>
      <c r="V14" s="29">
        <v>45817</v>
      </c>
      <c r="W14" s="21" t="s">
        <v>1591</v>
      </c>
      <c r="X14" s="21" t="s">
        <v>1592</v>
      </c>
      <c r="Y14" s="21" t="s">
        <v>1484</v>
      </c>
      <c r="Z14" s="21" t="s">
        <v>1398</v>
      </c>
      <c r="AA14" s="21" t="s">
        <v>1532</v>
      </c>
      <c r="AB14" s="29" t="s">
        <v>844</v>
      </c>
      <c r="AC14" s="29" t="s">
        <v>844</v>
      </c>
      <c r="AD14" s="21" t="str">
        <f ca="1">IF(ISNUMBER(AC14),IF(AC14&lt;TODAY(),"Expired",IF(AC14-TODAY()&lt;=30,"Expiring soon","Active")),"Not applicable")</f>
        <v>Not applicable</v>
      </c>
      <c r="AE14" s="21" t="s">
        <v>1504</v>
      </c>
      <c r="AF14" s="21" t="s">
        <v>1593</v>
      </c>
      <c r="AG14" s="21" t="s">
        <v>1594</v>
      </c>
      <c r="AH14" s="21" t="s">
        <v>844</v>
      </c>
      <c r="AI14" s="21">
        <v>10</v>
      </c>
      <c r="AJ14" s="21" t="s">
        <v>1552</v>
      </c>
      <c r="AK14" s="29">
        <v>45836</v>
      </c>
      <c r="AL14" s="21" t="s">
        <v>1595</v>
      </c>
      <c r="AM14" s="21" t="s">
        <v>1405</v>
      </c>
      <c r="AN14" s="21" t="s">
        <v>1596</v>
      </c>
      <c r="AO14" s="29">
        <v>45836</v>
      </c>
      <c r="AP14" s="21" t="s">
        <v>1597</v>
      </c>
      <c r="AQ14" s="21" t="str">
        <f>IF(AND(LEFT(AP14,8)="Verified",AN14&lt;&gt;"Pending"),"Compliant","Non-compliant")</f>
        <v>Compliant</v>
      </c>
      <c r="AR14" s="25">
        <v>95000</v>
      </c>
      <c r="AS14" s="25">
        <f>ROUND(AR14*0.6,0)</f>
        <v>57000</v>
      </c>
      <c r="AT14" s="25">
        <f>ROUND(AS14*0.45,0)</f>
        <v>25650</v>
      </c>
      <c r="AU14" s="21" t="s">
        <v>1509</v>
      </c>
      <c r="AV14" s="21" t="s">
        <v>1409</v>
      </c>
      <c r="AW14" s="21" t="s">
        <v>1014</v>
      </c>
      <c r="AX14" s="21" t="s">
        <v>1585</v>
      </c>
      <c r="AY14" s="21" t="s">
        <v>1598</v>
      </c>
      <c r="AZ14" s="21">
        <v>14</v>
      </c>
      <c r="BA14" s="21">
        <v>10</v>
      </c>
      <c r="BB14" s="21">
        <v>8</v>
      </c>
      <c r="BC14" s="21" t="s">
        <v>1411</v>
      </c>
      <c r="BD14" s="21">
        <v>1</v>
      </c>
      <c r="BE14" s="21" t="s">
        <v>1412</v>
      </c>
      <c r="BF14" s="21" t="s">
        <v>1599</v>
      </c>
      <c r="BG14" s="21" t="s">
        <v>846</v>
      </c>
      <c r="BH14" s="21" t="s">
        <v>844</v>
      </c>
      <c r="BI14" s="21" t="s">
        <v>844</v>
      </c>
      <c r="BJ14" s="21" t="s">
        <v>844</v>
      </c>
      <c r="BK14" s="29" t="s">
        <v>844</v>
      </c>
      <c r="BL14" s="21" t="s">
        <v>1113</v>
      </c>
      <c r="BM14" s="21" t="s">
        <v>844</v>
      </c>
      <c r="BN14" s="29" t="s">
        <v>844</v>
      </c>
      <c r="BO14" s="29" t="s">
        <v>844</v>
      </c>
      <c r="BP14" s="21" t="s">
        <v>1113</v>
      </c>
      <c r="BQ14" s="21" t="s">
        <v>1113</v>
      </c>
    </row>
    <row r="15" spans="1:69" x14ac:dyDescent="0.3">
      <c r="A15" s="21" t="s">
        <v>1600</v>
      </c>
      <c r="B15" s="21" t="s">
        <v>743</v>
      </c>
      <c r="C15" s="21" t="s">
        <v>1415</v>
      </c>
      <c r="D15" s="21" t="s">
        <v>1601</v>
      </c>
      <c r="E15" s="21" t="s">
        <v>1602</v>
      </c>
      <c r="F15" s="29">
        <v>36731</v>
      </c>
      <c r="G15" s="21">
        <f ca="1">DATEDIF(F15,TODAY(),"Y")</f>
        <v>26</v>
      </c>
      <c r="H15" s="21" t="s">
        <v>1383</v>
      </c>
      <c r="I15" s="21" t="s">
        <v>1384</v>
      </c>
      <c r="J15" s="21" t="s">
        <v>1385</v>
      </c>
      <c r="K15" s="21" t="s">
        <v>1386</v>
      </c>
      <c r="L15" s="21" t="s">
        <v>1603</v>
      </c>
      <c r="M15" s="21" t="s">
        <v>1604</v>
      </c>
      <c r="N15" s="21" t="s">
        <v>1605</v>
      </c>
      <c r="O15" s="21" t="s">
        <v>1606</v>
      </c>
      <c r="P15" s="21" t="s">
        <v>1391</v>
      </c>
      <c r="Q15" s="21" t="s">
        <v>1392</v>
      </c>
      <c r="R15" s="21" t="s">
        <v>1576</v>
      </c>
      <c r="S15" s="21" t="s">
        <v>1607</v>
      </c>
      <c r="T15" s="21" t="s">
        <v>1395</v>
      </c>
      <c r="U15" s="21" t="s">
        <v>848</v>
      </c>
      <c r="V15" s="29">
        <v>45586</v>
      </c>
      <c r="W15" s="21" t="s">
        <v>1608</v>
      </c>
      <c r="X15" s="21" t="s">
        <v>1592</v>
      </c>
      <c r="Y15" s="21" t="s">
        <v>1609</v>
      </c>
      <c r="Z15" s="21" t="s">
        <v>1398</v>
      </c>
      <c r="AA15" s="21" t="s">
        <v>1399</v>
      </c>
      <c r="AB15" s="29" t="s">
        <v>844</v>
      </c>
      <c r="AC15" s="29" t="s">
        <v>844</v>
      </c>
      <c r="AD15" s="21" t="str">
        <f ca="1">IF(ISNUMBER(AC15),IF(AC15&lt;TODAY(),"Expired",IF(AC15-TODAY()&lt;=30,"Expiring soon","Active")),"Not applicable")</f>
        <v>Not applicable</v>
      </c>
      <c r="AE15" s="21" t="s">
        <v>1610</v>
      </c>
      <c r="AF15" s="21" t="s">
        <v>1611</v>
      </c>
      <c r="AG15" s="21" t="s">
        <v>1612</v>
      </c>
      <c r="AH15" s="21" t="s">
        <v>844</v>
      </c>
      <c r="AI15" s="21">
        <v>2</v>
      </c>
      <c r="AJ15" s="21" t="s">
        <v>1403</v>
      </c>
      <c r="AK15" s="29">
        <v>45593</v>
      </c>
      <c r="AL15" s="21" t="s">
        <v>1613</v>
      </c>
      <c r="AM15" s="21" t="s">
        <v>1405</v>
      </c>
      <c r="AN15" s="21" t="s">
        <v>1614</v>
      </c>
      <c r="AO15" s="29">
        <v>45593</v>
      </c>
      <c r="AP15" s="21" t="s">
        <v>1455</v>
      </c>
      <c r="AQ15" s="21" t="str">
        <f>IF(AND(LEFT(AP15,8)="Verified",AN15&lt;&gt;"Pending"),"Compliant","Non-compliant")</f>
        <v>Compliant</v>
      </c>
      <c r="AR15" s="25">
        <v>60000</v>
      </c>
      <c r="AS15" s="25">
        <f>ROUND(AR15*0.6,0)</f>
        <v>36000</v>
      </c>
      <c r="AT15" s="25">
        <f>ROUND(AS15*0.45,0)</f>
        <v>16200</v>
      </c>
      <c r="AU15" s="21" t="s">
        <v>1509</v>
      </c>
      <c r="AV15" s="21" t="s">
        <v>1409</v>
      </c>
      <c r="AW15" s="21" t="s">
        <v>1014</v>
      </c>
      <c r="AX15" s="21" t="s">
        <v>1601</v>
      </c>
      <c r="AY15" s="21" t="s">
        <v>1615</v>
      </c>
      <c r="AZ15" s="21">
        <v>14</v>
      </c>
      <c r="BA15" s="21">
        <v>10</v>
      </c>
      <c r="BB15" s="21">
        <v>8</v>
      </c>
      <c r="BC15" s="21" t="s">
        <v>1411</v>
      </c>
      <c r="BD15" s="21">
        <v>7</v>
      </c>
      <c r="BE15" s="21" t="s">
        <v>1412</v>
      </c>
      <c r="BF15" s="21" t="s">
        <v>1599</v>
      </c>
      <c r="BG15" s="21" t="s">
        <v>846</v>
      </c>
      <c r="BH15" s="21" t="s">
        <v>844</v>
      </c>
      <c r="BI15" s="21" t="s">
        <v>844</v>
      </c>
      <c r="BJ15" s="21" t="s">
        <v>844</v>
      </c>
      <c r="BK15" s="29" t="s">
        <v>844</v>
      </c>
      <c r="BL15" s="21" t="s">
        <v>1113</v>
      </c>
      <c r="BM15" s="21" t="s">
        <v>844</v>
      </c>
      <c r="BN15" s="29" t="s">
        <v>844</v>
      </c>
      <c r="BO15" s="29" t="s">
        <v>844</v>
      </c>
      <c r="BP15" s="21" t="s">
        <v>1113</v>
      </c>
      <c r="BQ15" s="21" t="s">
        <v>1113</v>
      </c>
    </row>
    <row r="16" spans="1:69" x14ac:dyDescent="0.3">
      <c r="A16" s="21" t="s">
        <v>1616</v>
      </c>
      <c r="B16" s="21" t="s">
        <v>743</v>
      </c>
      <c r="C16" s="21" t="s">
        <v>1415</v>
      </c>
      <c r="D16" s="21" t="s">
        <v>1617</v>
      </c>
      <c r="E16" s="21" t="s">
        <v>1417</v>
      </c>
      <c r="F16" s="29">
        <v>34005</v>
      </c>
      <c r="G16" s="21">
        <f ca="1">DATEDIF(F16,TODAY(),"Y")</f>
        <v>33</v>
      </c>
      <c r="H16" s="21" t="s">
        <v>1437</v>
      </c>
      <c r="I16" s="21" t="s">
        <v>1384</v>
      </c>
      <c r="J16" s="21" t="s">
        <v>1385</v>
      </c>
      <c r="K16" s="21" t="s">
        <v>1618</v>
      </c>
      <c r="L16" s="21" t="s">
        <v>1619</v>
      </c>
      <c r="M16" s="21" t="s">
        <v>1620</v>
      </c>
      <c r="N16" s="21" t="s">
        <v>844</v>
      </c>
      <c r="O16" s="21" t="s">
        <v>1621</v>
      </c>
      <c r="P16" s="21" t="s">
        <v>1391</v>
      </c>
      <c r="Q16" s="21" t="s">
        <v>1392</v>
      </c>
      <c r="R16" s="21" t="s">
        <v>1480</v>
      </c>
      <c r="S16" s="21" t="s">
        <v>1622</v>
      </c>
      <c r="T16" s="21" t="s">
        <v>1395</v>
      </c>
      <c r="U16" s="21" t="s">
        <v>1482</v>
      </c>
      <c r="V16" s="29">
        <v>45840</v>
      </c>
      <c r="W16" s="21" t="s">
        <v>1623</v>
      </c>
      <c r="X16" s="21" t="s">
        <v>1624</v>
      </c>
      <c r="Y16" s="21" t="s">
        <v>1466</v>
      </c>
      <c r="Z16" s="21" t="s">
        <v>1398</v>
      </c>
      <c r="AA16" s="21" t="s">
        <v>1532</v>
      </c>
      <c r="AB16" s="29" t="s">
        <v>844</v>
      </c>
      <c r="AC16" s="29" t="s">
        <v>844</v>
      </c>
      <c r="AD16" s="21" t="str">
        <f ca="1">IF(ISNUMBER(AC16),IF(AC16&lt;TODAY(),"Expired",IF(AC16-TODAY()&lt;=30,"Expiring soon","Active")),"Not applicable")</f>
        <v>Not applicable</v>
      </c>
      <c r="AE16" s="21" t="s">
        <v>1400</v>
      </c>
      <c r="AF16" s="21" t="s">
        <v>1625</v>
      </c>
      <c r="AG16" s="21" t="s">
        <v>1626</v>
      </c>
      <c r="AH16" s="21" t="s">
        <v>844</v>
      </c>
      <c r="AI16" s="21">
        <v>9</v>
      </c>
      <c r="AJ16" s="21" t="s">
        <v>1552</v>
      </c>
      <c r="AK16" s="29">
        <v>45866</v>
      </c>
      <c r="AL16" s="21" t="s">
        <v>1627</v>
      </c>
      <c r="AM16" s="21" t="s">
        <v>1405</v>
      </c>
      <c r="AN16" s="21" t="s">
        <v>1628</v>
      </c>
      <c r="AO16" s="29">
        <v>45866</v>
      </c>
      <c r="AP16" s="21" t="s">
        <v>1629</v>
      </c>
      <c r="AQ16" s="21" t="str">
        <f>IF(AND(LEFT(AP16,8)="Verified",AN16&lt;&gt;"Pending"),"Compliant","Non-compliant")</f>
        <v>Compliant</v>
      </c>
      <c r="AR16" s="25">
        <v>140000</v>
      </c>
      <c r="AS16" s="25">
        <f>ROUND(AR16*0.6,0)</f>
        <v>84000</v>
      </c>
      <c r="AT16" s="25">
        <f>ROUND(AS16*0.45,0)</f>
        <v>37800</v>
      </c>
      <c r="AU16" s="21" t="s">
        <v>1408</v>
      </c>
      <c r="AV16" s="21" t="s">
        <v>1409</v>
      </c>
      <c r="AW16" s="21" t="s">
        <v>761</v>
      </c>
      <c r="AX16" s="21" t="s">
        <v>1617</v>
      </c>
      <c r="AY16" s="21" t="s">
        <v>1630</v>
      </c>
      <c r="AZ16" s="21">
        <v>14</v>
      </c>
      <c r="BA16" s="21">
        <v>10</v>
      </c>
      <c r="BB16" s="21">
        <v>8</v>
      </c>
      <c r="BC16" s="21" t="s">
        <v>1411</v>
      </c>
      <c r="BD16" s="21">
        <v>4</v>
      </c>
      <c r="BE16" s="21" t="s">
        <v>1412</v>
      </c>
      <c r="BF16" s="21" t="s">
        <v>1631</v>
      </c>
      <c r="BG16" s="21" t="s">
        <v>846</v>
      </c>
      <c r="BH16" s="21" t="s">
        <v>844</v>
      </c>
      <c r="BI16" s="21" t="s">
        <v>844</v>
      </c>
      <c r="BJ16" s="21" t="s">
        <v>844</v>
      </c>
      <c r="BK16" s="29" t="s">
        <v>844</v>
      </c>
      <c r="BL16" s="21" t="s">
        <v>1113</v>
      </c>
      <c r="BM16" s="21" t="s">
        <v>844</v>
      </c>
      <c r="BN16" s="29" t="s">
        <v>844</v>
      </c>
      <c r="BO16" s="29" t="s">
        <v>844</v>
      </c>
      <c r="BP16" s="21" t="s">
        <v>1113</v>
      </c>
      <c r="BQ16" s="21" t="s">
        <v>1113</v>
      </c>
    </row>
    <row r="17" spans="1:69" x14ac:dyDescent="0.3">
      <c r="A17" s="21" t="s">
        <v>1632</v>
      </c>
      <c r="B17" s="21" t="s">
        <v>743</v>
      </c>
      <c r="C17" s="21" t="s">
        <v>1415</v>
      </c>
      <c r="D17" s="21" t="s">
        <v>1633</v>
      </c>
      <c r="E17" s="21" t="s">
        <v>1417</v>
      </c>
      <c r="F17" s="29">
        <v>35539</v>
      </c>
      <c r="G17" s="21">
        <f ca="1">DATEDIF(F17,TODAY(),"Y")</f>
        <v>29</v>
      </c>
      <c r="H17" s="21" t="s">
        <v>1383</v>
      </c>
      <c r="I17" s="21" t="s">
        <v>1418</v>
      </c>
      <c r="J17" s="21" t="s">
        <v>1385</v>
      </c>
      <c r="K17" s="21" t="s">
        <v>1419</v>
      </c>
      <c r="L17" s="21" t="s">
        <v>1634</v>
      </c>
      <c r="M17" s="21" t="s">
        <v>1635</v>
      </c>
      <c r="N17" s="21" t="s">
        <v>844</v>
      </c>
      <c r="O17" s="21" t="s">
        <v>1636</v>
      </c>
      <c r="P17" s="21" t="s">
        <v>1637</v>
      </c>
      <c r="Q17" s="21" t="s">
        <v>1392</v>
      </c>
      <c r="R17" s="21" t="s">
        <v>1529</v>
      </c>
      <c r="S17" s="21" t="s">
        <v>1638</v>
      </c>
      <c r="T17" s="21" t="s">
        <v>1395</v>
      </c>
      <c r="U17" s="21" t="s">
        <v>848</v>
      </c>
      <c r="V17" s="29">
        <v>45632</v>
      </c>
      <c r="W17" s="21" t="s">
        <v>1639</v>
      </c>
      <c r="X17" s="21" t="s">
        <v>1640</v>
      </c>
      <c r="Y17" s="21" t="s">
        <v>1466</v>
      </c>
      <c r="Z17" s="21" t="s">
        <v>1549</v>
      </c>
      <c r="AA17" s="21" t="s">
        <v>1399</v>
      </c>
      <c r="AB17" s="29">
        <v>45627</v>
      </c>
      <c r="AC17" s="29">
        <v>46448</v>
      </c>
      <c r="AD17" s="21" t="str">
        <f ca="1">IF(ISNUMBER(AC17),IF(AC17&lt;TODAY(),"Expired",IF(AC17-TODAY()&lt;=30,"Expiring soon","Active")),"Not applicable")</f>
        <v>Active</v>
      </c>
      <c r="AE17" s="21" t="s">
        <v>1467</v>
      </c>
      <c r="AF17" s="21" t="s">
        <v>1641</v>
      </c>
      <c r="AG17" s="21" t="s">
        <v>1642</v>
      </c>
      <c r="AH17" s="21" t="s">
        <v>844</v>
      </c>
      <c r="AI17" s="21">
        <v>5</v>
      </c>
      <c r="AJ17" s="21" t="s">
        <v>1552</v>
      </c>
      <c r="AK17" s="29">
        <v>45654</v>
      </c>
      <c r="AL17" s="21" t="s">
        <v>1488</v>
      </c>
      <c r="AM17" s="21" t="s">
        <v>1489</v>
      </c>
      <c r="AN17" s="21" t="s">
        <v>1643</v>
      </c>
      <c r="AO17" s="29">
        <v>45654</v>
      </c>
      <c r="AP17" s="21" t="s">
        <v>1491</v>
      </c>
      <c r="AQ17" s="21" t="str">
        <f>IF(AND(LEFT(AP17,8)="Verified",AN17&lt;&gt;"Pending"),"Compliant","Non-compliant")</f>
        <v>Compliant</v>
      </c>
      <c r="AR17" s="25">
        <v>150000</v>
      </c>
      <c r="AS17" s="25">
        <f>ROUND(AR17*0.6,0)</f>
        <v>90000</v>
      </c>
      <c r="AT17" s="25">
        <f>ROUND(AS17*0.45,0)</f>
        <v>40500</v>
      </c>
      <c r="AU17" s="21" t="s">
        <v>1408</v>
      </c>
      <c r="AV17" s="21" t="s">
        <v>1409</v>
      </c>
      <c r="AW17" s="21" t="s">
        <v>983</v>
      </c>
      <c r="AX17" s="21" t="s">
        <v>1633</v>
      </c>
      <c r="AY17" s="21" t="s">
        <v>1644</v>
      </c>
      <c r="AZ17" s="21">
        <v>14</v>
      </c>
      <c r="BA17" s="21">
        <v>10</v>
      </c>
      <c r="BB17" s="21">
        <v>8</v>
      </c>
      <c r="BC17" s="21" t="s">
        <v>1411</v>
      </c>
      <c r="BD17" s="21">
        <v>11</v>
      </c>
      <c r="BE17" s="21" t="s">
        <v>1412</v>
      </c>
      <c r="BF17" s="21" t="s">
        <v>1645</v>
      </c>
      <c r="BG17" s="21" t="s">
        <v>846</v>
      </c>
      <c r="BH17" s="21" t="s">
        <v>844</v>
      </c>
      <c r="BI17" s="21" t="s">
        <v>844</v>
      </c>
      <c r="BJ17" s="21" t="s">
        <v>844</v>
      </c>
      <c r="BK17" s="29" t="s">
        <v>844</v>
      </c>
      <c r="BL17" s="21" t="s">
        <v>1113</v>
      </c>
      <c r="BM17" s="21" t="s">
        <v>844</v>
      </c>
      <c r="BN17" s="29" t="s">
        <v>844</v>
      </c>
      <c r="BO17" s="29" t="s">
        <v>844</v>
      </c>
      <c r="BP17" s="21" t="s">
        <v>1113</v>
      </c>
      <c r="BQ17" s="21" t="s">
        <v>1113</v>
      </c>
    </row>
    <row r="18" spans="1:69" x14ac:dyDescent="0.3">
      <c r="A18" s="21" t="s">
        <v>1646</v>
      </c>
      <c r="B18" s="21" t="s">
        <v>743</v>
      </c>
      <c r="C18" s="21" t="s">
        <v>1415</v>
      </c>
      <c r="D18" s="21" t="s">
        <v>1647</v>
      </c>
      <c r="E18" s="21" t="s">
        <v>1648</v>
      </c>
      <c r="F18" s="29">
        <v>31753</v>
      </c>
      <c r="G18" s="21">
        <f ca="1">DATEDIF(F18,TODAY(),"Y")</f>
        <v>39</v>
      </c>
      <c r="H18" s="21" t="s">
        <v>1383</v>
      </c>
      <c r="I18" s="21" t="s">
        <v>1384</v>
      </c>
      <c r="J18" s="21" t="s">
        <v>1385</v>
      </c>
      <c r="K18" s="21" t="s">
        <v>1649</v>
      </c>
      <c r="L18" s="21" t="s">
        <v>1650</v>
      </c>
      <c r="M18" s="21" t="s">
        <v>1651</v>
      </c>
      <c r="N18" s="21" t="s">
        <v>844</v>
      </c>
      <c r="O18" s="21" t="s">
        <v>1652</v>
      </c>
      <c r="P18" s="21" t="s">
        <v>1391</v>
      </c>
      <c r="Q18" s="21" t="s">
        <v>1392</v>
      </c>
      <c r="R18" s="21" t="s">
        <v>1576</v>
      </c>
      <c r="S18" s="21" t="s">
        <v>1653</v>
      </c>
      <c r="T18" s="21" t="s">
        <v>1395</v>
      </c>
      <c r="U18" s="21" t="s">
        <v>1396</v>
      </c>
      <c r="V18" s="29">
        <v>45786</v>
      </c>
      <c r="W18" s="21" t="s">
        <v>1654</v>
      </c>
      <c r="X18" s="21" t="s">
        <v>1624</v>
      </c>
      <c r="Y18" s="21" t="s">
        <v>1609</v>
      </c>
      <c r="Z18" s="21" t="s">
        <v>1398</v>
      </c>
      <c r="AA18" s="21" t="s">
        <v>1532</v>
      </c>
      <c r="AB18" s="29" t="s">
        <v>844</v>
      </c>
      <c r="AC18" s="29" t="s">
        <v>844</v>
      </c>
      <c r="AD18" s="21" t="str">
        <f ca="1">IF(ISNUMBER(AC18),IF(AC18&lt;TODAY(),"Expired",IF(AC18-TODAY()&lt;=30,"Expiring soon","Active")),"Not applicable")</f>
        <v>Not applicable</v>
      </c>
      <c r="AE18" s="21" t="s">
        <v>1610</v>
      </c>
      <c r="AF18" s="21" t="s">
        <v>1655</v>
      </c>
      <c r="AG18" s="21" t="s">
        <v>1656</v>
      </c>
      <c r="AH18" s="21" t="s">
        <v>844</v>
      </c>
      <c r="AI18" s="21">
        <v>16</v>
      </c>
      <c r="AJ18" s="21" t="s">
        <v>1429</v>
      </c>
      <c r="AK18" s="29">
        <v>45805</v>
      </c>
      <c r="AL18" s="21" t="s">
        <v>1657</v>
      </c>
      <c r="AM18" s="21" t="s">
        <v>1405</v>
      </c>
      <c r="AN18" s="21" t="s">
        <v>1658</v>
      </c>
      <c r="AO18" s="29">
        <v>45805</v>
      </c>
      <c r="AP18" s="21" t="s">
        <v>1659</v>
      </c>
      <c r="AQ18" s="21" t="str">
        <f>IF(AND(LEFT(AP18,8)="Verified",AN18&lt;&gt;"Pending"),"Compliant","Non-compliant")</f>
        <v>Compliant</v>
      </c>
      <c r="AR18" s="25">
        <v>55000</v>
      </c>
      <c r="AS18" s="25">
        <f>ROUND(AR18*0.6,0)</f>
        <v>33000</v>
      </c>
      <c r="AT18" s="25">
        <f>ROUND(AS18*0.45,0)</f>
        <v>14850</v>
      </c>
      <c r="AU18" s="21" t="s">
        <v>1509</v>
      </c>
      <c r="AV18" s="21" t="s">
        <v>1409</v>
      </c>
      <c r="AW18" s="21" t="s">
        <v>1014</v>
      </c>
      <c r="AX18" s="21" t="s">
        <v>1647</v>
      </c>
      <c r="AY18" s="21" t="s">
        <v>1660</v>
      </c>
      <c r="AZ18" s="21">
        <v>14</v>
      </c>
      <c r="BA18" s="21">
        <v>10</v>
      </c>
      <c r="BB18" s="21">
        <v>8</v>
      </c>
      <c r="BC18" s="21" t="s">
        <v>1411</v>
      </c>
      <c r="BD18" s="21">
        <v>3</v>
      </c>
      <c r="BE18" s="21" t="s">
        <v>1412</v>
      </c>
      <c r="BF18" s="21" t="s">
        <v>1631</v>
      </c>
      <c r="BG18" s="21" t="s">
        <v>846</v>
      </c>
      <c r="BH18" s="21" t="s">
        <v>844</v>
      </c>
      <c r="BI18" s="21" t="s">
        <v>844</v>
      </c>
      <c r="BJ18" s="21" t="s">
        <v>844</v>
      </c>
      <c r="BK18" s="29" t="s">
        <v>844</v>
      </c>
      <c r="BL18" s="21" t="s">
        <v>1113</v>
      </c>
      <c r="BM18" s="21" t="s">
        <v>844</v>
      </c>
      <c r="BN18" s="29" t="s">
        <v>844</v>
      </c>
      <c r="BO18" s="29" t="s">
        <v>844</v>
      </c>
      <c r="BP18" s="21" t="s">
        <v>1113</v>
      </c>
      <c r="BQ18" s="21" t="s">
        <v>1113</v>
      </c>
    </row>
    <row r="19" spans="1:69" x14ac:dyDescent="0.3">
      <c r="A19" s="21" t="s">
        <v>1661</v>
      </c>
      <c r="B19" s="21" t="s">
        <v>743</v>
      </c>
      <c r="C19" s="21" t="s">
        <v>1415</v>
      </c>
      <c r="D19" s="21" t="s">
        <v>1662</v>
      </c>
      <c r="E19" s="21" t="s">
        <v>1417</v>
      </c>
      <c r="F19" s="29">
        <v>36496</v>
      </c>
      <c r="G19" s="21">
        <f ca="1">DATEDIF(F19,TODAY(),"Y")</f>
        <v>26</v>
      </c>
      <c r="H19" s="21" t="s">
        <v>1383</v>
      </c>
      <c r="I19" s="21" t="s">
        <v>1384</v>
      </c>
      <c r="J19" s="21" t="s">
        <v>1385</v>
      </c>
      <c r="K19" s="21" t="s">
        <v>1495</v>
      </c>
      <c r="L19" s="21" t="s">
        <v>1663</v>
      </c>
      <c r="M19" s="21" t="s">
        <v>1664</v>
      </c>
      <c r="N19" s="21" t="s">
        <v>1665</v>
      </c>
      <c r="O19" s="21" t="s">
        <v>1666</v>
      </c>
      <c r="P19" s="21" t="s">
        <v>1391</v>
      </c>
      <c r="Q19" s="21" t="s">
        <v>1392</v>
      </c>
      <c r="R19" s="21" t="s">
        <v>1576</v>
      </c>
      <c r="S19" s="21" t="s">
        <v>1667</v>
      </c>
      <c r="T19" s="21" t="s">
        <v>1395</v>
      </c>
      <c r="U19" s="21" t="s">
        <v>848</v>
      </c>
      <c r="V19" s="29">
        <v>45639</v>
      </c>
      <c r="W19" s="21" t="s">
        <v>1668</v>
      </c>
      <c r="X19" s="21" t="s">
        <v>1624</v>
      </c>
      <c r="Y19" s="21" t="s">
        <v>1669</v>
      </c>
      <c r="Z19" s="21" t="s">
        <v>1670</v>
      </c>
      <c r="AA19" s="21" t="s">
        <v>1399</v>
      </c>
      <c r="AB19" s="29">
        <v>45627</v>
      </c>
      <c r="AC19" s="29">
        <v>46285</v>
      </c>
      <c r="AD19" s="21" t="str">
        <f ca="1">IF(ISNUMBER(AC19),IF(AC19&lt;TODAY(),"Expired",IF(AC19-TODAY()&lt;=30,"Expiring soon","Active")),"Not applicable")</f>
        <v>Expired</v>
      </c>
      <c r="AE19" s="21" t="s">
        <v>1610</v>
      </c>
      <c r="AF19" s="21" t="s">
        <v>1611</v>
      </c>
      <c r="AG19" s="21" t="s">
        <v>1671</v>
      </c>
      <c r="AH19" s="21" t="s">
        <v>844</v>
      </c>
      <c r="AI19" s="21">
        <v>3</v>
      </c>
      <c r="AJ19" s="21" t="s">
        <v>1552</v>
      </c>
      <c r="AK19" s="29">
        <v>45654</v>
      </c>
      <c r="AL19" s="21" t="s">
        <v>1672</v>
      </c>
      <c r="AM19" s="21" t="s">
        <v>1405</v>
      </c>
      <c r="AN19" s="21" t="s">
        <v>1673</v>
      </c>
      <c r="AO19" s="29">
        <v>45654</v>
      </c>
      <c r="AP19" s="21" t="s">
        <v>1432</v>
      </c>
      <c r="AQ19" s="21" t="str">
        <f>IF(AND(LEFT(AP19,8)="Verified",AN19&lt;&gt;"Pending"),"Compliant","Non-compliant")</f>
        <v>Compliant</v>
      </c>
      <c r="AR19" s="25">
        <v>42000</v>
      </c>
      <c r="AS19" s="25">
        <f>ROUND(AR19*0.6,0)</f>
        <v>25200</v>
      </c>
      <c r="AT19" s="25">
        <f>ROUND(AS19*0.45,0)</f>
        <v>11340</v>
      </c>
      <c r="AU19" s="21" t="s">
        <v>1509</v>
      </c>
      <c r="AV19" s="21" t="s">
        <v>1409</v>
      </c>
      <c r="AW19" s="21" t="s">
        <v>983</v>
      </c>
      <c r="AX19" s="21" t="s">
        <v>1662</v>
      </c>
      <c r="AY19" s="21" t="s">
        <v>1674</v>
      </c>
      <c r="AZ19" s="21">
        <v>14</v>
      </c>
      <c r="BA19" s="21">
        <v>10</v>
      </c>
      <c r="BB19" s="21">
        <v>8</v>
      </c>
      <c r="BC19" s="21" t="s">
        <v>1411</v>
      </c>
      <c r="BD19" s="21">
        <v>4</v>
      </c>
      <c r="BE19" s="21" t="s">
        <v>1412</v>
      </c>
      <c r="BF19" s="21" t="s">
        <v>1631</v>
      </c>
      <c r="BG19" s="21" t="s">
        <v>846</v>
      </c>
      <c r="BH19" s="21" t="s">
        <v>844</v>
      </c>
      <c r="BI19" s="21" t="s">
        <v>844</v>
      </c>
      <c r="BJ19" s="21" t="s">
        <v>844</v>
      </c>
      <c r="BK19" s="29" t="s">
        <v>844</v>
      </c>
      <c r="BL19" s="21" t="s">
        <v>1113</v>
      </c>
      <c r="BM19" s="21" t="s">
        <v>844</v>
      </c>
      <c r="BN19" s="29" t="s">
        <v>844</v>
      </c>
      <c r="BO19" s="29" t="s">
        <v>844</v>
      </c>
      <c r="BP19" s="21" t="s">
        <v>1113</v>
      </c>
      <c r="BQ19" s="21" t="s">
        <v>1113</v>
      </c>
    </row>
    <row r="20" spans="1:69" x14ac:dyDescent="0.3">
      <c r="A20" s="21" t="s">
        <v>1675</v>
      </c>
      <c r="B20" s="21" t="s">
        <v>743</v>
      </c>
      <c r="C20" s="21" t="s">
        <v>1676</v>
      </c>
      <c r="D20" s="21" t="s">
        <v>1677</v>
      </c>
      <c r="E20" s="21" t="s">
        <v>1417</v>
      </c>
      <c r="F20" s="29">
        <v>33059</v>
      </c>
      <c r="G20" s="21">
        <f ca="1">DATEDIF(F20,TODAY(),"Y")</f>
        <v>36</v>
      </c>
      <c r="H20" s="21" t="s">
        <v>1383</v>
      </c>
      <c r="I20" s="21" t="s">
        <v>1384</v>
      </c>
      <c r="J20" s="21" t="s">
        <v>1385</v>
      </c>
      <c r="K20" s="21" t="s">
        <v>1495</v>
      </c>
      <c r="L20" s="21" t="s">
        <v>1678</v>
      </c>
      <c r="M20" s="21" t="s">
        <v>1679</v>
      </c>
      <c r="N20" s="21" t="s">
        <v>844</v>
      </c>
      <c r="O20" s="21" t="s">
        <v>1680</v>
      </c>
      <c r="P20" s="21" t="s">
        <v>1589</v>
      </c>
      <c r="Q20" s="21" t="s">
        <v>1681</v>
      </c>
      <c r="R20" s="21" t="s">
        <v>1576</v>
      </c>
      <c r="S20" s="21" t="s">
        <v>1682</v>
      </c>
      <c r="T20" s="21" t="s">
        <v>1395</v>
      </c>
      <c r="U20" s="21" t="s">
        <v>1446</v>
      </c>
      <c r="V20" s="29">
        <v>46011</v>
      </c>
      <c r="W20" s="21" t="s">
        <v>1683</v>
      </c>
      <c r="X20" s="21" t="s">
        <v>1564</v>
      </c>
      <c r="Y20" s="21" t="s">
        <v>1684</v>
      </c>
      <c r="Z20" s="21" t="s">
        <v>1398</v>
      </c>
      <c r="AA20" s="21" t="s">
        <v>1685</v>
      </c>
      <c r="AB20" s="29" t="s">
        <v>844</v>
      </c>
      <c r="AC20" s="29" t="s">
        <v>844</v>
      </c>
      <c r="AD20" s="21" t="str">
        <f ca="1">IF(ISNUMBER(AC20),IF(AC20&lt;TODAY(),"Expired",IF(AC20-TODAY()&lt;=30,"Expiring soon","Active")),"Not applicable")</f>
        <v>Not applicable</v>
      </c>
      <c r="AE20" s="21" t="s">
        <v>1610</v>
      </c>
      <c r="AF20" s="21" t="s">
        <v>1611</v>
      </c>
      <c r="AG20" s="21" t="s">
        <v>1686</v>
      </c>
      <c r="AH20" s="21" t="s">
        <v>844</v>
      </c>
      <c r="AI20" s="21">
        <v>12</v>
      </c>
      <c r="AJ20" s="21" t="s">
        <v>1687</v>
      </c>
      <c r="AK20" s="29">
        <v>46019</v>
      </c>
      <c r="AL20" s="21" t="s">
        <v>1688</v>
      </c>
      <c r="AM20" s="21" t="s">
        <v>1405</v>
      </c>
      <c r="AN20" s="21" t="s">
        <v>1689</v>
      </c>
      <c r="AO20" s="29">
        <v>46019</v>
      </c>
      <c r="AP20" s="21" t="s">
        <v>1537</v>
      </c>
      <c r="AQ20" s="21" t="str">
        <f>IF(AND(LEFT(AP20,8)="Verified",AN20&lt;&gt;"Pending"),"Compliant","Non-compliant")</f>
        <v>Compliant</v>
      </c>
      <c r="AR20" s="25">
        <v>65000</v>
      </c>
      <c r="AS20" s="25">
        <f>ROUND(AR20*0.6,0)</f>
        <v>39000</v>
      </c>
      <c r="AT20" s="25">
        <f>ROUND(AS20*0.45,0)</f>
        <v>17550</v>
      </c>
      <c r="AU20" s="21" t="s">
        <v>1509</v>
      </c>
      <c r="AV20" s="21" t="s">
        <v>1409</v>
      </c>
      <c r="AW20" s="21" t="s">
        <v>761</v>
      </c>
      <c r="AX20" s="21" t="s">
        <v>1677</v>
      </c>
      <c r="AY20" s="21" t="s">
        <v>1690</v>
      </c>
      <c r="AZ20" s="21">
        <v>14</v>
      </c>
      <c r="BA20" s="21">
        <v>10</v>
      </c>
      <c r="BB20" s="21">
        <v>8</v>
      </c>
      <c r="BC20" s="21" t="s">
        <v>1411</v>
      </c>
      <c r="BD20" s="21">
        <v>0</v>
      </c>
      <c r="BE20" s="21" t="s">
        <v>1691</v>
      </c>
      <c r="BF20" s="21" t="s">
        <v>1570</v>
      </c>
      <c r="BG20" s="21" t="s">
        <v>753</v>
      </c>
      <c r="BH20" s="21" t="s">
        <v>1692</v>
      </c>
      <c r="BI20" s="21" t="s">
        <v>1693</v>
      </c>
      <c r="BJ20" s="21" t="s">
        <v>1694</v>
      </c>
      <c r="BK20" s="29">
        <v>46726</v>
      </c>
      <c r="BL20" s="21" t="str">
        <f ca="1">IF(BK20&lt;TODAY(),"Expired",IF(BK20-TODAY()&lt;=30,"Expiring soon","Valid"))</f>
        <v>Valid</v>
      </c>
      <c r="BM20" s="21" t="s">
        <v>1695</v>
      </c>
      <c r="BN20" s="29">
        <v>46603</v>
      </c>
      <c r="BO20" s="29">
        <v>46740</v>
      </c>
      <c r="BP20" s="21" t="str">
        <f ca="1">IF(BO20&lt;TODAY(),"Expired",IF(BO20-TODAY()&lt;=30,"Expiring soon","Valid"))</f>
        <v>Valid</v>
      </c>
      <c r="BQ20" s="21" t="str">
        <f ca="1">IF(OR(BL20="Expired",BP20="Expired",BN20&lt;TODAY()),"Non-compliant",IF(OR(BL20="Expiring soon",BP20="Expiring soon",BN20-TODAY()&lt;=30),"At risk","Compliant"))</f>
        <v>Compliant</v>
      </c>
    </row>
    <row r="21" spans="1:69" x14ac:dyDescent="0.3">
      <c r="A21" s="21" t="s">
        <v>1696</v>
      </c>
      <c r="B21" s="21" t="s">
        <v>743</v>
      </c>
      <c r="C21" s="21" t="s">
        <v>1676</v>
      </c>
      <c r="D21" s="21" t="s">
        <v>1697</v>
      </c>
      <c r="E21" s="21" t="s">
        <v>1698</v>
      </c>
      <c r="F21" s="29">
        <v>33371</v>
      </c>
      <c r="G21" s="21">
        <f ca="1">DATEDIF(F21,TODAY(),"Y")</f>
        <v>35</v>
      </c>
      <c r="H21" s="21" t="s">
        <v>1383</v>
      </c>
      <c r="I21" s="21" t="s">
        <v>1384</v>
      </c>
      <c r="J21" s="21" t="s">
        <v>1385</v>
      </c>
      <c r="K21" s="21" t="s">
        <v>1618</v>
      </c>
      <c r="L21" s="21" t="s">
        <v>1699</v>
      </c>
      <c r="M21" s="21" t="s">
        <v>1700</v>
      </c>
      <c r="N21" s="21" t="s">
        <v>844</v>
      </c>
      <c r="O21" s="21" t="s">
        <v>1701</v>
      </c>
      <c r="P21" s="21" t="s">
        <v>1391</v>
      </c>
      <c r="Q21" s="21" t="s">
        <v>1392</v>
      </c>
      <c r="R21" s="21" t="s">
        <v>1500</v>
      </c>
      <c r="S21" s="21" t="s">
        <v>1702</v>
      </c>
      <c r="T21" s="21" t="s">
        <v>1395</v>
      </c>
      <c r="U21" s="21" t="s">
        <v>1446</v>
      </c>
      <c r="V21" s="29">
        <v>45650</v>
      </c>
      <c r="W21" s="21" t="s">
        <v>1683</v>
      </c>
      <c r="X21" s="21" t="s">
        <v>1564</v>
      </c>
      <c r="Y21" s="21" t="s">
        <v>1684</v>
      </c>
      <c r="Z21" s="21" t="s">
        <v>1398</v>
      </c>
      <c r="AA21" s="21" t="s">
        <v>1399</v>
      </c>
      <c r="AB21" s="29" t="s">
        <v>844</v>
      </c>
      <c r="AC21" s="29" t="s">
        <v>844</v>
      </c>
      <c r="AD21" s="21" t="str">
        <f ca="1">IF(ISNUMBER(AC21),IF(AC21&lt;TODAY(),"Expired",IF(AC21-TODAY()&lt;=30,"Expiring soon","Active")),"Not applicable")</f>
        <v>Not applicable</v>
      </c>
      <c r="AE21" s="21" t="s">
        <v>1703</v>
      </c>
      <c r="AF21" s="21" t="s">
        <v>844</v>
      </c>
      <c r="AG21" s="21" t="s">
        <v>844</v>
      </c>
      <c r="AH21" s="21" t="s">
        <v>844</v>
      </c>
      <c r="AI21" s="21">
        <v>11</v>
      </c>
      <c r="AJ21" s="21" t="s">
        <v>1687</v>
      </c>
      <c r="AK21" s="29">
        <v>45654</v>
      </c>
      <c r="AL21" s="21" t="s">
        <v>1704</v>
      </c>
      <c r="AM21" s="21" t="s">
        <v>1405</v>
      </c>
      <c r="AN21" s="21" t="s">
        <v>1705</v>
      </c>
      <c r="AO21" s="29">
        <v>45654</v>
      </c>
      <c r="AP21" s="21" t="s">
        <v>1472</v>
      </c>
      <c r="AQ21" s="21" t="str">
        <f>IF(AND(LEFT(AP21,8)="Verified",AN21&lt;&gt;"Pending"),"Compliant","Non-compliant")</f>
        <v>Compliant</v>
      </c>
      <c r="AR21" s="25">
        <v>62000</v>
      </c>
      <c r="AS21" s="25">
        <f>ROUND(AR21*0.6,0)</f>
        <v>37200</v>
      </c>
      <c r="AT21" s="25">
        <f>ROUND(AS21*0.45,0)</f>
        <v>16740</v>
      </c>
      <c r="AU21" s="21" t="s">
        <v>1509</v>
      </c>
      <c r="AV21" s="21" t="s">
        <v>1409</v>
      </c>
      <c r="AW21" s="21" t="s">
        <v>761</v>
      </c>
      <c r="AX21" s="21" t="s">
        <v>1697</v>
      </c>
      <c r="AY21" s="21" t="s">
        <v>1706</v>
      </c>
      <c r="AZ21" s="21">
        <v>14</v>
      </c>
      <c r="BA21" s="21">
        <v>10</v>
      </c>
      <c r="BB21" s="21">
        <v>8</v>
      </c>
      <c r="BC21" s="21" t="s">
        <v>1411</v>
      </c>
      <c r="BD21" s="21">
        <v>7</v>
      </c>
      <c r="BE21" s="21" t="s">
        <v>1691</v>
      </c>
      <c r="BF21" s="21" t="s">
        <v>1570</v>
      </c>
      <c r="BG21" s="21" t="s">
        <v>753</v>
      </c>
      <c r="BH21" s="21" t="s">
        <v>1707</v>
      </c>
      <c r="BI21" s="21" t="s">
        <v>1708</v>
      </c>
      <c r="BJ21" s="21" t="s">
        <v>1694</v>
      </c>
      <c r="BK21" s="29">
        <v>46910</v>
      </c>
      <c r="BL21" s="21" t="str">
        <f ca="1">IF(BK21&lt;TODAY(),"Expired",IF(BK21-TODAY()&lt;=30,"Expiring soon","Valid"))</f>
        <v>Valid</v>
      </c>
      <c r="BM21" s="21" t="s">
        <v>1709</v>
      </c>
      <c r="BN21" s="29">
        <v>46419</v>
      </c>
      <c r="BO21" s="29">
        <v>46676</v>
      </c>
      <c r="BP21" s="21" t="str">
        <f ca="1">IF(BO21&lt;TODAY(),"Expired",IF(BO21-TODAY()&lt;=30,"Expiring soon","Valid"))</f>
        <v>Valid</v>
      </c>
      <c r="BQ21" s="21" t="str">
        <f ca="1">IF(OR(BL21="Expired",BP21="Expired",BN21&lt;TODAY()),"Non-compliant",IF(OR(BL21="Expiring soon",BP21="Expiring soon",BN21-TODAY()&lt;=30),"At risk","Compliant"))</f>
        <v>Compliant</v>
      </c>
    </row>
    <row r="22" spans="1:69" x14ac:dyDescent="0.3">
      <c r="A22" s="21" t="s">
        <v>1710</v>
      </c>
      <c r="B22" s="21" t="s">
        <v>743</v>
      </c>
      <c r="C22" s="21" t="s">
        <v>1676</v>
      </c>
      <c r="D22" s="21" t="s">
        <v>1711</v>
      </c>
      <c r="E22" s="21" t="s">
        <v>1417</v>
      </c>
      <c r="F22" s="29">
        <v>33137</v>
      </c>
      <c r="G22" s="21">
        <f ca="1">DATEDIF(F22,TODAY(),"Y")</f>
        <v>36</v>
      </c>
      <c r="H22" s="21" t="s">
        <v>1383</v>
      </c>
      <c r="I22" s="21" t="s">
        <v>1384</v>
      </c>
      <c r="J22" s="21" t="s">
        <v>1385</v>
      </c>
      <c r="K22" s="21" t="s">
        <v>1649</v>
      </c>
      <c r="L22" s="21" t="s">
        <v>1712</v>
      </c>
      <c r="M22" s="21" t="s">
        <v>1713</v>
      </c>
      <c r="N22" s="21" t="s">
        <v>844</v>
      </c>
      <c r="O22" s="21" t="s">
        <v>1714</v>
      </c>
      <c r="P22" s="21" t="s">
        <v>1391</v>
      </c>
      <c r="Q22" s="21" t="s">
        <v>1392</v>
      </c>
      <c r="R22" s="21" t="s">
        <v>1423</v>
      </c>
      <c r="S22" s="21" t="s">
        <v>1715</v>
      </c>
      <c r="T22" s="21" t="s">
        <v>1395</v>
      </c>
      <c r="U22" s="21" t="s">
        <v>1482</v>
      </c>
      <c r="V22" s="29">
        <v>45950</v>
      </c>
      <c r="W22" s="21" t="s">
        <v>1683</v>
      </c>
      <c r="X22" s="21" t="s">
        <v>1564</v>
      </c>
      <c r="Y22" s="21" t="s">
        <v>1684</v>
      </c>
      <c r="Z22" s="21" t="s">
        <v>1398</v>
      </c>
      <c r="AA22" s="21" t="s">
        <v>1685</v>
      </c>
      <c r="AB22" s="29" t="s">
        <v>844</v>
      </c>
      <c r="AC22" s="29" t="s">
        <v>844</v>
      </c>
      <c r="AD22" s="21" t="str">
        <f ca="1">IF(ISNUMBER(AC22),IF(AC22&lt;TODAY(),"Expired",IF(AC22-TODAY()&lt;=30,"Expiring soon","Active")),"Not applicable")</f>
        <v>Not applicable</v>
      </c>
      <c r="AE22" s="21" t="s">
        <v>1610</v>
      </c>
      <c r="AF22" s="21" t="s">
        <v>1611</v>
      </c>
      <c r="AG22" s="21" t="s">
        <v>1716</v>
      </c>
      <c r="AH22" s="21" t="s">
        <v>844</v>
      </c>
      <c r="AI22" s="21">
        <v>12</v>
      </c>
      <c r="AJ22" s="21" t="s">
        <v>1717</v>
      </c>
      <c r="AK22" s="29">
        <v>45958</v>
      </c>
      <c r="AL22" s="21" t="s">
        <v>1488</v>
      </c>
      <c r="AM22" s="21" t="s">
        <v>1489</v>
      </c>
      <c r="AN22" s="21" t="s">
        <v>1718</v>
      </c>
      <c r="AO22" s="29">
        <v>45958</v>
      </c>
      <c r="AP22" s="21" t="s">
        <v>1568</v>
      </c>
      <c r="AQ22" s="21" t="str">
        <f>IF(AND(LEFT(AP22,8)="Verified",AN22&lt;&gt;"Pending"),"Compliant","Non-compliant")</f>
        <v>Compliant</v>
      </c>
      <c r="AR22" s="25">
        <v>62000</v>
      </c>
      <c r="AS22" s="25">
        <f>ROUND(AR22*0.6,0)</f>
        <v>37200</v>
      </c>
      <c r="AT22" s="25">
        <f>ROUND(AS22*0.45,0)</f>
        <v>16740</v>
      </c>
      <c r="AU22" s="21" t="s">
        <v>1509</v>
      </c>
      <c r="AV22" s="21" t="s">
        <v>1409</v>
      </c>
      <c r="AW22" s="21" t="s">
        <v>1014</v>
      </c>
      <c r="AX22" s="21" t="s">
        <v>1711</v>
      </c>
      <c r="AY22" s="21" t="s">
        <v>1719</v>
      </c>
      <c r="AZ22" s="21">
        <v>14</v>
      </c>
      <c r="BA22" s="21">
        <v>10</v>
      </c>
      <c r="BB22" s="21">
        <v>8</v>
      </c>
      <c r="BC22" s="21" t="s">
        <v>1411</v>
      </c>
      <c r="BD22" s="21">
        <v>4</v>
      </c>
      <c r="BE22" s="21" t="s">
        <v>1691</v>
      </c>
      <c r="BF22" s="21" t="s">
        <v>1570</v>
      </c>
      <c r="BG22" s="21" t="s">
        <v>753</v>
      </c>
      <c r="BH22" s="21" t="s">
        <v>1720</v>
      </c>
      <c r="BI22" s="21" t="s">
        <v>1721</v>
      </c>
      <c r="BJ22" s="21" t="s">
        <v>1694</v>
      </c>
      <c r="BK22" s="29">
        <v>46234</v>
      </c>
      <c r="BL22" s="21" t="str">
        <f ca="1">IF(BK22&lt;TODAY(),"Expired",IF(BK22-TODAY()&lt;=30,"Expiring soon","Valid"))</f>
        <v>Expired</v>
      </c>
      <c r="BM22" s="21" t="s">
        <v>1722</v>
      </c>
      <c r="BN22" s="29">
        <v>46583</v>
      </c>
      <c r="BO22" s="29">
        <v>46617</v>
      </c>
      <c r="BP22" s="21" t="str">
        <f ca="1">IF(BO22&lt;TODAY(),"Expired",IF(BO22-TODAY()&lt;=30,"Expiring soon","Valid"))</f>
        <v>Valid</v>
      </c>
      <c r="BQ22" s="21" t="str">
        <f ca="1">IF(OR(BL22="Expired",BP22="Expired",BN22&lt;TODAY()),"Non-compliant",IF(OR(BL22="Expiring soon",BP22="Expiring soon",BN22-TODAY()&lt;=30),"At risk","Compliant"))</f>
        <v>Non-compliant</v>
      </c>
    </row>
    <row r="23" spans="1:69" x14ac:dyDescent="0.3">
      <c r="A23" s="21" t="s">
        <v>1723</v>
      </c>
      <c r="B23" s="21" t="s">
        <v>743</v>
      </c>
      <c r="C23" s="21" t="s">
        <v>1676</v>
      </c>
      <c r="D23" s="21" t="s">
        <v>1724</v>
      </c>
      <c r="E23" s="21" t="s">
        <v>1417</v>
      </c>
      <c r="F23" s="29">
        <v>32287</v>
      </c>
      <c r="G23" s="21">
        <f ca="1">DATEDIF(F23,TODAY(),"Y")</f>
        <v>38</v>
      </c>
      <c r="H23" s="21" t="s">
        <v>1383</v>
      </c>
      <c r="I23" s="21" t="s">
        <v>1384</v>
      </c>
      <c r="J23" s="21" t="s">
        <v>1385</v>
      </c>
      <c r="K23" s="21" t="s">
        <v>1419</v>
      </c>
      <c r="L23" s="21" t="s">
        <v>1725</v>
      </c>
      <c r="M23" s="21" t="s">
        <v>1726</v>
      </c>
      <c r="N23" s="21" t="s">
        <v>1727</v>
      </c>
      <c r="O23" s="21" t="s">
        <v>1728</v>
      </c>
      <c r="P23" s="21" t="s">
        <v>1729</v>
      </c>
      <c r="Q23" s="21" t="s">
        <v>1443</v>
      </c>
      <c r="R23" s="21" t="s">
        <v>1529</v>
      </c>
      <c r="S23" s="21" t="s">
        <v>1730</v>
      </c>
      <c r="T23" s="21" t="s">
        <v>1395</v>
      </c>
      <c r="U23" s="21" t="s">
        <v>1548</v>
      </c>
      <c r="V23" s="29">
        <v>45841</v>
      </c>
      <c r="W23" s="21" t="s">
        <v>1683</v>
      </c>
      <c r="X23" s="21" t="s">
        <v>1564</v>
      </c>
      <c r="Y23" s="21" t="s">
        <v>1684</v>
      </c>
      <c r="Z23" s="21" t="s">
        <v>1549</v>
      </c>
      <c r="AA23" s="21" t="s">
        <v>1532</v>
      </c>
      <c r="AB23" s="29">
        <v>45839</v>
      </c>
      <c r="AC23" s="29">
        <v>46310</v>
      </c>
      <c r="AD23" s="21" t="str">
        <f ca="1">IF(ISNUMBER(AC23),IF(AC23&lt;TODAY(),"Expired",IF(AC23-TODAY()&lt;=30,"Expiring soon","Active")),"Not applicable")</f>
        <v>Expiring soon</v>
      </c>
      <c r="AE23" s="21" t="s">
        <v>1703</v>
      </c>
      <c r="AF23" s="21" t="s">
        <v>844</v>
      </c>
      <c r="AG23" s="21" t="s">
        <v>844</v>
      </c>
      <c r="AH23" s="21" t="s">
        <v>844</v>
      </c>
      <c r="AI23" s="21">
        <v>14</v>
      </c>
      <c r="AJ23" s="21" t="s">
        <v>1731</v>
      </c>
      <c r="AK23" s="29">
        <v>45866</v>
      </c>
      <c r="AL23" s="21" t="s">
        <v>1732</v>
      </c>
      <c r="AM23" s="21" t="s">
        <v>1405</v>
      </c>
      <c r="AN23" s="21" t="s">
        <v>1733</v>
      </c>
      <c r="AO23" s="29">
        <v>45866</v>
      </c>
      <c r="AP23" s="21" t="s">
        <v>1659</v>
      </c>
      <c r="AQ23" s="21" t="str">
        <f>IF(AND(LEFT(AP23,8)="Verified",AN23&lt;&gt;"Pending"),"Compliant","Non-compliant")</f>
        <v>Compliant</v>
      </c>
      <c r="AR23" s="25">
        <v>58000</v>
      </c>
      <c r="AS23" s="25">
        <f>ROUND(AR23*0.6,0)</f>
        <v>34800</v>
      </c>
      <c r="AT23" s="25">
        <f>ROUND(AS23*0.45,0)</f>
        <v>15660</v>
      </c>
      <c r="AU23" s="21" t="s">
        <v>1509</v>
      </c>
      <c r="AV23" s="21" t="s">
        <v>1409</v>
      </c>
      <c r="AW23" s="21" t="s">
        <v>1014</v>
      </c>
      <c r="AX23" s="21" t="s">
        <v>1724</v>
      </c>
      <c r="AY23" s="21" t="s">
        <v>1734</v>
      </c>
      <c r="AZ23" s="21">
        <v>14</v>
      </c>
      <c r="BA23" s="21">
        <v>10</v>
      </c>
      <c r="BB23" s="21">
        <v>8</v>
      </c>
      <c r="BC23" s="21" t="s">
        <v>1411</v>
      </c>
      <c r="BD23" s="21">
        <v>4</v>
      </c>
      <c r="BE23" s="21" t="s">
        <v>1691</v>
      </c>
      <c r="BF23" s="21" t="s">
        <v>1570</v>
      </c>
      <c r="BG23" s="21" t="s">
        <v>753</v>
      </c>
      <c r="BH23" s="21" t="s">
        <v>1735</v>
      </c>
      <c r="BI23" s="21" t="s">
        <v>1736</v>
      </c>
      <c r="BJ23" s="21" t="s">
        <v>1694</v>
      </c>
      <c r="BK23" s="29">
        <v>46607</v>
      </c>
      <c r="BL23" s="21" t="str">
        <f ca="1">IF(BK23&lt;TODAY(),"Expired",IF(BK23-TODAY()&lt;=30,"Expiring soon","Valid"))</f>
        <v>Valid</v>
      </c>
      <c r="BM23" s="21" t="s">
        <v>1737</v>
      </c>
      <c r="BN23" s="29">
        <v>46522</v>
      </c>
      <c r="BO23" s="29">
        <v>46565</v>
      </c>
      <c r="BP23" s="21" t="str">
        <f ca="1">IF(BO23&lt;TODAY(),"Expired",IF(BO23-TODAY()&lt;=30,"Expiring soon","Valid"))</f>
        <v>Valid</v>
      </c>
      <c r="BQ23" s="21" t="str">
        <f ca="1">IF(OR(BL23="Expired",BP23="Expired",BN23&lt;TODAY()),"Non-compliant",IF(OR(BL23="Expiring soon",BP23="Expiring soon",BN23-TODAY()&lt;=30),"At risk","Compliant"))</f>
        <v>Compliant</v>
      </c>
    </row>
    <row r="24" spans="1:69" x14ac:dyDescent="0.3">
      <c r="A24" s="21" t="s">
        <v>1738</v>
      </c>
      <c r="B24" s="21" t="s">
        <v>743</v>
      </c>
      <c r="C24" s="21" t="s">
        <v>1676</v>
      </c>
      <c r="D24" s="21" t="s">
        <v>1739</v>
      </c>
      <c r="E24" s="21" t="s">
        <v>1740</v>
      </c>
      <c r="F24" s="29">
        <v>33709</v>
      </c>
      <c r="G24" s="21">
        <f ca="1">DATEDIF(F24,TODAY(),"Y")</f>
        <v>34</v>
      </c>
      <c r="H24" s="21" t="s">
        <v>1383</v>
      </c>
      <c r="I24" s="21" t="s">
        <v>1384</v>
      </c>
      <c r="J24" s="21" t="s">
        <v>1385</v>
      </c>
      <c r="K24" s="21" t="s">
        <v>1438</v>
      </c>
      <c r="L24" s="21" t="s">
        <v>1741</v>
      </c>
      <c r="M24" s="21" t="s">
        <v>1742</v>
      </c>
      <c r="N24" s="21" t="s">
        <v>844</v>
      </c>
      <c r="O24" s="21" t="s">
        <v>1743</v>
      </c>
      <c r="P24" s="21" t="s">
        <v>1391</v>
      </c>
      <c r="Q24" s="21" t="s">
        <v>1392</v>
      </c>
      <c r="R24" s="21" t="s">
        <v>1576</v>
      </c>
      <c r="S24" s="21" t="s">
        <v>1744</v>
      </c>
      <c r="T24" s="21" t="s">
        <v>1395</v>
      </c>
      <c r="U24" s="21" t="s">
        <v>1446</v>
      </c>
      <c r="V24" s="29">
        <v>45645</v>
      </c>
      <c r="W24" s="21" t="s">
        <v>1683</v>
      </c>
      <c r="X24" s="21" t="s">
        <v>1564</v>
      </c>
      <c r="Y24" s="21" t="s">
        <v>1684</v>
      </c>
      <c r="Z24" s="21" t="s">
        <v>1398</v>
      </c>
      <c r="AA24" s="21" t="s">
        <v>1399</v>
      </c>
      <c r="AB24" s="29" t="s">
        <v>844</v>
      </c>
      <c r="AC24" s="29" t="s">
        <v>844</v>
      </c>
      <c r="AD24" s="21" t="str">
        <f ca="1">IF(ISNUMBER(AC24),IF(AC24&lt;TODAY(),"Expired",IF(AC24-TODAY()&lt;=30,"Expiring soon","Active")),"Not applicable")</f>
        <v>Not applicable</v>
      </c>
      <c r="AE24" s="21" t="s">
        <v>1610</v>
      </c>
      <c r="AF24" s="21" t="s">
        <v>1611</v>
      </c>
      <c r="AG24" s="21" t="s">
        <v>1745</v>
      </c>
      <c r="AH24" s="21" t="s">
        <v>844</v>
      </c>
      <c r="AI24" s="21">
        <v>10</v>
      </c>
      <c r="AJ24" s="21" t="s">
        <v>1717</v>
      </c>
      <c r="AK24" s="29">
        <v>45654</v>
      </c>
      <c r="AL24" s="21" t="s">
        <v>1746</v>
      </c>
      <c r="AM24" s="21" t="s">
        <v>1405</v>
      </c>
      <c r="AN24" s="21" t="s">
        <v>1747</v>
      </c>
      <c r="AO24" s="29">
        <v>45654</v>
      </c>
      <c r="AP24" s="21" t="s">
        <v>1432</v>
      </c>
      <c r="AQ24" s="21" t="str">
        <f>IF(AND(LEFT(AP24,8)="Verified",AN24&lt;&gt;"Pending"),"Compliant","Non-compliant")</f>
        <v>Compliant</v>
      </c>
      <c r="AR24" s="25">
        <v>60000</v>
      </c>
      <c r="AS24" s="25">
        <f>ROUND(AR24*0.6,0)</f>
        <v>36000</v>
      </c>
      <c r="AT24" s="25">
        <f>ROUND(AS24*0.45,0)</f>
        <v>16200</v>
      </c>
      <c r="AU24" s="21" t="s">
        <v>1509</v>
      </c>
      <c r="AV24" s="21" t="s">
        <v>1409</v>
      </c>
      <c r="AW24" s="21" t="s">
        <v>761</v>
      </c>
      <c r="AX24" s="21" t="s">
        <v>1739</v>
      </c>
      <c r="AY24" s="21" t="s">
        <v>1748</v>
      </c>
      <c r="AZ24" s="21">
        <v>14</v>
      </c>
      <c r="BA24" s="21">
        <v>10</v>
      </c>
      <c r="BB24" s="21">
        <v>8</v>
      </c>
      <c r="BC24" s="21" t="s">
        <v>1411</v>
      </c>
      <c r="BD24" s="21">
        <v>9</v>
      </c>
      <c r="BE24" s="21" t="s">
        <v>1691</v>
      </c>
      <c r="BF24" s="21" t="s">
        <v>1570</v>
      </c>
      <c r="BG24" s="21" t="s">
        <v>753</v>
      </c>
      <c r="BH24" s="21" t="s">
        <v>1749</v>
      </c>
      <c r="BI24" s="21" t="s">
        <v>1750</v>
      </c>
      <c r="BJ24" s="21" t="s">
        <v>1694</v>
      </c>
      <c r="BK24" s="29">
        <v>46808</v>
      </c>
      <c r="BL24" s="21" t="str">
        <f ca="1">IF(BK24&lt;TODAY(),"Expired",IF(BK24-TODAY()&lt;=30,"Expiring soon","Valid"))</f>
        <v>Valid</v>
      </c>
      <c r="BM24" s="21" t="s">
        <v>1751</v>
      </c>
      <c r="BN24" s="29">
        <v>46603</v>
      </c>
      <c r="BO24" s="29">
        <v>46300</v>
      </c>
      <c r="BP24" s="21" t="str">
        <f ca="1">IF(BO24&lt;TODAY(),"Expired",IF(BO24-TODAY()&lt;=30,"Expiring soon","Valid"))</f>
        <v>Expiring soon</v>
      </c>
      <c r="BQ24" s="21" t="str">
        <f ca="1">IF(OR(BL24="Expired",BP24="Expired",BN24&lt;TODAY()),"Non-compliant",IF(OR(BL24="Expiring soon",BP24="Expiring soon",BN24-TODAY()&lt;=30),"At risk","Compliant"))</f>
        <v>At risk</v>
      </c>
    </row>
    <row r="25" spans="1:69" x14ac:dyDescent="0.3">
      <c r="A25" s="21" t="s">
        <v>1752</v>
      </c>
      <c r="B25" s="21" t="s">
        <v>743</v>
      </c>
      <c r="C25" s="21" t="s">
        <v>1676</v>
      </c>
      <c r="D25" s="21" t="s">
        <v>1753</v>
      </c>
      <c r="E25" s="21" t="s">
        <v>1417</v>
      </c>
      <c r="F25" s="29">
        <v>30578</v>
      </c>
      <c r="G25" s="21">
        <f ca="1">DATEDIF(F25,TODAY(),"Y")</f>
        <v>43</v>
      </c>
      <c r="H25" s="21" t="s">
        <v>1383</v>
      </c>
      <c r="I25" s="21" t="s">
        <v>1384</v>
      </c>
      <c r="J25" s="21" t="s">
        <v>1385</v>
      </c>
      <c r="K25" s="21" t="s">
        <v>1618</v>
      </c>
      <c r="L25" s="21" t="s">
        <v>1754</v>
      </c>
      <c r="M25" s="21" t="s">
        <v>1755</v>
      </c>
      <c r="N25" s="21" t="s">
        <v>844</v>
      </c>
      <c r="O25" s="21" t="s">
        <v>1756</v>
      </c>
      <c r="P25" s="21" t="s">
        <v>1391</v>
      </c>
      <c r="Q25" s="21" t="s">
        <v>1392</v>
      </c>
      <c r="R25" s="21" t="s">
        <v>1500</v>
      </c>
      <c r="S25" s="21" t="s">
        <v>1757</v>
      </c>
      <c r="T25" s="21" t="s">
        <v>1395</v>
      </c>
      <c r="U25" s="21" t="s">
        <v>1446</v>
      </c>
      <c r="V25" s="29">
        <v>45853</v>
      </c>
      <c r="W25" s="21" t="s">
        <v>1683</v>
      </c>
      <c r="X25" s="21" t="s">
        <v>1564</v>
      </c>
      <c r="Y25" s="21" t="s">
        <v>1684</v>
      </c>
      <c r="Z25" s="21" t="s">
        <v>1398</v>
      </c>
      <c r="AA25" s="21" t="s">
        <v>1532</v>
      </c>
      <c r="AB25" s="29" t="s">
        <v>844</v>
      </c>
      <c r="AC25" s="29" t="s">
        <v>844</v>
      </c>
      <c r="AD25" s="21" t="str">
        <f ca="1">IF(ISNUMBER(AC25),IF(AC25&lt;TODAY(),"Expired",IF(AC25-TODAY()&lt;=30,"Expiring soon","Active")),"Not applicable")</f>
        <v>Not applicable</v>
      </c>
      <c r="AE25" s="21" t="s">
        <v>1610</v>
      </c>
      <c r="AF25" s="21" t="s">
        <v>1611</v>
      </c>
      <c r="AG25" s="21" t="s">
        <v>1758</v>
      </c>
      <c r="AH25" s="21" t="s">
        <v>844</v>
      </c>
      <c r="AI25" s="21">
        <v>19</v>
      </c>
      <c r="AJ25" s="21" t="s">
        <v>1687</v>
      </c>
      <c r="AK25" s="29">
        <v>45866</v>
      </c>
      <c r="AL25" s="21" t="s">
        <v>1759</v>
      </c>
      <c r="AM25" s="21" t="s">
        <v>1405</v>
      </c>
      <c r="AN25" s="21" t="s">
        <v>1760</v>
      </c>
      <c r="AO25" s="29" t="s">
        <v>844</v>
      </c>
      <c r="AP25" s="21" t="s">
        <v>1537</v>
      </c>
      <c r="AQ25" s="21" t="str">
        <f>IF(AND(LEFT(AP25,8)="Verified",AN25&lt;&gt;"Pending"),"Compliant","Non-compliant")</f>
        <v>Non-compliant</v>
      </c>
      <c r="AR25" s="25">
        <v>60000</v>
      </c>
      <c r="AS25" s="25">
        <f>ROUND(AR25*0.6,0)</f>
        <v>36000</v>
      </c>
      <c r="AT25" s="25">
        <f>ROUND(AS25*0.45,0)</f>
        <v>16200</v>
      </c>
      <c r="AU25" s="21" t="s">
        <v>1509</v>
      </c>
      <c r="AV25" s="21" t="s">
        <v>1409</v>
      </c>
      <c r="AW25" s="21" t="s">
        <v>761</v>
      </c>
      <c r="AX25" s="21" t="s">
        <v>1753</v>
      </c>
      <c r="AY25" s="21" t="s">
        <v>1761</v>
      </c>
      <c r="AZ25" s="21">
        <v>14</v>
      </c>
      <c r="BA25" s="21">
        <v>10</v>
      </c>
      <c r="BB25" s="21">
        <v>8</v>
      </c>
      <c r="BC25" s="21" t="s">
        <v>1411</v>
      </c>
      <c r="BD25" s="21">
        <v>2</v>
      </c>
      <c r="BE25" s="21" t="s">
        <v>1691</v>
      </c>
      <c r="BF25" s="21" t="s">
        <v>1570</v>
      </c>
      <c r="BG25" s="21" t="s">
        <v>753</v>
      </c>
      <c r="BH25" s="21" t="s">
        <v>1762</v>
      </c>
      <c r="BI25" s="21" t="s">
        <v>1763</v>
      </c>
      <c r="BJ25" s="21" t="s">
        <v>1694</v>
      </c>
      <c r="BK25" s="29">
        <v>46305</v>
      </c>
      <c r="BL25" s="21" t="str">
        <f ca="1">IF(BK25&lt;TODAY(),"Expired",IF(BK25-TODAY()&lt;=30,"Expiring soon","Valid"))</f>
        <v>Expiring soon</v>
      </c>
      <c r="BM25" s="21" t="s">
        <v>1764</v>
      </c>
      <c r="BN25" s="29">
        <v>46532</v>
      </c>
      <c r="BO25" s="29">
        <v>46651</v>
      </c>
      <c r="BP25" s="21" t="str">
        <f ca="1">IF(BO25&lt;TODAY(),"Expired",IF(BO25-TODAY()&lt;=30,"Expiring soon","Valid"))</f>
        <v>Valid</v>
      </c>
      <c r="BQ25" s="21" t="str">
        <f ca="1">IF(OR(BL25="Expired",BP25="Expired",BN25&lt;TODAY()),"Non-compliant",IF(OR(BL25="Expiring soon",BP25="Expiring soon",BN25-TODAY()&lt;=30),"At risk","Compliant"))</f>
        <v>At risk</v>
      </c>
    </row>
    <row r="26" spans="1:69" x14ac:dyDescent="0.3">
      <c r="A26" s="21" t="s">
        <v>1765</v>
      </c>
      <c r="B26" s="21" t="s">
        <v>743</v>
      </c>
      <c r="C26" s="21" t="s">
        <v>1676</v>
      </c>
      <c r="D26" s="21" t="s">
        <v>1766</v>
      </c>
      <c r="E26" s="21" t="s">
        <v>1417</v>
      </c>
      <c r="F26" s="29">
        <v>32051</v>
      </c>
      <c r="G26" s="21">
        <f ca="1">DATEDIF(F26,TODAY(),"Y")</f>
        <v>38</v>
      </c>
      <c r="H26" s="21" t="s">
        <v>1383</v>
      </c>
      <c r="I26" s="21" t="s">
        <v>1384</v>
      </c>
      <c r="J26" s="21" t="s">
        <v>1385</v>
      </c>
      <c r="K26" s="21" t="s">
        <v>1386</v>
      </c>
      <c r="L26" s="21" t="s">
        <v>1767</v>
      </c>
      <c r="M26" s="21" t="s">
        <v>1768</v>
      </c>
      <c r="N26" s="21" t="s">
        <v>844</v>
      </c>
      <c r="O26" s="21" t="s">
        <v>1769</v>
      </c>
      <c r="P26" s="21" t="s">
        <v>1637</v>
      </c>
      <c r="Q26" s="21" t="s">
        <v>1392</v>
      </c>
      <c r="R26" s="21" t="s">
        <v>1576</v>
      </c>
      <c r="S26" s="21" t="s">
        <v>1770</v>
      </c>
      <c r="T26" s="21" t="s">
        <v>1395</v>
      </c>
      <c r="U26" s="21" t="s">
        <v>1396</v>
      </c>
      <c r="V26" s="29">
        <v>45715</v>
      </c>
      <c r="W26" s="21" t="s">
        <v>1771</v>
      </c>
      <c r="X26" s="21" t="s">
        <v>1564</v>
      </c>
      <c r="Y26" s="21" t="s">
        <v>1772</v>
      </c>
      <c r="Z26" s="21" t="s">
        <v>1549</v>
      </c>
      <c r="AA26" s="21" t="s">
        <v>1532</v>
      </c>
      <c r="AB26" s="29">
        <v>45689</v>
      </c>
      <c r="AC26" s="29">
        <v>46417</v>
      </c>
      <c r="AD26" s="21" t="str">
        <f ca="1">IF(ISNUMBER(AC26),IF(AC26&lt;TODAY(),"Expired",IF(AC26-TODAY()&lt;=30,"Expiring soon","Active")),"Not applicable")</f>
        <v>Active</v>
      </c>
      <c r="AE26" s="21" t="s">
        <v>1610</v>
      </c>
      <c r="AF26" s="21" t="s">
        <v>1611</v>
      </c>
      <c r="AG26" s="21" t="s">
        <v>1773</v>
      </c>
      <c r="AH26" s="21" t="s">
        <v>844</v>
      </c>
      <c r="AI26" s="21">
        <v>15</v>
      </c>
      <c r="AJ26" s="21" t="s">
        <v>1731</v>
      </c>
      <c r="AK26" s="29">
        <v>45716</v>
      </c>
      <c r="AL26" s="21" t="s">
        <v>1774</v>
      </c>
      <c r="AM26" s="21" t="s">
        <v>1405</v>
      </c>
      <c r="AN26" s="21" t="s">
        <v>1775</v>
      </c>
      <c r="AO26" s="29">
        <v>45716</v>
      </c>
      <c r="AP26" s="21" t="s">
        <v>1760</v>
      </c>
      <c r="AQ26" s="21" t="str">
        <f>IF(AND(LEFT(AP26,8)="Verified",AN26&lt;&gt;"Pending"),"Compliant","Non-compliant")</f>
        <v>Non-compliant</v>
      </c>
      <c r="AR26" s="25">
        <v>55000</v>
      </c>
      <c r="AS26" s="25">
        <f>ROUND(AR26*0.6,0)</f>
        <v>33000</v>
      </c>
      <c r="AT26" s="25">
        <f>ROUND(AS26*0.45,0)</f>
        <v>14850</v>
      </c>
      <c r="AU26" s="21" t="s">
        <v>1509</v>
      </c>
      <c r="AV26" s="21" t="s">
        <v>1409</v>
      </c>
      <c r="AW26" s="21" t="s">
        <v>761</v>
      </c>
      <c r="AX26" s="21" t="s">
        <v>1766</v>
      </c>
      <c r="AY26" s="21" t="s">
        <v>1776</v>
      </c>
      <c r="AZ26" s="21">
        <v>14</v>
      </c>
      <c r="BA26" s="21">
        <v>10</v>
      </c>
      <c r="BB26" s="21">
        <v>8</v>
      </c>
      <c r="BC26" s="21" t="s">
        <v>1411</v>
      </c>
      <c r="BD26" s="21">
        <v>2</v>
      </c>
      <c r="BE26" s="21" t="s">
        <v>1691</v>
      </c>
      <c r="BF26" s="21" t="s">
        <v>1570</v>
      </c>
      <c r="BG26" s="21" t="s">
        <v>753</v>
      </c>
      <c r="BH26" s="21" t="s">
        <v>1777</v>
      </c>
      <c r="BI26" s="21" t="s">
        <v>1778</v>
      </c>
      <c r="BJ26" s="21" t="s">
        <v>1779</v>
      </c>
      <c r="BK26" s="29">
        <v>46649</v>
      </c>
      <c r="BL26" s="21" t="str">
        <f ca="1">IF(BK26&lt;TODAY(),"Expired",IF(BK26-TODAY()&lt;=30,"Expiring soon","Valid"))</f>
        <v>Valid</v>
      </c>
      <c r="BM26" s="21" t="s">
        <v>1780</v>
      </c>
      <c r="BN26" s="29">
        <v>46266</v>
      </c>
      <c r="BO26" s="29">
        <v>46712</v>
      </c>
      <c r="BP26" s="21" t="str">
        <f ca="1">IF(BO26&lt;TODAY(),"Expired",IF(BO26-TODAY()&lt;=30,"Expiring soon","Valid"))</f>
        <v>Valid</v>
      </c>
      <c r="BQ26" s="21" t="str">
        <f ca="1">IF(OR(BL26="Expired",BP26="Expired",BN26&lt;TODAY()),"Non-compliant",IF(OR(BL26="Expiring soon",BP26="Expiring soon",BN26-TODAY()&lt;=30),"At risk","Compliant"))</f>
        <v>Non-compliant</v>
      </c>
    </row>
    <row r="27" spans="1:69" x14ac:dyDescent="0.3">
      <c r="A27" s="21" t="s">
        <v>1781</v>
      </c>
      <c r="B27" s="21" t="s">
        <v>743</v>
      </c>
      <c r="C27" s="21" t="s">
        <v>1676</v>
      </c>
      <c r="D27" s="21" t="s">
        <v>1782</v>
      </c>
      <c r="E27" s="21" t="s">
        <v>1783</v>
      </c>
      <c r="F27" s="29">
        <v>30823</v>
      </c>
      <c r="G27" s="21">
        <f ca="1">DATEDIF(F27,TODAY(),"Y")</f>
        <v>42</v>
      </c>
      <c r="H27" s="21" t="s">
        <v>1383</v>
      </c>
      <c r="I27" s="21" t="s">
        <v>1384</v>
      </c>
      <c r="J27" s="21" t="s">
        <v>1385</v>
      </c>
      <c r="K27" s="21" t="s">
        <v>1495</v>
      </c>
      <c r="L27" s="21" t="s">
        <v>1784</v>
      </c>
      <c r="M27" s="21" t="s">
        <v>1785</v>
      </c>
      <c r="N27" s="21" t="s">
        <v>1786</v>
      </c>
      <c r="O27" s="21" t="s">
        <v>1787</v>
      </c>
      <c r="P27" s="21" t="s">
        <v>1391</v>
      </c>
      <c r="Q27" s="21" t="s">
        <v>1392</v>
      </c>
      <c r="R27" s="21" t="s">
        <v>1529</v>
      </c>
      <c r="S27" s="21" t="s">
        <v>1788</v>
      </c>
      <c r="T27" s="21" t="s">
        <v>1395</v>
      </c>
      <c r="U27" s="21" t="s">
        <v>1446</v>
      </c>
      <c r="V27" s="29">
        <v>45590</v>
      </c>
      <c r="W27" s="21" t="s">
        <v>1683</v>
      </c>
      <c r="X27" s="21" t="s">
        <v>1564</v>
      </c>
      <c r="Y27" s="21" t="s">
        <v>1684</v>
      </c>
      <c r="Z27" s="21" t="s">
        <v>1398</v>
      </c>
      <c r="AA27" s="21" t="s">
        <v>1399</v>
      </c>
      <c r="AB27" s="29" t="s">
        <v>844</v>
      </c>
      <c r="AC27" s="29" t="s">
        <v>844</v>
      </c>
      <c r="AD27" s="21" t="str">
        <f ca="1">IF(ISNUMBER(AC27),IF(AC27&lt;TODAY(),"Expired",IF(AC27-TODAY()&lt;=30,"Expiring soon","Active")),"Not applicable")</f>
        <v>Not applicable</v>
      </c>
      <c r="AE27" s="21" t="s">
        <v>1703</v>
      </c>
      <c r="AF27" s="21" t="s">
        <v>844</v>
      </c>
      <c r="AG27" s="21" t="s">
        <v>844</v>
      </c>
      <c r="AH27" s="21" t="s">
        <v>844</v>
      </c>
      <c r="AI27" s="21">
        <v>18</v>
      </c>
      <c r="AJ27" s="21" t="s">
        <v>1731</v>
      </c>
      <c r="AK27" s="29">
        <v>45593</v>
      </c>
      <c r="AL27" s="21" t="s">
        <v>1488</v>
      </c>
      <c r="AM27" s="21" t="s">
        <v>1489</v>
      </c>
      <c r="AN27" s="21" t="s">
        <v>1789</v>
      </c>
      <c r="AO27" s="29">
        <v>45593</v>
      </c>
      <c r="AP27" s="21" t="s">
        <v>1491</v>
      </c>
      <c r="AQ27" s="21" t="str">
        <f>IF(AND(LEFT(AP27,8)="Verified",AN27&lt;&gt;"Pending"),"Compliant","Non-compliant")</f>
        <v>Compliant</v>
      </c>
      <c r="AR27" s="25">
        <v>62000</v>
      </c>
      <c r="AS27" s="25">
        <f>ROUND(AR27*0.6,0)</f>
        <v>37200</v>
      </c>
      <c r="AT27" s="25">
        <f>ROUND(AS27*0.45,0)</f>
        <v>16740</v>
      </c>
      <c r="AU27" s="21" t="s">
        <v>1509</v>
      </c>
      <c r="AV27" s="21" t="s">
        <v>1409</v>
      </c>
      <c r="AW27" s="21" t="s">
        <v>983</v>
      </c>
      <c r="AX27" s="21" t="s">
        <v>1782</v>
      </c>
      <c r="AY27" s="21" t="s">
        <v>1790</v>
      </c>
      <c r="AZ27" s="21">
        <v>14</v>
      </c>
      <c r="BA27" s="21">
        <v>10</v>
      </c>
      <c r="BB27" s="21">
        <v>8</v>
      </c>
      <c r="BC27" s="21" t="s">
        <v>1411</v>
      </c>
      <c r="BD27" s="21">
        <v>6</v>
      </c>
      <c r="BE27" s="21" t="s">
        <v>1691</v>
      </c>
      <c r="BF27" s="21" t="s">
        <v>1570</v>
      </c>
      <c r="BG27" s="21" t="s">
        <v>753</v>
      </c>
      <c r="BH27" s="21" t="s">
        <v>1791</v>
      </c>
      <c r="BI27" s="21" t="s">
        <v>1792</v>
      </c>
      <c r="BJ27" s="21" t="s">
        <v>1694</v>
      </c>
      <c r="BK27" s="29">
        <v>46771</v>
      </c>
      <c r="BL27" s="21" t="str">
        <f ca="1">IF(BK27&lt;TODAY(),"Expired",IF(BK27-TODAY()&lt;=30,"Expiring soon","Valid"))</f>
        <v>Valid</v>
      </c>
      <c r="BM27" s="21" t="s">
        <v>1793</v>
      </c>
      <c r="BN27" s="29">
        <v>46541</v>
      </c>
      <c r="BO27" s="29">
        <v>46393</v>
      </c>
      <c r="BP27" s="21" t="str">
        <f ca="1">IF(BO27&lt;TODAY(),"Expired",IF(BO27-TODAY()&lt;=30,"Expiring soon","Valid"))</f>
        <v>Valid</v>
      </c>
      <c r="BQ27" s="21" t="str">
        <f ca="1">IF(OR(BL27="Expired",BP27="Expired",BN27&lt;TODAY()),"Non-compliant",IF(OR(BL27="Expiring soon",BP27="Expiring soon",BN27-TODAY()&lt;=30),"At risk","Compliant"))</f>
        <v>Compliant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D6D3F-BFC9-4214-A28A-0DF8433D7B5A}">
  <dimension ref="A1:BY182"/>
  <sheetViews>
    <sheetView workbookViewId="0">
      <pane ySplit="2" topLeftCell="A3" activePane="bottomLeft" state="frozen"/>
      <selection activeCell="B16" sqref="B16"/>
      <selection pane="bottomLeft" activeCell="B16" sqref="B16"/>
    </sheetView>
  </sheetViews>
  <sheetFormatPr defaultRowHeight="16.5" x14ac:dyDescent="0.3"/>
  <cols>
    <col min="1" max="77" width="18.375" customWidth="1"/>
  </cols>
  <sheetData>
    <row r="1" spans="1:77" s="12" customFormat="1" ht="30" customHeight="1" x14ac:dyDescent="0.3">
      <c r="A1" s="15" t="s">
        <v>361</v>
      </c>
      <c r="B1" s="14" t="s">
        <v>60</v>
      </c>
      <c r="C1" s="14" t="s">
        <v>60</v>
      </c>
      <c r="D1" s="14" t="s">
        <v>60</v>
      </c>
      <c r="E1" s="14" t="s">
        <v>60</v>
      </c>
      <c r="F1" s="14" t="s">
        <v>60</v>
      </c>
      <c r="G1" s="14" t="s">
        <v>60</v>
      </c>
      <c r="H1" s="14" t="s">
        <v>60</v>
      </c>
      <c r="I1" s="14" t="s">
        <v>60</v>
      </c>
      <c r="J1" s="14" t="s">
        <v>60</v>
      </c>
      <c r="K1" s="14" t="s">
        <v>60</v>
      </c>
      <c r="L1" s="14" t="s">
        <v>60</v>
      </c>
      <c r="M1" s="14" t="s">
        <v>60</v>
      </c>
      <c r="N1" s="14" t="s">
        <v>60</v>
      </c>
      <c r="O1" s="14" t="s">
        <v>60</v>
      </c>
      <c r="P1" s="14" t="s">
        <v>60</v>
      </c>
      <c r="Q1" s="14" t="s">
        <v>60</v>
      </c>
      <c r="R1" s="14" t="s">
        <v>60</v>
      </c>
      <c r="S1" s="14" t="s">
        <v>60</v>
      </c>
      <c r="T1" s="14" t="s">
        <v>360</v>
      </c>
      <c r="U1" s="14" t="s">
        <v>60</v>
      </c>
      <c r="V1" s="14" t="s">
        <v>60</v>
      </c>
      <c r="W1" s="14" t="s">
        <v>60</v>
      </c>
      <c r="X1" s="14" t="s">
        <v>60</v>
      </c>
      <c r="Y1" s="14" t="s">
        <v>60</v>
      </c>
      <c r="Z1" s="14" t="s">
        <v>60</v>
      </c>
      <c r="AA1" s="14" t="s">
        <v>60</v>
      </c>
      <c r="AB1" s="14" t="s">
        <v>60</v>
      </c>
      <c r="AC1" s="14" t="s">
        <v>359</v>
      </c>
      <c r="AD1" s="14" t="s">
        <v>60</v>
      </c>
      <c r="AE1" s="14" t="s">
        <v>60</v>
      </c>
      <c r="AF1" s="14" t="s">
        <v>358</v>
      </c>
      <c r="AG1" s="14" t="s">
        <v>60</v>
      </c>
      <c r="AH1" s="14" t="s">
        <v>60</v>
      </c>
      <c r="AI1" s="14" t="s">
        <v>60</v>
      </c>
      <c r="AJ1" s="14" t="s">
        <v>60</v>
      </c>
      <c r="AK1" s="14" t="s">
        <v>60</v>
      </c>
      <c r="AL1" s="14" t="s">
        <v>60</v>
      </c>
      <c r="AM1" s="14" t="s">
        <v>60</v>
      </c>
      <c r="AN1" s="14" t="s">
        <v>60</v>
      </c>
      <c r="AO1" s="14" t="s">
        <v>60</v>
      </c>
      <c r="AP1" s="14" t="s">
        <v>60</v>
      </c>
      <c r="AQ1" s="14" t="s">
        <v>357</v>
      </c>
      <c r="AR1" s="14" t="s">
        <v>60</v>
      </c>
      <c r="AS1" s="14" t="s">
        <v>60</v>
      </c>
      <c r="AT1" s="14" t="s">
        <v>60</v>
      </c>
      <c r="AU1" s="14" t="s">
        <v>60</v>
      </c>
      <c r="AV1" s="14" t="s">
        <v>60</v>
      </c>
      <c r="AW1" s="14" t="s">
        <v>60</v>
      </c>
      <c r="AX1" s="14" t="s">
        <v>60</v>
      </c>
      <c r="AY1" s="14" t="s">
        <v>60</v>
      </c>
      <c r="AZ1" s="14" t="s">
        <v>356</v>
      </c>
      <c r="BA1" s="14" t="s">
        <v>60</v>
      </c>
      <c r="BB1" s="14" t="s">
        <v>60</v>
      </c>
      <c r="BC1" s="14" t="s">
        <v>60</v>
      </c>
      <c r="BD1" s="14" t="s">
        <v>60</v>
      </c>
      <c r="BE1" s="14" t="s">
        <v>355</v>
      </c>
      <c r="BF1" s="14" t="s">
        <v>60</v>
      </c>
      <c r="BG1" s="14" t="s">
        <v>60</v>
      </c>
      <c r="BH1" s="14" t="s">
        <v>60</v>
      </c>
      <c r="BI1" s="14" t="s">
        <v>60</v>
      </c>
      <c r="BJ1" s="14" t="s">
        <v>60</v>
      </c>
      <c r="BK1" s="14" t="s">
        <v>60</v>
      </c>
      <c r="BL1" s="14" t="s">
        <v>60</v>
      </c>
      <c r="BM1" s="14" t="s">
        <v>60</v>
      </c>
      <c r="BN1" s="14" t="s">
        <v>60</v>
      </c>
      <c r="BO1" s="14" t="s">
        <v>60</v>
      </c>
      <c r="BP1" s="14" t="s">
        <v>354</v>
      </c>
      <c r="BQ1" s="14" t="s">
        <v>60</v>
      </c>
      <c r="BR1" s="14" t="s">
        <v>60</v>
      </c>
      <c r="BS1" s="14" t="s">
        <v>60</v>
      </c>
      <c r="BT1" s="14" t="s">
        <v>60</v>
      </c>
      <c r="BU1" s="14" t="s">
        <v>60</v>
      </c>
      <c r="BV1" s="14" t="s">
        <v>60</v>
      </c>
      <c r="BW1" s="14" t="s">
        <v>60</v>
      </c>
      <c r="BX1" s="14" t="s">
        <v>60</v>
      </c>
      <c r="BY1" s="13" t="s">
        <v>60</v>
      </c>
    </row>
    <row r="2" spans="1:77" ht="45" customHeight="1" x14ac:dyDescent="0.3">
      <c r="A2" s="11" t="s">
        <v>353</v>
      </c>
      <c r="B2" s="10" t="s">
        <v>352</v>
      </c>
      <c r="C2" s="10" t="s">
        <v>351</v>
      </c>
      <c r="D2" s="10" t="s">
        <v>350</v>
      </c>
      <c r="E2" s="10" t="s">
        <v>349</v>
      </c>
      <c r="F2" s="10" t="s">
        <v>348</v>
      </c>
      <c r="G2" s="10" t="s">
        <v>347</v>
      </c>
      <c r="H2" s="10" t="s">
        <v>346</v>
      </c>
      <c r="I2" s="10" t="s">
        <v>345</v>
      </c>
      <c r="J2" s="10" t="s">
        <v>344</v>
      </c>
      <c r="K2" s="10" t="s">
        <v>343</v>
      </c>
      <c r="L2" s="10" t="s">
        <v>342</v>
      </c>
      <c r="M2" s="10" t="s">
        <v>341</v>
      </c>
      <c r="N2" s="10" t="s">
        <v>340</v>
      </c>
      <c r="O2" s="10" t="s">
        <v>339</v>
      </c>
      <c r="P2" s="10" t="s">
        <v>338</v>
      </c>
      <c r="Q2" s="10" t="s">
        <v>337</v>
      </c>
      <c r="R2" s="10" t="s">
        <v>336</v>
      </c>
      <c r="S2" s="10" t="s">
        <v>335</v>
      </c>
      <c r="T2" s="10" t="s">
        <v>334</v>
      </c>
      <c r="U2" s="10" t="s">
        <v>333</v>
      </c>
      <c r="V2" s="10" t="s">
        <v>332</v>
      </c>
      <c r="W2" s="10" t="s">
        <v>331</v>
      </c>
      <c r="X2" s="10" t="s">
        <v>330</v>
      </c>
      <c r="Y2" s="10" t="s">
        <v>329</v>
      </c>
      <c r="Z2" s="10" t="s">
        <v>328</v>
      </c>
      <c r="AA2" s="10" t="s">
        <v>327</v>
      </c>
      <c r="AB2" s="10" t="s">
        <v>326</v>
      </c>
      <c r="AC2" s="10" t="s">
        <v>325</v>
      </c>
      <c r="AD2" s="10" t="s">
        <v>324</v>
      </c>
      <c r="AE2" s="10" t="s">
        <v>323</v>
      </c>
      <c r="AF2" s="10" t="s">
        <v>322</v>
      </c>
      <c r="AG2" s="10" t="s">
        <v>321</v>
      </c>
      <c r="AH2" s="10" t="s">
        <v>320</v>
      </c>
      <c r="AI2" s="10" t="s">
        <v>319</v>
      </c>
      <c r="AJ2" s="10" t="s">
        <v>318</v>
      </c>
      <c r="AK2" s="10" t="s">
        <v>317</v>
      </c>
      <c r="AL2" s="10" t="s">
        <v>316</v>
      </c>
      <c r="AM2" s="10" t="s">
        <v>315</v>
      </c>
      <c r="AN2" s="10" t="s">
        <v>314</v>
      </c>
      <c r="AO2" s="10" t="s">
        <v>313</v>
      </c>
      <c r="AP2" s="10" t="s">
        <v>312</v>
      </c>
      <c r="AQ2" s="10" t="s">
        <v>311</v>
      </c>
      <c r="AR2" s="10" t="s">
        <v>310</v>
      </c>
      <c r="AS2" s="10" t="s">
        <v>309</v>
      </c>
      <c r="AT2" s="10" t="s">
        <v>308</v>
      </c>
      <c r="AU2" s="10" t="s">
        <v>307</v>
      </c>
      <c r="AV2" s="10" t="s">
        <v>306</v>
      </c>
      <c r="AW2" s="10" t="s">
        <v>305</v>
      </c>
      <c r="AX2" s="10" t="s">
        <v>304</v>
      </c>
      <c r="AY2" s="10" t="s">
        <v>303</v>
      </c>
      <c r="AZ2" s="10" t="s">
        <v>302</v>
      </c>
      <c r="BA2" s="10" t="s">
        <v>301</v>
      </c>
      <c r="BB2" s="10" t="s">
        <v>300</v>
      </c>
      <c r="BC2" s="10" t="s">
        <v>299</v>
      </c>
      <c r="BD2" s="10" t="s">
        <v>298</v>
      </c>
      <c r="BE2" s="10" t="s">
        <v>297</v>
      </c>
      <c r="BF2" s="10" t="s">
        <v>296</v>
      </c>
      <c r="BG2" s="10" t="s">
        <v>295</v>
      </c>
      <c r="BH2" s="10" t="s">
        <v>294</v>
      </c>
      <c r="BI2" s="10" t="s">
        <v>293</v>
      </c>
      <c r="BJ2" s="10" t="s">
        <v>292</v>
      </c>
      <c r="BK2" s="10" t="s">
        <v>291</v>
      </c>
      <c r="BL2" s="10" t="s">
        <v>290</v>
      </c>
      <c r="BM2" s="10" t="s">
        <v>289</v>
      </c>
      <c r="BN2" s="10" t="s">
        <v>288</v>
      </c>
      <c r="BO2" s="10" t="s">
        <v>287</v>
      </c>
      <c r="BP2" s="10" t="s">
        <v>286</v>
      </c>
      <c r="BQ2" s="10" t="s">
        <v>285</v>
      </c>
      <c r="BR2" s="10" t="s">
        <v>284</v>
      </c>
      <c r="BS2" s="10" t="s">
        <v>283</v>
      </c>
      <c r="BT2" s="10" t="s">
        <v>282</v>
      </c>
      <c r="BU2" s="10" t="s">
        <v>281</v>
      </c>
      <c r="BV2" s="10" t="s">
        <v>280</v>
      </c>
      <c r="BW2" s="10" t="s">
        <v>279</v>
      </c>
      <c r="BX2" s="10" t="s">
        <v>278</v>
      </c>
      <c r="BY2" s="9" t="s">
        <v>277</v>
      </c>
    </row>
    <row r="3" spans="1:77" x14ac:dyDescent="0.3">
      <c r="A3" s="20" t="s">
        <v>3344</v>
      </c>
      <c r="B3" s="20" t="s">
        <v>3345</v>
      </c>
      <c r="C3" s="20" t="s">
        <v>3346</v>
      </c>
      <c r="D3" s="34">
        <v>45571.625</v>
      </c>
      <c r="E3" s="20" t="s">
        <v>3347</v>
      </c>
      <c r="F3" s="20" t="str">
        <f ca="1">IF(S3="Paid","Completed","Pending payment")</f>
        <v>Completed</v>
      </c>
      <c r="G3" s="20" t="s">
        <v>3348</v>
      </c>
      <c r="H3" s="20" t="s">
        <v>3349</v>
      </c>
      <c r="I3" s="28">
        <v>45572</v>
      </c>
      <c r="J3" s="28">
        <v>45570</v>
      </c>
      <c r="K3" s="20" t="str">
        <f>TEXT(I3,"mmm-yyyy")</f>
        <v>Oct-2024</v>
      </c>
      <c r="L3" s="20" t="s">
        <v>1797</v>
      </c>
      <c r="M3" s="20">
        <v>1</v>
      </c>
      <c r="N3" s="20" t="s">
        <v>743</v>
      </c>
      <c r="O3" s="20" t="s">
        <v>3350</v>
      </c>
      <c r="P3" s="20" t="s">
        <v>3351</v>
      </c>
      <c r="Q3" s="20" t="s">
        <v>844</v>
      </c>
      <c r="R3" s="20" t="s">
        <v>3352</v>
      </c>
      <c r="S3" s="20" t="str">
        <f ca="1">IF(BN3&lt;1,"Paid",IF(BM3&gt;0,"Partially paid",IF(ISNUMBER(SEARCH("hold",BU3)),"On hold",IF(BQ3&lt;TODAY(),"Overdue","Approved - unpaid"))))</f>
        <v>Paid</v>
      </c>
      <c r="T3" s="20" t="s">
        <v>3353</v>
      </c>
      <c r="U3" s="20" t="s">
        <v>3354</v>
      </c>
      <c r="V3" s="20" t="s">
        <v>3355</v>
      </c>
      <c r="W3" s="20" t="s">
        <v>746</v>
      </c>
      <c r="X3" s="20" t="s">
        <v>846</v>
      </c>
      <c r="Y3" s="20" t="s">
        <v>3356</v>
      </c>
      <c r="Z3" s="20" t="s">
        <v>3357</v>
      </c>
      <c r="AA3" s="20" t="s">
        <v>3358</v>
      </c>
      <c r="AB3" s="36">
        <v>0</v>
      </c>
      <c r="AC3" s="20" t="s">
        <v>844</v>
      </c>
      <c r="AD3" s="20" t="s">
        <v>844</v>
      </c>
      <c r="AE3" s="20" t="s">
        <v>844</v>
      </c>
      <c r="AF3" s="20">
        <v>1</v>
      </c>
      <c r="AG3" s="20" t="s">
        <v>911</v>
      </c>
      <c r="AH3" s="20" t="s">
        <v>913</v>
      </c>
      <c r="AI3" s="20" t="s">
        <v>905</v>
      </c>
      <c r="AJ3" s="36">
        <v>1</v>
      </c>
      <c r="AK3" s="36">
        <v>1</v>
      </c>
      <c r="AL3" s="36">
        <v>85000</v>
      </c>
      <c r="AM3" s="36">
        <f>AK3*AL3</f>
        <v>85000</v>
      </c>
      <c r="AN3" s="36">
        <f>AM3</f>
        <v>85000</v>
      </c>
      <c r="AO3" s="22">
        <f>_xlfn.XLOOKUP(AG3,'T13'!$A$3:$A$1500,'T13'!$O$3:$O$1500)</f>
        <v>0.18</v>
      </c>
      <c r="AP3" s="36">
        <v>0</v>
      </c>
      <c r="AQ3" s="36">
        <f>SUMIFS($AN$3:$AN$1500,$G$3:$G$1500,G3)</f>
        <v>85000</v>
      </c>
      <c r="AR3" s="36">
        <f>SUMIFS($AP$3:$AP$1500,$G$3:$G$1500,G3)</f>
        <v>0</v>
      </c>
      <c r="AS3" s="20" t="s">
        <v>3359</v>
      </c>
      <c r="AT3" s="36">
        <f>ROUND(BH3*0,0)</f>
        <v>0</v>
      </c>
      <c r="AU3" s="20" t="s">
        <v>846</v>
      </c>
      <c r="AV3" s="36" cm="1">
        <f t="array" ref="AV3">SUMPRODUCT(($G$3:$G$1500=G3)*$AN$3:$AN$1500*$AO$3:$AO$1500)+AR3</f>
        <v>15300</v>
      </c>
      <c r="AW3" s="36">
        <f>AT3</f>
        <v>0</v>
      </c>
      <c r="AX3" s="20" t="str">
        <f>TEXT(EOMONTH(I3,0)+15,"dd-mmm-yyyy")&amp;" / "&amp;IF(BM3&gt;0,"CPR-IT-"&amp;TEXT(I3,"yymm")&amp;"-"&amp;RIGHT(G3,4),"Pending payment")</f>
        <v>15-Nov-2024 / CPR-IT-2410-0001</v>
      </c>
      <c r="AY3" s="20" t="str">
        <f>IF(BM3&gt;0,"Issued","Not yet")</f>
        <v>Issued</v>
      </c>
      <c r="AZ3" s="36">
        <v>0</v>
      </c>
      <c r="BA3" s="36">
        <v>0</v>
      </c>
      <c r="BB3" s="36">
        <v>0</v>
      </c>
      <c r="BC3" s="36">
        <v>0</v>
      </c>
      <c r="BD3" s="36">
        <v>0</v>
      </c>
      <c r="BE3" s="36">
        <f>AQ3</f>
        <v>85000</v>
      </c>
      <c r="BF3" s="36">
        <f>AV3</f>
        <v>15300</v>
      </c>
      <c r="BG3" s="36">
        <f>AZ3</f>
        <v>0</v>
      </c>
      <c r="BH3" s="36">
        <f>BE3+BF3+BG3</f>
        <v>100300</v>
      </c>
      <c r="BI3" s="36">
        <f>AW3</f>
        <v>0</v>
      </c>
      <c r="BJ3" s="36">
        <f>BA3+BB3+BC3+BD3</f>
        <v>0</v>
      </c>
      <c r="BK3" s="36">
        <f>BH3-BI3-BJ3</f>
        <v>100300</v>
      </c>
      <c r="BL3" s="20" t="str">
        <f>"PKR "&amp;TEXT(BK3,"#,##0")&amp;" only"</f>
        <v>PKR 100,300 only</v>
      </c>
      <c r="BM3" s="36">
        <f>SUMIFS('T10'!$AK$3:$AK$1500,'T10'!$V$3:$V$1500,G3)</f>
        <v>100300</v>
      </c>
      <c r="BN3" s="36">
        <f>BK3-BM3</f>
        <v>0</v>
      </c>
      <c r="BO3" s="20" t="str">
        <f>IF(BF3&gt;0,TEXT(I3,"mmm-yyyy")&amp;" sales tax return","N/A")</f>
        <v>Oct-2024 sales tax return</v>
      </c>
      <c r="BP3" s="20" t="s">
        <v>3358</v>
      </c>
      <c r="BQ3" s="28">
        <f>J3+10</f>
        <v>45580</v>
      </c>
      <c r="BR3" s="28">
        <f>BQ3</f>
        <v>45580</v>
      </c>
      <c r="BS3" s="20" t="s">
        <v>3095</v>
      </c>
      <c r="BT3" s="20" t="s">
        <v>3360</v>
      </c>
      <c r="BU3" s="20" t="s">
        <v>844</v>
      </c>
      <c r="BV3" s="20" t="s">
        <v>846</v>
      </c>
      <c r="BW3" s="20" t="str" cm="1">
        <f t="array" ref="BW3">_xlfn.TEXTJOIN(", ",TRUE,_xlfn.UNIQUE(_xlfn._xlws.FILTER('T10'!$A$3:$A$1500,'T10'!$V$3:$V$1500=G3,"None")))</f>
        <v>PV-0006</v>
      </c>
      <c r="BX3" s="20" t="s">
        <v>3361</v>
      </c>
      <c r="BY3" s="20" t="s">
        <v>3362</v>
      </c>
    </row>
    <row r="4" spans="1:77" x14ac:dyDescent="0.3">
      <c r="A4" s="21" t="s">
        <v>3363</v>
      </c>
      <c r="B4" s="21" t="s">
        <v>3364</v>
      </c>
      <c r="C4" s="21" t="s">
        <v>3365</v>
      </c>
      <c r="D4" s="35">
        <v>45581.541666666664</v>
      </c>
      <c r="E4" s="21" t="s">
        <v>3347</v>
      </c>
      <c r="F4" s="21" t="str">
        <f ca="1">IF(S4="Paid","Completed","Pending payment")</f>
        <v>Completed</v>
      </c>
      <c r="G4" s="21" t="s">
        <v>3366</v>
      </c>
      <c r="H4" s="21" t="s">
        <v>3367</v>
      </c>
      <c r="I4" s="29">
        <v>45582</v>
      </c>
      <c r="J4" s="29">
        <v>45580</v>
      </c>
      <c r="K4" s="21" t="str">
        <f>TEXT(I4,"mmm-yyyy")</f>
        <v>Oct-2024</v>
      </c>
      <c r="L4" s="21" t="s">
        <v>1797</v>
      </c>
      <c r="M4" s="21">
        <v>1</v>
      </c>
      <c r="N4" s="21" t="s">
        <v>743</v>
      </c>
      <c r="O4" s="21" t="s">
        <v>3368</v>
      </c>
      <c r="P4" s="21" t="s">
        <v>3369</v>
      </c>
      <c r="Q4" s="21" t="s">
        <v>844</v>
      </c>
      <c r="R4" s="21" t="s">
        <v>3370</v>
      </c>
      <c r="S4" s="21" t="str">
        <f ca="1">IF(BN4&lt;1,"Paid",IF(BM4&gt;0,"Partially paid",IF(ISNUMBER(SEARCH("hold",BU4)),"On hold",IF(BQ4&lt;TODAY(),"Overdue","Approved - unpaid"))))</f>
        <v>Paid</v>
      </c>
      <c r="T4" s="21" t="s">
        <v>3371</v>
      </c>
      <c r="U4" s="21" t="s">
        <v>3372</v>
      </c>
      <c r="V4" s="21" t="s">
        <v>3373</v>
      </c>
      <c r="W4" s="21" t="s">
        <v>746</v>
      </c>
      <c r="X4" s="21" t="s">
        <v>846</v>
      </c>
      <c r="Y4" s="21" t="s">
        <v>3374</v>
      </c>
      <c r="Z4" s="21" t="s">
        <v>3375</v>
      </c>
      <c r="AA4" s="21" t="s">
        <v>3376</v>
      </c>
      <c r="AB4" s="37">
        <v>0</v>
      </c>
      <c r="AC4" s="21" t="s">
        <v>844</v>
      </c>
      <c r="AD4" s="21" t="s">
        <v>844</v>
      </c>
      <c r="AE4" s="21" t="s">
        <v>3377</v>
      </c>
      <c r="AF4" s="21">
        <v>1</v>
      </c>
      <c r="AG4" s="21" t="s">
        <v>902</v>
      </c>
      <c r="AH4" s="21" t="s">
        <v>904</v>
      </c>
      <c r="AI4" s="21" t="s">
        <v>905</v>
      </c>
      <c r="AJ4" s="37">
        <v>3</v>
      </c>
      <c r="AK4" s="37">
        <v>3</v>
      </c>
      <c r="AL4" s="37">
        <v>350000</v>
      </c>
      <c r="AM4" s="37">
        <f>AK4*AL4</f>
        <v>1050000</v>
      </c>
      <c r="AN4" s="37">
        <f>AM4</f>
        <v>1050000</v>
      </c>
      <c r="AO4" s="23">
        <f>_xlfn.XLOOKUP(AG4,'T13'!$A$3:$A$1500,'T13'!$O$3:$O$1500)</f>
        <v>0</v>
      </c>
      <c r="AP4" s="37">
        <v>0</v>
      </c>
      <c r="AQ4" s="37">
        <f>SUMIFS($AN$3:$AN$1500,$G$3:$G$1500,G4)</f>
        <v>1050000</v>
      </c>
      <c r="AR4" s="37">
        <f>SUMIFS($AP$3:$AP$1500,$G$3:$G$1500,G4)</f>
        <v>0</v>
      </c>
      <c r="AS4" s="21" t="s">
        <v>3378</v>
      </c>
      <c r="AT4" s="37">
        <f>ROUND(BH4*0.15,0)</f>
        <v>157500</v>
      </c>
      <c r="AU4" s="21" t="s">
        <v>846</v>
      </c>
      <c r="AV4" s="37" cm="1">
        <f t="array" ref="AV4">SUMPRODUCT(($G$3:$G$1500=G4)*$AN$3:$AN$1500*$AO$3:$AO$1500)+AR4</f>
        <v>0</v>
      </c>
      <c r="AW4" s="37">
        <f>AT4</f>
        <v>157500</v>
      </c>
      <c r="AX4" s="21" t="str">
        <f>TEXT(EOMONTH(I4,0)+15,"dd-mmm-yyyy")&amp;" / "&amp;IF(BM4&gt;0,"CPR-IT-"&amp;TEXT(I4,"yymm")&amp;"-"&amp;RIGHT(G4,4),"Pending payment")</f>
        <v>15-Nov-2024 / CPR-IT-2410-0002</v>
      </c>
      <c r="AY4" s="21" t="str">
        <f>IF(BM4&gt;0,"Issued","Not yet")</f>
        <v>Issued</v>
      </c>
      <c r="AZ4" s="37">
        <v>0</v>
      </c>
      <c r="BA4" s="37">
        <v>0</v>
      </c>
      <c r="BB4" s="37">
        <v>0</v>
      </c>
      <c r="BC4" s="37">
        <v>0</v>
      </c>
      <c r="BD4" s="37">
        <v>0</v>
      </c>
      <c r="BE4" s="37">
        <f>AQ4</f>
        <v>1050000</v>
      </c>
      <c r="BF4" s="37">
        <f>AV4</f>
        <v>0</v>
      </c>
      <c r="BG4" s="37">
        <f>AZ4</f>
        <v>0</v>
      </c>
      <c r="BH4" s="37">
        <f>BE4+BF4+BG4</f>
        <v>1050000</v>
      </c>
      <c r="BI4" s="37">
        <f>AW4</f>
        <v>157500</v>
      </c>
      <c r="BJ4" s="37">
        <f>BA4+BB4+BC4+BD4</f>
        <v>0</v>
      </c>
      <c r="BK4" s="37">
        <f>BH4-BI4-BJ4</f>
        <v>892500</v>
      </c>
      <c r="BL4" s="21" t="str">
        <f>"PKR "&amp;TEXT(BK4,"#,##0")&amp;" only"</f>
        <v>PKR 892,500 only</v>
      </c>
      <c r="BM4" s="37">
        <f>SUMIFS('T10'!$AK$3:$AK$1500,'T10'!$V$3:$V$1500,G4)</f>
        <v>892500</v>
      </c>
      <c r="BN4" s="37">
        <f>BK4-BM4</f>
        <v>0</v>
      </c>
      <c r="BO4" s="21" t="str">
        <f>IF(BF4&gt;0,TEXT(I4,"mmm-yyyy")&amp;" sales tax return","N/A")</f>
        <v>N/A</v>
      </c>
      <c r="BP4" s="21" t="s">
        <v>3376</v>
      </c>
      <c r="BQ4" s="29">
        <f>J4+7</f>
        <v>45587</v>
      </c>
      <c r="BR4" s="29">
        <f>BQ4</f>
        <v>45587</v>
      </c>
      <c r="BS4" s="21" t="s">
        <v>3095</v>
      </c>
      <c r="BT4" s="21" t="s">
        <v>3360</v>
      </c>
      <c r="BU4" s="21" t="s">
        <v>844</v>
      </c>
      <c r="BV4" s="21" t="s">
        <v>846</v>
      </c>
      <c r="BW4" s="21" t="str" cm="1">
        <f t="array" ref="BW4">_xlfn.TEXTJOIN(", ",TRUE,_xlfn.UNIQUE(_xlfn._xlws.FILTER('T10'!$A$3:$A$1500,'T10'!$V$3:$V$1500=G4,"None")))</f>
        <v>PV-0025</v>
      </c>
      <c r="BX4" s="21" t="s">
        <v>3379</v>
      </c>
      <c r="BY4" s="21" t="s">
        <v>3380</v>
      </c>
    </row>
    <row r="5" spans="1:77" x14ac:dyDescent="0.3">
      <c r="A5" s="21" t="s">
        <v>3381</v>
      </c>
      <c r="B5" s="21" t="s">
        <v>3382</v>
      </c>
      <c r="C5" s="21" t="s">
        <v>3383</v>
      </c>
      <c r="D5" s="35">
        <v>45589.625</v>
      </c>
      <c r="E5" s="21" t="s">
        <v>3347</v>
      </c>
      <c r="F5" s="21" t="str">
        <f ca="1">IF(S5="Paid","Completed","Pending payment")</f>
        <v>Completed</v>
      </c>
      <c r="G5" s="21" t="s">
        <v>3384</v>
      </c>
      <c r="H5" s="21" t="s">
        <v>3385</v>
      </c>
      <c r="I5" s="29">
        <v>45590</v>
      </c>
      <c r="J5" s="29">
        <v>45588</v>
      </c>
      <c r="K5" s="21" t="str">
        <f>TEXT(I5,"mmm-yyyy")</f>
        <v>Oct-2024</v>
      </c>
      <c r="L5" s="21" t="s">
        <v>1797</v>
      </c>
      <c r="M5" s="21">
        <v>1</v>
      </c>
      <c r="N5" s="21" t="s">
        <v>743</v>
      </c>
      <c r="O5" s="21" t="s">
        <v>3350</v>
      </c>
      <c r="P5" s="21" t="s">
        <v>3351</v>
      </c>
      <c r="Q5" s="21" t="s">
        <v>844</v>
      </c>
      <c r="R5" s="21" t="s">
        <v>3386</v>
      </c>
      <c r="S5" s="21" t="str">
        <f ca="1">IF(BN5&lt;1,"Paid",IF(BM5&gt;0,"Partially paid",IF(ISNUMBER(SEARCH("hold",BU5)),"On hold",IF(BQ5&lt;TODAY(),"Overdue","Approved - unpaid"))))</f>
        <v>Paid</v>
      </c>
      <c r="T5" s="21" t="s">
        <v>3387</v>
      </c>
      <c r="U5" s="21" t="s">
        <v>3388</v>
      </c>
      <c r="V5" s="21" t="s">
        <v>3389</v>
      </c>
      <c r="W5" s="21" t="s">
        <v>746</v>
      </c>
      <c r="X5" s="21" t="s">
        <v>846</v>
      </c>
      <c r="Y5" s="21" t="s">
        <v>3390</v>
      </c>
      <c r="Z5" s="21" t="s">
        <v>3391</v>
      </c>
      <c r="AA5" s="21" t="s">
        <v>1051</v>
      </c>
      <c r="AB5" s="37">
        <v>0</v>
      </c>
      <c r="AC5" s="21" t="s">
        <v>844</v>
      </c>
      <c r="AD5" s="21" t="s">
        <v>844</v>
      </c>
      <c r="AE5" s="21" t="s">
        <v>844</v>
      </c>
      <c r="AF5" s="21">
        <v>1</v>
      </c>
      <c r="AG5" s="21" t="s">
        <v>959</v>
      </c>
      <c r="AH5" s="21" t="s">
        <v>961</v>
      </c>
      <c r="AI5" s="21" t="s">
        <v>905</v>
      </c>
      <c r="AJ5" s="37">
        <v>1</v>
      </c>
      <c r="AK5" s="37">
        <v>1</v>
      </c>
      <c r="AL5" s="37">
        <v>180000</v>
      </c>
      <c r="AM5" s="37">
        <f>AK5*AL5</f>
        <v>180000</v>
      </c>
      <c r="AN5" s="37">
        <f>AM5</f>
        <v>180000</v>
      </c>
      <c r="AO5" s="23">
        <f>_xlfn.XLOOKUP(AG5,'T13'!$A$3:$A$1500,'T13'!$O$3:$O$1500)</f>
        <v>0.16</v>
      </c>
      <c r="AP5" s="37">
        <v>0</v>
      </c>
      <c r="AQ5" s="37">
        <f>SUMIFS($AN$3:$AN$1500,$G$3:$G$1500,G5)</f>
        <v>180000</v>
      </c>
      <c r="AR5" s="37">
        <f>SUMIFS($AP$3:$AP$1500,$G$3:$G$1500,G5)</f>
        <v>0</v>
      </c>
      <c r="AS5" s="21" t="s">
        <v>3392</v>
      </c>
      <c r="AT5" s="37">
        <f>ROUND(BH5*0.11,0)</f>
        <v>22968</v>
      </c>
      <c r="AU5" s="21" t="s">
        <v>846</v>
      </c>
      <c r="AV5" s="37" cm="1">
        <f t="array" ref="AV5">SUMPRODUCT(($G$3:$G$1500=G5)*$AN$3:$AN$1500*$AO$3:$AO$1500)+AR5</f>
        <v>28800</v>
      </c>
      <c r="AW5" s="37">
        <f>AT5</f>
        <v>22968</v>
      </c>
      <c r="AX5" s="21" t="str">
        <f>TEXT(EOMONTH(I5,0)+15,"dd-mmm-yyyy")&amp;" / "&amp;IF(BM5&gt;0,"CPR-IT-"&amp;TEXT(I5,"yymm")&amp;"-"&amp;RIGHT(G5,4),"Pending payment")</f>
        <v>15-Nov-2024 / CPR-IT-2410-0003</v>
      </c>
      <c r="AY5" s="21" t="str">
        <f>IF(BM5&gt;0,"Issued","Not yet")</f>
        <v>Issued</v>
      </c>
      <c r="AZ5" s="37">
        <v>0</v>
      </c>
      <c r="BA5" s="37">
        <v>0</v>
      </c>
      <c r="BB5" s="37">
        <v>0</v>
      </c>
      <c r="BC5" s="37">
        <v>0</v>
      </c>
      <c r="BD5" s="37">
        <v>0</v>
      </c>
      <c r="BE5" s="37">
        <f>AQ5</f>
        <v>180000</v>
      </c>
      <c r="BF5" s="37">
        <f>AV5</f>
        <v>28800</v>
      </c>
      <c r="BG5" s="37">
        <f>AZ5</f>
        <v>0</v>
      </c>
      <c r="BH5" s="37">
        <f>BE5+BF5+BG5</f>
        <v>208800</v>
      </c>
      <c r="BI5" s="37">
        <f>AW5</f>
        <v>22968</v>
      </c>
      <c r="BJ5" s="37">
        <f>BA5+BB5+BC5+BD5</f>
        <v>0</v>
      </c>
      <c r="BK5" s="37">
        <f>BH5-BI5-BJ5</f>
        <v>185832</v>
      </c>
      <c r="BL5" s="21" t="str">
        <f>"PKR "&amp;TEXT(BK5,"#,##0")&amp;" only"</f>
        <v>PKR 185,832 only</v>
      </c>
      <c r="BM5" s="37">
        <f>SUMIFS('T10'!$AK$3:$AK$1500,'T10'!$V$3:$V$1500,G5)</f>
        <v>185832</v>
      </c>
      <c r="BN5" s="37">
        <f>BK5-BM5</f>
        <v>0</v>
      </c>
      <c r="BO5" s="21" t="str">
        <f>IF(BF5&gt;0,TEXT(I5,"mmm-yyyy")&amp;" sales tax return","N/A")</f>
        <v>Oct-2024 sales tax return</v>
      </c>
      <c r="BP5" s="21" t="s">
        <v>1051</v>
      </c>
      <c r="BQ5" s="29">
        <f>J5+30</f>
        <v>45618</v>
      </c>
      <c r="BR5" s="29">
        <f>BQ5</f>
        <v>45618</v>
      </c>
      <c r="BS5" s="21" t="s">
        <v>3095</v>
      </c>
      <c r="BT5" s="21" t="s">
        <v>3360</v>
      </c>
      <c r="BU5" s="21" t="s">
        <v>844</v>
      </c>
      <c r="BV5" s="21" t="s">
        <v>846</v>
      </c>
      <c r="BW5" s="21" t="str" cm="1">
        <f t="array" ref="BW5">_xlfn.TEXTJOIN(", ",TRUE,_xlfn.UNIQUE(_xlfn._xlws.FILTER('T10'!$A$3:$A$1500,'T10'!$V$3:$V$1500=G5,"None")))</f>
        <v>PV-0007</v>
      </c>
      <c r="BX5" s="21" t="s">
        <v>3393</v>
      </c>
      <c r="BY5" s="21" t="s">
        <v>3394</v>
      </c>
    </row>
    <row r="6" spans="1:77" x14ac:dyDescent="0.3">
      <c r="A6" s="21" t="s">
        <v>3395</v>
      </c>
      <c r="B6" s="21" t="s">
        <v>3396</v>
      </c>
      <c r="C6" s="21" t="s">
        <v>3397</v>
      </c>
      <c r="D6" s="35">
        <v>45597.583333333336</v>
      </c>
      <c r="E6" s="21" t="s">
        <v>3347</v>
      </c>
      <c r="F6" s="21" t="str">
        <f ca="1">IF(S6="Paid","Completed","Pending payment")</f>
        <v>Completed</v>
      </c>
      <c r="G6" s="21" t="s">
        <v>3398</v>
      </c>
      <c r="H6" s="21" t="s">
        <v>3399</v>
      </c>
      <c r="I6" s="29">
        <v>45596</v>
      </c>
      <c r="J6" s="29">
        <v>45596</v>
      </c>
      <c r="K6" s="21" t="str">
        <f>TEXT(I6,"mmm-yyyy")</f>
        <v>Oct-2024</v>
      </c>
      <c r="L6" s="21" t="s">
        <v>1797</v>
      </c>
      <c r="M6" s="21">
        <v>1</v>
      </c>
      <c r="N6" s="21" t="s">
        <v>743</v>
      </c>
      <c r="O6" s="21" t="s">
        <v>3400</v>
      </c>
      <c r="P6" s="21" t="s">
        <v>3401</v>
      </c>
      <c r="Q6" s="21" t="s">
        <v>844</v>
      </c>
      <c r="R6" s="21" t="s">
        <v>3402</v>
      </c>
      <c r="S6" s="21" t="str">
        <f ca="1">IF(BN6&lt;1,"Paid",IF(BM6&gt;0,"Partially paid",IF(ISNUMBER(SEARCH("hold",BU6)),"On hold",IF(BQ6&lt;TODAY(),"Overdue","Approved - unpaid"))))</f>
        <v>Paid</v>
      </c>
      <c r="T6" s="21" t="s">
        <v>3403</v>
      </c>
      <c r="U6" s="21" t="s">
        <v>3404</v>
      </c>
      <c r="V6" s="21" t="s">
        <v>967</v>
      </c>
      <c r="W6" s="21" t="s">
        <v>746</v>
      </c>
      <c r="X6" s="21" t="s">
        <v>846</v>
      </c>
      <c r="Y6" s="21" t="s">
        <v>3405</v>
      </c>
      <c r="Z6" s="21" t="s">
        <v>3406</v>
      </c>
      <c r="AA6" s="21" t="s">
        <v>1062</v>
      </c>
      <c r="AB6" s="37">
        <v>0</v>
      </c>
      <c r="AC6" s="21" t="s">
        <v>3407</v>
      </c>
      <c r="AD6" s="21" t="s">
        <v>3408</v>
      </c>
      <c r="AE6" s="21" t="s">
        <v>3409</v>
      </c>
      <c r="AF6" s="21">
        <v>1</v>
      </c>
      <c r="AG6" s="21" t="s">
        <v>781</v>
      </c>
      <c r="AH6" s="21" t="s">
        <v>782</v>
      </c>
      <c r="AI6" s="21" t="s">
        <v>783</v>
      </c>
      <c r="AJ6" s="37">
        <v>215</v>
      </c>
      <c r="AK6" s="37">
        <v>215</v>
      </c>
      <c r="AL6" s="37">
        <v>24800</v>
      </c>
      <c r="AM6" s="37">
        <f>AK6*AL6</f>
        <v>5332000</v>
      </c>
      <c r="AN6" s="37">
        <f>AM6</f>
        <v>5332000</v>
      </c>
      <c r="AO6" s="23">
        <f>_xlfn.XLOOKUP(AG6,'T13'!$A$3:$A$1500,'T13'!$O$3:$O$1500)</f>
        <v>0.18</v>
      </c>
      <c r="AP6" s="37">
        <f>AK6*IF(AI6="MT",1000,IF(AI6="Jumbo bag (1.5 MT)",1500,IF(AI6="Bag (40 kg)",40,50)))*3</f>
        <v>645000</v>
      </c>
      <c r="AQ6" s="37">
        <f>SUMIFS($AN$3:$AN$1500,$G$3:$G$1500,G6)</f>
        <v>8596000</v>
      </c>
      <c r="AR6" s="37">
        <f>SUMIFS($AP$3:$AP$1500,$G$3:$G$1500,G6)</f>
        <v>1005000</v>
      </c>
      <c r="AS6" s="21" t="s">
        <v>3410</v>
      </c>
      <c r="AT6" s="37">
        <f>ROUND(BH6*0.05,0)</f>
        <v>557414</v>
      </c>
      <c r="AU6" s="21" t="s">
        <v>846</v>
      </c>
      <c r="AV6" s="37" cm="1">
        <f t="array" ref="AV6">SUMPRODUCT(($G$3:$G$1500=G6)*$AN$3:$AN$1500*$AO$3:$AO$1500)+AR6</f>
        <v>2552280</v>
      </c>
      <c r="AW6" s="37">
        <f>AT6</f>
        <v>557414</v>
      </c>
      <c r="AX6" s="21" t="str">
        <f>TEXT(EOMONTH(I6,0)+15,"dd-mmm-yyyy")&amp;" / "&amp;IF(BM6&gt;0,"CPR-IT-"&amp;TEXT(I6,"yymm")&amp;"-"&amp;RIGHT(G6,4),"Pending payment")</f>
        <v>15-Nov-2024 / CPR-IT-2410-0004</v>
      </c>
      <c r="AY6" s="21" t="str">
        <f>IF(BM6&gt;0,"Issued","Not yet")</f>
        <v>Issued</v>
      </c>
      <c r="AZ6" s="37">
        <v>0</v>
      </c>
      <c r="BA6" s="37">
        <v>0</v>
      </c>
      <c r="BB6" s="37">
        <v>0</v>
      </c>
      <c r="BC6" s="37">
        <v>0</v>
      </c>
      <c r="BD6" s="37">
        <v>0</v>
      </c>
      <c r="BE6" s="37">
        <f>AQ6</f>
        <v>8596000</v>
      </c>
      <c r="BF6" s="37">
        <f>AV6</f>
        <v>2552280</v>
      </c>
      <c r="BG6" s="37">
        <f>AZ6</f>
        <v>0</v>
      </c>
      <c r="BH6" s="37">
        <f>BE6+BF6+BG6</f>
        <v>11148280</v>
      </c>
      <c r="BI6" s="37">
        <f>AW6</f>
        <v>557414</v>
      </c>
      <c r="BJ6" s="37">
        <f>BA6+BB6+BC6+BD6</f>
        <v>0</v>
      </c>
      <c r="BK6" s="37">
        <f>BH6-BI6-BJ6</f>
        <v>10590866</v>
      </c>
      <c r="BL6" s="21" t="str">
        <f>"PKR "&amp;TEXT(BK6,"#,##0")&amp;" only"</f>
        <v>PKR 10,590,866 only</v>
      </c>
      <c r="BM6" s="37">
        <f>SUMIFS('T10'!$AK$3:$AK$1500,'T10'!$V$3:$V$1500,G6)</f>
        <v>10590866</v>
      </c>
      <c r="BN6" s="37">
        <f>BK6-BM6</f>
        <v>0</v>
      </c>
      <c r="BO6" s="21" t="str">
        <f>IF(BF6&gt;0,TEXT(I6,"mmm-yyyy")&amp;" sales tax return","N/A")</f>
        <v>Oct-2024 sales tax return</v>
      </c>
      <c r="BP6" s="21" t="s">
        <v>1062</v>
      </c>
      <c r="BQ6" s="29">
        <f>J6+15</f>
        <v>45611</v>
      </c>
      <c r="BR6" s="29">
        <f>BQ6</f>
        <v>45611</v>
      </c>
      <c r="BS6" s="21" t="s">
        <v>3095</v>
      </c>
      <c r="BT6" s="21" t="s">
        <v>3411</v>
      </c>
      <c r="BU6" s="21" t="s">
        <v>844</v>
      </c>
      <c r="BV6" s="21" t="s">
        <v>846</v>
      </c>
      <c r="BW6" s="21" t="str" cm="1">
        <f t="array" ref="BW6">_xlfn.TEXTJOIN(", ",TRUE,_xlfn.UNIQUE(_xlfn._xlws.FILTER('T10'!$A$3:$A$1500,'T10'!$V$3:$V$1500=G6,"None")))</f>
        <v>PV-0001</v>
      </c>
      <c r="BX6" s="21" t="s">
        <v>3412</v>
      </c>
      <c r="BY6" s="21" t="s">
        <v>3413</v>
      </c>
    </row>
    <row r="7" spans="1:77" x14ac:dyDescent="0.3">
      <c r="A7" s="21" t="s">
        <v>3395</v>
      </c>
      <c r="B7" s="21" t="s">
        <v>3396</v>
      </c>
      <c r="C7" s="21" t="s">
        <v>3397</v>
      </c>
      <c r="D7" s="35">
        <v>45597.583333333336</v>
      </c>
      <c r="E7" s="21" t="s">
        <v>3347</v>
      </c>
      <c r="F7" s="21" t="str">
        <f ca="1">IF(S7="Paid","Completed","Pending payment")</f>
        <v>Completed</v>
      </c>
      <c r="G7" s="21" t="s">
        <v>3398</v>
      </c>
      <c r="H7" s="21" t="s">
        <v>3399</v>
      </c>
      <c r="I7" s="29">
        <v>45596</v>
      </c>
      <c r="J7" s="29">
        <v>45596</v>
      </c>
      <c r="K7" s="21" t="str">
        <f>TEXT(I7,"mmm-yyyy")</f>
        <v>Oct-2024</v>
      </c>
      <c r="L7" s="21" t="s">
        <v>1797</v>
      </c>
      <c r="M7" s="21">
        <v>1</v>
      </c>
      <c r="N7" s="21" t="s">
        <v>743</v>
      </c>
      <c r="O7" s="21" t="s">
        <v>3400</v>
      </c>
      <c r="P7" s="21" t="s">
        <v>3401</v>
      </c>
      <c r="Q7" s="21" t="s">
        <v>844</v>
      </c>
      <c r="R7" s="21" t="s">
        <v>3402</v>
      </c>
      <c r="S7" s="21" t="str">
        <f ca="1">IF(BN7&lt;1,"Paid",IF(BM7&gt;0,"Partially paid",IF(ISNUMBER(SEARCH("hold",BU7)),"On hold",IF(BQ7&lt;TODAY(),"Overdue","Approved - unpaid"))))</f>
        <v>Paid</v>
      </c>
      <c r="T7" s="21" t="s">
        <v>3403</v>
      </c>
      <c r="U7" s="21" t="s">
        <v>3404</v>
      </c>
      <c r="V7" s="21" t="s">
        <v>967</v>
      </c>
      <c r="W7" s="21" t="s">
        <v>746</v>
      </c>
      <c r="X7" s="21" t="s">
        <v>846</v>
      </c>
      <c r="Y7" s="21" t="s">
        <v>3405</v>
      </c>
      <c r="Z7" s="21" t="s">
        <v>3406</v>
      </c>
      <c r="AA7" s="21" t="s">
        <v>1062</v>
      </c>
      <c r="AB7" s="37">
        <v>0</v>
      </c>
      <c r="AC7" s="21" t="s">
        <v>3407</v>
      </c>
      <c r="AD7" s="21" t="s">
        <v>3414</v>
      </c>
      <c r="AE7" s="21" t="s">
        <v>3409</v>
      </c>
      <c r="AF7" s="21">
        <v>2</v>
      </c>
      <c r="AG7" s="21" t="s">
        <v>788</v>
      </c>
      <c r="AH7" s="21" t="s">
        <v>790</v>
      </c>
      <c r="AI7" s="21" t="s">
        <v>1804</v>
      </c>
      <c r="AJ7" s="37">
        <v>2400</v>
      </c>
      <c r="AK7" s="37">
        <v>2400</v>
      </c>
      <c r="AL7" s="37">
        <v>1360</v>
      </c>
      <c r="AM7" s="37">
        <f>AK7*AL7</f>
        <v>3264000</v>
      </c>
      <c r="AN7" s="37">
        <f>AM7</f>
        <v>3264000</v>
      </c>
      <c r="AO7" s="23">
        <f>_xlfn.XLOOKUP(AG7,'T13'!$A$3:$A$1500,'T13'!$O$3:$O$1500)</f>
        <v>0.18</v>
      </c>
      <c r="AP7" s="37">
        <f>AK7*IF(AI7="MT",1000,IF(AI7="Jumbo bag (1.5 MT)",1500,IF(AI7="Bag (40 kg)",40,50)))*3</f>
        <v>360000</v>
      </c>
      <c r="AQ7" s="37">
        <f>SUMIFS($AN$3:$AN$1500,$G$3:$G$1500,G7)</f>
        <v>8596000</v>
      </c>
      <c r="AR7" s="37">
        <f>SUMIFS($AP$3:$AP$1500,$G$3:$G$1500,G7)</f>
        <v>1005000</v>
      </c>
      <c r="AS7" s="21" t="s">
        <v>3410</v>
      </c>
      <c r="AT7" s="37">
        <f>ROUND(BH7*0.05,0)</f>
        <v>557414</v>
      </c>
      <c r="AU7" s="21" t="s">
        <v>846</v>
      </c>
      <c r="AV7" s="37" cm="1">
        <f t="array" ref="AV7">SUMPRODUCT(($G$3:$G$1500=G7)*$AN$3:$AN$1500*$AO$3:$AO$1500)+AR7</f>
        <v>2552280</v>
      </c>
      <c r="AW7" s="37">
        <f>AT7</f>
        <v>557414</v>
      </c>
      <c r="AX7" s="21" t="str">
        <f>TEXT(EOMONTH(I7,0)+15,"dd-mmm-yyyy")&amp;" / "&amp;IF(BM7&gt;0,"CPR-IT-"&amp;TEXT(I7,"yymm")&amp;"-"&amp;RIGHT(G7,4),"Pending payment")</f>
        <v>15-Nov-2024 / CPR-IT-2410-0004</v>
      </c>
      <c r="AY7" s="21" t="str">
        <f>IF(BM7&gt;0,"Issued","Not yet")</f>
        <v>Issued</v>
      </c>
      <c r="AZ7" s="37">
        <v>0</v>
      </c>
      <c r="BA7" s="37">
        <v>0</v>
      </c>
      <c r="BB7" s="37">
        <v>0</v>
      </c>
      <c r="BC7" s="37">
        <v>0</v>
      </c>
      <c r="BD7" s="37">
        <v>0</v>
      </c>
      <c r="BE7" s="37">
        <f>AQ7</f>
        <v>8596000</v>
      </c>
      <c r="BF7" s="37">
        <f>AV7</f>
        <v>2552280</v>
      </c>
      <c r="BG7" s="37">
        <f>AZ7</f>
        <v>0</v>
      </c>
      <c r="BH7" s="37">
        <f>BE7+BF7+BG7</f>
        <v>11148280</v>
      </c>
      <c r="BI7" s="37">
        <f>AW7</f>
        <v>557414</v>
      </c>
      <c r="BJ7" s="37">
        <f>BA7+BB7+BC7+BD7</f>
        <v>0</v>
      </c>
      <c r="BK7" s="37">
        <f>BH7-BI7-BJ7</f>
        <v>10590866</v>
      </c>
      <c r="BL7" s="21" t="str">
        <f>"PKR "&amp;TEXT(BK7,"#,##0")&amp;" only"</f>
        <v>PKR 10,590,866 only</v>
      </c>
      <c r="BM7" s="37">
        <f>SUMIFS('T10'!$AK$3:$AK$1500,'T10'!$V$3:$V$1500,G7)</f>
        <v>10590866</v>
      </c>
      <c r="BN7" s="37">
        <f>BK7-BM7</f>
        <v>0</v>
      </c>
      <c r="BO7" s="21" t="str">
        <f>IF(BF7&gt;0,TEXT(I7,"mmm-yyyy")&amp;" sales tax return","N/A")</f>
        <v>Oct-2024 sales tax return</v>
      </c>
      <c r="BP7" s="21" t="s">
        <v>1062</v>
      </c>
      <c r="BQ7" s="29">
        <f>J7+15</f>
        <v>45611</v>
      </c>
      <c r="BR7" s="29">
        <f>BQ7</f>
        <v>45611</v>
      </c>
      <c r="BS7" s="21" t="s">
        <v>3095</v>
      </c>
      <c r="BT7" s="21" t="s">
        <v>3411</v>
      </c>
      <c r="BU7" s="21" t="s">
        <v>844</v>
      </c>
      <c r="BV7" s="21" t="s">
        <v>846</v>
      </c>
      <c r="BW7" s="21" t="str" cm="1">
        <f t="array" ref="BW7">_xlfn.TEXTJOIN(", ",TRUE,_xlfn.UNIQUE(_xlfn._xlws.FILTER('T10'!$A$3:$A$1500,'T10'!$V$3:$V$1500=G7,"None")))</f>
        <v>PV-0001</v>
      </c>
      <c r="BX7" s="21" t="s">
        <v>3412</v>
      </c>
      <c r="BY7" s="21" t="s">
        <v>3413</v>
      </c>
    </row>
    <row r="8" spans="1:77" x14ac:dyDescent="0.3">
      <c r="A8" s="21" t="s">
        <v>3415</v>
      </c>
      <c r="B8" s="21" t="s">
        <v>3416</v>
      </c>
      <c r="C8" s="21" t="s">
        <v>3417</v>
      </c>
      <c r="D8" s="35">
        <v>45597.458333333336</v>
      </c>
      <c r="E8" s="21" t="s">
        <v>3347</v>
      </c>
      <c r="F8" s="21" t="str">
        <f ca="1">IF(S8="Paid","Completed","Pending payment")</f>
        <v>Completed</v>
      </c>
      <c r="G8" s="21" t="s">
        <v>3418</v>
      </c>
      <c r="H8" s="21" t="s">
        <v>3399</v>
      </c>
      <c r="I8" s="29">
        <v>45596</v>
      </c>
      <c r="J8" s="29">
        <v>45596</v>
      </c>
      <c r="K8" s="21" t="str">
        <f>TEXT(I8,"mmm-yyyy")</f>
        <v>Oct-2024</v>
      </c>
      <c r="L8" s="21" t="s">
        <v>1797</v>
      </c>
      <c r="M8" s="21">
        <v>1</v>
      </c>
      <c r="N8" s="21" t="s">
        <v>743</v>
      </c>
      <c r="O8" s="21" t="s">
        <v>3400</v>
      </c>
      <c r="P8" s="21" t="s">
        <v>3401</v>
      </c>
      <c r="Q8" s="21" t="s">
        <v>844</v>
      </c>
      <c r="R8" s="21" t="s">
        <v>3402</v>
      </c>
      <c r="S8" s="21" t="str">
        <f ca="1">IF(BN8&lt;1,"Paid",IF(BM8&gt;0,"Partially paid",IF(ISNUMBER(SEARCH("hold",BU8)),"On hold",IF(BQ8&lt;TODAY(),"Overdue","Approved - unpaid"))))</f>
        <v>Paid</v>
      </c>
      <c r="T8" s="21" t="s">
        <v>3403</v>
      </c>
      <c r="U8" s="21" t="s">
        <v>3419</v>
      </c>
      <c r="V8" s="21" t="s">
        <v>999</v>
      </c>
      <c r="W8" s="21" t="s">
        <v>746</v>
      </c>
      <c r="X8" s="21" t="s">
        <v>846</v>
      </c>
      <c r="Y8" s="21" t="s">
        <v>3420</v>
      </c>
      <c r="Z8" s="21" t="s">
        <v>3421</v>
      </c>
      <c r="AA8" s="21" t="s">
        <v>1062</v>
      </c>
      <c r="AB8" s="37">
        <v>0</v>
      </c>
      <c r="AC8" s="21" t="s">
        <v>3422</v>
      </c>
      <c r="AD8" s="21" t="s">
        <v>3423</v>
      </c>
      <c r="AE8" s="21" t="s">
        <v>3424</v>
      </c>
      <c r="AF8" s="21">
        <v>1</v>
      </c>
      <c r="AG8" s="21" t="s">
        <v>799</v>
      </c>
      <c r="AH8" s="21" t="s">
        <v>801</v>
      </c>
      <c r="AI8" s="21" t="s">
        <v>1804</v>
      </c>
      <c r="AJ8" s="37">
        <v>900</v>
      </c>
      <c r="AK8" s="37">
        <v>900</v>
      </c>
      <c r="AL8" s="37">
        <v>1240</v>
      </c>
      <c r="AM8" s="37">
        <f>AK8*AL8</f>
        <v>1116000</v>
      </c>
      <c r="AN8" s="37">
        <f>AM8</f>
        <v>1116000</v>
      </c>
      <c r="AO8" s="23">
        <f>_xlfn.XLOOKUP(AG8,'T13'!$A$3:$A$1500,'T13'!$O$3:$O$1500)</f>
        <v>0.18</v>
      </c>
      <c r="AP8" s="37">
        <f>AK8*IF(AI8="MT",1000,IF(AI8="Jumbo bag (1.5 MT)",1500,IF(AI8="Bag (40 kg)",40,50)))*3</f>
        <v>135000</v>
      </c>
      <c r="AQ8" s="37">
        <f>SUMIFS($AN$3:$AN$1500,$G$3:$G$1500,G8)</f>
        <v>1116000</v>
      </c>
      <c r="AR8" s="37">
        <f>SUMIFS($AP$3:$AP$1500,$G$3:$G$1500,G8)</f>
        <v>135000</v>
      </c>
      <c r="AS8" s="21" t="s">
        <v>3410</v>
      </c>
      <c r="AT8" s="37">
        <f>ROUND(BH8*0.05,0)</f>
        <v>72594</v>
      </c>
      <c r="AU8" s="21" t="s">
        <v>846</v>
      </c>
      <c r="AV8" s="37" cm="1">
        <f t="array" ref="AV8">SUMPRODUCT(($G$3:$G$1500=G8)*$AN$3:$AN$1500*$AO$3:$AO$1500)+AR8</f>
        <v>335880</v>
      </c>
      <c r="AW8" s="37">
        <f>AT8</f>
        <v>72594</v>
      </c>
      <c r="AX8" s="21" t="str">
        <f>TEXT(EOMONTH(I8,0)+15,"dd-mmm-yyyy")&amp;" / "&amp;IF(BM8&gt;0,"CPR-IT-"&amp;TEXT(I8,"yymm")&amp;"-"&amp;RIGHT(G8,4),"Pending payment")</f>
        <v>15-Nov-2024 / CPR-IT-2410-0005</v>
      </c>
      <c r="AY8" s="21" t="str">
        <f>IF(BM8&gt;0,"Issued","Not yet")</f>
        <v>Issued</v>
      </c>
      <c r="AZ8" s="37">
        <v>0</v>
      </c>
      <c r="BA8" s="37">
        <v>0</v>
      </c>
      <c r="BB8" s="37">
        <v>0</v>
      </c>
      <c r="BC8" s="37">
        <v>0</v>
      </c>
      <c r="BD8" s="37">
        <v>0</v>
      </c>
      <c r="BE8" s="37">
        <f>AQ8</f>
        <v>1116000</v>
      </c>
      <c r="BF8" s="37">
        <f>AV8</f>
        <v>335880</v>
      </c>
      <c r="BG8" s="37">
        <f>AZ8</f>
        <v>0</v>
      </c>
      <c r="BH8" s="37">
        <f>BE8+BF8+BG8</f>
        <v>1451880</v>
      </c>
      <c r="BI8" s="37">
        <f>AW8</f>
        <v>72594</v>
      </c>
      <c r="BJ8" s="37">
        <f>BA8+BB8+BC8+BD8</f>
        <v>0</v>
      </c>
      <c r="BK8" s="37">
        <f>BH8-BI8-BJ8</f>
        <v>1379286</v>
      </c>
      <c r="BL8" s="21" t="str">
        <f>"PKR "&amp;TEXT(BK8,"#,##0")&amp;" only"</f>
        <v>PKR 1,379,286 only</v>
      </c>
      <c r="BM8" s="37">
        <f>SUMIFS('T10'!$AK$3:$AK$1500,'T10'!$V$3:$V$1500,G8)</f>
        <v>1379286</v>
      </c>
      <c r="BN8" s="37">
        <f>BK8-BM8</f>
        <v>0</v>
      </c>
      <c r="BO8" s="21" t="str">
        <f>IF(BF8&gt;0,TEXT(I8,"mmm-yyyy")&amp;" sales tax return","N/A")</f>
        <v>Oct-2024 sales tax return</v>
      </c>
      <c r="BP8" s="21" t="s">
        <v>1062</v>
      </c>
      <c r="BQ8" s="29">
        <f>J8+15</f>
        <v>45611</v>
      </c>
      <c r="BR8" s="29">
        <f>BQ8</f>
        <v>45611</v>
      </c>
      <c r="BS8" s="21" t="s">
        <v>3095</v>
      </c>
      <c r="BT8" s="21" t="s">
        <v>3411</v>
      </c>
      <c r="BU8" s="21" t="s">
        <v>844</v>
      </c>
      <c r="BV8" s="21" t="s">
        <v>846</v>
      </c>
      <c r="BW8" s="21" t="str" cm="1">
        <f t="array" ref="BW8">_xlfn.TEXTJOIN(", ",TRUE,_xlfn.UNIQUE(_xlfn._xlws.FILTER('T10'!$A$3:$A$1500,'T10'!$V$3:$V$1500=G8,"None")))</f>
        <v>PV-0004</v>
      </c>
      <c r="BX8" s="21" t="s">
        <v>3412</v>
      </c>
      <c r="BY8" s="21" t="s">
        <v>3413</v>
      </c>
    </row>
    <row r="9" spans="1:77" x14ac:dyDescent="0.3">
      <c r="A9" s="21" t="s">
        <v>3425</v>
      </c>
      <c r="B9" s="21" t="s">
        <v>1924</v>
      </c>
      <c r="C9" s="21" t="s">
        <v>3426</v>
      </c>
      <c r="D9" s="35">
        <v>45598.583333333336</v>
      </c>
      <c r="E9" s="21" t="s">
        <v>3347</v>
      </c>
      <c r="F9" s="21" t="str">
        <f ca="1">IF(S9="Paid","Completed","Pending payment")</f>
        <v>Completed</v>
      </c>
      <c r="G9" s="21" t="s">
        <v>3427</v>
      </c>
      <c r="H9" s="21" t="s">
        <v>3428</v>
      </c>
      <c r="I9" s="29">
        <v>45599</v>
      </c>
      <c r="J9" s="29">
        <v>45597</v>
      </c>
      <c r="K9" s="21" t="str">
        <f>TEXT(I9,"mmm-yyyy")</f>
        <v>Nov-2024</v>
      </c>
      <c r="L9" s="21" t="s">
        <v>1797</v>
      </c>
      <c r="M9" s="21">
        <v>1</v>
      </c>
      <c r="N9" s="21" t="s">
        <v>743</v>
      </c>
      <c r="O9" s="21" t="s">
        <v>3350</v>
      </c>
      <c r="P9" s="21" t="s">
        <v>3429</v>
      </c>
      <c r="Q9" s="21" t="s">
        <v>844</v>
      </c>
      <c r="R9" s="21" t="s">
        <v>3430</v>
      </c>
      <c r="S9" s="21" t="str">
        <f ca="1">IF(BN9&lt;1,"Paid",IF(BM9&gt;0,"Partially paid",IF(ISNUMBER(SEARCH("hold",BU9)),"On hold",IF(BQ9&lt;TODAY(),"Overdue","Approved - unpaid"))))</f>
        <v>Paid</v>
      </c>
      <c r="T9" s="21" t="s">
        <v>3431</v>
      </c>
      <c r="U9" s="21" t="s">
        <v>1339</v>
      </c>
      <c r="V9" s="21" t="s">
        <v>1207</v>
      </c>
      <c r="W9" s="21" t="s">
        <v>1066</v>
      </c>
      <c r="X9" s="21" t="s">
        <v>846</v>
      </c>
      <c r="Y9" s="21" t="s">
        <v>3432</v>
      </c>
      <c r="Z9" s="21" t="s">
        <v>3433</v>
      </c>
      <c r="AA9" s="21" t="s">
        <v>1051</v>
      </c>
      <c r="AB9" s="37">
        <v>0</v>
      </c>
      <c r="AC9" s="21" t="s">
        <v>844</v>
      </c>
      <c r="AD9" s="21" t="s">
        <v>844</v>
      </c>
      <c r="AE9" s="21" t="s">
        <v>3434</v>
      </c>
      <c r="AF9" s="21">
        <v>1</v>
      </c>
      <c r="AG9" s="21" t="s">
        <v>853</v>
      </c>
      <c r="AH9" s="21" t="s">
        <v>855</v>
      </c>
      <c r="AI9" s="21" t="s">
        <v>842</v>
      </c>
      <c r="AJ9" s="37">
        <f>COUNTIFS('T14'!$AQ$3:$AQ$1500,B9,'T14'!$Z$3:$Z$1500,1,'T14'!$F$3:$F$1500,"Bulker")</f>
        <v>6</v>
      </c>
      <c r="AK9" s="37">
        <f>AJ9</f>
        <v>6</v>
      </c>
      <c r="AL9" s="37">
        <v>55000</v>
      </c>
      <c r="AM9" s="37">
        <f>AK9*AL9</f>
        <v>330000</v>
      </c>
      <c r="AN9" s="37">
        <f>AM9</f>
        <v>330000</v>
      </c>
      <c r="AO9" s="23">
        <f>_xlfn.XLOOKUP(AG9,'T13'!$A$3:$A$1500,'T13'!$O$3:$O$1500)</f>
        <v>0.16</v>
      </c>
      <c r="AP9" s="37">
        <v>0</v>
      </c>
      <c r="AQ9" s="37">
        <f>SUMIFS($AN$3:$AN$1500,$G$3:$G$1500,G9)</f>
        <v>330000</v>
      </c>
      <c r="AR9" s="37">
        <f>SUMIFS($AP$3:$AP$1500,$G$3:$G$1500,G9)</f>
        <v>0</v>
      </c>
      <c r="AS9" s="21" t="s">
        <v>3435</v>
      </c>
      <c r="AT9" s="37">
        <f>ROUND(BH9*0.08,0)</f>
        <v>30624</v>
      </c>
      <c r="AU9" s="21" t="s">
        <v>846</v>
      </c>
      <c r="AV9" s="37" cm="1">
        <f t="array" ref="AV9">SUMPRODUCT(($G$3:$G$1500=G9)*$AN$3:$AN$1500*$AO$3:$AO$1500)+AR9</f>
        <v>52800</v>
      </c>
      <c r="AW9" s="37">
        <f>AT9</f>
        <v>30624</v>
      </c>
      <c r="AX9" s="21" t="str">
        <f>TEXT(EOMONTH(I9,0)+15,"dd-mmm-yyyy")&amp;" / "&amp;IF(BM9&gt;0,"CPR-IT-"&amp;TEXT(I9,"yymm")&amp;"-"&amp;RIGHT(G9,4),"Pending payment")</f>
        <v>15-Dec-2024 / CPR-IT-2411-0006</v>
      </c>
      <c r="AY9" s="21" t="str">
        <f>IF(BM9&gt;0,"Issued","Not yet")</f>
        <v>Issued</v>
      </c>
      <c r="AZ9" s="37">
        <v>0</v>
      </c>
      <c r="BA9" s="37">
        <v>5000</v>
      </c>
      <c r="BB9" s="37">
        <v>0</v>
      </c>
      <c r="BC9" s="37">
        <v>0</v>
      </c>
      <c r="BD9" s="37">
        <v>0</v>
      </c>
      <c r="BE9" s="37">
        <f>AQ9</f>
        <v>330000</v>
      </c>
      <c r="BF9" s="37">
        <f>AV9</f>
        <v>52800</v>
      </c>
      <c r="BG9" s="37">
        <f>AZ9</f>
        <v>0</v>
      </c>
      <c r="BH9" s="37">
        <f>BE9+BF9+BG9</f>
        <v>382800</v>
      </c>
      <c r="BI9" s="37">
        <f>AW9</f>
        <v>30624</v>
      </c>
      <c r="BJ9" s="37">
        <f>BA9+BB9+BC9+BD9</f>
        <v>5000</v>
      </c>
      <c r="BK9" s="37">
        <f>BH9-BI9-BJ9</f>
        <v>347176</v>
      </c>
      <c r="BL9" s="21" t="str">
        <f>"PKR "&amp;TEXT(BK9,"#,##0")&amp;" only"</f>
        <v>PKR 347,176 only</v>
      </c>
      <c r="BM9" s="37">
        <f>SUMIFS('T10'!$AK$3:$AK$1500,'T10'!$V$3:$V$1500,G9)</f>
        <v>347176</v>
      </c>
      <c r="BN9" s="37">
        <f>BK9-BM9</f>
        <v>0</v>
      </c>
      <c r="BO9" s="21" t="str">
        <f>IF(BF9&gt;0,TEXT(I9,"mmm-yyyy")&amp;" sales tax return","N/A")</f>
        <v>Nov-2024 sales tax return</v>
      </c>
      <c r="BP9" s="21" t="s">
        <v>1051</v>
      </c>
      <c r="BQ9" s="29">
        <f>J9+30</f>
        <v>45627</v>
      </c>
      <c r="BR9" s="29">
        <f>BQ9</f>
        <v>45627</v>
      </c>
      <c r="BS9" s="21" t="s">
        <v>3095</v>
      </c>
      <c r="BT9" s="21" t="s">
        <v>3360</v>
      </c>
      <c r="BU9" s="21" t="s">
        <v>844</v>
      </c>
      <c r="BV9" s="21" t="s">
        <v>846</v>
      </c>
      <c r="BW9" s="21" t="str" cm="1">
        <f t="array" ref="BW9">_xlfn.TEXTJOIN(", ",TRUE,_xlfn.UNIQUE(_xlfn._xlws.FILTER('T10'!$A$3:$A$1500,'T10'!$V$3:$V$1500=G9,"None")))</f>
        <v>PV-0022</v>
      </c>
      <c r="BX9" s="21" t="s">
        <v>3436</v>
      </c>
      <c r="BY9" s="21" t="s">
        <v>3437</v>
      </c>
    </row>
    <row r="10" spans="1:77" x14ac:dyDescent="0.3">
      <c r="A10" s="21" t="s">
        <v>3438</v>
      </c>
      <c r="B10" s="21" t="s">
        <v>1936</v>
      </c>
      <c r="C10" s="21" t="s">
        <v>3439</v>
      </c>
      <c r="D10" s="35">
        <v>45598.458333333336</v>
      </c>
      <c r="E10" s="21" t="s">
        <v>3347</v>
      </c>
      <c r="F10" s="21" t="str">
        <f ca="1">IF(S10="Paid","Completed","Pending payment")</f>
        <v>Completed</v>
      </c>
      <c r="G10" s="21" t="s">
        <v>3440</v>
      </c>
      <c r="H10" s="21" t="s">
        <v>3428</v>
      </c>
      <c r="I10" s="29">
        <v>45599</v>
      </c>
      <c r="J10" s="29">
        <v>45597</v>
      </c>
      <c r="K10" s="21" t="str">
        <f>TEXT(I10,"mmm-yyyy")</f>
        <v>Nov-2024</v>
      </c>
      <c r="L10" s="21" t="s">
        <v>1797</v>
      </c>
      <c r="M10" s="21">
        <v>1</v>
      </c>
      <c r="N10" s="21" t="s">
        <v>743</v>
      </c>
      <c r="O10" s="21" t="s">
        <v>3350</v>
      </c>
      <c r="P10" s="21" t="s">
        <v>3429</v>
      </c>
      <c r="Q10" s="21" t="s">
        <v>844</v>
      </c>
      <c r="R10" s="21" t="s">
        <v>3430</v>
      </c>
      <c r="S10" s="21" t="str">
        <f ca="1">IF(BN10&lt;1,"Paid",IF(BM10&gt;0,"Partially paid",IF(ISNUMBER(SEARCH("hold",BU10)),"On hold",IF(BQ10&lt;TODAY(),"Overdue","Approved - unpaid"))))</f>
        <v>Paid</v>
      </c>
      <c r="T10" s="21" t="s">
        <v>3431</v>
      </c>
      <c r="U10" s="21" t="s">
        <v>1278</v>
      </c>
      <c r="V10" s="21" t="s">
        <v>1200</v>
      </c>
      <c r="W10" s="21" t="s">
        <v>746</v>
      </c>
      <c r="X10" s="21" t="s">
        <v>846</v>
      </c>
      <c r="Y10" s="21" t="s">
        <v>3441</v>
      </c>
      <c r="Z10" s="21" t="s">
        <v>3442</v>
      </c>
      <c r="AA10" s="21" t="s">
        <v>1051</v>
      </c>
      <c r="AB10" s="37">
        <v>0</v>
      </c>
      <c r="AC10" s="21" t="s">
        <v>844</v>
      </c>
      <c r="AD10" s="21" t="s">
        <v>844</v>
      </c>
      <c r="AE10" s="21" t="s">
        <v>3443</v>
      </c>
      <c r="AF10" s="21">
        <v>1</v>
      </c>
      <c r="AG10" s="21" t="s">
        <v>837</v>
      </c>
      <c r="AH10" s="21" t="s">
        <v>840</v>
      </c>
      <c r="AI10" s="21" t="s">
        <v>842</v>
      </c>
      <c r="AJ10" s="37">
        <f>COUNTIFS('T14'!$AQ$3:$AQ$1500,B10,'T14'!$Z$3:$Z$1500,1,'T14'!$F$3:$F$1500,"Bag")</f>
        <v>6</v>
      </c>
      <c r="AK10" s="37">
        <f>AJ10</f>
        <v>6</v>
      </c>
      <c r="AL10" s="37">
        <v>38000</v>
      </c>
      <c r="AM10" s="37">
        <f>AK10*AL10</f>
        <v>228000</v>
      </c>
      <c r="AN10" s="37">
        <f>AM10</f>
        <v>228000</v>
      </c>
      <c r="AO10" s="23">
        <f>_xlfn.XLOOKUP(AG10,'T13'!$A$3:$A$1500,'T13'!$O$3:$O$1500)</f>
        <v>0.16</v>
      </c>
      <c r="AP10" s="37">
        <v>0</v>
      </c>
      <c r="AQ10" s="37">
        <f>SUMIFS($AN$3:$AN$1500,$G$3:$G$1500,G10)</f>
        <v>228000</v>
      </c>
      <c r="AR10" s="37">
        <f>SUMIFS($AP$3:$AP$1500,$G$3:$G$1500,G10)</f>
        <v>0</v>
      </c>
      <c r="AS10" s="21" t="s">
        <v>3444</v>
      </c>
      <c r="AT10" s="37">
        <f>ROUND(BH10*0.04,0)</f>
        <v>10879</v>
      </c>
      <c r="AU10" s="21" t="s">
        <v>846</v>
      </c>
      <c r="AV10" s="37" cm="1">
        <f t="array" ref="AV10">SUMPRODUCT(($G$3:$G$1500=G10)*$AN$3:$AN$1500*$AO$3:$AO$1500)+AR10</f>
        <v>36480</v>
      </c>
      <c r="AW10" s="37">
        <f>AT10</f>
        <v>10879</v>
      </c>
      <c r="AX10" s="21" t="str">
        <f>TEXT(EOMONTH(I10,0)+15,"dd-mmm-yyyy")&amp;" / "&amp;IF(BM10&gt;0,"CPR-IT-"&amp;TEXT(I10,"yymm")&amp;"-"&amp;RIGHT(G10,4),"Pending payment")</f>
        <v>15-Dec-2024 / CPR-IT-2411-0007</v>
      </c>
      <c r="AY10" s="21" t="str">
        <f>IF(BM10&gt;0,"Issued","Not yet")</f>
        <v>Issued</v>
      </c>
      <c r="AZ10" s="37">
        <v>7500</v>
      </c>
      <c r="BA10" s="37">
        <v>0</v>
      </c>
      <c r="BB10" s="37">
        <v>0</v>
      </c>
      <c r="BC10" s="37">
        <v>0</v>
      </c>
      <c r="BD10" s="37">
        <v>0</v>
      </c>
      <c r="BE10" s="37">
        <f>AQ10</f>
        <v>228000</v>
      </c>
      <c r="BF10" s="37">
        <f>AV10</f>
        <v>36480</v>
      </c>
      <c r="BG10" s="37">
        <f>AZ10</f>
        <v>7500</v>
      </c>
      <c r="BH10" s="37">
        <f>BE10+BF10+BG10</f>
        <v>271980</v>
      </c>
      <c r="BI10" s="37">
        <f>AW10</f>
        <v>10879</v>
      </c>
      <c r="BJ10" s="37">
        <f>BA10+BB10+BC10+BD10</f>
        <v>0</v>
      </c>
      <c r="BK10" s="37">
        <f>BH10-BI10-BJ10</f>
        <v>261101</v>
      </c>
      <c r="BL10" s="21" t="str">
        <f>"PKR "&amp;TEXT(BK10,"#,##0")&amp;" only"</f>
        <v>PKR 261,101 only</v>
      </c>
      <c r="BM10" s="37">
        <f>SUMIFS('T10'!$AK$3:$AK$1500,'T10'!$V$3:$V$1500,G10)</f>
        <v>261101</v>
      </c>
      <c r="BN10" s="37">
        <f>BK10-BM10</f>
        <v>0</v>
      </c>
      <c r="BO10" s="21" t="str">
        <f>IF(BF10&gt;0,TEXT(I10,"mmm-yyyy")&amp;" sales tax return","N/A")</f>
        <v>Nov-2024 sales tax return</v>
      </c>
      <c r="BP10" s="21" t="s">
        <v>1051</v>
      </c>
      <c r="BQ10" s="29">
        <f>J10+30</f>
        <v>45627</v>
      </c>
      <c r="BR10" s="29">
        <f>BQ10</f>
        <v>45627</v>
      </c>
      <c r="BS10" s="21" t="s">
        <v>3095</v>
      </c>
      <c r="BT10" s="21" t="s">
        <v>3360</v>
      </c>
      <c r="BU10" s="21" t="s">
        <v>844</v>
      </c>
      <c r="BV10" s="21" t="s">
        <v>846</v>
      </c>
      <c r="BW10" s="21" t="str" cm="1">
        <f t="array" ref="BW10">_xlfn.TEXTJOIN(", ",TRUE,_xlfn.UNIQUE(_xlfn._xlws.FILTER('T10'!$A$3:$A$1500,'T10'!$V$3:$V$1500=G10,"None")))</f>
        <v>PV-0003</v>
      </c>
      <c r="BX10" s="21" t="s">
        <v>3436</v>
      </c>
      <c r="BY10" s="21" t="s">
        <v>3437</v>
      </c>
    </row>
    <row r="11" spans="1:77" x14ac:dyDescent="0.3">
      <c r="A11" s="21" t="s">
        <v>3445</v>
      </c>
      <c r="B11" s="21" t="s">
        <v>3446</v>
      </c>
      <c r="C11" s="21" t="s">
        <v>3447</v>
      </c>
      <c r="D11" s="35">
        <v>45617.458333333336</v>
      </c>
      <c r="E11" s="21" t="s">
        <v>3347</v>
      </c>
      <c r="F11" s="21" t="str">
        <f ca="1">IF(S11="Paid","Completed","Pending payment")</f>
        <v>Completed</v>
      </c>
      <c r="G11" s="21" t="s">
        <v>3448</v>
      </c>
      <c r="H11" s="21" t="s">
        <v>3349</v>
      </c>
      <c r="I11" s="29">
        <v>45618</v>
      </c>
      <c r="J11" s="29">
        <v>45616</v>
      </c>
      <c r="K11" s="21" t="str">
        <f>TEXT(I11,"mmm-yyyy")</f>
        <v>Nov-2024</v>
      </c>
      <c r="L11" s="21" t="s">
        <v>1797</v>
      </c>
      <c r="M11" s="21">
        <v>1</v>
      </c>
      <c r="N11" s="21" t="s">
        <v>743</v>
      </c>
      <c r="O11" s="21" t="s">
        <v>3350</v>
      </c>
      <c r="P11" s="21" t="s">
        <v>3351</v>
      </c>
      <c r="Q11" s="21" t="s">
        <v>844</v>
      </c>
      <c r="R11" s="21" t="s">
        <v>3449</v>
      </c>
      <c r="S11" s="21" t="str">
        <f ca="1">IF(BN11&lt;1,"Paid",IF(BM11&gt;0,"Partially paid",IF(ISNUMBER(SEARCH("hold",BU11)),"On hold",IF(BQ11&lt;TODAY(),"Overdue","Approved - unpaid"))))</f>
        <v>Paid</v>
      </c>
      <c r="T11" s="21" t="s">
        <v>3353</v>
      </c>
      <c r="U11" s="21" t="s">
        <v>3450</v>
      </c>
      <c r="V11" s="21" t="s">
        <v>3451</v>
      </c>
      <c r="W11" s="21" t="s">
        <v>746</v>
      </c>
      <c r="X11" s="21" t="s">
        <v>846</v>
      </c>
      <c r="Y11" s="21" t="s">
        <v>3452</v>
      </c>
      <c r="Z11" s="21" t="s">
        <v>3453</v>
      </c>
      <c r="AA11" s="21" t="s">
        <v>1062</v>
      </c>
      <c r="AB11" s="37">
        <v>0</v>
      </c>
      <c r="AC11" s="21" t="s">
        <v>844</v>
      </c>
      <c r="AD11" s="21" t="s">
        <v>844</v>
      </c>
      <c r="AE11" s="21" t="s">
        <v>844</v>
      </c>
      <c r="AF11" s="21">
        <v>1</v>
      </c>
      <c r="AG11" s="21" t="s">
        <v>919</v>
      </c>
      <c r="AH11" s="21" t="s">
        <v>921</v>
      </c>
      <c r="AI11" s="21" t="s">
        <v>905</v>
      </c>
      <c r="AJ11" s="37">
        <v>1</v>
      </c>
      <c r="AK11" s="37">
        <v>1</v>
      </c>
      <c r="AL11" s="37">
        <v>25100</v>
      </c>
      <c r="AM11" s="37">
        <f>AK11*AL11</f>
        <v>25100</v>
      </c>
      <c r="AN11" s="37">
        <f>AM11</f>
        <v>25100</v>
      </c>
      <c r="AO11" s="23">
        <f>_xlfn.XLOOKUP(AG11,'T13'!$A$3:$A$1500,'T13'!$O$3:$O$1500)</f>
        <v>0.16</v>
      </c>
      <c r="AP11" s="37">
        <v>0</v>
      </c>
      <c r="AQ11" s="37">
        <f>SUMIFS($AN$3:$AN$1500,$G$3:$G$1500,G11)</f>
        <v>25100</v>
      </c>
      <c r="AR11" s="37">
        <f>SUMIFS($AP$3:$AP$1500,$G$3:$G$1500,G11)</f>
        <v>0</v>
      </c>
      <c r="AS11" s="21" t="s">
        <v>3359</v>
      </c>
      <c r="AT11" s="37">
        <f>ROUND(BH11*0,0)</f>
        <v>0</v>
      </c>
      <c r="AU11" s="21" t="s">
        <v>846</v>
      </c>
      <c r="AV11" s="37" cm="1">
        <f t="array" ref="AV11">SUMPRODUCT(($G$3:$G$1500=G11)*$AN$3:$AN$1500*$AO$3:$AO$1500)+AR11</f>
        <v>4016</v>
      </c>
      <c r="AW11" s="37">
        <f>AT11</f>
        <v>0</v>
      </c>
      <c r="AX11" s="21" t="str">
        <f>TEXT(EOMONTH(I11,0)+15,"dd-mmm-yyyy")&amp;" / "&amp;IF(BM11&gt;0,"CPR-IT-"&amp;TEXT(I11,"yymm")&amp;"-"&amp;RIGHT(G11,4),"Pending payment")</f>
        <v>15-Dec-2024 / CPR-IT-2411-0008</v>
      </c>
      <c r="AY11" s="21" t="str">
        <f>IF(BM11&gt;0,"Issued","Not yet")</f>
        <v>Issued</v>
      </c>
      <c r="AZ11" s="37">
        <v>0</v>
      </c>
      <c r="BA11" s="37">
        <v>0</v>
      </c>
      <c r="BB11" s="37">
        <v>0</v>
      </c>
      <c r="BC11" s="37">
        <v>0</v>
      </c>
      <c r="BD11" s="37">
        <v>0</v>
      </c>
      <c r="BE11" s="37">
        <f>AQ11</f>
        <v>25100</v>
      </c>
      <c r="BF11" s="37">
        <f>AV11</f>
        <v>4016</v>
      </c>
      <c r="BG11" s="37">
        <f>AZ11</f>
        <v>0</v>
      </c>
      <c r="BH11" s="37">
        <f>BE11+BF11+BG11</f>
        <v>29116</v>
      </c>
      <c r="BI11" s="37">
        <f>AW11</f>
        <v>0</v>
      </c>
      <c r="BJ11" s="37">
        <f>BA11+BB11+BC11+BD11</f>
        <v>0</v>
      </c>
      <c r="BK11" s="37">
        <f>BH11-BI11-BJ11</f>
        <v>29116</v>
      </c>
      <c r="BL11" s="21" t="str">
        <f>"PKR "&amp;TEXT(BK11,"#,##0")&amp;" only"</f>
        <v>PKR 29,116 only</v>
      </c>
      <c r="BM11" s="37">
        <f>SUMIFS('T10'!$AK$3:$AK$1500,'T10'!$V$3:$V$1500,G11)</f>
        <v>29116</v>
      </c>
      <c r="BN11" s="37">
        <f>BK11-BM11</f>
        <v>0</v>
      </c>
      <c r="BO11" s="21" t="str">
        <f>IF(BF11&gt;0,TEXT(I11,"mmm-yyyy")&amp;" sales tax return","N/A")</f>
        <v>Nov-2024 sales tax return</v>
      </c>
      <c r="BP11" s="21" t="s">
        <v>1062</v>
      </c>
      <c r="BQ11" s="29">
        <f>J11+15</f>
        <v>45631</v>
      </c>
      <c r="BR11" s="29">
        <f>BQ11</f>
        <v>45631</v>
      </c>
      <c r="BS11" s="21" t="s">
        <v>3095</v>
      </c>
      <c r="BT11" s="21" t="s">
        <v>3360</v>
      </c>
      <c r="BU11" s="21" t="s">
        <v>844</v>
      </c>
      <c r="BV11" s="21" t="s">
        <v>846</v>
      </c>
      <c r="BW11" s="21" t="str" cm="1">
        <f t="array" ref="BW11">_xlfn.TEXTJOIN(", ",TRUE,_xlfn.UNIQUE(_xlfn._xlws.FILTER('T10'!$A$3:$A$1500,'T10'!$V$3:$V$1500=G11,"None")))</f>
        <v>PV-0010</v>
      </c>
      <c r="BX11" s="21" t="s">
        <v>3454</v>
      </c>
      <c r="BY11" s="21" t="s">
        <v>3455</v>
      </c>
    </row>
    <row r="12" spans="1:77" x14ac:dyDescent="0.3">
      <c r="A12" s="21" t="s">
        <v>3456</v>
      </c>
      <c r="B12" s="21" t="s">
        <v>3457</v>
      </c>
      <c r="C12" s="21" t="s">
        <v>3458</v>
      </c>
      <c r="D12" s="35">
        <v>45620.625</v>
      </c>
      <c r="E12" s="21" t="s">
        <v>3347</v>
      </c>
      <c r="F12" s="21" t="str">
        <f ca="1">IF(S12="Paid","Completed","Pending payment")</f>
        <v>Completed</v>
      </c>
      <c r="G12" s="21" t="s">
        <v>3459</v>
      </c>
      <c r="H12" s="21" t="s">
        <v>3460</v>
      </c>
      <c r="I12" s="29">
        <v>45620</v>
      </c>
      <c r="J12" s="29">
        <v>45618</v>
      </c>
      <c r="K12" s="21" t="str">
        <f>TEXT(I12,"mmm-yyyy")</f>
        <v>Nov-2024</v>
      </c>
      <c r="L12" s="21" t="s">
        <v>1797</v>
      </c>
      <c r="M12" s="21">
        <v>1</v>
      </c>
      <c r="N12" s="21" t="s">
        <v>743</v>
      </c>
      <c r="O12" s="21" t="s">
        <v>3368</v>
      </c>
      <c r="P12" s="21" t="s">
        <v>3429</v>
      </c>
      <c r="Q12" s="21" t="s">
        <v>844</v>
      </c>
      <c r="R12" s="21" t="s">
        <v>3461</v>
      </c>
      <c r="S12" s="21" t="str">
        <f ca="1">IF(BN12&lt;1,"Paid",IF(BM12&gt;0,"Partially paid",IF(ISNUMBER(SEARCH("hold",BU12)),"On hold",IF(BQ12&lt;TODAY(),"Overdue","Approved - unpaid"))))</f>
        <v>Paid</v>
      </c>
      <c r="T12" s="21" t="s">
        <v>3462</v>
      </c>
      <c r="U12" s="21" t="s">
        <v>3463</v>
      </c>
      <c r="V12" s="21" t="s">
        <v>3464</v>
      </c>
      <c r="W12" s="21" t="s">
        <v>746</v>
      </c>
      <c r="X12" s="21" t="s">
        <v>846</v>
      </c>
      <c r="Y12" s="21" t="s">
        <v>3465</v>
      </c>
      <c r="Z12" s="21" t="s">
        <v>3466</v>
      </c>
      <c r="AA12" s="21" t="s">
        <v>1062</v>
      </c>
      <c r="AB12" s="37">
        <v>0</v>
      </c>
      <c r="AC12" s="21" t="s">
        <v>844</v>
      </c>
      <c r="AD12" s="21" t="s">
        <v>844</v>
      </c>
      <c r="AE12" s="21" t="s">
        <v>844</v>
      </c>
      <c r="AF12" s="21">
        <v>1</v>
      </c>
      <c r="AG12" s="21" t="s">
        <v>866</v>
      </c>
      <c r="AH12" s="21" t="s">
        <v>869</v>
      </c>
      <c r="AI12" s="21" t="s">
        <v>870</v>
      </c>
      <c r="AJ12" s="37">
        <v>408</v>
      </c>
      <c r="AK12" s="37">
        <v>408</v>
      </c>
      <c r="AL12" s="37">
        <v>270</v>
      </c>
      <c r="AM12" s="37">
        <f>AK12*AL12</f>
        <v>110160</v>
      </c>
      <c r="AN12" s="37">
        <f>AM12</f>
        <v>110160</v>
      </c>
      <c r="AO12" s="23">
        <f>_xlfn.XLOOKUP(AG12,'T13'!$A$3:$A$1500,'T13'!$O$3:$O$1500)</f>
        <v>0.18</v>
      </c>
      <c r="AP12" s="37">
        <v>0</v>
      </c>
      <c r="AQ12" s="37">
        <f>SUMIFS($AN$3:$AN$1500,$G$3:$G$1500,G12)</f>
        <v>110160</v>
      </c>
      <c r="AR12" s="37">
        <f>SUMIFS($AP$3:$AP$1500,$G$3:$G$1500,G12)</f>
        <v>0</v>
      </c>
      <c r="AS12" s="21" t="s">
        <v>3467</v>
      </c>
      <c r="AT12" s="37">
        <f>ROUND(BH12*0,0)</f>
        <v>0</v>
      </c>
      <c r="AU12" s="21" t="s">
        <v>846</v>
      </c>
      <c r="AV12" s="37" cm="1">
        <f t="array" ref="AV12">SUMPRODUCT(($G$3:$G$1500=G12)*$AN$3:$AN$1500*$AO$3:$AO$1500)+AR12</f>
        <v>19828.8</v>
      </c>
      <c r="AW12" s="37">
        <f>AT12</f>
        <v>0</v>
      </c>
      <c r="AX12" s="21" t="str">
        <f>TEXT(EOMONTH(I12,0)+15,"dd-mmm-yyyy")&amp;" / "&amp;IF(BM12&gt;0,"CPR-IT-"&amp;TEXT(I12,"yymm")&amp;"-"&amp;RIGHT(G12,4),"Pending payment")</f>
        <v>15-Dec-2024 / CPR-IT-2411-0009</v>
      </c>
      <c r="AY12" s="21" t="str">
        <f>IF(BM12&gt;0,"Issued","Not yet")</f>
        <v>Issued</v>
      </c>
      <c r="AZ12" s="37">
        <v>0</v>
      </c>
      <c r="BA12" s="37">
        <v>0</v>
      </c>
      <c r="BB12" s="37">
        <v>0</v>
      </c>
      <c r="BC12" s="37">
        <v>0</v>
      </c>
      <c r="BD12" s="37">
        <v>0</v>
      </c>
      <c r="BE12" s="37">
        <f>AQ12</f>
        <v>110160</v>
      </c>
      <c r="BF12" s="37">
        <f>AV12</f>
        <v>19828.8</v>
      </c>
      <c r="BG12" s="37">
        <f>AZ12</f>
        <v>0</v>
      </c>
      <c r="BH12" s="37">
        <f>BE12+BF12+BG12</f>
        <v>129988.8</v>
      </c>
      <c r="BI12" s="37">
        <f>AW12</f>
        <v>0</v>
      </c>
      <c r="BJ12" s="37">
        <f>BA12+BB12+BC12+BD12</f>
        <v>0</v>
      </c>
      <c r="BK12" s="37">
        <f>BH12-BI12-BJ12</f>
        <v>129988.8</v>
      </c>
      <c r="BL12" s="21" t="str">
        <f>"PKR "&amp;TEXT(BK12,"#,##0")&amp;" only"</f>
        <v>PKR 129,989 only</v>
      </c>
      <c r="BM12" s="37">
        <f>SUMIFS('T10'!$AK$3:$AK$1500,'T10'!$V$3:$V$1500,G12)</f>
        <v>129988.8</v>
      </c>
      <c r="BN12" s="37">
        <f>BK12-BM12</f>
        <v>0</v>
      </c>
      <c r="BO12" s="21" t="str">
        <f>IF(BF12&gt;0,TEXT(I12,"mmm-yyyy")&amp;" sales tax return","N/A")</f>
        <v>Nov-2024 sales tax return</v>
      </c>
      <c r="BP12" s="21" t="s">
        <v>1062</v>
      </c>
      <c r="BQ12" s="29">
        <f>J12+15</f>
        <v>45633</v>
      </c>
      <c r="BR12" s="29">
        <f>BQ12</f>
        <v>45633</v>
      </c>
      <c r="BS12" s="21" t="s">
        <v>3095</v>
      </c>
      <c r="BT12" s="21" t="s">
        <v>3360</v>
      </c>
      <c r="BU12" s="21" t="s">
        <v>844</v>
      </c>
      <c r="BV12" s="21" t="s">
        <v>846</v>
      </c>
      <c r="BW12" s="21" t="str" cm="1">
        <f t="array" ref="BW12">_xlfn.TEXTJOIN(", ",TRUE,_xlfn.UNIQUE(_xlfn._xlws.FILTER('T10'!$A$3:$A$1500,'T10'!$V$3:$V$1500=G12,"None")))</f>
        <v>PV-0034</v>
      </c>
      <c r="BX12" s="21" t="s">
        <v>3468</v>
      </c>
      <c r="BY12" s="21" t="s">
        <v>3469</v>
      </c>
    </row>
    <row r="13" spans="1:77" x14ac:dyDescent="0.3">
      <c r="A13" s="21" t="s">
        <v>3415</v>
      </c>
      <c r="B13" s="21" t="s">
        <v>3470</v>
      </c>
      <c r="C13" s="21" t="s">
        <v>3471</v>
      </c>
      <c r="D13" s="35">
        <v>45628.666666666664</v>
      </c>
      <c r="E13" s="21" t="s">
        <v>3347</v>
      </c>
      <c r="F13" s="21" t="str">
        <f ca="1">IF(S13="Paid","Completed","Pending payment")</f>
        <v>Completed</v>
      </c>
      <c r="G13" s="21" t="s">
        <v>3472</v>
      </c>
      <c r="H13" s="21" t="s">
        <v>3399</v>
      </c>
      <c r="I13" s="29">
        <v>45626</v>
      </c>
      <c r="J13" s="29">
        <v>45626</v>
      </c>
      <c r="K13" s="21" t="str">
        <f>TEXT(I13,"mmm-yyyy")</f>
        <v>Nov-2024</v>
      </c>
      <c r="L13" s="21" t="s">
        <v>1797</v>
      </c>
      <c r="M13" s="21">
        <v>1</v>
      </c>
      <c r="N13" s="21" t="s">
        <v>743</v>
      </c>
      <c r="O13" s="21" t="s">
        <v>3400</v>
      </c>
      <c r="P13" s="21" t="s">
        <v>3401</v>
      </c>
      <c r="Q13" s="21" t="s">
        <v>844</v>
      </c>
      <c r="R13" s="21" t="s">
        <v>3473</v>
      </c>
      <c r="S13" s="21" t="str">
        <f ca="1">IF(BN13&lt;1,"Paid",IF(BM13&gt;0,"Partially paid",IF(ISNUMBER(SEARCH("hold",BU13)),"On hold",IF(BQ13&lt;TODAY(),"Overdue","Approved - unpaid"))))</f>
        <v>Paid</v>
      </c>
      <c r="T13" s="21" t="s">
        <v>3403</v>
      </c>
      <c r="U13" s="21" t="s">
        <v>3419</v>
      </c>
      <c r="V13" s="21" t="s">
        <v>999</v>
      </c>
      <c r="W13" s="21" t="s">
        <v>746</v>
      </c>
      <c r="X13" s="21" t="s">
        <v>846</v>
      </c>
      <c r="Y13" s="21" t="s">
        <v>3420</v>
      </c>
      <c r="Z13" s="21" t="s">
        <v>3421</v>
      </c>
      <c r="AA13" s="21" t="s">
        <v>1062</v>
      </c>
      <c r="AB13" s="37">
        <v>0</v>
      </c>
      <c r="AC13" s="21" t="s">
        <v>3474</v>
      </c>
      <c r="AD13" s="21" t="s">
        <v>3475</v>
      </c>
      <c r="AE13" s="21" t="s">
        <v>3424</v>
      </c>
      <c r="AF13" s="21">
        <v>1</v>
      </c>
      <c r="AG13" s="21" t="s">
        <v>799</v>
      </c>
      <c r="AH13" s="21" t="s">
        <v>801</v>
      </c>
      <c r="AI13" s="21" t="s">
        <v>1804</v>
      </c>
      <c r="AJ13" s="37">
        <v>4300</v>
      </c>
      <c r="AK13" s="37">
        <v>4300</v>
      </c>
      <c r="AL13" s="37">
        <v>1245</v>
      </c>
      <c r="AM13" s="37">
        <f>AK13*AL13</f>
        <v>5353500</v>
      </c>
      <c r="AN13" s="37">
        <f>AM13</f>
        <v>5353500</v>
      </c>
      <c r="AO13" s="23">
        <f>_xlfn.XLOOKUP(AG13,'T13'!$A$3:$A$1500,'T13'!$O$3:$O$1500)</f>
        <v>0.18</v>
      </c>
      <c r="AP13" s="37">
        <f>AK13*IF(AI13="MT",1000,IF(AI13="Jumbo bag (1.5 MT)",1500,IF(AI13="Bag (40 kg)",40,50)))*3</f>
        <v>645000</v>
      </c>
      <c r="AQ13" s="37">
        <f>SUMIFS($AN$3:$AN$1500,$G$3:$G$1500,G13)</f>
        <v>7803500</v>
      </c>
      <c r="AR13" s="37">
        <f>SUMIFS($AP$3:$AP$1500,$G$3:$G$1500,G13)</f>
        <v>945000</v>
      </c>
      <c r="AS13" s="21" t="s">
        <v>3410</v>
      </c>
      <c r="AT13" s="37">
        <f>ROUND(BH13*0.05,0)</f>
        <v>507657</v>
      </c>
      <c r="AU13" s="21" t="s">
        <v>846</v>
      </c>
      <c r="AV13" s="37" cm="1">
        <f t="array" ref="AV13">SUMPRODUCT(($G$3:$G$1500=G13)*$AN$3:$AN$1500*$AO$3:$AO$1500)+AR13</f>
        <v>2349630</v>
      </c>
      <c r="AW13" s="37">
        <f>AT13</f>
        <v>507657</v>
      </c>
      <c r="AX13" s="21" t="str">
        <f>TEXT(EOMONTH(I13,0)+15,"dd-mmm-yyyy")&amp;" / "&amp;IF(BM13&gt;0,"CPR-IT-"&amp;TEXT(I13,"yymm")&amp;"-"&amp;RIGHT(G13,4),"Pending payment")</f>
        <v>15-Dec-2024 / CPR-IT-2411-0010</v>
      </c>
      <c r="AY13" s="21" t="str">
        <f>IF(BM13&gt;0,"Issued","Not yet")</f>
        <v>Issued</v>
      </c>
      <c r="AZ13" s="37">
        <v>0</v>
      </c>
      <c r="BA13" s="37">
        <v>0</v>
      </c>
      <c r="BB13" s="37">
        <v>0</v>
      </c>
      <c r="BC13" s="37">
        <v>0</v>
      </c>
      <c r="BD13" s="37">
        <v>0</v>
      </c>
      <c r="BE13" s="37">
        <f>AQ13</f>
        <v>7803500</v>
      </c>
      <c r="BF13" s="37">
        <f>AV13</f>
        <v>2349630</v>
      </c>
      <c r="BG13" s="37">
        <f>AZ13</f>
        <v>0</v>
      </c>
      <c r="BH13" s="37">
        <f>BE13+BF13+BG13</f>
        <v>10153130</v>
      </c>
      <c r="BI13" s="37">
        <f>AW13</f>
        <v>507657</v>
      </c>
      <c r="BJ13" s="37">
        <f>BA13+BB13+BC13+BD13</f>
        <v>0</v>
      </c>
      <c r="BK13" s="37">
        <f>BH13-BI13-BJ13</f>
        <v>9645473</v>
      </c>
      <c r="BL13" s="21" t="str">
        <f>"PKR "&amp;TEXT(BK13,"#,##0")&amp;" only"</f>
        <v>PKR 9,645,473 only</v>
      </c>
      <c r="BM13" s="37">
        <f>SUMIFS('T10'!$AK$3:$AK$1500,'T10'!$V$3:$V$1500,G13)</f>
        <v>9645473</v>
      </c>
      <c r="BN13" s="37">
        <f>BK13-BM13</f>
        <v>0</v>
      </c>
      <c r="BO13" s="21" t="str">
        <f>IF(BF13&gt;0,TEXT(I13,"mmm-yyyy")&amp;" sales tax return","N/A")</f>
        <v>Nov-2024 sales tax return</v>
      </c>
      <c r="BP13" s="21" t="s">
        <v>1062</v>
      </c>
      <c r="BQ13" s="29">
        <f>J13+15</f>
        <v>45641</v>
      </c>
      <c r="BR13" s="29">
        <f>BQ13</f>
        <v>45641</v>
      </c>
      <c r="BS13" s="21" t="s">
        <v>3095</v>
      </c>
      <c r="BT13" s="21" t="s">
        <v>3411</v>
      </c>
      <c r="BU13" s="21" t="s">
        <v>844</v>
      </c>
      <c r="BV13" s="21" t="s">
        <v>846</v>
      </c>
      <c r="BW13" s="21" t="str" cm="1">
        <f t="array" ref="BW13">_xlfn.TEXTJOIN(", ",TRUE,_xlfn.UNIQUE(_xlfn._xlws.FILTER('T10'!$A$3:$A$1500,'T10'!$V$3:$V$1500=G13,"None")))</f>
        <v>PV-0004</v>
      </c>
      <c r="BX13" s="21" t="s">
        <v>3476</v>
      </c>
      <c r="BY13" s="21" t="s">
        <v>3477</v>
      </c>
    </row>
    <row r="14" spans="1:77" x14ac:dyDescent="0.3">
      <c r="A14" s="21" t="s">
        <v>3415</v>
      </c>
      <c r="B14" s="21" t="s">
        <v>3470</v>
      </c>
      <c r="C14" s="21" t="s">
        <v>3471</v>
      </c>
      <c r="D14" s="35">
        <v>45628.666666666664</v>
      </c>
      <c r="E14" s="21" t="s">
        <v>3347</v>
      </c>
      <c r="F14" s="21" t="str">
        <f ca="1">IF(S14="Paid","Completed","Pending payment")</f>
        <v>Completed</v>
      </c>
      <c r="G14" s="21" t="s">
        <v>3472</v>
      </c>
      <c r="H14" s="21" t="s">
        <v>3399</v>
      </c>
      <c r="I14" s="29">
        <v>45626</v>
      </c>
      <c r="J14" s="29">
        <v>45626</v>
      </c>
      <c r="K14" s="21" t="str">
        <f>TEXT(I14,"mmm-yyyy")</f>
        <v>Nov-2024</v>
      </c>
      <c r="L14" s="21" t="s">
        <v>1797</v>
      </c>
      <c r="M14" s="21">
        <v>1</v>
      </c>
      <c r="N14" s="21" t="s">
        <v>743</v>
      </c>
      <c r="O14" s="21" t="s">
        <v>3400</v>
      </c>
      <c r="P14" s="21" t="s">
        <v>3401</v>
      </c>
      <c r="Q14" s="21" t="s">
        <v>844</v>
      </c>
      <c r="R14" s="21" t="s">
        <v>3473</v>
      </c>
      <c r="S14" s="21" t="str">
        <f ca="1">IF(BN14&lt;1,"Paid",IF(BM14&gt;0,"Partially paid",IF(ISNUMBER(SEARCH("hold",BU14)),"On hold",IF(BQ14&lt;TODAY(),"Overdue","Approved - unpaid"))))</f>
        <v>Paid</v>
      </c>
      <c r="T14" s="21" t="s">
        <v>3403</v>
      </c>
      <c r="U14" s="21" t="s">
        <v>3419</v>
      </c>
      <c r="V14" s="21" t="s">
        <v>999</v>
      </c>
      <c r="W14" s="21" t="s">
        <v>746</v>
      </c>
      <c r="X14" s="21" t="s">
        <v>846</v>
      </c>
      <c r="Y14" s="21" t="s">
        <v>3420</v>
      </c>
      <c r="Z14" s="21" t="s">
        <v>3421</v>
      </c>
      <c r="AA14" s="21" t="s">
        <v>1062</v>
      </c>
      <c r="AB14" s="37">
        <v>0</v>
      </c>
      <c r="AC14" s="21" t="s">
        <v>3474</v>
      </c>
      <c r="AD14" s="21" t="s">
        <v>3478</v>
      </c>
      <c r="AE14" s="21" t="s">
        <v>3424</v>
      </c>
      <c r="AF14" s="21">
        <v>2</v>
      </c>
      <c r="AG14" s="21" t="s">
        <v>820</v>
      </c>
      <c r="AH14" s="21" t="s">
        <v>822</v>
      </c>
      <c r="AI14" s="21" t="s">
        <v>1804</v>
      </c>
      <c r="AJ14" s="37">
        <v>2000</v>
      </c>
      <c r="AK14" s="37">
        <v>2000</v>
      </c>
      <c r="AL14" s="37">
        <v>1225</v>
      </c>
      <c r="AM14" s="37">
        <f>AK14*AL14</f>
        <v>2450000</v>
      </c>
      <c r="AN14" s="37">
        <f>AM14</f>
        <v>2450000</v>
      </c>
      <c r="AO14" s="23">
        <f>_xlfn.XLOOKUP(AG14,'T13'!$A$3:$A$1500,'T13'!$O$3:$O$1500)</f>
        <v>0.18</v>
      </c>
      <c r="AP14" s="37">
        <f>AK14*IF(AI14="MT",1000,IF(AI14="Jumbo bag (1.5 MT)",1500,IF(AI14="Bag (40 kg)",40,50)))*3</f>
        <v>300000</v>
      </c>
      <c r="AQ14" s="37">
        <f>SUMIFS($AN$3:$AN$1500,$G$3:$G$1500,G14)</f>
        <v>7803500</v>
      </c>
      <c r="AR14" s="37">
        <f>SUMIFS($AP$3:$AP$1500,$G$3:$G$1500,G14)</f>
        <v>945000</v>
      </c>
      <c r="AS14" s="21" t="s">
        <v>3410</v>
      </c>
      <c r="AT14" s="37">
        <f>ROUND(BH14*0.05,0)</f>
        <v>507657</v>
      </c>
      <c r="AU14" s="21" t="s">
        <v>846</v>
      </c>
      <c r="AV14" s="37" cm="1">
        <f t="array" ref="AV14">SUMPRODUCT(($G$3:$G$1500=G14)*$AN$3:$AN$1500*$AO$3:$AO$1500)+AR14</f>
        <v>2349630</v>
      </c>
      <c r="AW14" s="37">
        <f>AT14</f>
        <v>507657</v>
      </c>
      <c r="AX14" s="21" t="str">
        <f>TEXT(EOMONTH(I14,0)+15,"dd-mmm-yyyy")&amp;" / "&amp;IF(BM14&gt;0,"CPR-IT-"&amp;TEXT(I14,"yymm")&amp;"-"&amp;RIGHT(G14,4),"Pending payment")</f>
        <v>15-Dec-2024 / CPR-IT-2411-0010</v>
      </c>
      <c r="AY14" s="21" t="str">
        <f>IF(BM14&gt;0,"Issued","Not yet")</f>
        <v>Issued</v>
      </c>
      <c r="AZ14" s="37">
        <v>0</v>
      </c>
      <c r="BA14" s="37">
        <v>0</v>
      </c>
      <c r="BB14" s="37">
        <v>0</v>
      </c>
      <c r="BC14" s="37">
        <v>0</v>
      </c>
      <c r="BD14" s="37">
        <v>0</v>
      </c>
      <c r="BE14" s="37">
        <f>AQ14</f>
        <v>7803500</v>
      </c>
      <c r="BF14" s="37">
        <f>AV14</f>
        <v>2349630</v>
      </c>
      <c r="BG14" s="37">
        <f>AZ14</f>
        <v>0</v>
      </c>
      <c r="BH14" s="37">
        <f>BE14+BF14+BG14</f>
        <v>10153130</v>
      </c>
      <c r="BI14" s="37">
        <f>AW14</f>
        <v>507657</v>
      </c>
      <c r="BJ14" s="37">
        <f>BA14+BB14+BC14+BD14</f>
        <v>0</v>
      </c>
      <c r="BK14" s="37">
        <f>BH14-BI14-BJ14</f>
        <v>9645473</v>
      </c>
      <c r="BL14" s="21" t="str">
        <f>"PKR "&amp;TEXT(BK14,"#,##0")&amp;" only"</f>
        <v>PKR 9,645,473 only</v>
      </c>
      <c r="BM14" s="37">
        <f>SUMIFS('T10'!$AK$3:$AK$1500,'T10'!$V$3:$V$1500,G14)</f>
        <v>9645473</v>
      </c>
      <c r="BN14" s="37">
        <f>BK14-BM14</f>
        <v>0</v>
      </c>
      <c r="BO14" s="21" t="str">
        <f>IF(BF14&gt;0,TEXT(I14,"mmm-yyyy")&amp;" sales tax return","N/A")</f>
        <v>Nov-2024 sales tax return</v>
      </c>
      <c r="BP14" s="21" t="s">
        <v>1062</v>
      </c>
      <c r="BQ14" s="29">
        <f>J14+15</f>
        <v>45641</v>
      </c>
      <c r="BR14" s="29">
        <f>BQ14</f>
        <v>45641</v>
      </c>
      <c r="BS14" s="21" t="s">
        <v>3095</v>
      </c>
      <c r="BT14" s="21" t="s">
        <v>3411</v>
      </c>
      <c r="BU14" s="21" t="s">
        <v>844</v>
      </c>
      <c r="BV14" s="21" t="s">
        <v>846</v>
      </c>
      <c r="BW14" s="21" t="str" cm="1">
        <f t="array" ref="BW14">_xlfn.TEXTJOIN(", ",TRUE,_xlfn.UNIQUE(_xlfn._xlws.FILTER('T10'!$A$3:$A$1500,'T10'!$V$3:$V$1500=G14,"None")))</f>
        <v>PV-0004</v>
      </c>
      <c r="BX14" s="21" t="s">
        <v>3476</v>
      </c>
      <c r="BY14" s="21" t="s">
        <v>3477</v>
      </c>
    </row>
    <row r="15" spans="1:77" x14ac:dyDescent="0.3">
      <c r="A15" s="21" t="s">
        <v>3395</v>
      </c>
      <c r="B15" s="21" t="s">
        <v>3479</v>
      </c>
      <c r="C15" s="21" t="s">
        <v>3480</v>
      </c>
      <c r="D15" s="35">
        <v>45628.416666666664</v>
      </c>
      <c r="E15" s="21" t="s">
        <v>3347</v>
      </c>
      <c r="F15" s="21" t="str">
        <f ca="1">IF(S15="Paid","Completed","Pending payment")</f>
        <v>Completed</v>
      </c>
      <c r="G15" s="21" t="s">
        <v>3481</v>
      </c>
      <c r="H15" s="21" t="s">
        <v>3399</v>
      </c>
      <c r="I15" s="29">
        <v>45626</v>
      </c>
      <c r="J15" s="29">
        <v>45626</v>
      </c>
      <c r="K15" s="21" t="str">
        <f>TEXT(I15,"mmm-yyyy")</f>
        <v>Nov-2024</v>
      </c>
      <c r="L15" s="21" t="s">
        <v>1797</v>
      </c>
      <c r="M15" s="21">
        <v>1</v>
      </c>
      <c r="N15" s="21" t="s">
        <v>743</v>
      </c>
      <c r="O15" s="21" t="s">
        <v>3400</v>
      </c>
      <c r="P15" s="21" t="s">
        <v>3401</v>
      </c>
      <c r="Q15" s="21" t="s">
        <v>844</v>
      </c>
      <c r="R15" s="21" t="s">
        <v>3473</v>
      </c>
      <c r="S15" s="21" t="str">
        <f ca="1">IF(BN15&lt;1,"Paid",IF(BM15&gt;0,"Partially paid",IF(ISNUMBER(SEARCH("hold",BU15)),"On hold",IF(BQ15&lt;TODAY(),"Overdue","Approved - unpaid"))))</f>
        <v>Paid</v>
      </c>
      <c r="T15" s="21" t="s">
        <v>3403</v>
      </c>
      <c r="U15" s="21" t="s">
        <v>3404</v>
      </c>
      <c r="V15" s="21" t="s">
        <v>967</v>
      </c>
      <c r="W15" s="21" t="s">
        <v>746</v>
      </c>
      <c r="X15" s="21" t="s">
        <v>846</v>
      </c>
      <c r="Y15" s="21" t="s">
        <v>3405</v>
      </c>
      <c r="Z15" s="21" t="s">
        <v>3406</v>
      </c>
      <c r="AA15" s="21" t="s">
        <v>1062</v>
      </c>
      <c r="AB15" s="37">
        <v>0</v>
      </c>
      <c r="AC15" s="21" t="s">
        <v>3482</v>
      </c>
      <c r="AD15" s="21" t="s">
        <v>3483</v>
      </c>
      <c r="AE15" s="21" t="s">
        <v>3409</v>
      </c>
      <c r="AF15" s="21">
        <v>1</v>
      </c>
      <c r="AG15" s="21" t="s">
        <v>763</v>
      </c>
      <c r="AH15" s="21" t="s">
        <v>766</v>
      </c>
      <c r="AI15" s="21" t="s">
        <v>1804</v>
      </c>
      <c r="AJ15" s="37">
        <v>300</v>
      </c>
      <c r="AK15" s="37">
        <v>300</v>
      </c>
      <c r="AL15" s="37">
        <v>1295</v>
      </c>
      <c r="AM15" s="37">
        <f>AK15*AL15</f>
        <v>388500</v>
      </c>
      <c r="AN15" s="37">
        <f>AM15</f>
        <v>388500</v>
      </c>
      <c r="AO15" s="23">
        <f>_xlfn.XLOOKUP(AG15,'T13'!$A$3:$A$1500,'T13'!$O$3:$O$1500)</f>
        <v>0.18</v>
      </c>
      <c r="AP15" s="37">
        <f>AK15*IF(AI15="MT",1000,IF(AI15="Jumbo bag (1.5 MT)",1500,IF(AI15="Bag (40 kg)",40,50)))*3</f>
        <v>45000</v>
      </c>
      <c r="AQ15" s="37">
        <f>SUMIFS($AN$3:$AN$1500,$G$3:$G$1500,G15)</f>
        <v>388500</v>
      </c>
      <c r="AR15" s="37">
        <f>SUMIFS($AP$3:$AP$1500,$G$3:$G$1500,G15)</f>
        <v>45000</v>
      </c>
      <c r="AS15" s="21" t="s">
        <v>3410</v>
      </c>
      <c r="AT15" s="37">
        <f>ROUND(BH15*0.05,0)</f>
        <v>25172</v>
      </c>
      <c r="AU15" s="21" t="s">
        <v>846</v>
      </c>
      <c r="AV15" s="37" cm="1">
        <f t="array" ref="AV15">SUMPRODUCT(($G$3:$G$1500=G15)*$AN$3:$AN$1500*$AO$3:$AO$1500)+AR15</f>
        <v>114930</v>
      </c>
      <c r="AW15" s="37">
        <f>AT15</f>
        <v>25172</v>
      </c>
      <c r="AX15" s="21" t="str">
        <f>TEXT(EOMONTH(I15,0)+15,"dd-mmm-yyyy")&amp;" / "&amp;IF(BM15&gt;0,"CPR-IT-"&amp;TEXT(I15,"yymm")&amp;"-"&amp;RIGHT(G15,4),"Pending payment")</f>
        <v>15-Dec-2024 / CPR-IT-2411-0011</v>
      </c>
      <c r="AY15" s="21" t="str">
        <f>IF(BM15&gt;0,"Issued","Not yet")</f>
        <v>Issued</v>
      </c>
      <c r="AZ15" s="37">
        <v>0</v>
      </c>
      <c r="BA15" s="37">
        <v>0</v>
      </c>
      <c r="BB15" s="37">
        <v>0</v>
      </c>
      <c r="BC15" s="37">
        <v>0</v>
      </c>
      <c r="BD15" s="37">
        <v>0</v>
      </c>
      <c r="BE15" s="37">
        <f>AQ15</f>
        <v>388500</v>
      </c>
      <c r="BF15" s="37">
        <f>AV15</f>
        <v>114930</v>
      </c>
      <c r="BG15" s="37">
        <f>AZ15</f>
        <v>0</v>
      </c>
      <c r="BH15" s="37">
        <f>BE15+BF15+BG15</f>
        <v>503430</v>
      </c>
      <c r="BI15" s="37">
        <f>AW15</f>
        <v>25172</v>
      </c>
      <c r="BJ15" s="37">
        <f>BA15+BB15+BC15+BD15</f>
        <v>0</v>
      </c>
      <c r="BK15" s="37">
        <f>BH15-BI15-BJ15</f>
        <v>478258</v>
      </c>
      <c r="BL15" s="21" t="str">
        <f>"PKR "&amp;TEXT(BK15,"#,##0")&amp;" only"</f>
        <v>PKR 478,258 only</v>
      </c>
      <c r="BM15" s="37">
        <f>SUMIFS('T10'!$AK$3:$AK$1500,'T10'!$V$3:$V$1500,G15)</f>
        <v>478258</v>
      </c>
      <c r="BN15" s="37">
        <f>BK15-BM15</f>
        <v>0</v>
      </c>
      <c r="BO15" s="21" t="str">
        <f>IF(BF15&gt;0,TEXT(I15,"mmm-yyyy")&amp;" sales tax return","N/A")</f>
        <v>Nov-2024 sales tax return</v>
      </c>
      <c r="BP15" s="21" t="s">
        <v>1062</v>
      </c>
      <c r="BQ15" s="29">
        <f>J15+15</f>
        <v>45641</v>
      </c>
      <c r="BR15" s="29">
        <f>BQ15</f>
        <v>45641</v>
      </c>
      <c r="BS15" s="21" t="s">
        <v>3095</v>
      </c>
      <c r="BT15" s="21" t="s">
        <v>3411</v>
      </c>
      <c r="BU15" s="21" t="s">
        <v>844</v>
      </c>
      <c r="BV15" s="21" t="s">
        <v>846</v>
      </c>
      <c r="BW15" s="21" t="str" cm="1">
        <f t="array" ref="BW15">_xlfn.TEXTJOIN(", ",TRUE,_xlfn.UNIQUE(_xlfn._xlws.FILTER('T10'!$A$3:$A$1500,'T10'!$V$3:$V$1500=G15,"None")))</f>
        <v>PV-0001</v>
      </c>
      <c r="BX15" s="21" t="s">
        <v>3476</v>
      </c>
      <c r="BY15" s="21" t="s">
        <v>3477</v>
      </c>
    </row>
    <row r="16" spans="1:77" x14ac:dyDescent="0.3">
      <c r="A16" s="21" t="s">
        <v>3438</v>
      </c>
      <c r="B16" s="21" t="s">
        <v>1986</v>
      </c>
      <c r="C16" s="21" t="s">
        <v>3484</v>
      </c>
      <c r="D16" s="35">
        <v>45629.583333333336</v>
      </c>
      <c r="E16" s="21" t="s">
        <v>3347</v>
      </c>
      <c r="F16" s="21" t="str">
        <f ca="1">IF(S16="Paid","Completed","Pending payment")</f>
        <v>Completed</v>
      </c>
      <c r="G16" s="21" t="s">
        <v>3485</v>
      </c>
      <c r="H16" s="21" t="s">
        <v>3428</v>
      </c>
      <c r="I16" s="29">
        <v>45629</v>
      </c>
      <c r="J16" s="29">
        <v>45627</v>
      </c>
      <c r="K16" s="21" t="str">
        <f>TEXT(I16,"mmm-yyyy")</f>
        <v>Dec-2024</v>
      </c>
      <c r="L16" s="21" t="s">
        <v>1797</v>
      </c>
      <c r="M16" s="21">
        <v>1</v>
      </c>
      <c r="N16" s="21" t="s">
        <v>743</v>
      </c>
      <c r="O16" s="21" t="s">
        <v>3350</v>
      </c>
      <c r="P16" s="21" t="s">
        <v>3429</v>
      </c>
      <c r="Q16" s="21" t="s">
        <v>844</v>
      </c>
      <c r="R16" s="21" t="s">
        <v>3486</v>
      </c>
      <c r="S16" s="21" t="str">
        <f ca="1">IF(BN16&lt;1,"Paid",IF(BM16&gt;0,"Partially paid",IF(ISNUMBER(SEARCH("hold",BU16)),"On hold",IF(BQ16&lt;TODAY(),"Overdue","Approved - unpaid"))))</f>
        <v>Paid</v>
      </c>
      <c r="T16" s="21" t="s">
        <v>3431</v>
      </c>
      <c r="U16" s="21" t="s">
        <v>1278</v>
      </c>
      <c r="V16" s="21" t="s">
        <v>1200</v>
      </c>
      <c r="W16" s="21" t="s">
        <v>746</v>
      </c>
      <c r="X16" s="21" t="s">
        <v>846</v>
      </c>
      <c r="Y16" s="21" t="s">
        <v>3441</v>
      </c>
      <c r="Z16" s="21" t="s">
        <v>3442</v>
      </c>
      <c r="AA16" s="21" t="s">
        <v>1051</v>
      </c>
      <c r="AB16" s="37">
        <v>0</v>
      </c>
      <c r="AC16" s="21" t="s">
        <v>844</v>
      </c>
      <c r="AD16" s="21" t="s">
        <v>844</v>
      </c>
      <c r="AE16" s="21" t="s">
        <v>3443</v>
      </c>
      <c r="AF16" s="21">
        <v>1</v>
      </c>
      <c r="AG16" s="21" t="s">
        <v>837</v>
      </c>
      <c r="AH16" s="21" t="s">
        <v>840</v>
      </c>
      <c r="AI16" s="21" t="s">
        <v>842</v>
      </c>
      <c r="AJ16" s="37">
        <f>COUNTIFS('T14'!$AQ$3:$AQ$1500,B16,'T14'!$Z$3:$Z$1500,1,'T14'!$F$3:$F$1500,"Bag")</f>
        <v>5</v>
      </c>
      <c r="AK16" s="37">
        <f>AJ16</f>
        <v>5</v>
      </c>
      <c r="AL16" s="37">
        <v>38200</v>
      </c>
      <c r="AM16" s="37">
        <f>AK16*AL16</f>
        <v>191000</v>
      </c>
      <c r="AN16" s="37">
        <f>AM16</f>
        <v>191000</v>
      </c>
      <c r="AO16" s="23">
        <f>_xlfn.XLOOKUP(AG16,'T13'!$A$3:$A$1500,'T13'!$O$3:$O$1500)</f>
        <v>0.16</v>
      </c>
      <c r="AP16" s="37">
        <v>0</v>
      </c>
      <c r="AQ16" s="37">
        <f>SUMIFS($AN$3:$AN$1500,$G$3:$G$1500,G16)</f>
        <v>191000</v>
      </c>
      <c r="AR16" s="37">
        <f>SUMIFS($AP$3:$AP$1500,$G$3:$G$1500,G16)</f>
        <v>0</v>
      </c>
      <c r="AS16" s="21" t="s">
        <v>3444</v>
      </c>
      <c r="AT16" s="37">
        <f>ROUND(BH16*0.04,0)</f>
        <v>9222</v>
      </c>
      <c r="AU16" s="21" t="s">
        <v>846</v>
      </c>
      <c r="AV16" s="37" cm="1">
        <f t="array" ref="AV16">SUMPRODUCT(($G$3:$G$1500=G16)*$AN$3:$AN$1500*$AO$3:$AO$1500)+AR16</f>
        <v>30560</v>
      </c>
      <c r="AW16" s="37">
        <f>AT16</f>
        <v>9222</v>
      </c>
      <c r="AX16" s="21" t="str">
        <f>TEXT(EOMONTH(I16,0)+15,"dd-mmm-yyyy")&amp;" / "&amp;IF(BM16&gt;0,"CPR-IT-"&amp;TEXT(I16,"yymm")&amp;"-"&amp;RIGHT(G16,4),"Pending payment")</f>
        <v>15-Jan-2025 / CPR-IT-2412-0012</v>
      </c>
      <c r="AY16" s="21" t="str">
        <f>IF(BM16&gt;0,"Issued","Not yet")</f>
        <v>Issued</v>
      </c>
      <c r="AZ16" s="37">
        <v>9000</v>
      </c>
      <c r="BA16" s="37">
        <v>0</v>
      </c>
      <c r="BB16" s="37">
        <v>0</v>
      </c>
      <c r="BC16" s="37">
        <v>0</v>
      </c>
      <c r="BD16" s="37">
        <v>0</v>
      </c>
      <c r="BE16" s="37">
        <f>AQ16</f>
        <v>191000</v>
      </c>
      <c r="BF16" s="37">
        <f>AV16</f>
        <v>30560</v>
      </c>
      <c r="BG16" s="37">
        <f>AZ16</f>
        <v>9000</v>
      </c>
      <c r="BH16" s="37">
        <f>BE16+BF16+BG16</f>
        <v>230560</v>
      </c>
      <c r="BI16" s="37">
        <f>AW16</f>
        <v>9222</v>
      </c>
      <c r="BJ16" s="37">
        <f>BA16+BB16+BC16+BD16</f>
        <v>0</v>
      </c>
      <c r="BK16" s="37">
        <f>BH16-BI16-BJ16</f>
        <v>221338</v>
      </c>
      <c r="BL16" s="21" t="str">
        <f>"PKR "&amp;TEXT(BK16,"#,##0")&amp;" only"</f>
        <v>PKR 221,338 only</v>
      </c>
      <c r="BM16" s="37">
        <f>SUMIFS('T10'!$AK$3:$AK$1500,'T10'!$V$3:$V$1500,G16)</f>
        <v>221338</v>
      </c>
      <c r="BN16" s="37">
        <f>BK16-BM16</f>
        <v>0</v>
      </c>
      <c r="BO16" s="21" t="str">
        <f>IF(BF16&gt;0,TEXT(I16,"mmm-yyyy")&amp;" sales tax return","N/A")</f>
        <v>Dec-2024 sales tax return</v>
      </c>
      <c r="BP16" s="21" t="s">
        <v>1051</v>
      </c>
      <c r="BQ16" s="29">
        <f>J16+30</f>
        <v>45657</v>
      </c>
      <c r="BR16" s="29">
        <f>BQ16</f>
        <v>45657</v>
      </c>
      <c r="BS16" s="21" t="s">
        <v>3095</v>
      </c>
      <c r="BT16" s="21" t="s">
        <v>3360</v>
      </c>
      <c r="BU16" s="21" t="s">
        <v>844</v>
      </c>
      <c r="BV16" s="21" t="s">
        <v>846</v>
      </c>
      <c r="BW16" s="21" t="str" cm="1">
        <f t="array" ref="BW16">_xlfn.TEXTJOIN(", ",TRUE,_xlfn.UNIQUE(_xlfn._xlws.FILTER('T10'!$A$3:$A$1500,'T10'!$V$3:$V$1500=G16,"None")))</f>
        <v>PV-0003</v>
      </c>
      <c r="BX16" s="21" t="s">
        <v>3487</v>
      </c>
      <c r="BY16" s="21" t="s">
        <v>3488</v>
      </c>
    </row>
    <row r="17" spans="1:77" x14ac:dyDescent="0.3">
      <c r="A17" s="21" t="s">
        <v>3489</v>
      </c>
      <c r="B17" s="21" t="s">
        <v>1995</v>
      </c>
      <c r="C17" s="21" t="s">
        <v>3490</v>
      </c>
      <c r="D17" s="35">
        <v>45628.666666666664</v>
      </c>
      <c r="E17" s="21" t="s">
        <v>3347</v>
      </c>
      <c r="F17" s="21" t="str">
        <f ca="1">IF(S17="Paid","Completed","Pending payment")</f>
        <v>Completed</v>
      </c>
      <c r="G17" s="21" t="s">
        <v>3491</v>
      </c>
      <c r="H17" s="21" t="s">
        <v>3428</v>
      </c>
      <c r="I17" s="29">
        <v>45629</v>
      </c>
      <c r="J17" s="29">
        <v>45627</v>
      </c>
      <c r="K17" s="21" t="str">
        <f>TEXT(I17,"mmm-yyyy")</f>
        <v>Dec-2024</v>
      </c>
      <c r="L17" s="21" t="s">
        <v>1797</v>
      </c>
      <c r="M17" s="21">
        <v>1</v>
      </c>
      <c r="N17" s="21" t="s">
        <v>743</v>
      </c>
      <c r="O17" s="21" t="s">
        <v>3350</v>
      </c>
      <c r="P17" s="21" t="s">
        <v>3429</v>
      </c>
      <c r="Q17" s="21" t="s">
        <v>844</v>
      </c>
      <c r="R17" s="21" t="s">
        <v>3492</v>
      </c>
      <c r="S17" s="21" t="str">
        <f ca="1">IF(BN17&lt;1,"Paid",IF(BM17&gt;0,"Partially paid",IF(ISNUMBER(SEARCH("hold",BU17)),"On hold",IF(BQ17&lt;TODAY(),"Overdue","Approved - unpaid"))))</f>
        <v>Paid</v>
      </c>
      <c r="T17" s="21" t="s">
        <v>3431</v>
      </c>
      <c r="U17" s="21" t="s">
        <v>1213</v>
      </c>
      <c r="V17" s="21" t="s">
        <v>1194</v>
      </c>
      <c r="W17" s="21" t="s">
        <v>746</v>
      </c>
      <c r="X17" s="21" t="s">
        <v>846</v>
      </c>
      <c r="Y17" s="21" t="s">
        <v>3493</v>
      </c>
      <c r="Z17" s="21" t="s">
        <v>3494</v>
      </c>
      <c r="AA17" s="21" t="s">
        <v>1051</v>
      </c>
      <c r="AB17" s="37">
        <v>0</v>
      </c>
      <c r="AC17" s="21" t="s">
        <v>844</v>
      </c>
      <c r="AD17" s="21" t="s">
        <v>844</v>
      </c>
      <c r="AE17" s="21" t="s">
        <v>3495</v>
      </c>
      <c r="AF17" s="21">
        <v>1</v>
      </c>
      <c r="AG17" s="21" t="s">
        <v>837</v>
      </c>
      <c r="AH17" s="21" t="s">
        <v>840</v>
      </c>
      <c r="AI17" s="21" t="s">
        <v>842</v>
      </c>
      <c r="AJ17" s="37">
        <f>COUNTIFS('T14'!$AQ$3:$AQ$1500,B17,'T14'!$Z$3:$Z$1500,1,'T14'!$F$3:$F$1500,"Bag")</f>
        <v>6</v>
      </c>
      <c r="AK17" s="37">
        <f>AJ17</f>
        <v>6</v>
      </c>
      <c r="AL17" s="37">
        <v>38200</v>
      </c>
      <c r="AM17" s="37">
        <f>AK17*AL17</f>
        <v>229200</v>
      </c>
      <c r="AN17" s="37">
        <f>AM17</f>
        <v>229200</v>
      </c>
      <c r="AO17" s="23">
        <f>_xlfn.XLOOKUP(AG17,'T13'!$A$3:$A$1500,'T13'!$O$3:$O$1500)</f>
        <v>0.16</v>
      </c>
      <c r="AP17" s="37">
        <v>0</v>
      </c>
      <c r="AQ17" s="37">
        <f>SUMIFS($AN$3:$AN$1500,$G$3:$G$1500,G17)</f>
        <v>229200</v>
      </c>
      <c r="AR17" s="37">
        <f>SUMIFS($AP$3:$AP$1500,$G$3:$G$1500,G17)</f>
        <v>0</v>
      </c>
      <c r="AS17" s="21" t="s">
        <v>3444</v>
      </c>
      <c r="AT17" s="37">
        <f>ROUND(BH17*0.04,0)</f>
        <v>10635</v>
      </c>
      <c r="AU17" s="21" t="s">
        <v>846</v>
      </c>
      <c r="AV17" s="37" cm="1">
        <f t="array" ref="AV17">SUMPRODUCT(($G$3:$G$1500=G17)*$AN$3:$AN$1500*$AO$3:$AO$1500)+AR17</f>
        <v>36672</v>
      </c>
      <c r="AW17" s="37">
        <f>AT17</f>
        <v>10635</v>
      </c>
      <c r="AX17" s="21" t="str">
        <f>TEXT(EOMONTH(I17,0)+15,"dd-mmm-yyyy")&amp;" / "&amp;IF(BM17&gt;0,"CPR-IT-"&amp;TEXT(I17,"yymm")&amp;"-"&amp;RIGHT(G17,4),"Pending payment")</f>
        <v>15-Jan-2025 / CPR-IT-2412-0013</v>
      </c>
      <c r="AY17" s="21" t="str">
        <f>IF(BM17&gt;0,"Issued","Not yet")</f>
        <v>Issued</v>
      </c>
      <c r="AZ17" s="37">
        <v>0</v>
      </c>
      <c r="BA17" s="37">
        <v>0</v>
      </c>
      <c r="BB17" s="37">
        <v>0</v>
      </c>
      <c r="BC17" s="37">
        <v>0</v>
      </c>
      <c r="BD17" s="37">
        <v>0</v>
      </c>
      <c r="BE17" s="37">
        <f>AQ17</f>
        <v>229200</v>
      </c>
      <c r="BF17" s="37">
        <f>AV17</f>
        <v>36672</v>
      </c>
      <c r="BG17" s="37">
        <f>AZ17</f>
        <v>0</v>
      </c>
      <c r="BH17" s="37">
        <f>BE17+BF17+BG17</f>
        <v>265872</v>
      </c>
      <c r="BI17" s="37">
        <f>AW17</f>
        <v>10635</v>
      </c>
      <c r="BJ17" s="37">
        <f>BA17+BB17+BC17+BD17</f>
        <v>0</v>
      </c>
      <c r="BK17" s="37">
        <f>BH17-BI17-BJ17</f>
        <v>255237</v>
      </c>
      <c r="BL17" s="21" t="str">
        <f>"PKR "&amp;TEXT(BK17,"#,##0")&amp;" only"</f>
        <v>PKR 255,237 only</v>
      </c>
      <c r="BM17" s="37">
        <f>SUMIFS('T10'!$AK$3:$AK$1500,'T10'!$V$3:$V$1500,G17)</f>
        <v>255237</v>
      </c>
      <c r="BN17" s="37">
        <f>BK17-BM17</f>
        <v>0</v>
      </c>
      <c r="BO17" s="21" t="str">
        <f>IF(BF17&gt;0,TEXT(I17,"mmm-yyyy")&amp;" sales tax return","N/A")</f>
        <v>Dec-2024 sales tax return</v>
      </c>
      <c r="BP17" s="21" t="s">
        <v>1051</v>
      </c>
      <c r="BQ17" s="29">
        <f>J17+30</f>
        <v>45657</v>
      </c>
      <c r="BR17" s="29">
        <f>BQ17</f>
        <v>45657</v>
      </c>
      <c r="BS17" s="21" t="s">
        <v>3095</v>
      </c>
      <c r="BT17" s="21" t="s">
        <v>3360</v>
      </c>
      <c r="BU17" s="21" t="s">
        <v>844</v>
      </c>
      <c r="BV17" s="21" t="s">
        <v>846</v>
      </c>
      <c r="BW17" s="21" t="str" cm="1">
        <f t="array" ref="BW17">_xlfn.TEXTJOIN(", ",TRUE,_xlfn.UNIQUE(_xlfn._xlws.FILTER('T10'!$A$3:$A$1500,'T10'!$V$3:$V$1500=G17,"None")))</f>
        <v>PV-0005</v>
      </c>
      <c r="BX17" s="21" t="s">
        <v>3487</v>
      </c>
      <c r="BY17" s="21" t="s">
        <v>3488</v>
      </c>
    </row>
    <row r="18" spans="1:77" x14ac:dyDescent="0.3">
      <c r="A18" s="21" t="s">
        <v>3496</v>
      </c>
      <c r="B18" s="21" t="s">
        <v>3497</v>
      </c>
      <c r="C18" s="21" t="s">
        <v>3498</v>
      </c>
      <c r="D18" s="35">
        <v>45634.375</v>
      </c>
      <c r="E18" s="21" t="s">
        <v>3347</v>
      </c>
      <c r="F18" s="21" t="str">
        <f ca="1">IF(S18="Paid","Completed","Pending payment")</f>
        <v>Completed</v>
      </c>
      <c r="G18" s="21" t="s">
        <v>3499</v>
      </c>
      <c r="H18" s="21" t="s">
        <v>3500</v>
      </c>
      <c r="I18" s="29">
        <v>45635</v>
      </c>
      <c r="J18" s="29">
        <v>45633</v>
      </c>
      <c r="K18" s="21" t="str">
        <f>TEXT(I18,"mmm-yyyy")</f>
        <v>Dec-2024</v>
      </c>
      <c r="L18" s="21" t="s">
        <v>1797</v>
      </c>
      <c r="M18" s="21">
        <v>1</v>
      </c>
      <c r="N18" s="21" t="s">
        <v>743</v>
      </c>
      <c r="O18" s="21" t="s">
        <v>3350</v>
      </c>
      <c r="P18" s="21" t="s">
        <v>3351</v>
      </c>
      <c r="Q18" s="21" t="s">
        <v>844</v>
      </c>
      <c r="R18" s="21" t="s">
        <v>3501</v>
      </c>
      <c r="S18" s="21" t="str">
        <f ca="1">IF(BN18&lt;1,"Paid",IF(BM18&gt;0,"Partially paid",IF(ISNUMBER(SEARCH("hold",BU18)),"On hold",IF(BQ18&lt;TODAY(),"Overdue","Approved - unpaid"))))</f>
        <v>Paid</v>
      </c>
      <c r="T18" s="21" t="s">
        <v>3502</v>
      </c>
      <c r="U18" s="21" t="s">
        <v>3503</v>
      </c>
      <c r="V18" s="21" t="s">
        <v>3504</v>
      </c>
      <c r="W18" s="21" t="s">
        <v>746</v>
      </c>
      <c r="X18" s="21" t="s">
        <v>846</v>
      </c>
      <c r="Y18" s="21" t="s">
        <v>3505</v>
      </c>
      <c r="Z18" s="21" t="s">
        <v>3506</v>
      </c>
      <c r="AA18" s="21" t="s">
        <v>1051</v>
      </c>
      <c r="AB18" s="37">
        <v>0</v>
      </c>
      <c r="AC18" s="21" t="s">
        <v>3507</v>
      </c>
      <c r="AD18" s="21" t="s">
        <v>3508</v>
      </c>
      <c r="AE18" s="21" t="s">
        <v>844</v>
      </c>
      <c r="AF18" s="21">
        <v>1</v>
      </c>
      <c r="AG18" s="21" t="s">
        <v>894</v>
      </c>
      <c r="AH18" s="21" t="s">
        <v>896</v>
      </c>
      <c r="AI18" s="21" t="s">
        <v>897</v>
      </c>
      <c r="AJ18" s="37">
        <v>1</v>
      </c>
      <c r="AK18" s="37">
        <v>1</v>
      </c>
      <c r="AL18" s="37">
        <v>15120</v>
      </c>
      <c r="AM18" s="37">
        <f>AK18*AL18</f>
        <v>15120</v>
      </c>
      <c r="AN18" s="37">
        <f>AM18</f>
        <v>15120</v>
      </c>
      <c r="AO18" s="23">
        <f>_xlfn.XLOOKUP(AG18,'T13'!$A$3:$A$1500,'T13'!$O$3:$O$1500)</f>
        <v>0.18</v>
      </c>
      <c r="AP18" s="37">
        <v>0</v>
      </c>
      <c r="AQ18" s="37">
        <f>SUMIFS($AN$3:$AN$1500,$G$3:$G$1500,G18)</f>
        <v>15120</v>
      </c>
      <c r="AR18" s="37">
        <f>SUMIFS($AP$3:$AP$1500,$G$3:$G$1500,G18)</f>
        <v>0</v>
      </c>
      <c r="AS18" s="21" t="s">
        <v>3410</v>
      </c>
      <c r="AT18" s="37">
        <f>ROUND(BH18*0.05,0)</f>
        <v>892</v>
      </c>
      <c r="AU18" s="21" t="s">
        <v>846</v>
      </c>
      <c r="AV18" s="37" cm="1">
        <f t="array" ref="AV18">SUMPRODUCT(($G$3:$G$1500=G18)*$AN$3:$AN$1500*$AO$3:$AO$1500)+AR18</f>
        <v>2721.6</v>
      </c>
      <c r="AW18" s="37">
        <f>AT18</f>
        <v>892</v>
      </c>
      <c r="AX18" s="21" t="str">
        <f>TEXT(EOMONTH(I18,0)+15,"dd-mmm-yyyy")&amp;" / "&amp;IF(BM18&gt;0,"CPR-IT-"&amp;TEXT(I18,"yymm")&amp;"-"&amp;RIGHT(G18,4),"Pending payment")</f>
        <v>15-Jan-2025 / CPR-IT-2412-0014</v>
      </c>
      <c r="AY18" s="21" t="str">
        <f>IF(BM18&gt;0,"Issued","Not yet")</f>
        <v>Issued</v>
      </c>
      <c r="AZ18" s="37">
        <v>0</v>
      </c>
      <c r="BA18" s="37">
        <v>0</v>
      </c>
      <c r="BB18" s="37">
        <v>0</v>
      </c>
      <c r="BC18" s="37">
        <v>0</v>
      </c>
      <c r="BD18" s="37">
        <v>0</v>
      </c>
      <c r="BE18" s="37">
        <f>AQ18</f>
        <v>15120</v>
      </c>
      <c r="BF18" s="37">
        <f>AV18</f>
        <v>2721.6</v>
      </c>
      <c r="BG18" s="37">
        <f>AZ18</f>
        <v>0</v>
      </c>
      <c r="BH18" s="37">
        <f>BE18+BF18+BG18</f>
        <v>17841.599999999999</v>
      </c>
      <c r="BI18" s="37">
        <f>AW18</f>
        <v>892</v>
      </c>
      <c r="BJ18" s="37">
        <f>BA18+BB18+BC18+BD18</f>
        <v>0</v>
      </c>
      <c r="BK18" s="37">
        <f>BH18-BI18-BJ18</f>
        <v>16949.599999999999</v>
      </c>
      <c r="BL18" s="21" t="str">
        <f>"PKR "&amp;TEXT(BK18,"#,##0")&amp;" only"</f>
        <v>PKR 16,950 only</v>
      </c>
      <c r="BM18" s="37">
        <f>SUMIFS('T10'!$AK$3:$AK$1500,'T10'!$V$3:$V$1500,G18)</f>
        <v>16949.599999999999</v>
      </c>
      <c r="BN18" s="37">
        <f>BK18-BM18</f>
        <v>0</v>
      </c>
      <c r="BO18" s="21" t="str">
        <f>IF(BF18&gt;0,TEXT(I18,"mmm-yyyy")&amp;" sales tax return","N/A")</f>
        <v>Dec-2024 sales tax return</v>
      </c>
      <c r="BP18" s="21" t="s">
        <v>1051</v>
      </c>
      <c r="BQ18" s="29">
        <f>J18+30</f>
        <v>45663</v>
      </c>
      <c r="BR18" s="29">
        <f>BQ18</f>
        <v>45663</v>
      </c>
      <c r="BS18" s="21" t="s">
        <v>3095</v>
      </c>
      <c r="BT18" s="21" t="s">
        <v>3360</v>
      </c>
      <c r="BU18" s="21" t="s">
        <v>844</v>
      </c>
      <c r="BV18" s="21" t="s">
        <v>846</v>
      </c>
      <c r="BW18" s="21" t="str" cm="1">
        <f t="array" ref="BW18">_xlfn.TEXTJOIN(", ",TRUE,_xlfn.UNIQUE(_xlfn._xlws.FILTER('T10'!$A$3:$A$1500,'T10'!$V$3:$V$1500=G18,"None")))</f>
        <v>PV-0038</v>
      </c>
      <c r="BX18" s="21" t="s">
        <v>3509</v>
      </c>
      <c r="BY18" s="21" t="s">
        <v>3510</v>
      </c>
    </row>
    <row r="19" spans="1:77" x14ac:dyDescent="0.3">
      <c r="A19" s="21" t="s">
        <v>3511</v>
      </c>
      <c r="B19" s="21" t="s">
        <v>3512</v>
      </c>
      <c r="C19" s="21" t="s">
        <v>3513</v>
      </c>
      <c r="D19" s="35">
        <v>45645.583333333336</v>
      </c>
      <c r="E19" s="21" t="s">
        <v>3347</v>
      </c>
      <c r="F19" s="21" t="str">
        <f ca="1">IF(S19="Paid","Completed","Pending payment")</f>
        <v>Completed</v>
      </c>
      <c r="G19" s="21" t="s">
        <v>3514</v>
      </c>
      <c r="H19" s="21" t="s">
        <v>3515</v>
      </c>
      <c r="I19" s="29">
        <v>45645</v>
      </c>
      <c r="J19" s="29">
        <v>45643</v>
      </c>
      <c r="K19" s="21" t="str">
        <f>TEXT(I19,"mmm-yyyy")</f>
        <v>Dec-2024</v>
      </c>
      <c r="L19" s="21" t="s">
        <v>1797</v>
      </c>
      <c r="M19" s="21">
        <v>1</v>
      </c>
      <c r="N19" s="21" t="s">
        <v>743</v>
      </c>
      <c r="O19" s="21" t="s">
        <v>3350</v>
      </c>
      <c r="P19" s="21" t="s">
        <v>3429</v>
      </c>
      <c r="Q19" s="21" t="s">
        <v>844</v>
      </c>
      <c r="R19" s="21" t="s">
        <v>3516</v>
      </c>
      <c r="S19" s="21" t="str">
        <f ca="1">IF(BN19&lt;1,"Paid",IF(BM19&gt;0,"Partially paid",IF(ISNUMBER(SEARCH("hold",BU19)),"On hold",IF(BQ19&lt;TODAY(),"Overdue","Approved - unpaid"))))</f>
        <v>Paid</v>
      </c>
      <c r="T19" s="21" t="s">
        <v>3517</v>
      </c>
      <c r="U19" s="21" t="s">
        <v>3518</v>
      </c>
      <c r="V19" s="21" t="s">
        <v>3519</v>
      </c>
      <c r="W19" s="21" t="s">
        <v>746</v>
      </c>
      <c r="X19" s="21" t="s">
        <v>846</v>
      </c>
      <c r="Y19" s="21" t="s">
        <v>3520</v>
      </c>
      <c r="Z19" s="21" t="s">
        <v>3521</v>
      </c>
      <c r="AA19" s="21" t="s">
        <v>1051</v>
      </c>
      <c r="AB19" s="37">
        <v>0</v>
      </c>
      <c r="AC19" s="21" t="s">
        <v>3522</v>
      </c>
      <c r="AD19" s="21" t="s">
        <v>3523</v>
      </c>
      <c r="AE19" s="21" t="s">
        <v>844</v>
      </c>
      <c r="AF19" s="21">
        <v>1</v>
      </c>
      <c r="AG19" s="21" t="s">
        <v>925</v>
      </c>
      <c r="AH19" s="21" t="s">
        <v>928</v>
      </c>
      <c r="AI19" s="21" t="s">
        <v>882</v>
      </c>
      <c r="AJ19" s="37">
        <v>6</v>
      </c>
      <c r="AK19" s="37">
        <v>6</v>
      </c>
      <c r="AL19" s="37">
        <v>68540</v>
      </c>
      <c r="AM19" s="37">
        <f>AK19*AL19</f>
        <v>411240</v>
      </c>
      <c r="AN19" s="37">
        <f>AM19</f>
        <v>411240</v>
      </c>
      <c r="AO19" s="23">
        <f>_xlfn.XLOOKUP(AG19,'T13'!$A$3:$A$1500,'T13'!$O$3:$O$1500)</f>
        <v>0.18</v>
      </c>
      <c r="AP19" s="37">
        <v>0</v>
      </c>
      <c r="AQ19" s="37">
        <f>SUMIFS($AN$3:$AN$1500,$G$3:$G$1500,G19)</f>
        <v>444500</v>
      </c>
      <c r="AR19" s="37">
        <f>SUMIFS($AP$3:$AP$1500,$G$3:$G$1500,G19)</f>
        <v>0</v>
      </c>
      <c r="AS19" s="21" t="s">
        <v>3410</v>
      </c>
      <c r="AT19" s="37">
        <f>ROUND(BH19*0.05,0)</f>
        <v>26226</v>
      </c>
      <c r="AU19" s="21" t="s">
        <v>846</v>
      </c>
      <c r="AV19" s="37" cm="1">
        <f t="array" ref="AV19">SUMPRODUCT(($G$3:$G$1500=G19)*$AN$3:$AN$1500*$AO$3:$AO$1500)+AR19</f>
        <v>80010</v>
      </c>
      <c r="AW19" s="37">
        <f>AT19</f>
        <v>26226</v>
      </c>
      <c r="AX19" s="21" t="str">
        <f>TEXT(EOMONTH(I19,0)+15,"dd-mmm-yyyy")&amp;" / "&amp;IF(BM19&gt;0,"CPR-IT-"&amp;TEXT(I19,"yymm")&amp;"-"&amp;RIGHT(G19,4),"Pending payment")</f>
        <v>15-Jan-2025 / CPR-IT-2412-0015</v>
      </c>
      <c r="AY19" s="21" t="str">
        <f>IF(BM19&gt;0,"Issued","Not yet")</f>
        <v>Issued</v>
      </c>
      <c r="AZ19" s="37">
        <v>0</v>
      </c>
      <c r="BA19" s="37">
        <v>0</v>
      </c>
      <c r="BB19" s="37">
        <v>0</v>
      </c>
      <c r="BC19" s="37">
        <v>0</v>
      </c>
      <c r="BD19" s="37">
        <v>0</v>
      </c>
      <c r="BE19" s="37">
        <f>AQ19</f>
        <v>444500</v>
      </c>
      <c r="BF19" s="37">
        <f>AV19</f>
        <v>80010</v>
      </c>
      <c r="BG19" s="37">
        <f>AZ19</f>
        <v>0</v>
      </c>
      <c r="BH19" s="37">
        <f>BE19+BF19+BG19</f>
        <v>524510</v>
      </c>
      <c r="BI19" s="37">
        <f>AW19</f>
        <v>26226</v>
      </c>
      <c r="BJ19" s="37">
        <f>BA19+BB19+BC19+BD19</f>
        <v>0</v>
      </c>
      <c r="BK19" s="37">
        <f>BH19-BI19-BJ19</f>
        <v>498284</v>
      </c>
      <c r="BL19" s="21" t="str">
        <f>"PKR "&amp;TEXT(BK19,"#,##0")&amp;" only"</f>
        <v>PKR 498,284 only</v>
      </c>
      <c r="BM19" s="37">
        <f>SUMIFS('T10'!$AK$3:$AK$1500,'T10'!$V$3:$V$1500,G19)</f>
        <v>498284</v>
      </c>
      <c r="BN19" s="37">
        <f>BK19-BM19</f>
        <v>0</v>
      </c>
      <c r="BO19" s="21" t="str">
        <f>IF(BF19&gt;0,TEXT(I19,"mmm-yyyy")&amp;" sales tax return","N/A")</f>
        <v>Dec-2024 sales tax return</v>
      </c>
      <c r="BP19" s="21" t="s">
        <v>1051</v>
      </c>
      <c r="BQ19" s="29">
        <f>J19+30</f>
        <v>45673</v>
      </c>
      <c r="BR19" s="29">
        <f>BQ19</f>
        <v>45673</v>
      </c>
      <c r="BS19" s="21" t="s">
        <v>3095</v>
      </c>
      <c r="BT19" s="21" t="s">
        <v>3360</v>
      </c>
      <c r="BU19" s="21" t="s">
        <v>844</v>
      </c>
      <c r="BV19" s="21" t="s">
        <v>846</v>
      </c>
      <c r="BW19" s="21" t="str" cm="1">
        <f t="array" ref="BW19">_xlfn.TEXTJOIN(", ",TRUE,_xlfn.UNIQUE(_xlfn._xlws.FILTER('T10'!$A$3:$A$1500,'T10'!$V$3:$V$1500=G19,"None")))</f>
        <v>PV-0039</v>
      </c>
      <c r="BX19" s="21" t="s">
        <v>3524</v>
      </c>
      <c r="BY19" s="21" t="s">
        <v>3525</v>
      </c>
    </row>
    <row r="20" spans="1:77" x14ac:dyDescent="0.3">
      <c r="A20" s="21" t="s">
        <v>3511</v>
      </c>
      <c r="B20" s="21" t="s">
        <v>3512</v>
      </c>
      <c r="C20" s="21" t="s">
        <v>3513</v>
      </c>
      <c r="D20" s="35">
        <v>45645.583333333336</v>
      </c>
      <c r="E20" s="21" t="s">
        <v>3347</v>
      </c>
      <c r="F20" s="21" t="str">
        <f ca="1">IF(S20="Paid","Completed","Pending payment")</f>
        <v>Completed</v>
      </c>
      <c r="G20" s="21" t="s">
        <v>3514</v>
      </c>
      <c r="H20" s="21" t="s">
        <v>3515</v>
      </c>
      <c r="I20" s="29">
        <v>45645</v>
      </c>
      <c r="J20" s="29">
        <v>45643</v>
      </c>
      <c r="K20" s="21" t="str">
        <f>TEXT(I20,"mmm-yyyy")</f>
        <v>Dec-2024</v>
      </c>
      <c r="L20" s="21" t="s">
        <v>1797</v>
      </c>
      <c r="M20" s="21">
        <v>1</v>
      </c>
      <c r="N20" s="21" t="s">
        <v>743</v>
      </c>
      <c r="O20" s="21" t="s">
        <v>3350</v>
      </c>
      <c r="P20" s="21" t="s">
        <v>3429</v>
      </c>
      <c r="Q20" s="21" t="s">
        <v>844</v>
      </c>
      <c r="R20" s="21" t="s">
        <v>3516</v>
      </c>
      <c r="S20" s="21" t="str">
        <f ca="1">IF(BN20&lt;1,"Paid",IF(BM20&gt;0,"Partially paid",IF(ISNUMBER(SEARCH("hold",BU20)),"On hold",IF(BQ20&lt;TODAY(),"Overdue","Approved - unpaid"))))</f>
        <v>Paid</v>
      </c>
      <c r="T20" s="21" t="s">
        <v>3517</v>
      </c>
      <c r="U20" s="21" t="s">
        <v>3518</v>
      </c>
      <c r="V20" s="21" t="s">
        <v>3519</v>
      </c>
      <c r="W20" s="21" t="s">
        <v>746</v>
      </c>
      <c r="X20" s="21" t="s">
        <v>846</v>
      </c>
      <c r="Y20" s="21" t="s">
        <v>3520</v>
      </c>
      <c r="Z20" s="21" t="s">
        <v>3521</v>
      </c>
      <c r="AA20" s="21" t="s">
        <v>1051</v>
      </c>
      <c r="AB20" s="37">
        <v>0</v>
      </c>
      <c r="AC20" s="21" t="s">
        <v>3522</v>
      </c>
      <c r="AD20" s="21" t="s">
        <v>3526</v>
      </c>
      <c r="AE20" s="21" t="s">
        <v>844</v>
      </c>
      <c r="AF20" s="21">
        <v>2</v>
      </c>
      <c r="AG20" s="21" t="s">
        <v>934</v>
      </c>
      <c r="AH20" s="21" t="s">
        <v>936</v>
      </c>
      <c r="AI20" s="21" t="s">
        <v>937</v>
      </c>
      <c r="AJ20" s="37">
        <v>2</v>
      </c>
      <c r="AK20" s="37">
        <v>2</v>
      </c>
      <c r="AL20" s="37">
        <v>16630</v>
      </c>
      <c r="AM20" s="37">
        <f>AK20*AL20</f>
        <v>33260</v>
      </c>
      <c r="AN20" s="37">
        <f>AM20</f>
        <v>33260</v>
      </c>
      <c r="AO20" s="23">
        <f>_xlfn.XLOOKUP(AG20,'T13'!$A$3:$A$1500,'T13'!$O$3:$O$1500)</f>
        <v>0.18</v>
      </c>
      <c r="AP20" s="37">
        <v>0</v>
      </c>
      <c r="AQ20" s="37">
        <f>SUMIFS($AN$3:$AN$1500,$G$3:$G$1500,G20)</f>
        <v>444500</v>
      </c>
      <c r="AR20" s="37">
        <f>SUMIFS($AP$3:$AP$1500,$G$3:$G$1500,G20)</f>
        <v>0</v>
      </c>
      <c r="AS20" s="21" t="s">
        <v>3410</v>
      </c>
      <c r="AT20" s="37">
        <f>ROUND(BH20*0.05,0)</f>
        <v>26226</v>
      </c>
      <c r="AU20" s="21" t="s">
        <v>846</v>
      </c>
      <c r="AV20" s="37" cm="1">
        <f t="array" ref="AV20">SUMPRODUCT(($G$3:$G$1500=G20)*$AN$3:$AN$1500*$AO$3:$AO$1500)+AR20</f>
        <v>80010</v>
      </c>
      <c r="AW20" s="37">
        <f>AT20</f>
        <v>26226</v>
      </c>
      <c r="AX20" s="21" t="str">
        <f>TEXT(EOMONTH(I20,0)+15,"dd-mmm-yyyy")&amp;" / "&amp;IF(BM20&gt;0,"CPR-IT-"&amp;TEXT(I20,"yymm")&amp;"-"&amp;RIGHT(G20,4),"Pending payment")</f>
        <v>15-Jan-2025 / CPR-IT-2412-0015</v>
      </c>
      <c r="AY20" s="21" t="str">
        <f>IF(BM20&gt;0,"Issued","Not yet")</f>
        <v>Issued</v>
      </c>
      <c r="AZ20" s="37">
        <v>0</v>
      </c>
      <c r="BA20" s="37">
        <v>0</v>
      </c>
      <c r="BB20" s="37">
        <v>0</v>
      </c>
      <c r="BC20" s="37">
        <v>0</v>
      </c>
      <c r="BD20" s="37">
        <v>0</v>
      </c>
      <c r="BE20" s="37">
        <f>AQ20</f>
        <v>444500</v>
      </c>
      <c r="BF20" s="37">
        <f>AV20</f>
        <v>80010</v>
      </c>
      <c r="BG20" s="37">
        <f>AZ20</f>
        <v>0</v>
      </c>
      <c r="BH20" s="37">
        <f>BE20+BF20+BG20</f>
        <v>524510</v>
      </c>
      <c r="BI20" s="37">
        <f>AW20</f>
        <v>26226</v>
      </c>
      <c r="BJ20" s="37">
        <f>BA20+BB20+BC20+BD20</f>
        <v>0</v>
      </c>
      <c r="BK20" s="37">
        <f>BH20-BI20-BJ20</f>
        <v>498284</v>
      </c>
      <c r="BL20" s="21" t="str">
        <f>"PKR "&amp;TEXT(BK20,"#,##0")&amp;" only"</f>
        <v>PKR 498,284 only</v>
      </c>
      <c r="BM20" s="37">
        <f>SUMIFS('T10'!$AK$3:$AK$1500,'T10'!$V$3:$V$1500,G20)</f>
        <v>498284</v>
      </c>
      <c r="BN20" s="37">
        <f>BK20-BM20</f>
        <v>0</v>
      </c>
      <c r="BO20" s="21" t="str">
        <f>IF(BF20&gt;0,TEXT(I20,"mmm-yyyy")&amp;" sales tax return","N/A")</f>
        <v>Dec-2024 sales tax return</v>
      </c>
      <c r="BP20" s="21" t="s">
        <v>1051</v>
      </c>
      <c r="BQ20" s="29">
        <f>J20+30</f>
        <v>45673</v>
      </c>
      <c r="BR20" s="29">
        <f>BQ20</f>
        <v>45673</v>
      </c>
      <c r="BS20" s="21" t="s">
        <v>3095</v>
      </c>
      <c r="BT20" s="21" t="s">
        <v>3360</v>
      </c>
      <c r="BU20" s="21" t="s">
        <v>844</v>
      </c>
      <c r="BV20" s="21" t="s">
        <v>846</v>
      </c>
      <c r="BW20" s="21" t="str" cm="1">
        <f t="array" ref="BW20">_xlfn.TEXTJOIN(", ",TRUE,_xlfn.UNIQUE(_xlfn._xlws.FILTER('T10'!$A$3:$A$1500,'T10'!$V$3:$V$1500=G20,"None")))</f>
        <v>PV-0039</v>
      </c>
      <c r="BX20" s="21" t="s">
        <v>3524</v>
      </c>
      <c r="BY20" s="21" t="s">
        <v>3525</v>
      </c>
    </row>
    <row r="21" spans="1:77" x14ac:dyDescent="0.3">
      <c r="A21" s="21" t="s">
        <v>3527</v>
      </c>
      <c r="B21" s="21" t="s">
        <v>3528</v>
      </c>
      <c r="C21" s="21" t="s">
        <v>3529</v>
      </c>
      <c r="D21" s="35">
        <v>45646.708333333336</v>
      </c>
      <c r="E21" s="21" t="s">
        <v>3347</v>
      </c>
      <c r="F21" s="21" t="str">
        <f ca="1">IF(S21="Paid","Completed","Pending payment")</f>
        <v>Completed</v>
      </c>
      <c r="G21" s="21" t="s">
        <v>3530</v>
      </c>
      <c r="H21" s="21" t="s">
        <v>3531</v>
      </c>
      <c r="I21" s="29">
        <v>45647</v>
      </c>
      <c r="J21" s="29">
        <v>45645</v>
      </c>
      <c r="K21" s="21" t="str">
        <f>TEXT(I21,"mmm-yyyy")</f>
        <v>Dec-2024</v>
      </c>
      <c r="L21" s="21" t="s">
        <v>1797</v>
      </c>
      <c r="M21" s="21">
        <v>1</v>
      </c>
      <c r="N21" s="21" t="s">
        <v>743</v>
      </c>
      <c r="O21" s="21" t="s">
        <v>3368</v>
      </c>
      <c r="P21" s="21" t="s">
        <v>3369</v>
      </c>
      <c r="Q21" s="21" t="s">
        <v>844</v>
      </c>
      <c r="R21" s="21" t="s">
        <v>3532</v>
      </c>
      <c r="S21" s="21" t="str">
        <f ca="1">IF(BN21&lt;1,"Paid",IF(BM21&gt;0,"Partially paid",IF(ISNUMBER(SEARCH("hold",BU21)),"On hold",IF(BQ21&lt;TODAY(),"Overdue","Approved - unpaid"))))</f>
        <v>Paid</v>
      </c>
      <c r="T21" s="21" t="s">
        <v>3533</v>
      </c>
      <c r="U21" s="21" t="s">
        <v>3534</v>
      </c>
      <c r="V21" s="21" t="s">
        <v>3535</v>
      </c>
      <c r="W21" s="21" t="s">
        <v>746</v>
      </c>
      <c r="X21" s="21" t="s">
        <v>846</v>
      </c>
      <c r="Y21" s="21" t="s">
        <v>3536</v>
      </c>
      <c r="Z21" s="21" t="s">
        <v>3537</v>
      </c>
      <c r="AA21" s="21" t="s">
        <v>1051</v>
      </c>
      <c r="AB21" s="37">
        <v>0</v>
      </c>
      <c r="AC21" s="21" t="s">
        <v>3538</v>
      </c>
      <c r="AD21" s="21" t="s">
        <v>3539</v>
      </c>
      <c r="AE21" s="21" t="s">
        <v>844</v>
      </c>
      <c r="AF21" s="21">
        <v>1</v>
      </c>
      <c r="AG21" s="21" t="s">
        <v>879</v>
      </c>
      <c r="AH21" s="21" t="s">
        <v>881</v>
      </c>
      <c r="AI21" s="21" t="s">
        <v>882</v>
      </c>
      <c r="AJ21" s="37">
        <v>22</v>
      </c>
      <c r="AK21" s="37">
        <v>22</v>
      </c>
      <c r="AL21" s="37">
        <v>2820</v>
      </c>
      <c r="AM21" s="37">
        <f>AK21*AL21</f>
        <v>62040</v>
      </c>
      <c r="AN21" s="37">
        <f>AM21</f>
        <v>62040</v>
      </c>
      <c r="AO21" s="23">
        <f>_xlfn.XLOOKUP(AG21,'T13'!$A$3:$A$1500,'T13'!$O$3:$O$1500)</f>
        <v>0.18</v>
      </c>
      <c r="AP21" s="37">
        <v>0</v>
      </c>
      <c r="AQ21" s="37">
        <f>SUMIFS($AN$3:$AN$1500,$G$3:$G$1500,G21)</f>
        <v>89040</v>
      </c>
      <c r="AR21" s="37">
        <f>SUMIFS($AP$3:$AP$1500,$G$3:$G$1500,G21)</f>
        <v>0</v>
      </c>
      <c r="AS21" s="21" t="s">
        <v>3410</v>
      </c>
      <c r="AT21" s="37">
        <f>ROUND(BH21*0.05,0)</f>
        <v>5253</v>
      </c>
      <c r="AU21" s="21" t="s">
        <v>846</v>
      </c>
      <c r="AV21" s="37" cm="1">
        <f t="array" ref="AV21">SUMPRODUCT(($G$3:$G$1500=G21)*$AN$3:$AN$1500*$AO$3:$AO$1500)+AR21</f>
        <v>16027.199999999999</v>
      </c>
      <c r="AW21" s="37">
        <f>AT21</f>
        <v>5253</v>
      </c>
      <c r="AX21" s="21" t="str">
        <f>TEXT(EOMONTH(I21,0)+15,"dd-mmm-yyyy")&amp;" / "&amp;IF(BM21&gt;0,"CPR-IT-"&amp;TEXT(I21,"yymm")&amp;"-"&amp;RIGHT(G21,4),"Pending payment")</f>
        <v>15-Jan-2025 / CPR-IT-2412-0016</v>
      </c>
      <c r="AY21" s="21" t="str">
        <f>IF(BM21&gt;0,"Issued","Not yet")</f>
        <v>Issued</v>
      </c>
      <c r="AZ21" s="37">
        <v>0</v>
      </c>
      <c r="BA21" s="37">
        <v>0</v>
      </c>
      <c r="BB21" s="37">
        <v>0</v>
      </c>
      <c r="BC21" s="37">
        <v>0</v>
      </c>
      <c r="BD21" s="37">
        <v>0</v>
      </c>
      <c r="BE21" s="37">
        <f>AQ21</f>
        <v>89040</v>
      </c>
      <c r="BF21" s="37">
        <f>AV21</f>
        <v>16027.199999999999</v>
      </c>
      <c r="BG21" s="37">
        <f>AZ21</f>
        <v>0</v>
      </c>
      <c r="BH21" s="37">
        <f>BE21+BF21+BG21</f>
        <v>105067.2</v>
      </c>
      <c r="BI21" s="37">
        <f>AW21</f>
        <v>5253</v>
      </c>
      <c r="BJ21" s="37">
        <f>BA21+BB21+BC21+BD21</f>
        <v>0</v>
      </c>
      <c r="BK21" s="37">
        <f>BH21-BI21-BJ21</f>
        <v>99814.2</v>
      </c>
      <c r="BL21" s="21" t="str">
        <f>"PKR "&amp;TEXT(BK21,"#,##0")&amp;" only"</f>
        <v>PKR 99,814 only</v>
      </c>
      <c r="BM21" s="37">
        <f>SUMIFS('T10'!$AK$3:$AK$1500,'T10'!$V$3:$V$1500,G21)</f>
        <v>99814.2</v>
      </c>
      <c r="BN21" s="37">
        <f>BK21-BM21</f>
        <v>0</v>
      </c>
      <c r="BO21" s="21" t="str">
        <f>IF(BF21&gt;0,TEXT(I21,"mmm-yyyy")&amp;" sales tax return","N/A")</f>
        <v>Dec-2024 sales tax return</v>
      </c>
      <c r="BP21" s="21" t="s">
        <v>1051</v>
      </c>
      <c r="BQ21" s="29">
        <f>J21+30</f>
        <v>45675</v>
      </c>
      <c r="BR21" s="29">
        <f>BQ21</f>
        <v>45675</v>
      </c>
      <c r="BS21" s="21" t="s">
        <v>3095</v>
      </c>
      <c r="BT21" s="21" t="s">
        <v>3360</v>
      </c>
      <c r="BU21" s="21" t="s">
        <v>844</v>
      </c>
      <c r="BV21" s="21" t="s">
        <v>846</v>
      </c>
      <c r="BW21" s="21" t="str" cm="1">
        <f t="array" ref="BW21">_xlfn.TEXTJOIN(", ",TRUE,_xlfn.UNIQUE(_xlfn._xlws.FILTER('T10'!$A$3:$A$1500,'T10'!$V$3:$V$1500=G21,"None")))</f>
        <v>PV-0044</v>
      </c>
      <c r="BX21" s="21" t="s">
        <v>3540</v>
      </c>
      <c r="BY21" s="21" t="s">
        <v>3541</v>
      </c>
    </row>
    <row r="22" spans="1:77" x14ac:dyDescent="0.3">
      <c r="A22" s="21" t="s">
        <v>3527</v>
      </c>
      <c r="B22" s="21" t="s">
        <v>3528</v>
      </c>
      <c r="C22" s="21" t="s">
        <v>3529</v>
      </c>
      <c r="D22" s="35">
        <v>45646.708333333336</v>
      </c>
      <c r="E22" s="21" t="s">
        <v>3347</v>
      </c>
      <c r="F22" s="21" t="str">
        <f ca="1">IF(S22="Paid","Completed","Pending payment")</f>
        <v>Completed</v>
      </c>
      <c r="G22" s="21" t="s">
        <v>3530</v>
      </c>
      <c r="H22" s="21" t="s">
        <v>3531</v>
      </c>
      <c r="I22" s="29">
        <v>45647</v>
      </c>
      <c r="J22" s="29">
        <v>45645</v>
      </c>
      <c r="K22" s="21" t="str">
        <f>TEXT(I22,"mmm-yyyy")</f>
        <v>Dec-2024</v>
      </c>
      <c r="L22" s="21" t="s">
        <v>1797</v>
      </c>
      <c r="M22" s="21">
        <v>1</v>
      </c>
      <c r="N22" s="21" t="s">
        <v>743</v>
      </c>
      <c r="O22" s="21" t="s">
        <v>3368</v>
      </c>
      <c r="P22" s="21" t="s">
        <v>3369</v>
      </c>
      <c r="Q22" s="21" t="s">
        <v>844</v>
      </c>
      <c r="R22" s="21" t="s">
        <v>3532</v>
      </c>
      <c r="S22" s="21" t="str">
        <f ca="1">IF(BN22&lt;1,"Paid",IF(BM22&gt;0,"Partially paid",IF(ISNUMBER(SEARCH("hold",BU22)),"On hold",IF(BQ22&lt;TODAY(),"Overdue","Approved - unpaid"))))</f>
        <v>Paid</v>
      </c>
      <c r="T22" s="21" t="s">
        <v>3533</v>
      </c>
      <c r="U22" s="21" t="s">
        <v>3534</v>
      </c>
      <c r="V22" s="21" t="s">
        <v>3535</v>
      </c>
      <c r="W22" s="21" t="s">
        <v>746</v>
      </c>
      <c r="X22" s="21" t="s">
        <v>846</v>
      </c>
      <c r="Y22" s="21" t="s">
        <v>3536</v>
      </c>
      <c r="Z22" s="21" t="s">
        <v>3537</v>
      </c>
      <c r="AA22" s="21" t="s">
        <v>1051</v>
      </c>
      <c r="AB22" s="37">
        <v>0</v>
      </c>
      <c r="AC22" s="21" t="s">
        <v>3538</v>
      </c>
      <c r="AD22" s="21" t="s">
        <v>3542</v>
      </c>
      <c r="AE22" s="21" t="s">
        <v>844</v>
      </c>
      <c r="AF22" s="21">
        <v>2</v>
      </c>
      <c r="AG22" s="21" t="s">
        <v>888</v>
      </c>
      <c r="AH22" s="21" t="s">
        <v>890</v>
      </c>
      <c r="AI22" s="21" t="s">
        <v>882</v>
      </c>
      <c r="AJ22" s="37">
        <v>6</v>
      </c>
      <c r="AK22" s="37">
        <v>6</v>
      </c>
      <c r="AL22" s="37">
        <v>4500</v>
      </c>
      <c r="AM22" s="37">
        <f>AK22*AL22</f>
        <v>27000</v>
      </c>
      <c r="AN22" s="37">
        <f>AM22</f>
        <v>27000</v>
      </c>
      <c r="AO22" s="23">
        <f>_xlfn.XLOOKUP(AG22,'T13'!$A$3:$A$1500,'T13'!$O$3:$O$1500)</f>
        <v>0.18</v>
      </c>
      <c r="AP22" s="37">
        <v>0</v>
      </c>
      <c r="AQ22" s="37">
        <f>SUMIFS($AN$3:$AN$1500,$G$3:$G$1500,G22)</f>
        <v>89040</v>
      </c>
      <c r="AR22" s="37">
        <f>SUMIFS($AP$3:$AP$1500,$G$3:$G$1500,G22)</f>
        <v>0</v>
      </c>
      <c r="AS22" s="21" t="s">
        <v>3410</v>
      </c>
      <c r="AT22" s="37">
        <f>ROUND(BH22*0.05,0)</f>
        <v>5253</v>
      </c>
      <c r="AU22" s="21" t="s">
        <v>846</v>
      </c>
      <c r="AV22" s="37" cm="1">
        <f t="array" ref="AV22">SUMPRODUCT(($G$3:$G$1500=G22)*$AN$3:$AN$1500*$AO$3:$AO$1500)+AR22</f>
        <v>16027.199999999999</v>
      </c>
      <c r="AW22" s="37">
        <f>AT22</f>
        <v>5253</v>
      </c>
      <c r="AX22" s="21" t="str">
        <f>TEXT(EOMONTH(I22,0)+15,"dd-mmm-yyyy")&amp;" / "&amp;IF(BM22&gt;0,"CPR-IT-"&amp;TEXT(I22,"yymm")&amp;"-"&amp;RIGHT(G22,4),"Pending payment")</f>
        <v>15-Jan-2025 / CPR-IT-2412-0016</v>
      </c>
      <c r="AY22" s="21" t="str">
        <f>IF(BM22&gt;0,"Issued","Not yet")</f>
        <v>Issued</v>
      </c>
      <c r="AZ22" s="37">
        <v>0</v>
      </c>
      <c r="BA22" s="37">
        <v>0</v>
      </c>
      <c r="BB22" s="37">
        <v>0</v>
      </c>
      <c r="BC22" s="37">
        <v>0</v>
      </c>
      <c r="BD22" s="37">
        <v>0</v>
      </c>
      <c r="BE22" s="37">
        <f>AQ22</f>
        <v>89040</v>
      </c>
      <c r="BF22" s="37">
        <f>AV22</f>
        <v>16027.199999999999</v>
      </c>
      <c r="BG22" s="37">
        <f>AZ22</f>
        <v>0</v>
      </c>
      <c r="BH22" s="37">
        <f>BE22+BF22+BG22</f>
        <v>105067.2</v>
      </c>
      <c r="BI22" s="37">
        <f>AW22</f>
        <v>5253</v>
      </c>
      <c r="BJ22" s="37">
        <f>BA22+BB22+BC22+BD22</f>
        <v>0</v>
      </c>
      <c r="BK22" s="37">
        <f>BH22-BI22-BJ22</f>
        <v>99814.2</v>
      </c>
      <c r="BL22" s="21" t="str">
        <f>"PKR "&amp;TEXT(BK22,"#,##0")&amp;" only"</f>
        <v>PKR 99,814 only</v>
      </c>
      <c r="BM22" s="37">
        <f>SUMIFS('T10'!$AK$3:$AK$1500,'T10'!$V$3:$V$1500,G22)</f>
        <v>99814.2</v>
      </c>
      <c r="BN22" s="37">
        <f>BK22-BM22</f>
        <v>0</v>
      </c>
      <c r="BO22" s="21" t="str">
        <f>IF(BF22&gt;0,TEXT(I22,"mmm-yyyy")&amp;" sales tax return","N/A")</f>
        <v>Dec-2024 sales tax return</v>
      </c>
      <c r="BP22" s="21" t="s">
        <v>1051</v>
      </c>
      <c r="BQ22" s="29">
        <f>J22+30</f>
        <v>45675</v>
      </c>
      <c r="BR22" s="29">
        <f>BQ22</f>
        <v>45675</v>
      </c>
      <c r="BS22" s="21" t="s">
        <v>3095</v>
      </c>
      <c r="BT22" s="21" t="s">
        <v>3360</v>
      </c>
      <c r="BU22" s="21" t="s">
        <v>844</v>
      </c>
      <c r="BV22" s="21" t="s">
        <v>846</v>
      </c>
      <c r="BW22" s="21" t="str" cm="1">
        <f t="array" ref="BW22">_xlfn.TEXTJOIN(", ",TRUE,_xlfn.UNIQUE(_xlfn._xlws.FILTER('T10'!$A$3:$A$1500,'T10'!$V$3:$V$1500=G22,"None")))</f>
        <v>PV-0044</v>
      </c>
      <c r="BX22" s="21" t="s">
        <v>3540</v>
      </c>
      <c r="BY22" s="21" t="s">
        <v>3541</v>
      </c>
    </row>
    <row r="23" spans="1:77" x14ac:dyDescent="0.3">
      <c r="A23" s="21" t="s">
        <v>3395</v>
      </c>
      <c r="B23" s="21" t="s">
        <v>3543</v>
      </c>
      <c r="C23" s="21" t="s">
        <v>3544</v>
      </c>
      <c r="D23" s="35">
        <v>45658.375</v>
      </c>
      <c r="E23" s="21" t="s">
        <v>3347</v>
      </c>
      <c r="F23" s="21" t="str">
        <f ca="1">IF(S23="Paid","Completed","Pending payment")</f>
        <v>Completed</v>
      </c>
      <c r="G23" s="21" t="s">
        <v>3545</v>
      </c>
      <c r="H23" s="21" t="s">
        <v>3399</v>
      </c>
      <c r="I23" s="29">
        <v>45657</v>
      </c>
      <c r="J23" s="29">
        <v>45657</v>
      </c>
      <c r="K23" s="21" t="str">
        <f>TEXT(I23,"mmm-yyyy")</f>
        <v>Dec-2024</v>
      </c>
      <c r="L23" s="21" t="s">
        <v>1797</v>
      </c>
      <c r="M23" s="21">
        <v>1</v>
      </c>
      <c r="N23" s="21" t="s">
        <v>743</v>
      </c>
      <c r="O23" s="21" t="s">
        <v>3400</v>
      </c>
      <c r="P23" s="21" t="s">
        <v>3401</v>
      </c>
      <c r="Q23" s="21" t="s">
        <v>844</v>
      </c>
      <c r="R23" s="21" t="s">
        <v>3546</v>
      </c>
      <c r="S23" s="21" t="str">
        <f ca="1">IF(BN23&lt;1,"Paid",IF(BM23&gt;0,"Partially paid",IF(ISNUMBER(SEARCH("hold",BU23)),"On hold",IF(BQ23&lt;TODAY(),"Overdue","Approved - unpaid"))))</f>
        <v>Paid</v>
      </c>
      <c r="T23" s="21" t="s">
        <v>3403</v>
      </c>
      <c r="U23" s="21" t="s">
        <v>3404</v>
      </c>
      <c r="V23" s="21" t="s">
        <v>967</v>
      </c>
      <c r="W23" s="21" t="s">
        <v>746</v>
      </c>
      <c r="X23" s="21" t="s">
        <v>846</v>
      </c>
      <c r="Y23" s="21" t="s">
        <v>3405</v>
      </c>
      <c r="Z23" s="21" t="s">
        <v>3406</v>
      </c>
      <c r="AA23" s="21" t="s">
        <v>1062</v>
      </c>
      <c r="AB23" s="37">
        <v>0</v>
      </c>
      <c r="AC23" s="21" t="s">
        <v>3547</v>
      </c>
      <c r="AD23" s="21" t="s">
        <v>3548</v>
      </c>
      <c r="AE23" s="21" t="s">
        <v>3409</v>
      </c>
      <c r="AF23" s="21">
        <v>1</v>
      </c>
      <c r="AG23" s="21" t="s">
        <v>781</v>
      </c>
      <c r="AH23" s="21" t="s">
        <v>782</v>
      </c>
      <c r="AI23" s="21" t="s">
        <v>783</v>
      </c>
      <c r="AJ23" s="37">
        <v>240</v>
      </c>
      <c r="AK23" s="37">
        <v>240</v>
      </c>
      <c r="AL23" s="37">
        <v>25050</v>
      </c>
      <c r="AM23" s="37">
        <f>AK23*AL23</f>
        <v>6012000</v>
      </c>
      <c r="AN23" s="37">
        <f>AM23</f>
        <v>6012000</v>
      </c>
      <c r="AO23" s="23">
        <f>_xlfn.XLOOKUP(AG23,'T13'!$A$3:$A$1500,'T13'!$O$3:$O$1500)</f>
        <v>0.18</v>
      </c>
      <c r="AP23" s="37">
        <f>AK23*IF(AI23="MT",1000,IF(AI23="Jumbo bag (1.5 MT)",1500,IF(AI23="Bag (40 kg)",40,50)))*3</f>
        <v>720000</v>
      </c>
      <c r="AQ23" s="37">
        <f>SUMIFS($AN$3:$AN$1500,$G$3:$G$1500,G23)</f>
        <v>6012000</v>
      </c>
      <c r="AR23" s="37">
        <f>SUMIFS($AP$3:$AP$1500,$G$3:$G$1500,G23)</f>
        <v>720000</v>
      </c>
      <c r="AS23" s="21" t="s">
        <v>3410</v>
      </c>
      <c r="AT23" s="37">
        <f>ROUND(BH23*0.05,0)</f>
        <v>390708</v>
      </c>
      <c r="AU23" s="21" t="s">
        <v>846</v>
      </c>
      <c r="AV23" s="37" cm="1">
        <f t="array" ref="AV23">SUMPRODUCT(($G$3:$G$1500=G23)*$AN$3:$AN$1500*$AO$3:$AO$1500)+AR23</f>
        <v>1802160</v>
      </c>
      <c r="AW23" s="37">
        <f>AT23</f>
        <v>390708</v>
      </c>
      <c r="AX23" s="21" t="str">
        <f>TEXT(EOMONTH(I23,0)+15,"dd-mmm-yyyy")&amp;" / "&amp;IF(BM23&gt;0,"CPR-IT-"&amp;TEXT(I23,"yymm")&amp;"-"&amp;RIGHT(G23,4),"Pending payment")</f>
        <v>15-Jan-2025 / CPR-IT-2412-0017</v>
      </c>
      <c r="AY23" s="21" t="str">
        <f>IF(BM23&gt;0,"Issued","Not yet")</f>
        <v>Issued</v>
      </c>
      <c r="AZ23" s="37">
        <v>0</v>
      </c>
      <c r="BA23" s="37">
        <v>0</v>
      </c>
      <c r="BB23" s="37">
        <v>0</v>
      </c>
      <c r="BC23" s="37">
        <v>0</v>
      </c>
      <c r="BD23" s="37">
        <v>0</v>
      </c>
      <c r="BE23" s="37">
        <f>AQ23</f>
        <v>6012000</v>
      </c>
      <c r="BF23" s="37">
        <f>AV23</f>
        <v>1802160</v>
      </c>
      <c r="BG23" s="37">
        <f>AZ23</f>
        <v>0</v>
      </c>
      <c r="BH23" s="37">
        <f>BE23+BF23+BG23</f>
        <v>7814160</v>
      </c>
      <c r="BI23" s="37">
        <f>AW23</f>
        <v>390708</v>
      </c>
      <c r="BJ23" s="37">
        <f>BA23+BB23+BC23+BD23</f>
        <v>0</v>
      </c>
      <c r="BK23" s="37">
        <f>BH23-BI23-BJ23</f>
        <v>7423452</v>
      </c>
      <c r="BL23" s="21" t="str">
        <f>"PKR "&amp;TEXT(BK23,"#,##0")&amp;" only"</f>
        <v>PKR 7,423,452 only</v>
      </c>
      <c r="BM23" s="37">
        <f>SUMIFS('T10'!$AK$3:$AK$1500,'T10'!$V$3:$V$1500,G23)</f>
        <v>7423452</v>
      </c>
      <c r="BN23" s="37">
        <f>BK23-BM23</f>
        <v>0</v>
      </c>
      <c r="BO23" s="21" t="str">
        <f>IF(BF23&gt;0,TEXT(I23,"mmm-yyyy")&amp;" sales tax return","N/A")</f>
        <v>Dec-2024 sales tax return</v>
      </c>
      <c r="BP23" s="21" t="s">
        <v>1062</v>
      </c>
      <c r="BQ23" s="29">
        <f>J23+15</f>
        <v>45672</v>
      </c>
      <c r="BR23" s="29">
        <f>BQ23</f>
        <v>45672</v>
      </c>
      <c r="BS23" s="21" t="s">
        <v>3095</v>
      </c>
      <c r="BT23" s="21" t="s">
        <v>3411</v>
      </c>
      <c r="BU23" s="21" t="s">
        <v>844</v>
      </c>
      <c r="BV23" s="21" t="s">
        <v>846</v>
      </c>
      <c r="BW23" s="21" t="str" cm="1">
        <f t="array" ref="BW23">_xlfn.TEXTJOIN(", ",TRUE,_xlfn.UNIQUE(_xlfn._xlws.FILTER('T10'!$A$3:$A$1500,'T10'!$V$3:$V$1500=G23,"None")))</f>
        <v>PV-0001</v>
      </c>
      <c r="BX23" s="21" t="s">
        <v>3549</v>
      </c>
      <c r="BY23" s="21" t="s">
        <v>3550</v>
      </c>
    </row>
    <row r="24" spans="1:77" x14ac:dyDescent="0.3">
      <c r="A24" s="21" t="s">
        <v>3425</v>
      </c>
      <c r="B24" s="21" t="s">
        <v>2034</v>
      </c>
      <c r="C24" s="21" t="s">
        <v>3551</v>
      </c>
      <c r="D24" s="35">
        <v>45659.666666666664</v>
      </c>
      <c r="E24" s="21" t="s">
        <v>3347</v>
      </c>
      <c r="F24" s="21" t="str">
        <f ca="1">IF(S24="Paid","Completed","Pending payment")</f>
        <v>Completed</v>
      </c>
      <c r="G24" s="21" t="s">
        <v>3552</v>
      </c>
      <c r="H24" s="21" t="s">
        <v>3428</v>
      </c>
      <c r="I24" s="29">
        <v>45660</v>
      </c>
      <c r="J24" s="29">
        <v>45658</v>
      </c>
      <c r="K24" s="21" t="str">
        <f>TEXT(I24,"mmm-yyyy")</f>
        <v>Jan-2025</v>
      </c>
      <c r="L24" s="21" t="s">
        <v>1797</v>
      </c>
      <c r="M24" s="21">
        <v>1</v>
      </c>
      <c r="N24" s="21" t="s">
        <v>743</v>
      </c>
      <c r="O24" s="21" t="s">
        <v>3350</v>
      </c>
      <c r="P24" s="21" t="s">
        <v>3429</v>
      </c>
      <c r="Q24" s="21" t="s">
        <v>844</v>
      </c>
      <c r="R24" s="21" t="s">
        <v>3553</v>
      </c>
      <c r="S24" s="21" t="str">
        <f ca="1">IF(BN24&lt;1,"Paid",IF(BM24&gt;0,"Partially paid",IF(ISNUMBER(SEARCH("hold",BU24)),"On hold",IF(BQ24&lt;TODAY(),"Overdue","Approved - unpaid"))))</f>
        <v>Paid</v>
      </c>
      <c r="T24" s="21" t="s">
        <v>3431</v>
      </c>
      <c r="U24" s="21" t="s">
        <v>1339</v>
      </c>
      <c r="V24" s="21" t="s">
        <v>1207</v>
      </c>
      <c r="W24" s="21" t="s">
        <v>1066</v>
      </c>
      <c r="X24" s="21" t="s">
        <v>846</v>
      </c>
      <c r="Y24" s="21" t="s">
        <v>3432</v>
      </c>
      <c r="Z24" s="21" t="s">
        <v>3433</v>
      </c>
      <c r="AA24" s="21" t="s">
        <v>1051</v>
      </c>
      <c r="AB24" s="37">
        <v>0</v>
      </c>
      <c r="AC24" s="21" t="s">
        <v>844</v>
      </c>
      <c r="AD24" s="21" t="s">
        <v>844</v>
      </c>
      <c r="AE24" s="21" t="s">
        <v>3434</v>
      </c>
      <c r="AF24" s="21">
        <v>1</v>
      </c>
      <c r="AG24" s="21" t="s">
        <v>853</v>
      </c>
      <c r="AH24" s="21" t="s">
        <v>855</v>
      </c>
      <c r="AI24" s="21" t="s">
        <v>842</v>
      </c>
      <c r="AJ24" s="37">
        <f>COUNTIFS('T14'!$AQ$3:$AQ$1500,B24,'T14'!$Z$3:$Z$1500,1,'T14'!$F$3:$F$1500,"Bulker")</f>
        <v>7</v>
      </c>
      <c r="AK24" s="37">
        <f>AJ24</f>
        <v>7</v>
      </c>
      <c r="AL24" s="37">
        <v>55600</v>
      </c>
      <c r="AM24" s="37">
        <f>AK24*AL24</f>
        <v>389200</v>
      </c>
      <c r="AN24" s="37">
        <f>AM24</f>
        <v>389200</v>
      </c>
      <c r="AO24" s="23">
        <f>_xlfn.XLOOKUP(AG24,'T13'!$A$3:$A$1500,'T13'!$O$3:$O$1500)</f>
        <v>0.16</v>
      </c>
      <c r="AP24" s="37">
        <v>0</v>
      </c>
      <c r="AQ24" s="37">
        <f>SUMIFS($AN$3:$AN$1500,$G$3:$G$1500,G24)</f>
        <v>389200</v>
      </c>
      <c r="AR24" s="37">
        <f>SUMIFS($AP$3:$AP$1500,$G$3:$G$1500,G24)</f>
        <v>0</v>
      </c>
      <c r="AS24" s="21" t="s">
        <v>3435</v>
      </c>
      <c r="AT24" s="37">
        <f>ROUND(BH24*0.08,0)</f>
        <v>36118</v>
      </c>
      <c r="AU24" s="21" t="s">
        <v>846</v>
      </c>
      <c r="AV24" s="37" cm="1">
        <f t="array" ref="AV24">SUMPRODUCT(($G$3:$G$1500=G24)*$AN$3:$AN$1500*$AO$3:$AO$1500)+AR24</f>
        <v>62272</v>
      </c>
      <c r="AW24" s="37">
        <f>AT24</f>
        <v>36118</v>
      </c>
      <c r="AX24" s="21" t="str">
        <f>TEXT(EOMONTH(I24,0)+15,"dd-mmm-yyyy")&amp;" / "&amp;IF(BM24&gt;0,"CPR-IT-"&amp;TEXT(I24,"yymm")&amp;"-"&amp;RIGHT(G24,4),"Pending payment")</f>
        <v>15-Feb-2025 / CPR-IT-2501-0018</v>
      </c>
      <c r="AY24" s="21" t="str">
        <f>IF(BM24&gt;0,"Issued","Not yet")</f>
        <v>Issued</v>
      </c>
      <c r="AZ24" s="37">
        <v>0</v>
      </c>
      <c r="BA24" s="37">
        <v>0</v>
      </c>
      <c r="BB24" s="37">
        <v>0</v>
      </c>
      <c r="BC24" s="37">
        <v>0</v>
      </c>
      <c r="BD24" s="37">
        <v>0</v>
      </c>
      <c r="BE24" s="37">
        <f>AQ24</f>
        <v>389200</v>
      </c>
      <c r="BF24" s="37">
        <f>AV24</f>
        <v>62272</v>
      </c>
      <c r="BG24" s="37">
        <f>AZ24</f>
        <v>0</v>
      </c>
      <c r="BH24" s="37">
        <f>BE24+BF24+BG24</f>
        <v>451472</v>
      </c>
      <c r="BI24" s="37">
        <f>AW24</f>
        <v>36118</v>
      </c>
      <c r="BJ24" s="37">
        <f>BA24+BB24+BC24+BD24</f>
        <v>0</v>
      </c>
      <c r="BK24" s="37">
        <f>BH24-BI24-BJ24</f>
        <v>415354</v>
      </c>
      <c r="BL24" s="21" t="str">
        <f>"PKR "&amp;TEXT(BK24,"#,##0")&amp;" only"</f>
        <v>PKR 415,354 only</v>
      </c>
      <c r="BM24" s="37">
        <f>SUMIFS('T10'!$AK$3:$AK$1500,'T10'!$V$3:$V$1500,G24)</f>
        <v>415354</v>
      </c>
      <c r="BN24" s="37">
        <f>BK24-BM24</f>
        <v>0</v>
      </c>
      <c r="BO24" s="21" t="str">
        <f>IF(BF24&gt;0,TEXT(I24,"mmm-yyyy")&amp;" sales tax return","N/A")</f>
        <v>Jan-2025 sales tax return</v>
      </c>
      <c r="BP24" s="21" t="s">
        <v>1051</v>
      </c>
      <c r="BQ24" s="29">
        <f>J24+30</f>
        <v>45688</v>
      </c>
      <c r="BR24" s="29">
        <f>BQ24</f>
        <v>45688</v>
      </c>
      <c r="BS24" s="21" t="s">
        <v>3095</v>
      </c>
      <c r="BT24" s="21" t="s">
        <v>3360</v>
      </c>
      <c r="BU24" s="21" t="s">
        <v>844</v>
      </c>
      <c r="BV24" s="21" t="s">
        <v>846</v>
      </c>
      <c r="BW24" s="21" t="str" cm="1">
        <f t="array" ref="BW24">_xlfn.TEXTJOIN(", ",TRUE,_xlfn.UNIQUE(_xlfn._xlws.FILTER('T10'!$A$3:$A$1500,'T10'!$V$3:$V$1500=G24,"None")))</f>
        <v>PV-0022</v>
      </c>
      <c r="BX24" s="21" t="s">
        <v>3554</v>
      </c>
      <c r="BY24" s="21" t="s">
        <v>3555</v>
      </c>
    </row>
    <row r="25" spans="1:77" x14ac:dyDescent="0.3">
      <c r="A25" s="21" t="s">
        <v>3344</v>
      </c>
      <c r="B25" s="21" t="s">
        <v>3556</v>
      </c>
      <c r="C25" s="21" t="s">
        <v>3557</v>
      </c>
      <c r="D25" s="35">
        <v>45668.583333333336</v>
      </c>
      <c r="E25" s="21" t="s">
        <v>3347</v>
      </c>
      <c r="F25" s="21" t="str">
        <f ca="1">IF(S25="Paid","Completed","Pending payment")</f>
        <v>Completed</v>
      </c>
      <c r="G25" s="21" t="s">
        <v>3558</v>
      </c>
      <c r="H25" s="21" t="s">
        <v>3349</v>
      </c>
      <c r="I25" s="29">
        <v>45668</v>
      </c>
      <c r="J25" s="29">
        <v>45666</v>
      </c>
      <c r="K25" s="21" t="str">
        <f>TEXT(I25,"mmm-yyyy")</f>
        <v>Jan-2025</v>
      </c>
      <c r="L25" s="21" t="s">
        <v>1797</v>
      </c>
      <c r="M25" s="21">
        <v>1</v>
      </c>
      <c r="N25" s="21" t="s">
        <v>743</v>
      </c>
      <c r="O25" s="21" t="s">
        <v>3350</v>
      </c>
      <c r="P25" s="21" t="s">
        <v>3351</v>
      </c>
      <c r="Q25" s="21" t="s">
        <v>844</v>
      </c>
      <c r="R25" s="21" t="s">
        <v>3559</v>
      </c>
      <c r="S25" s="21" t="str">
        <f ca="1">IF(BN25&lt;1,"Paid",IF(BM25&gt;0,"Partially paid",IF(ISNUMBER(SEARCH("hold",BU25)),"On hold",IF(BQ25&lt;TODAY(),"Overdue","Approved - unpaid"))))</f>
        <v>Paid</v>
      </c>
      <c r="T25" s="21" t="s">
        <v>3353</v>
      </c>
      <c r="U25" s="21" t="s">
        <v>3354</v>
      </c>
      <c r="V25" s="21" t="s">
        <v>3355</v>
      </c>
      <c r="W25" s="21" t="s">
        <v>746</v>
      </c>
      <c r="X25" s="21" t="s">
        <v>846</v>
      </c>
      <c r="Y25" s="21" t="s">
        <v>3356</v>
      </c>
      <c r="Z25" s="21" t="s">
        <v>3357</v>
      </c>
      <c r="AA25" s="21" t="s">
        <v>3358</v>
      </c>
      <c r="AB25" s="37">
        <v>0</v>
      </c>
      <c r="AC25" s="21" t="s">
        <v>844</v>
      </c>
      <c r="AD25" s="21" t="s">
        <v>844</v>
      </c>
      <c r="AE25" s="21" t="s">
        <v>844</v>
      </c>
      <c r="AF25" s="21">
        <v>1</v>
      </c>
      <c r="AG25" s="21" t="s">
        <v>911</v>
      </c>
      <c r="AH25" s="21" t="s">
        <v>913</v>
      </c>
      <c r="AI25" s="21" t="s">
        <v>905</v>
      </c>
      <c r="AJ25" s="37">
        <v>1</v>
      </c>
      <c r="AK25" s="37">
        <v>1</v>
      </c>
      <c r="AL25" s="37">
        <v>86020</v>
      </c>
      <c r="AM25" s="37">
        <f>AK25*AL25</f>
        <v>86020</v>
      </c>
      <c r="AN25" s="37">
        <f>AM25</f>
        <v>86020</v>
      </c>
      <c r="AO25" s="23">
        <f>_xlfn.XLOOKUP(AG25,'T13'!$A$3:$A$1500,'T13'!$O$3:$O$1500)</f>
        <v>0.18</v>
      </c>
      <c r="AP25" s="37">
        <v>0</v>
      </c>
      <c r="AQ25" s="37">
        <f>SUMIFS($AN$3:$AN$1500,$G$3:$G$1500,G25)</f>
        <v>86020</v>
      </c>
      <c r="AR25" s="37">
        <f>SUMIFS($AP$3:$AP$1500,$G$3:$G$1500,G25)</f>
        <v>0</v>
      </c>
      <c r="AS25" s="21" t="s">
        <v>3359</v>
      </c>
      <c r="AT25" s="37">
        <f>ROUND(BH25*0,0)</f>
        <v>0</v>
      </c>
      <c r="AU25" s="21" t="s">
        <v>846</v>
      </c>
      <c r="AV25" s="37" cm="1">
        <f t="array" ref="AV25">SUMPRODUCT(($G$3:$G$1500=G25)*$AN$3:$AN$1500*$AO$3:$AO$1500)+AR25</f>
        <v>15483.599999999999</v>
      </c>
      <c r="AW25" s="37">
        <f>AT25</f>
        <v>0</v>
      </c>
      <c r="AX25" s="21" t="str">
        <f>TEXT(EOMONTH(I25,0)+15,"dd-mmm-yyyy")&amp;" / "&amp;IF(BM25&gt;0,"CPR-IT-"&amp;TEXT(I25,"yymm")&amp;"-"&amp;RIGHT(G25,4),"Pending payment")</f>
        <v>15-Feb-2025 / CPR-IT-2501-0019</v>
      </c>
      <c r="AY25" s="21" t="str">
        <f>IF(BM25&gt;0,"Issued","Not yet")</f>
        <v>Issued</v>
      </c>
      <c r="AZ25" s="37">
        <v>0</v>
      </c>
      <c r="BA25" s="37">
        <v>0</v>
      </c>
      <c r="BB25" s="37">
        <v>0</v>
      </c>
      <c r="BC25" s="37">
        <v>0</v>
      </c>
      <c r="BD25" s="37">
        <v>0</v>
      </c>
      <c r="BE25" s="37">
        <f>AQ25</f>
        <v>86020</v>
      </c>
      <c r="BF25" s="37">
        <f>AV25</f>
        <v>15483.599999999999</v>
      </c>
      <c r="BG25" s="37">
        <f>AZ25</f>
        <v>0</v>
      </c>
      <c r="BH25" s="37">
        <f>BE25+BF25+BG25</f>
        <v>101503.6</v>
      </c>
      <c r="BI25" s="37">
        <f>AW25</f>
        <v>0</v>
      </c>
      <c r="BJ25" s="37">
        <f>BA25+BB25+BC25+BD25</f>
        <v>0</v>
      </c>
      <c r="BK25" s="37">
        <f>BH25-BI25-BJ25</f>
        <v>101503.6</v>
      </c>
      <c r="BL25" s="21" t="str">
        <f>"PKR "&amp;TEXT(BK25,"#,##0")&amp;" only"</f>
        <v>PKR 101,504 only</v>
      </c>
      <c r="BM25" s="37">
        <f>SUMIFS('T10'!$AK$3:$AK$1500,'T10'!$V$3:$V$1500,G25)</f>
        <v>101503.6</v>
      </c>
      <c r="BN25" s="37">
        <f>BK25-BM25</f>
        <v>0</v>
      </c>
      <c r="BO25" s="21" t="str">
        <f>IF(BF25&gt;0,TEXT(I25,"mmm-yyyy")&amp;" sales tax return","N/A")</f>
        <v>Jan-2025 sales tax return</v>
      </c>
      <c r="BP25" s="21" t="s">
        <v>3358</v>
      </c>
      <c r="BQ25" s="29">
        <f>J25+10</f>
        <v>45676</v>
      </c>
      <c r="BR25" s="29">
        <f>BQ25</f>
        <v>45676</v>
      </c>
      <c r="BS25" s="21" t="s">
        <v>3095</v>
      </c>
      <c r="BT25" s="21" t="s">
        <v>3360</v>
      </c>
      <c r="BU25" s="21" t="s">
        <v>844</v>
      </c>
      <c r="BV25" s="21" t="s">
        <v>846</v>
      </c>
      <c r="BW25" s="21" t="str" cm="1">
        <f t="array" ref="BW25">_xlfn.TEXTJOIN(", ",TRUE,_xlfn.UNIQUE(_xlfn._xlws.FILTER('T10'!$A$3:$A$1500,'T10'!$V$3:$V$1500=G25,"None")))</f>
        <v>PV-0006</v>
      </c>
      <c r="BX25" s="21" t="s">
        <v>3560</v>
      </c>
      <c r="BY25" s="21" t="s">
        <v>3561</v>
      </c>
    </row>
    <row r="26" spans="1:77" x14ac:dyDescent="0.3">
      <c r="A26" s="21" t="s">
        <v>3562</v>
      </c>
      <c r="B26" s="21" t="s">
        <v>3563</v>
      </c>
      <c r="C26" s="21" t="s">
        <v>3564</v>
      </c>
      <c r="D26" s="35">
        <v>45681.5</v>
      </c>
      <c r="E26" s="21" t="s">
        <v>3347</v>
      </c>
      <c r="F26" s="21" t="str">
        <f ca="1">IF(S26="Paid","Completed","Pending payment")</f>
        <v>Completed</v>
      </c>
      <c r="G26" s="21" t="s">
        <v>3565</v>
      </c>
      <c r="H26" s="21" t="s">
        <v>3385</v>
      </c>
      <c r="I26" s="29">
        <v>45681</v>
      </c>
      <c r="J26" s="29">
        <v>45679</v>
      </c>
      <c r="K26" s="21" t="str">
        <f>TEXT(I26,"mmm-yyyy")</f>
        <v>Jan-2025</v>
      </c>
      <c r="L26" s="21" t="s">
        <v>1797</v>
      </c>
      <c r="M26" s="21">
        <v>1</v>
      </c>
      <c r="N26" s="21" t="s">
        <v>743</v>
      </c>
      <c r="O26" s="21" t="s">
        <v>3350</v>
      </c>
      <c r="P26" s="21" t="s">
        <v>3429</v>
      </c>
      <c r="Q26" s="21" t="s">
        <v>844</v>
      </c>
      <c r="R26" s="21" t="s">
        <v>3566</v>
      </c>
      <c r="S26" s="21" t="str">
        <f ca="1">IF(BN26&lt;1,"Paid",IF(BM26&gt;0,"Partially paid",IF(ISNUMBER(SEARCH("hold",BU26)),"On hold",IF(BQ26&lt;TODAY(),"Overdue","Approved - unpaid"))))</f>
        <v>Paid</v>
      </c>
      <c r="T26" s="21" t="s">
        <v>3387</v>
      </c>
      <c r="U26" s="21" t="s">
        <v>3567</v>
      </c>
      <c r="V26" s="21" t="s">
        <v>3568</v>
      </c>
      <c r="W26" s="21" t="s">
        <v>746</v>
      </c>
      <c r="X26" s="21" t="s">
        <v>846</v>
      </c>
      <c r="Y26" s="21" t="s">
        <v>3569</v>
      </c>
      <c r="Z26" s="21" t="s">
        <v>3570</v>
      </c>
      <c r="AA26" s="21" t="s">
        <v>1051</v>
      </c>
      <c r="AB26" s="37">
        <v>0</v>
      </c>
      <c r="AC26" s="21" t="s">
        <v>844</v>
      </c>
      <c r="AD26" s="21" t="s">
        <v>844</v>
      </c>
      <c r="AE26" s="21" t="s">
        <v>844</v>
      </c>
      <c r="AF26" s="21">
        <v>1</v>
      </c>
      <c r="AG26" s="21" t="s">
        <v>943</v>
      </c>
      <c r="AH26" s="21" t="s">
        <v>945</v>
      </c>
      <c r="AI26" s="21" t="s">
        <v>946</v>
      </c>
      <c r="AJ26" s="37">
        <v>1</v>
      </c>
      <c r="AK26" s="37">
        <v>1</v>
      </c>
      <c r="AL26" s="37">
        <v>35420</v>
      </c>
      <c r="AM26" s="37">
        <f>AK26*AL26</f>
        <v>35420</v>
      </c>
      <c r="AN26" s="37">
        <f>AM26</f>
        <v>35420</v>
      </c>
      <c r="AO26" s="23">
        <f>_xlfn.XLOOKUP(AG26,'T13'!$A$3:$A$1500,'T13'!$O$3:$O$1500)</f>
        <v>0.16</v>
      </c>
      <c r="AP26" s="37">
        <v>0</v>
      </c>
      <c r="AQ26" s="37">
        <f>SUMIFS($AN$3:$AN$1500,$G$3:$G$1500,G26)</f>
        <v>35420</v>
      </c>
      <c r="AR26" s="37">
        <f>SUMIFS($AP$3:$AP$1500,$G$3:$G$1500,G26)</f>
        <v>0</v>
      </c>
      <c r="AS26" s="21" t="s">
        <v>3392</v>
      </c>
      <c r="AT26" s="37">
        <f>ROUND(BH26*0.11,0)</f>
        <v>4520</v>
      </c>
      <c r="AU26" s="21" t="s">
        <v>846</v>
      </c>
      <c r="AV26" s="37" cm="1">
        <f t="array" ref="AV26">SUMPRODUCT(($G$3:$G$1500=G26)*$AN$3:$AN$1500*$AO$3:$AO$1500)+AR26</f>
        <v>5667.2</v>
      </c>
      <c r="AW26" s="37">
        <f>AT26</f>
        <v>4520</v>
      </c>
      <c r="AX26" s="21" t="str">
        <f>TEXT(EOMONTH(I26,0)+15,"dd-mmm-yyyy")&amp;" / "&amp;IF(BM26&gt;0,"CPR-IT-"&amp;TEXT(I26,"yymm")&amp;"-"&amp;RIGHT(G26,4),"Pending payment")</f>
        <v>15-Feb-2025 / CPR-IT-2501-0020</v>
      </c>
      <c r="AY26" s="21" t="str">
        <f>IF(BM26&gt;0,"Issued","Not yet")</f>
        <v>Issued</v>
      </c>
      <c r="AZ26" s="37">
        <v>0</v>
      </c>
      <c r="BA26" s="37">
        <v>0</v>
      </c>
      <c r="BB26" s="37">
        <v>0</v>
      </c>
      <c r="BC26" s="37">
        <v>0</v>
      </c>
      <c r="BD26" s="37">
        <v>0</v>
      </c>
      <c r="BE26" s="37">
        <f>AQ26</f>
        <v>35420</v>
      </c>
      <c r="BF26" s="37">
        <f>AV26</f>
        <v>5667.2</v>
      </c>
      <c r="BG26" s="37">
        <f>AZ26</f>
        <v>0</v>
      </c>
      <c r="BH26" s="37">
        <f>BE26+BF26+BG26</f>
        <v>41087.199999999997</v>
      </c>
      <c r="BI26" s="37">
        <f>AW26</f>
        <v>4520</v>
      </c>
      <c r="BJ26" s="37">
        <f>BA26+BB26+BC26+BD26</f>
        <v>0</v>
      </c>
      <c r="BK26" s="37">
        <f>BH26-BI26-BJ26</f>
        <v>36567.199999999997</v>
      </c>
      <c r="BL26" s="21" t="str">
        <f>"PKR "&amp;TEXT(BK26,"#,##0")&amp;" only"</f>
        <v>PKR 36,567 only</v>
      </c>
      <c r="BM26" s="37">
        <f>SUMIFS('T10'!$AK$3:$AK$1500,'T10'!$V$3:$V$1500,G26)</f>
        <v>36567.199999999997</v>
      </c>
      <c r="BN26" s="37">
        <f>BK26-BM26</f>
        <v>0</v>
      </c>
      <c r="BO26" s="21" t="str">
        <f>IF(BF26&gt;0,TEXT(I26,"mmm-yyyy")&amp;" sales tax return","N/A")</f>
        <v>Jan-2025 sales tax return</v>
      </c>
      <c r="BP26" s="21" t="s">
        <v>1051</v>
      </c>
      <c r="BQ26" s="29">
        <f>J26+30</f>
        <v>45709</v>
      </c>
      <c r="BR26" s="29">
        <f>BQ26</f>
        <v>45709</v>
      </c>
      <c r="BS26" s="21" t="s">
        <v>3095</v>
      </c>
      <c r="BT26" s="21" t="s">
        <v>3360</v>
      </c>
      <c r="BU26" s="21" t="s">
        <v>844</v>
      </c>
      <c r="BV26" s="21" t="s">
        <v>846</v>
      </c>
      <c r="BW26" s="21" t="str" cm="1">
        <f t="array" ref="BW26">_xlfn.TEXTJOIN(", ",TRUE,_xlfn.UNIQUE(_xlfn._xlws.FILTER('T10'!$A$3:$A$1500,'T10'!$V$3:$V$1500=G26,"None")))</f>
        <v>PV-0071</v>
      </c>
      <c r="BX26" s="21" t="s">
        <v>3571</v>
      </c>
      <c r="BY26" s="21" t="s">
        <v>3572</v>
      </c>
    </row>
    <row r="27" spans="1:77" x14ac:dyDescent="0.3">
      <c r="A27" s="21" t="s">
        <v>3573</v>
      </c>
      <c r="B27" s="21" t="s">
        <v>3574</v>
      </c>
      <c r="C27" s="21" t="s">
        <v>3575</v>
      </c>
      <c r="D27" s="35">
        <v>45689.625</v>
      </c>
      <c r="E27" s="21" t="s">
        <v>3347</v>
      </c>
      <c r="F27" s="21" t="str">
        <f ca="1">IF(S27="Paid","Completed","Pending payment")</f>
        <v>Completed</v>
      </c>
      <c r="G27" s="21" t="s">
        <v>3576</v>
      </c>
      <c r="H27" s="21" t="s">
        <v>3399</v>
      </c>
      <c r="I27" s="29">
        <v>45688</v>
      </c>
      <c r="J27" s="29">
        <v>45688</v>
      </c>
      <c r="K27" s="21" t="str">
        <f>TEXT(I27,"mmm-yyyy")</f>
        <v>Jan-2025</v>
      </c>
      <c r="L27" s="21" t="s">
        <v>1797</v>
      </c>
      <c r="M27" s="21">
        <v>1</v>
      </c>
      <c r="N27" s="21" t="s">
        <v>743</v>
      </c>
      <c r="O27" s="21" t="s">
        <v>3400</v>
      </c>
      <c r="P27" s="21" t="s">
        <v>3401</v>
      </c>
      <c r="Q27" s="21" t="s">
        <v>844</v>
      </c>
      <c r="R27" s="21" t="s">
        <v>3577</v>
      </c>
      <c r="S27" s="21" t="str">
        <f ca="1">IF(BN27&lt;1,"Paid",IF(BM27&gt;0,"Partially paid",IF(ISNUMBER(SEARCH("hold",BU27)),"On hold",IF(BQ27&lt;TODAY(),"Overdue","Approved - unpaid"))))</f>
        <v>Paid</v>
      </c>
      <c r="T27" s="21" t="s">
        <v>3403</v>
      </c>
      <c r="U27" s="21" t="s">
        <v>3578</v>
      </c>
      <c r="V27" s="21" t="s">
        <v>1021</v>
      </c>
      <c r="W27" s="21" t="s">
        <v>746</v>
      </c>
      <c r="X27" s="21" t="s">
        <v>846</v>
      </c>
      <c r="Y27" s="21" t="s">
        <v>3579</v>
      </c>
      <c r="Z27" s="21" t="s">
        <v>3580</v>
      </c>
      <c r="AA27" s="21" t="s">
        <v>1062</v>
      </c>
      <c r="AB27" s="37">
        <v>0</v>
      </c>
      <c r="AC27" s="21" t="s">
        <v>3581</v>
      </c>
      <c r="AD27" s="21" t="s">
        <v>3582</v>
      </c>
      <c r="AE27" s="21" t="s">
        <v>3583</v>
      </c>
      <c r="AF27" s="21">
        <v>1</v>
      </c>
      <c r="AG27" s="21" t="s">
        <v>805</v>
      </c>
      <c r="AH27" s="21" t="s">
        <v>807</v>
      </c>
      <c r="AI27" s="21" t="s">
        <v>1804</v>
      </c>
      <c r="AJ27" s="37">
        <v>5250</v>
      </c>
      <c r="AK27" s="37">
        <v>5250</v>
      </c>
      <c r="AL27" s="37">
        <v>1420</v>
      </c>
      <c r="AM27" s="37">
        <f>AK27*AL27</f>
        <v>7455000</v>
      </c>
      <c r="AN27" s="37">
        <f>AM27</f>
        <v>7455000</v>
      </c>
      <c r="AO27" s="23">
        <f>_xlfn.XLOOKUP(AG27,'T13'!$A$3:$A$1500,'T13'!$O$3:$O$1500)</f>
        <v>0.18</v>
      </c>
      <c r="AP27" s="37">
        <f>AK27*IF(AI27="MT",1000,IF(AI27="Jumbo bag (1.5 MT)",1500,IF(AI27="Bag (40 kg)",40,50)))*3</f>
        <v>787500</v>
      </c>
      <c r="AQ27" s="37">
        <f>SUMIFS($AN$3:$AN$1500,$G$3:$G$1500,G27)</f>
        <v>9005250</v>
      </c>
      <c r="AR27" s="37">
        <f>SUMIFS($AP$3:$AP$1500,$G$3:$G$1500,G27)</f>
        <v>865500</v>
      </c>
      <c r="AS27" s="21" t="s">
        <v>3410</v>
      </c>
      <c r="AT27" s="37">
        <f>ROUND(BH27*0.05,0)</f>
        <v>574585</v>
      </c>
      <c r="AU27" s="21" t="s">
        <v>846</v>
      </c>
      <c r="AV27" s="37" cm="1">
        <f t="array" ref="AV27">SUMPRODUCT(($G$3:$G$1500=G27)*$AN$3:$AN$1500*$AO$3:$AO$1500)+AR27</f>
        <v>2486445</v>
      </c>
      <c r="AW27" s="37">
        <f>AT27</f>
        <v>574585</v>
      </c>
      <c r="AX27" s="21" t="str">
        <f>TEXT(EOMONTH(I27,0)+15,"dd-mmm-yyyy")&amp;" / "&amp;IF(BM27&gt;0,"CPR-IT-"&amp;TEXT(I27,"yymm")&amp;"-"&amp;RIGHT(G27,4),"Pending payment")</f>
        <v>15-Feb-2025 / CPR-IT-2501-0021</v>
      </c>
      <c r="AY27" s="21" t="str">
        <f>IF(BM27&gt;0,"Issued","Not yet")</f>
        <v>Issued</v>
      </c>
      <c r="AZ27" s="37">
        <v>0</v>
      </c>
      <c r="BA27" s="37">
        <v>0</v>
      </c>
      <c r="BB27" s="37">
        <v>0</v>
      </c>
      <c r="BC27" s="37">
        <v>0</v>
      </c>
      <c r="BD27" s="37">
        <v>0</v>
      </c>
      <c r="BE27" s="37">
        <f>AQ27</f>
        <v>9005250</v>
      </c>
      <c r="BF27" s="37">
        <f>AV27</f>
        <v>2486445</v>
      </c>
      <c r="BG27" s="37">
        <f>AZ27</f>
        <v>0</v>
      </c>
      <c r="BH27" s="37">
        <f>BE27+BF27+BG27</f>
        <v>11491695</v>
      </c>
      <c r="BI27" s="37">
        <f>AW27</f>
        <v>574585</v>
      </c>
      <c r="BJ27" s="37">
        <f>BA27+BB27+BC27+BD27</f>
        <v>0</v>
      </c>
      <c r="BK27" s="37">
        <f>BH27-BI27-BJ27</f>
        <v>10917110</v>
      </c>
      <c r="BL27" s="21" t="str">
        <f>"PKR "&amp;TEXT(BK27,"#,##0")&amp;" only"</f>
        <v>PKR 10,917,110 only</v>
      </c>
      <c r="BM27" s="37">
        <f>SUMIFS('T10'!$AK$3:$AK$1500,'T10'!$V$3:$V$1500,G27)</f>
        <v>10917110</v>
      </c>
      <c r="BN27" s="37">
        <f>BK27-BM27</f>
        <v>0</v>
      </c>
      <c r="BO27" s="21" t="str">
        <f>IF(BF27&gt;0,TEXT(I27,"mmm-yyyy")&amp;" sales tax return","N/A")</f>
        <v>Jan-2025 sales tax return</v>
      </c>
      <c r="BP27" s="21" t="s">
        <v>1062</v>
      </c>
      <c r="BQ27" s="29">
        <f>J27+15</f>
        <v>45703</v>
      </c>
      <c r="BR27" s="29">
        <f>BQ27</f>
        <v>45703</v>
      </c>
      <c r="BS27" s="21" t="s">
        <v>3095</v>
      </c>
      <c r="BT27" s="21" t="s">
        <v>3411</v>
      </c>
      <c r="BU27" s="21" t="s">
        <v>844</v>
      </c>
      <c r="BV27" s="21" t="s">
        <v>846</v>
      </c>
      <c r="BW27" s="21" t="str" cm="1">
        <f t="array" ref="BW27">_xlfn.TEXTJOIN(", ",TRUE,_xlfn.UNIQUE(_xlfn._xlws.FILTER('T10'!$A$3:$A$1500,'T10'!$V$3:$V$1500=G27,"None")))</f>
        <v>PV-0009</v>
      </c>
      <c r="BX27" s="21" t="s">
        <v>3584</v>
      </c>
      <c r="BY27" s="21" t="s">
        <v>3585</v>
      </c>
    </row>
    <row r="28" spans="1:77" x14ac:dyDescent="0.3">
      <c r="A28" s="21" t="s">
        <v>3573</v>
      </c>
      <c r="B28" s="21" t="s">
        <v>3574</v>
      </c>
      <c r="C28" s="21" t="s">
        <v>3575</v>
      </c>
      <c r="D28" s="35">
        <v>45689.625</v>
      </c>
      <c r="E28" s="21" t="s">
        <v>3347</v>
      </c>
      <c r="F28" s="21" t="str">
        <f ca="1">IF(S28="Paid","Completed","Pending payment")</f>
        <v>Completed</v>
      </c>
      <c r="G28" s="21" t="s">
        <v>3576</v>
      </c>
      <c r="H28" s="21" t="s">
        <v>3399</v>
      </c>
      <c r="I28" s="29">
        <v>45688</v>
      </c>
      <c r="J28" s="29">
        <v>45688</v>
      </c>
      <c r="K28" s="21" t="str">
        <f>TEXT(I28,"mmm-yyyy")</f>
        <v>Jan-2025</v>
      </c>
      <c r="L28" s="21" t="s">
        <v>1797</v>
      </c>
      <c r="M28" s="21">
        <v>1</v>
      </c>
      <c r="N28" s="21" t="s">
        <v>743</v>
      </c>
      <c r="O28" s="21" t="s">
        <v>3400</v>
      </c>
      <c r="P28" s="21" t="s">
        <v>3401</v>
      </c>
      <c r="Q28" s="21" t="s">
        <v>844</v>
      </c>
      <c r="R28" s="21" t="s">
        <v>3577</v>
      </c>
      <c r="S28" s="21" t="str">
        <f ca="1">IF(BN28&lt;1,"Paid",IF(BM28&gt;0,"Partially paid",IF(ISNUMBER(SEARCH("hold",BU28)),"On hold",IF(BQ28&lt;TODAY(),"Overdue","Approved - unpaid"))))</f>
        <v>Paid</v>
      </c>
      <c r="T28" s="21" t="s">
        <v>3403</v>
      </c>
      <c r="U28" s="21" t="s">
        <v>3578</v>
      </c>
      <c r="V28" s="21" t="s">
        <v>1021</v>
      </c>
      <c r="W28" s="21" t="s">
        <v>746</v>
      </c>
      <c r="X28" s="21" t="s">
        <v>846</v>
      </c>
      <c r="Y28" s="21" t="s">
        <v>3579</v>
      </c>
      <c r="Z28" s="21" t="s">
        <v>3580</v>
      </c>
      <c r="AA28" s="21" t="s">
        <v>1062</v>
      </c>
      <c r="AB28" s="37">
        <v>0</v>
      </c>
      <c r="AC28" s="21" t="s">
        <v>3581</v>
      </c>
      <c r="AD28" s="21" t="s">
        <v>3586</v>
      </c>
      <c r="AE28" s="21" t="s">
        <v>3583</v>
      </c>
      <c r="AF28" s="21">
        <v>2</v>
      </c>
      <c r="AG28" s="21" t="s">
        <v>812</v>
      </c>
      <c r="AH28" s="21" t="s">
        <v>814</v>
      </c>
      <c r="AI28" s="21" t="s">
        <v>1841</v>
      </c>
      <c r="AJ28" s="37">
        <v>650</v>
      </c>
      <c r="AK28" s="37">
        <v>650</v>
      </c>
      <c r="AL28" s="37">
        <v>2385</v>
      </c>
      <c r="AM28" s="37">
        <f>AK28*AL28</f>
        <v>1550250</v>
      </c>
      <c r="AN28" s="37">
        <f>AM28</f>
        <v>1550250</v>
      </c>
      <c r="AO28" s="23">
        <f>_xlfn.XLOOKUP(AG28,'T13'!$A$3:$A$1500,'T13'!$O$3:$O$1500)</f>
        <v>0.18</v>
      </c>
      <c r="AP28" s="37">
        <f>AK28*IF(AI28="MT",1000,IF(AI28="Jumbo bag (1.5 MT)",1500,IF(AI28="Bag (40 kg)",40,50)))*3</f>
        <v>78000</v>
      </c>
      <c r="AQ28" s="37">
        <f>SUMIFS($AN$3:$AN$1500,$G$3:$G$1500,G28)</f>
        <v>9005250</v>
      </c>
      <c r="AR28" s="37">
        <f>SUMIFS($AP$3:$AP$1500,$G$3:$G$1500,G28)</f>
        <v>865500</v>
      </c>
      <c r="AS28" s="21" t="s">
        <v>3410</v>
      </c>
      <c r="AT28" s="37">
        <f>ROUND(BH28*0.05,0)</f>
        <v>574585</v>
      </c>
      <c r="AU28" s="21" t="s">
        <v>846</v>
      </c>
      <c r="AV28" s="37" cm="1">
        <f t="array" ref="AV28">SUMPRODUCT(($G$3:$G$1500=G28)*$AN$3:$AN$1500*$AO$3:$AO$1500)+AR28</f>
        <v>2486445</v>
      </c>
      <c r="AW28" s="37">
        <f>AT28</f>
        <v>574585</v>
      </c>
      <c r="AX28" s="21" t="str">
        <f>TEXT(EOMONTH(I28,0)+15,"dd-mmm-yyyy")&amp;" / "&amp;IF(BM28&gt;0,"CPR-IT-"&amp;TEXT(I28,"yymm")&amp;"-"&amp;RIGHT(G28,4),"Pending payment")</f>
        <v>15-Feb-2025 / CPR-IT-2501-0021</v>
      </c>
      <c r="AY28" s="21" t="str">
        <f>IF(BM28&gt;0,"Issued","Not yet")</f>
        <v>Issued</v>
      </c>
      <c r="AZ28" s="37">
        <v>0</v>
      </c>
      <c r="BA28" s="37">
        <v>0</v>
      </c>
      <c r="BB28" s="37">
        <v>0</v>
      </c>
      <c r="BC28" s="37">
        <v>0</v>
      </c>
      <c r="BD28" s="37">
        <v>0</v>
      </c>
      <c r="BE28" s="37">
        <f>AQ28</f>
        <v>9005250</v>
      </c>
      <c r="BF28" s="37">
        <f>AV28</f>
        <v>2486445</v>
      </c>
      <c r="BG28" s="37">
        <f>AZ28</f>
        <v>0</v>
      </c>
      <c r="BH28" s="37">
        <f>BE28+BF28+BG28</f>
        <v>11491695</v>
      </c>
      <c r="BI28" s="37">
        <f>AW28</f>
        <v>574585</v>
      </c>
      <c r="BJ28" s="37">
        <f>BA28+BB28+BC28+BD28</f>
        <v>0</v>
      </c>
      <c r="BK28" s="37">
        <f>BH28-BI28-BJ28</f>
        <v>10917110</v>
      </c>
      <c r="BL28" s="21" t="str">
        <f>"PKR "&amp;TEXT(BK28,"#,##0")&amp;" only"</f>
        <v>PKR 10,917,110 only</v>
      </c>
      <c r="BM28" s="37">
        <f>SUMIFS('T10'!$AK$3:$AK$1500,'T10'!$V$3:$V$1500,G28)</f>
        <v>10917110</v>
      </c>
      <c r="BN28" s="37">
        <f>BK28-BM28</f>
        <v>0</v>
      </c>
      <c r="BO28" s="21" t="str">
        <f>IF(BF28&gt;0,TEXT(I28,"mmm-yyyy")&amp;" sales tax return","N/A")</f>
        <v>Jan-2025 sales tax return</v>
      </c>
      <c r="BP28" s="21" t="s">
        <v>1062</v>
      </c>
      <c r="BQ28" s="29">
        <f>J28+15</f>
        <v>45703</v>
      </c>
      <c r="BR28" s="29">
        <f>BQ28</f>
        <v>45703</v>
      </c>
      <c r="BS28" s="21" t="s">
        <v>3095</v>
      </c>
      <c r="BT28" s="21" t="s">
        <v>3411</v>
      </c>
      <c r="BU28" s="21" t="s">
        <v>844</v>
      </c>
      <c r="BV28" s="21" t="s">
        <v>846</v>
      </c>
      <c r="BW28" s="21" t="str" cm="1">
        <f t="array" ref="BW28">_xlfn.TEXTJOIN(", ",TRUE,_xlfn.UNIQUE(_xlfn._xlws.FILTER('T10'!$A$3:$A$1500,'T10'!$V$3:$V$1500=G28,"None")))</f>
        <v>PV-0009</v>
      </c>
      <c r="BX28" s="21" t="s">
        <v>3584</v>
      </c>
      <c r="BY28" s="21" t="s">
        <v>3585</v>
      </c>
    </row>
    <row r="29" spans="1:77" x14ac:dyDescent="0.3">
      <c r="A29" s="21" t="s">
        <v>3489</v>
      </c>
      <c r="B29" s="21" t="s">
        <v>2061</v>
      </c>
      <c r="C29" s="21" t="s">
        <v>3587</v>
      </c>
      <c r="D29" s="35">
        <v>45690.625</v>
      </c>
      <c r="E29" s="21" t="s">
        <v>3347</v>
      </c>
      <c r="F29" s="21" t="str">
        <f ca="1">IF(S29="Paid","Completed","Pending payment")</f>
        <v>Completed</v>
      </c>
      <c r="G29" s="21" t="s">
        <v>3588</v>
      </c>
      <c r="H29" s="21" t="s">
        <v>3428</v>
      </c>
      <c r="I29" s="29">
        <v>45691</v>
      </c>
      <c r="J29" s="29">
        <v>45689</v>
      </c>
      <c r="K29" s="21" t="str">
        <f>TEXT(I29,"mmm-yyyy")</f>
        <v>Feb-2025</v>
      </c>
      <c r="L29" s="21" t="s">
        <v>1797</v>
      </c>
      <c r="M29" s="21">
        <v>1</v>
      </c>
      <c r="N29" s="21" t="s">
        <v>743</v>
      </c>
      <c r="O29" s="21" t="s">
        <v>3350</v>
      </c>
      <c r="P29" s="21" t="s">
        <v>3429</v>
      </c>
      <c r="Q29" s="21" t="s">
        <v>844</v>
      </c>
      <c r="R29" s="21" t="s">
        <v>3589</v>
      </c>
      <c r="S29" s="21" t="str">
        <f ca="1">IF(BN29&lt;1,"Paid",IF(BM29&gt;0,"Partially paid",IF(ISNUMBER(SEARCH("hold",BU29)),"On hold",IF(BQ29&lt;TODAY(),"Overdue","Approved - unpaid"))))</f>
        <v>Paid</v>
      </c>
      <c r="T29" s="21" t="s">
        <v>3431</v>
      </c>
      <c r="U29" s="21" t="s">
        <v>1213</v>
      </c>
      <c r="V29" s="21" t="s">
        <v>1194</v>
      </c>
      <c r="W29" s="21" t="s">
        <v>746</v>
      </c>
      <c r="X29" s="21" t="s">
        <v>846</v>
      </c>
      <c r="Y29" s="21" t="s">
        <v>3493</v>
      </c>
      <c r="Z29" s="21" t="s">
        <v>3494</v>
      </c>
      <c r="AA29" s="21" t="s">
        <v>1051</v>
      </c>
      <c r="AB29" s="37">
        <v>0</v>
      </c>
      <c r="AC29" s="21" t="s">
        <v>844</v>
      </c>
      <c r="AD29" s="21" t="s">
        <v>844</v>
      </c>
      <c r="AE29" s="21" t="s">
        <v>3495</v>
      </c>
      <c r="AF29" s="21">
        <v>1</v>
      </c>
      <c r="AG29" s="21" t="s">
        <v>837</v>
      </c>
      <c r="AH29" s="21" t="s">
        <v>840</v>
      </c>
      <c r="AI29" s="21" t="s">
        <v>842</v>
      </c>
      <c r="AJ29" s="37">
        <f>COUNTIFS('T14'!$AQ$3:$AQ$1500,B29,'T14'!$Z$3:$Z$1500,1,'T14'!$F$3:$F$1500,"Bag")</f>
        <v>8</v>
      </c>
      <c r="AK29" s="37">
        <f>AJ29</f>
        <v>8</v>
      </c>
      <c r="AL29" s="37">
        <v>38600</v>
      </c>
      <c r="AM29" s="37">
        <f>AK29*AL29</f>
        <v>308800</v>
      </c>
      <c r="AN29" s="37">
        <f>AM29</f>
        <v>308800</v>
      </c>
      <c r="AO29" s="23">
        <f>_xlfn.XLOOKUP(AG29,'T13'!$A$3:$A$1500,'T13'!$O$3:$O$1500)</f>
        <v>0.16</v>
      </c>
      <c r="AP29" s="37">
        <v>0</v>
      </c>
      <c r="AQ29" s="37">
        <f>SUMIFS($AN$3:$AN$1500,$G$3:$G$1500,G29)</f>
        <v>308800</v>
      </c>
      <c r="AR29" s="37">
        <f>SUMIFS($AP$3:$AP$1500,$G$3:$G$1500,G29)</f>
        <v>0</v>
      </c>
      <c r="AS29" s="21" t="s">
        <v>3444</v>
      </c>
      <c r="AT29" s="37">
        <f>ROUND(BH29*0.04,0)</f>
        <v>14688</v>
      </c>
      <c r="AU29" s="21" t="s">
        <v>846</v>
      </c>
      <c r="AV29" s="37" cm="1">
        <f t="array" ref="AV29">SUMPRODUCT(($G$3:$G$1500=G29)*$AN$3:$AN$1500*$AO$3:$AO$1500)+AR29</f>
        <v>49408</v>
      </c>
      <c r="AW29" s="37">
        <f>AT29</f>
        <v>14688</v>
      </c>
      <c r="AX29" s="21" t="str">
        <f>TEXT(EOMONTH(I29,0)+15,"dd-mmm-yyyy")&amp;" / "&amp;IF(BM29&gt;0,"CPR-IT-"&amp;TEXT(I29,"yymm")&amp;"-"&amp;RIGHT(G29,4),"Pending payment")</f>
        <v>15-Mar-2025 / CPR-IT-2502-0022</v>
      </c>
      <c r="AY29" s="21" t="str">
        <f>IF(BM29&gt;0,"Issued","Not yet")</f>
        <v>Issued</v>
      </c>
      <c r="AZ29" s="37">
        <v>9000</v>
      </c>
      <c r="BA29" s="37">
        <v>0</v>
      </c>
      <c r="BB29" s="37">
        <v>0</v>
      </c>
      <c r="BC29" s="37">
        <v>0</v>
      </c>
      <c r="BD29" s="37">
        <v>0</v>
      </c>
      <c r="BE29" s="37">
        <f>AQ29</f>
        <v>308800</v>
      </c>
      <c r="BF29" s="37">
        <f>AV29</f>
        <v>49408</v>
      </c>
      <c r="BG29" s="37">
        <f>AZ29</f>
        <v>9000</v>
      </c>
      <c r="BH29" s="37">
        <f>BE29+BF29+BG29</f>
        <v>367208</v>
      </c>
      <c r="BI29" s="37">
        <f>AW29</f>
        <v>14688</v>
      </c>
      <c r="BJ29" s="37">
        <f>BA29+BB29+BC29+BD29</f>
        <v>0</v>
      </c>
      <c r="BK29" s="37">
        <f>BH29-BI29-BJ29</f>
        <v>352520</v>
      </c>
      <c r="BL29" s="21" t="str">
        <f>"PKR "&amp;TEXT(BK29,"#,##0")&amp;" only"</f>
        <v>PKR 352,520 only</v>
      </c>
      <c r="BM29" s="37">
        <f>SUMIFS('T10'!$AK$3:$AK$1500,'T10'!$V$3:$V$1500,G29)</f>
        <v>352520</v>
      </c>
      <c r="BN29" s="37">
        <f>BK29-BM29</f>
        <v>0</v>
      </c>
      <c r="BO29" s="21" t="str">
        <f>IF(BF29&gt;0,TEXT(I29,"mmm-yyyy")&amp;" sales tax return","N/A")</f>
        <v>Feb-2025 sales tax return</v>
      </c>
      <c r="BP29" s="21" t="s">
        <v>1051</v>
      </c>
      <c r="BQ29" s="29">
        <f>J29+30</f>
        <v>45719</v>
      </c>
      <c r="BR29" s="29">
        <f>BQ29</f>
        <v>45719</v>
      </c>
      <c r="BS29" s="21" t="s">
        <v>3095</v>
      </c>
      <c r="BT29" s="21" t="s">
        <v>3360</v>
      </c>
      <c r="BU29" s="21" t="s">
        <v>844</v>
      </c>
      <c r="BV29" s="21" t="s">
        <v>846</v>
      </c>
      <c r="BW29" s="21" t="str" cm="1">
        <f t="array" ref="BW29">_xlfn.TEXTJOIN(", ",TRUE,_xlfn.UNIQUE(_xlfn._xlws.FILTER('T10'!$A$3:$A$1500,'T10'!$V$3:$V$1500=G29,"None")))</f>
        <v>PV-0005</v>
      </c>
      <c r="BX29" s="21" t="s">
        <v>3590</v>
      </c>
      <c r="BY29" s="21" t="s">
        <v>3591</v>
      </c>
    </row>
    <row r="30" spans="1:77" x14ac:dyDescent="0.3">
      <c r="A30" s="21" t="s">
        <v>3438</v>
      </c>
      <c r="B30" s="21" t="s">
        <v>2084</v>
      </c>
      <c r="C30" s="21" t="s">
        <v>3592</v>
      </c>
      <c r="D30" s="35">
        <v>45690.666666666664</v>
      </c>
      <c r="E30" s="21" t="s">
        <v>3347</v>
      </c>
      <c r="F30" s="21" t="str">
        <f ca="1">IF(S30="Paid","Completed","Pending payment")</f>
        <v>Completed</v>
      </c>
      <c r="G30" s="21" t="s">
        <v>3593</v>
      </c>
      <c r="H30" s="21" t="s">
        <v>3428</v>
      </c>
      <c r="I30" s="29">
        <v>45691</v>
      </c>
      <c r="J30" s="29">
        <v>45689</v>
      </c>
      <c r="K30" s="21" t="str">
        <f>TEXT(I30,"mmm-yyyy")</f>
        <v>Feb-2025</v>
      </c>
      <c r="L30" s="21" t="s">
        <v>1797</v>
      </c>
      <c r="M30" s="21">
        <v>1</v>
      </c>
      <c r="N30" s="21" t="s">
        <v>743</v>
      </c>
      <c r="O30" s="21" t="s">
        <v>3350</v>
      </c>
      <c r="P30" s="21" t="s">
        <v>3429</v>
      </c>
      <c r="Q30" s="21" t="s">
        <v>844</v>
      </c>
      <c r="R30" s="21" t="s">
        <v>3589</v>
      </c>
      <c r="S30" s="21" t="str">
        <f ca="1">IF(BN30&lt;1,"Paid",IF(BM30&gt;0,"Partially paid",IF(ISNUMBER(SEARCH("hold",BU30)),"On hold",IF(BQ30&lt;TODAY(),"Overdue","Approved - unpaid"))))</f>
        <v>Paid</v>
      </c>
      <c r="T30" s="21" t="s">
        <v>3431</v>
      </c>
      <c r="U30" s="21" t="s">
        <v>1278</v>
      </c>
      <c r="V30" s="21" t="s">
        <v>1200</v>
      </c>
      <c r="W30" s="21" t="s">
        <v>746</v>
      </c>
      <c r="X30" s="21" t="s">
        <v>846</v>
      </c>
      <c r="Y30" s="21" t="s">
        <v>3441</v>
      </c>
      <c r="Z30" s="21" t="s">
        <v>3442</v>
      </c>
      <c r="AA30" s="21" t="s">
        <v>1051</v>
      </c>
      <c r="AB30" s="37">
        <v>0</v>
      </c>
      <c r="AC30" s="21" t="s">
        <v>844</v>
      </c>
      <c r="AD30" s="21" t="s">
        <v>844</v>
      </c>
      <c r="AE30" s="21" t="s">
        <v>3443</v>
      </c>
      <c r="AF30" s="21">
        <v>1</v>
      </c>
      <c r="AG30" s="21" t="s">
        <v>837</v>
      </c>
      <c r="AH30" s="21" t="s">
        <v>840</v>
      </c>
      <c r="AI30" s="21" t="s">
        <v>842</v>
      </c>
      <c r="AJ30" s="37">
        <f>COUNTIFS('T14'!$AQ$3:$AQ$1500,B30,'T14'!$Z$3:$Z$1500,1,'T14'!$F$3:$F$1500,"Bag")</f>
        <v>3</v>
      </c>
      <c r="AK30" s="37">
        <f>AJ30</f>
        <v>3</v>
      </c>
      <c r="AL30" s="37">
        <v>38600</v>
      </c>
      <c r="AM30" s="37">
        <f>AK30*AL30</f>
        <v>115800</v>
      </c>
      <c r="AN30" s="37">
        <f>AM30</f>
        <v>115800</v>
      </c>
      <c r="AO30" s="23">
        <f>_xlfn.XLOOKUP(AG30,'T13'!$A$3:$A$1500,'T13'!$O$3:$O$1500)</f>
        <v>0.16</v>
      </c>
      <c r="AP30" s="37">
        <v>0</v>
      </c>
      <c r="AQ30" s="37">
        <f>SUMIFS($AN$3:$AN$1500,$G$3:$G$1500,G30)</f>
        <v>115800</v>
      </c>
      <c r="AR30" s="37">
        <f>SUMIFS($AP$3:$AP$1500,$G$3:$G$1500,G30)</f>
        <v>0</v>
      </c>
      <c r="AS30" s="21" t="s">
        <v>3444</v>
      </c>
      <c r="AT30" s="37">
        <f>ROUND(BH30*0.04,0)</f>
        <v>5373</v>
      </c>
      <c r="AU30" s="21" t="s">
        <v>846</v>
      </c>
      <c r="AV30" s="37" cm="1">
        <f t="array" ref="AV30">SUMPRODUCT(($G$3:$G$1500=G30)*$AN$3:$AN$1500*$AO$3:$AO$1500)+AR30</f>
        <v>18528</v>
      </c>
      <c r="AW30" s="37">
        <f>AT30</f>
        <v>5373</v>
      </c>
      <c r="AX30" s="21" t="str">
        <f>TEXT(EOMONTH(I30,0)+15,"dd-mmm-yyyy")&amp;" / "&amp;IF(BM30&gt;0,"CPR-IT-"&amp;TEXT(I30,"yymm")&amp;"-"&amp;RIGHT(G30,4),"Pending payment")</f>
        <v>15-Mar-2025 / CPR-IT-2502-0023</v>
      </c>
      <c r="AY30" s="21" t="str">
        <f>IF(BM30&gt;0,"Issued","Not yet")</f>
        <v>Issued</v>
      </c>
      <c r="AZ30" s="37">
        <v>0</v>
      </c>
      <c r="BA30" s="37">
        <v>5000</v>
      </c>
      <c r="BB30" s="37">
        <v>0</v>
      </c>
      <c r="BC30" s="37">
        <v>0</v>
      </c>
      <c r="BD30" s="37">
        <v>0</v>
      </c>
      <c r="BE30" s="37">
        <f>AQ30</f>
        <v>115800</v>
      </c>
      <c r="BF30" s="37">
        <f>AV30</f>
        <v>18528</v>
      </c>
      <c r="BG30" s="37">
        <f>AZ30</f>
        <v>0</v>
      </c>
      <c r="BH30" s="37">
        <f>BE30+BF30+BG30</f>
        <v>134328</v>
      </c>
      <c r="BI30" s="37">
        <f>AW30</f>
        <v>5373</v>
      </c>
      <c r="BJ30" s="37">
        <f>BA30+BB30+BC30+BD30</f>
        <v>5000</v>
      </c>
      <c r="BK30" s="37">
        <f>BH30-BI30-BJ30</f>
        <v>123955</v>
      </c>
      <c r="BL30" s="21" t="str">
        <f>"PKR "&amp;TEXT(BK30,"#,##0")&amp;" only"</f>
        <v>PKR 123,955 only</v>
      </c>
      <c r="BM30" s="37">
        <f>SUMIFS('T10'!$AK$3:$AK$1500,'T10'!$V$3:$V$1500,G30)</f>
        <v>123955</v>
      </c>
      <c r="BN30" s="37">
        <f>BK30-BM30</f>
        <v>0</v>
      </c>
      <c r="BO30" s="21" t="str">
        <f>IF(BF30&gt;0,TEXT(I30,"mmm-yyyy")&amp;" sales tax return","N/A")</f>
        <v>Feb-2025 sales tax return</v>
      </c>
      <c r="BP30" s="21" t="s">
        <v>1051</v>
      </c>
      <c r="BQ30" s="29">
        <f>J30+30</f>
        <v>45719</v>
      </c>
      <c r="BR30" s="29">
        <f>BQ30</f>
        <v>45719</v>
      </c>
      <c r="BS30" s="21" t="s">
        <v>3095</v>
      </c>
      <c r="BT30" s="21" t="s">
        <v>3360</v>
      </c>
      <c r="BU30" s="21" t="s">
        <v>844</v>
      </c>
      <c r="BV30" s="21" t="s">
        <v>846</v>
      </c>
      <c r="BW30" s="21" t="str" cm="1">
        <f t="array" ref="BW30">_xlfn.TEXTJOIN(", ",TRUE,_xlfn.UNIQUE(_xlfn._xlws.FILTER('T10'!$A$3:$A$1500,'T10'!$V$3:$V$1500=G30,"None")))</f>
        <v>PV-0003</v>
      </c>
      <c r="BX30" s="21" t="s">
        <v>3590</v>
      </c>
      <c r="BY30" s="21" t="s">
        <v>3591</v>
      </c>
    </row>
    <row r="31" spans="1:77" x14ac:dyDescent="0.3">
      <c r="A31" s="21" t="s">
        <v>3381</v>
      </c>
      <c r="B31" s="21" t="s">
        <v>3594</v>
      </c>
      <c r="C31" s="21" t="s">
        <v>3595</v>
      </c>
      <c r="D31" s="35">
        <v>45701.583333333336</v>
      </c>
      <c r="E31" s="21" t="s">
        <v>3347</v>
      </c>
      <c r="F31" s="21" t="str">
        <f ca="1">IF(S31="Paid","Completed","Pending payment")</f>
        <v>Completed</v>
      </c>
      <c r="G31" s="21" t="s">
        <v>3596</v>
      </c>
      <c r="H31" s="21" t="s">
        <v>3385</v>
      </c>
      <c r="I31" s="29">
        <v>45701</v>
      </c>
      <c r="J31" s="29">
        <v>45699</v>
      </c>
      <c r="K31" s="21" t="str">
        <f>TEXT(I31,"mmm-yyyy")</f>
        <v>Feb-2025</v>
      </c>
      <c r="L31" s="21" t="s">
        <v>1797</v>
      </c>
      <c r="M31" s="21">
        <v>1</v>
      </c>
      <c r="N31" s="21" t="s">
        <v>743</v>
      </c>
      <c r="O31" s="21" t="s">
        <v>3350</v>
      </c>
      <c r="P31" s="21" t="s">
        <v>3351</v>
      </c>
      <c r="Q31" s="21" t="s">
        <v>844</v>
      </c>
      <c r="R31" s="21" t="s">
        <v>3597</v>
      </c>
      <c r="S31" s="21" t="str">
        <f ca="1">IF(BN31&lt;1,"Paid",IF(BM31&gt;0,"Partially paid",IF(ISNUMBER(SEARCH("hold",BU31)),"On hold",IF(BQ31&lt;TODAY(),"Overdue","Approved - unpaid"))))</f>
        <v>Paid</v>
      </c>
      <c r="T31" s="21" t="s">
        <v>3387</v>
      </c>
      <c r="U31" s="21" t="s">
        <v>3388</v>
      </c>
      <c r="V31" s="21" t="s">
        <v>3389</v>
      </c>
      <c r="W31" s="21" t="s">
        <v>746</v>
      </c>
      <c r="X31" s="21" t="s">
        <v>846</v>
      </c>
      <c r="Y31" s="21" t="s">
        <v>3390</v>
      </c>
      <c r="Z31" s="21" t="s">
        <v>3391</v>
      </c>
      <c r="AA31" s="21" t="s">
        <v>1051</v>
      </c>
      <c r="AB31" s="37">
        <v>0</v>
      </c>
      <c r="AC31" s="21" t="s">
        <v>844</v>
      </c>
      <c r="AD31" s="21" t="s">
        <v>844</v>
      </c>
      <c r="AE31" s="21" t="s">
        <v>844</v>
      </c>
      <c r="AF31" s="21">
        <v>1</v>
      </c>
      <c r="AG31" s="21" t="s">
        <v>959</v>
      </c>
      <c r="AH31" s="21" t="s">
        <v>961</v>
      </c>
      <c r="AI31" s="21" t="s">
        <v>905</v>
      </c>
      <c r="AJ31" s="37">
        <v>1</v>
      </c>
      <c r="AK31" s="37">
        <v>1</v>
      </c>
      <c r="AL31" s="37">
        <v>182880</v>
      </c>
      <c r="AM31" s="37">
        <f>AK31*AL31</f>
        <v>182880</v>
      </c>
      <c r="AN31" s="37">
        <f>AM31</f>
        <v>182880</v>
      </c>
      <c r="AO31" s="23">
        <f>_xlfn.XLOOKUP(AG31,'T13'!$A$3:$A$1500,'T13'!$O$3:$O$1500)</f>
        <v>0.16</v>
      </c>
      <c r="AP31" s="37">
        <v>0</v>
      </c>
      <c r="AQ31" s="37">
        <f>SUMIFS($AN$3:$AN$1500,$G$3:$G$1500,G31)</f>
        <v>182880</v>
      </c>
      <c r="AR31" s="37">
        <f>SUMIFS($AP$3:$AP$1500,$G$3:$G$1500,G31)</f>
        <v>0</v>
      </c>
      <c r="AS31" s="21" t="s">
        <v>3392</v>
      </c>
      <c r="AT31" s="37">
        <f>ROUND(BH31*0.11,0)</f>
        <v>23335</v>
      </c>
      <c r="AU31" s="21" t="s">
        <v>846</v>
      </c>
      <c r="AV31" s="37" cm="1">
        <f t="array" ref="AV31">SUMPRODUCT(($G$3:$G$1500=G31)*$AN$3:$AN$1500*$AO$3:$AO$1500)+AR31</f>
        <v>29260.799999999999</v>
      </c>
      <c r="AW31" s="37">
        <f>AT31</f>
        <v>23335</v>
      </c>
      <c r="AX31" s="21" t="str">
        <f>TEXT(EOMONTH(I31,0)+15,"dd-mmm-yyyy")&amp;" / "&amp;IF(BM31&gt;0,"CPR-IT-"&amp;TEXT(I31,"yymm")&amp;"-"&amp;RIGHT(G31,4),"Pending payment")</f>
        <v>15-Mar-2025 / CPR-IT-2502-0024</v>
      </c>
      <c r="AY31" s="21" t="str">
        <f>IF(BM31&gt;0,"Issued","Not yet")</f>
        <v>Issued</v>
      </c>
      <c r="AZ31" s="37">
        <v>0</v>
      </c>
      <c r="BA31" s="37">
        <v>0</v>
      </c>
      <c r="BB31" s="37">
        <v>0</v>
      </c>
      <c r="BC31" s="37">
        <v>0</v>
      </c>
      <c r="BD31" s="37">
        <v>0</v>
      </c>
      <c r="BE31" s="37">
        <f>AQ31</f>
        <v>182880</v>
      </c>
      <c r="BF31" s="37">
        <f>AV31</f>
        <v>29260.799999999999</v>
      </c>
      <c r="BG31" s="37">
        <f>AZ31</f>
        <v>0</v>
      </c>
      <c r="BH31" s="37">
        <f>BE31+BF31+BG31</f>
        <v>212140.79999999999</v>
      </c>
      <c r="BI31" s="37">
        <f>AW31</f>
        <v>23335</v>
      </c>
      <c r="BJ31" s="37">
        <f>BA31+BB31+BC31+BD31</f>
        <v>0</v>
      </c>
      <c r="BK31" s="37">
        <f>BH31-BI31-BJ31</f>
        <v>188805.8</v>
      </c>
      <c r="BL31" s="21" t="str">
        <f>"PKR "&amp;TEXT(BK31,"#,##0")&amp;" only"</f>
        <v>PKR 188,806 only</v>
      </c>
      <c r="BM31" s="37">
        <f>SUMIFS('T10'!$AK$3:$AK$1500,'T10'!$V$3:$V$1500,G31)</f>
        <v>188805.8</v>
      </c>
      <c r="BN31" s="37">
        <f>BK31-BM31</f>
        <v>0</v>
      </c>
      <c r="BO31" s="21" t="str">
        <f>IF(BF31&gt;0,TEXT(I31,"mmm-yyyy")&amp;" sales tax return","N/A")</f>
        <v>Feb-2025 sales tax return</v>
      </c>
      <c r="BP31" s="21" t="s">
        <v>1051</v>
      </c>
      <c r="BQ31" s="29">
        <f>J31+30</f>
        <v>45729</v>
      </c>
      <c r="BR31" s="29">
        <f>BQ31</f>
        <v>45729</v>
      </c>
      <c r="BS31" s="21" t="s">
        <v>3095</v>
      </c>
      <c r="BT31" s="21" t="s">
        <v>3360</v>
      </c>
      <c r="BU31" s="21" t="s">
        <v>844</v>
      </c>
      <c r="BV31" s="21" t="s">
        <v>846</v>
      </c>
      <c r="BW31" s="21" t="str" cm="1">
        <f t="array" ref="BW31">_xlfn.TEXTJOIN(", ",TRUE,_xlfn.UNIQUE(_xlfn._xlws.FILTER('T10'!$A$3:$A$1500,'T10'!$V$3:$V$1500=G31,"None")))</f>
        <v>PV-0007</v>
      </c>
      <c r="BX31" s="21" t="s">
        <v>3598</v>
      </c>
      <c r="BY31" s="21" t="s">
        <v>3599</v>
      </c>
    </row>
    <row r="32" spans="1:77" x14ac:dyDescent="0.3">
      <c r="A32" s="21" t="s">
        <v>3445</v>
      </c>
      <c r="B32" s="21" t="s">
        <v>3600</v>
      </c>
      <c r="C32" s="21" t="s">
        <v>3601</v>
      </c>
      <c r="D32" s="35">
        <v>45704.416666666664</v>
      </c>
      <c r="E32" s="21" t="s">
        <v>3347</v>
      </c>
      <c r="F32" s="21" t="str">
        <f ca="1">IF(S32="Paid","Completed","Pending payment")</f>
        <v>Completed</v>
      </c>
      <c r="G32" s="21" t="s">
        <v>3602</v>
      </c>
      <c r="H32" s="21" t="s">
        <v>3349</v>
      </c>
      <c r="I32" s="29">
        <v>45704</v>
      </c>
      <c r="J32" s="29">
        <v>45702</v>
      </c>
      <c r="K32" s="21" t="str">
        <f>TEXT(I32,"mmm-yyyy")</f>
        <v>Feb-2025</v>
      </c>
      <c r="L32" s="21" t="s">
        <v>1797</v>
      </c>
      <c r="M32" s="21">
        <v>1</v>
      </c>
      <c r="N32" s="21" t="s">
        <v>743</v>
      </c>
      <c r="O32" s="21" t="s">
        <v>3350</v>
      </c>
      <c r="P32" s="21" t="s">
        <v>3351</v>
      </c>
      <c r="Q32" s="21" t="s">
        <v>844</v>
      </c>
      <c r="R32" s="21" t="s">
        <v>3603</v>
      </c>
      <c r="S32" s="21" t="str">
        <f ca="1">IF(BN32&lt;1,"Paid",IF(BM32&gt;0,"Partially paid",IF(ISNUMBER(SEARCH("hold",BU32)),"On hold",IF(BQ32&lt;TODAY(),"Overdue","Approved - unpaid"))))</f>
        <v>Paid</v>
      </c>
      <c r="T32" s="21" t="s">
        <v>3353</v>
      </c>
      <c r="U32" s="21" t="s">
        <v>3450</v>
      </c>
      <c r="V32" s="21" t="s">
        <v>3451</v>
      </c>
      <c r="W32" s="21" t="s">
        <v>746</v>
      </c>
      <c r="X32" s="21" t="s">
        <v>846</v>
      </c>
      <c r="Y32" s="21" t="s">
        <v>3452</v>
      </c>
      <c r="Z32" s="21" t="s">
        <v>3453</v>
      </c>
      <c r="AA32" s="21" t="s">
        <v>1062</v>
      </c>
      <c r="AB32" s="37">
        <v>0</v>
      </c>
      <c r="AC32" s="21" t="s">
        <v>844</v>
      </c>
      <c r="AD32" s="21" t="s">
        <v>844</v>
      </c>
      <c r="AE32" s="21" t="s">
        <v>844</v>
      </c>
      <c r="AF32" s="21">
        <v>1</v>
      </c>
      <c r="AG32" s="21" t="s">
        <v>919</v>
      </c>
      <c r="AH32" s="21" t="s">
        <v>921</v>
      </c>
      <c r="AI32" s="21" t="s">
        <v>905</v>
      </c>
      <c r="AJ32" s="37">
        <v>1</v>
      </c>
      <c r="AK32" s="37">
        <v>1</v>
      </c>
      <c r="AL32" s="37">
        <v>25400</v>
      </c>
      <c r="AM32" s="37">
        <f>AK32*AL32</f>
        <v>25400</v>
      </c>
      <c r="AN32" s="37">
        <f>AM32</f>
        <v>25400</v>
      </c>
      <c r="AO32" s="23">
        <f>_xlfn.XLOOKUP(AG32,'T13'!$A$3:$A$1500,'T13'!$O$3:$O$1500)</f>
        <v>0.16</v>
      </c>
      <c r="AP32" s="37">
        <v>0</v>
      </c>
      <c r="AQ32" s="37">
        <f>SUMIFS($AN$3:$AN$1500,$G$3:$G$1500,G32)</f>
        <v>25400</v>
      </c>
      <c r="AR32" s="37">
        <f>SUMIFS($AP$3:$AP$1500,$G$3:$G$1500,G32)</f>
        <v>0</v>
      </c>
      <c r="AS32" s="21" t="s">
        <v>3359</v>
      </c>
      <c r="AT32" s="37">
        <f>ROUND(BH32*0,0)</f>
        <v>0</v>
      </c>
      <c r="AU32" s="21" t="s">
        <v>846</v>
      </c>
      <c r="AV32" s="37" cm="1">
        <f t="array" ref="AV32">SUMPRODUCT(($G$3:$G$1500=G32)*$AN$3:$AN$1500*$AO$3:$AO$1500)+AR32</f>
        <v>4064</v>
      </c>
      <c r="AW32" s="37">
        <f>AT32</f>
        <v>0</v>
      </c>
      <c r="AX32" s="21" t="str">
        <f>TEXT(EOMONTH(I32,0)+15,"dd-mmm-yyyy")&amp;" / "&amp;IF(BM32&gt;0,"CPR-IT-"&amp;TEXT(I32,"yymm")&amp;"-"&amp;RIGHT(G32,4),"Pending payment")</f>
        <v>15-Mar-2025 / CPR-IT-2502-0025</v>
      </c>
      <c r="AY32" s="21" t="str">
        <f>IF(BM32&gt;0,"Issued","Not yet")</f>
        <v>Issued</v>
      </c>
      <c r="AZ32" s="37">
        <v>0</v>
      </c>
      <c r="BA32" s="37">
        <v>0</v>
      </c>
      <c r="BB32" s="37">
        <v>0</v>
      </c>
      <c r="BC32" s="37">
        <v>0</v>
      </c>
      <c r="BD32" s="37">
        <v>0</v>
      </c>
      <c r="BE32" s="37">
        <f>AQ32</f>
        <v>25400</v>
      </c>
      <c r="BF32" s="37">
        <f>AV32</f>
        <v>4064</v>
      </c>
      <c r="BG32" s="37">
        <f>AZ32</f>
        <v>0</v>
      </c>
      <c r="BH32" s="37">
        <f>BE32+BF32+BG32</f>
        <v>29464</v>
      </c>
      <c r="BI32" s="37">
        <f>AW32</f>
        <v>0</v>
      </c>
      <c r="BJ32" s="37">
        <f>BA32+BB32+BC32+BD32</f>
        <v>0</v>
      </c>
      <c r="BK32" s="37">
        <f>BH32-BI32-BJ32</f>
        <v>29464</v>
      </c>
      <c r="BL32" s="21" t="str">
        <f>"PKR "&amp;TEXT(BK32,"#,##0")&amp;" only"</f>
        <v>PKR 29,464 only</v>
      </c>
      <c r="BM32" s="37">
        <f>SUMIFS('T10'!$AK$3:$AK$1500,'T10'!$V$3:$V$1500,G32)</f>
        <v>29464</v>
      </c>
      <c r="BN32" s="37">
        <f>BK32-BM32</f>
        <v>0</v>
      </c>
      <c r="BO32" s="21" t="str">
        <f>IF(BF32&gt;0,TEXT(I32,"mmm-yyyy")&amp;" sales tax return","N/A")</f>
        <v>Feb-2025 sales tax return</v>
      </c>
      <c r="BP32" s="21" t="s">
        <v>1062</v>
      </c>
      <c r="BQ32" s="29">
        <f>J32+15</f>
        <v>45717</v>
      </c>
      <c r="BR32" s="29">
        <f>BQ32</f>
        <v>45717</v>
      </c>
      <c r="BS32" s="21" t="s">
        <v>3095</v>
      </c>
      <c r="BT32" s="21" t="s">
        <v>3360</v>
      </c>
      <c r="BU32" s="21" t="s">
        <v>844</v>
      </c>
      <c r="BV32" s="21" t="s">
        <v>846</v>
      </c>
      <c r="BW32" s="21" t="str" cm="1">
        <f t="array" ref="BW32">_xlfn.TEXTJOIN(", ",TRUE,_xlfn.UNIQUE(_xlfn._xlws.FILTER('T10'!$A$3:$A$1500,'T10'!$V$3:$V$1500=G32,"None")))</f>
        <v>PV-0010</v>
      </c>
      <c r="BX32" s="21" t="s">
        <v>3604</v>
      </c>
      <c r="BY32" s="21" t="s">
        <v>3605</v>
      </c>
    </row>
    <row r="33" spans="1:77" x14ac:dyDescent="0.3">
      <c r="A33" s="21" t="s">
        <v>3363</v>
      </c>
      <c r="B33" s="21" t="s">
        <v>3606</v>
      </c>
      <c r="C33" s="21" t="s">
        <v>3607</v>
      </c>
      <c r="D33" s="35">
        <v>45710.458333333336</v>
      </c>
      <c r="E33" s="21" t="s">
        <v>3347</v>
      </c>
      <c r="F33" s="21" t="str">
        <f ca="1">IF(S33="Paid","Completed","Pending payment")</f>
        <v>Completed</v>
      </c>
      <c r="G33" s="21" t="s">
        <v>3608</v>
      </c>
      <c r="H33" s="21" t="s">
        <v>3367</v>
      </c>
      <c r="I33" s="29">
        <v>45710</v>
      </c>
      <c r="J33" s="29">
        <v>45708</v>
      </c>
      <c r="K33" s="21" t="str">
        <f>TEXT(I33,"mmm-yyyy")</f>
        <v>Feb-2025</v>
      </c>
      <c r="L33" s="21" t="s">
        <v>1797</v>
      </c>
      <c r="M33" s="21">
        <v>1</v>
      </c>
      <c r="N33" s="21" t="s">
        <v>743</v>
      </c>
      <c r="O33" s="21" t="s">
        <v>3368</v>
      </c>
      <c r="P33" s="21" t="s">
        <v>3369</v>
      </c>
      <c r="Q33" s="21" t="s">
        <v>844</v>
      </c>
      <c r="R33" s="21" t="s">
        <v>3609</v>
      </c>
      <c r="S33" s="21" t="str">
        <f ca="1">IF(BN33&lt;1,"Paid",IF(BM33&gt;0,"Partially paid",IF(ISNUMBER(SEARCH("hold",BU33)),"On hold",IF(BQ33&lt;TODAY(),"Overdue","Approved - unpaid"))))</f>
        <v>Paid</v>
      </c>
      <c r="T33" s="21" t="s">
        <v>3371</v>
      </c>
      <c r="U33" s="21" t="s">
        <v>3372</v>
      </c>
      <c r="V33" s="21" t="s">
        <v>3373</v>
      </c>
      <c r="W33" s="21" t="s">
        <v>746</v>
      </c>
      <c r="X33" s="21" t="s">
        <v>846</v>
      </c>
      <c r="Y33" s="21" t="s">
        <v>3374</v>
      </c>
      <c r="Z33" s="21" t="s">
        <v>3375</v>
      </c>
      <c r="AA33" s="21" t="s">
        <v>3376</v>
      </c>
      <c r="AB33" s="37">
        <v>0</v>
      </c>
      <c r="AC33" s="21" t="s">
        <v>844</v>
      </c>
      <c r="AD33" s="21" t="s">
        <v>844</v>
      </c>
      <c r="AE33" s="21" t="s">
        <v>3377</v>
      </c>
      <c r="AF33" s="21">
        <v>1</v>
      </c>
      <c r="AG33" s="21" t="s">
        <v>902</v>
      </c>
      <c r="AH33" s="21" t="s">
        <v>904</v>
      </c>
      <c r="AI33" s="21" t="s">
        <v>905</v>
      </c>
      <c r="AJ33" s="37">
        <v>3</v>
      </c>
      <c r="AK33" s="37">
        <v>3</v>
      </c>
      <c r="AL33" s="37">
        <v>355600</v>
      </c>
      <c r="AM33" s="37">
        <f>AK33*AL33</f>
        <v>1066800</v>
      </c>
      <c r="AN33" s="37">
        <f>AM33</f>
        <v>1066800</v>
      </c>
      <c r="AO33" s="23">
        <f>_xlfn.XLOOKUP(AG33,'T13'!$A$3:$A$1500,'T13'!$O$3:$O$1500)</f>
        <v>0</v>
      </c>
      <c r="AP33" s="37">
        <v>0</v>
      </c>
      <c r="AQ33" s="37">
        <f>SUMIFS($AN$3:$AN$1500,$G$3:$G$1500,G33)</f>
        <v>1066800</v>
      </c>
      <c r="AR33" s="37">
        <f>SUMIFS($AP$3:$AP$1500,$G$3:$G$1500,G33)</f>
        <v>0</v>
      </c>
      <c r="AS33" s="21" t="s">
        <v>3378</v>
      </c>
      <c r="AT33" s="37">
        <f>ROUND(BH33*0.15,0)</f>
        <v>160020</v>
      </c>
      <c r="AU33" s="21" t="s">
        <v>846</v>
      </c>
      <c r="AV33" s="37" cm="1">
        <f t="array" ref="AV33">SUMPRODUCT(($G$3:$G$1500=G33)*$AN$3:$AN$1500*$AO$3:$AO$1500)+AR33</f>
        <v>0</v>
      </c>
      <c r="AW33" s="37">
        <f>AT33</f>
        <v>160020</v>
      </c>
      <c r="AX33" s="21" t="str">
        <f>TEXT(EOMONTH(I33,0)+15,"dd-mmm-yyyy")&amp;" / "&amp;IF(BM33&gt;0,"CPR-IT-"&amp;TEXT(I33,"yymm")&amp;"-"&amp;RIGHT(G33,4),"Pending payment")</f>
        <v>15-Mar-2025 / CPR-IT-2502-0026</v>
      </c>
      <c r="AY33" s="21" t="str">
        <f>IF(BM33&gt;0,"Issued","Not yet")</f>
        <v>Issued</v>
      </c>
      <c r="AZ33" s="37">
        <v>0</v>
      </c>
      <c r="BA33" s="37">
        <v>0</v>
      </c>
      <c r="BB33" s="37">
        <v>0</v>
      </c>
      <c r="BC33" s="37">
        <v>0</v>
      </c>
      <c r="BD33" s="37">
        <v>0</v>
      </c>
      <c r="BE33" s="37">
        <f>AQ33</f>
        <v>1066800</v>
      </c>
      <c r="BF33" s="37">
        <f>AV33</f>
        <v>0</v>
      </c>
      <c r="BG33" s="37">
        <f>AZ33</f>
        <v>0</v>
      </c>
      <c r="BH33" s="37">
        <f>BE33+BF33+BG33</f>
        <v>1066800</v>
      </c>
      <c r="BI33" s="37">
        <f>AW33</f>
        <v>160020</v>
      </c>
      <c r="BJ33" s="37">
        <f>BA33+BB33+BC33+BD33</f>
        <v>0</v>
      </c>
      <c r="BK33" s="37">
        <f>BH33-BI33-BJ33</f>
        <v>906780</v>
      </c>
      <c r="BL33" s="21" t="str">
        <f>"PKR "&amp;TEXT(BK33,"#,##0")&amp;" only"</f>
        <v>PKR 906,780 only</v>
      </c>
      <c r="BM33" s="37">
        <f>SUMIFS('T10'!$AK$3:$AK$1500,'T10'!$V$3:$V$1500,G33)</f>
        <v>906780</v>
      </c>
      <c r="BN33" s="37">
        <f>BK33-BM33</f>
        <v>0</v>
      </c>
      <c r="BO33" s="21" t="str">
        <f>IF(BF33&gt;0,TEXT(I33,"mmm-yyyy")&amp;" sales tax return","N/A")</f>
        <v>N/A</v>
      </c>
      <c r="BP33" s="21" t="s">
        <v>3376</v>
      </c>
      <c r="BQ33" s="29">
        <f>J33+7</f>
        <v>45715</v>
      </c>
      <c r="BR33" s="29">
        <f>BQ33</f>
        <v>45715</v>
      </c>
      <c r="BS33" s="21" t="s">
        <v>3095</v>
      </c>
      <c r="BT33" s="21" t="s">
        <v>3360</v>
      </c>
      <c r="BU33" s="21" t="s">
        <v>844</v>
      </c>
      <c r="BV33" s="21" t="s">
        <v>846</v>
      </c>
      <c r="BW33" s="21" t="str" cm="1">
        <f t="array" ref="BW33">_xlfn.TEXTJOIN(", ",TRUE,_xlfn.UNIQUE(_xlfn._xlws.FILTER('T10'!$A$3:$A$1500,'T10'!$V$3:$V$1500=G33,"None")))</f>
        <v>PV-0025</v>
      </c>
      <c r="BX33" s="21" t="s">
        <v>3610</v>
      </c>
      <c r="BY33" s="21" t="s">
        <v>3611</v>
      </c>
    </row>
    <row r="34" spans="1:77" x14ac:dyDescent="0.3">
      <c r="A34" s="21" t="s">
        <v>3395</v>
      </c>
      <c r="B34" s="21" t="s">
        <v>3612</v>
      </c>
      <c r="C34" s="21" t="s">
        <v>3613</v>
      </c>
      <c r="D34" s="35">
        <v>45718.666666666664</v>
      </c>
      <c r="E34" s="21" t="s">
        <v>3347</v>
      </c>
      <c r="F34" s="21" t="str">
        <f ca="1">IF(S34="Paid","Completed","Pending payment")</f>
        <v>Completed</v>
      </c>
      <c r="G34" s="21" t="s">
        <v>3614</v>
      </c>
      <c r="H34" s="21" t="s">
        <v>3399</v>
      </c>
      <c r="I34" s="29">
        <v>45716</v>
      </c>
      <c r="J34" s="29">
        <v>45716</v>
      </c>
      <c r="K34" s="21" t="str">
        <f>TEXT(I34,"mmm-yyyy")</f>
        <v>Feb-2025</v>
      </c>
      <c r="L34" s="21" t="s">
        <v>1797</v>
      </c>
      <c r="M34" s="21">
        <v>1</v>
      </c>
      <c r="N34" s="21" t="s">
        <v>743</v>
      </c>
      <c r="O34" s="21" t="s">
        <v>3400</v>
      </c>
      <c r="P34" s="21" t="s">
        <v>3401</v>
      </c>
      <c r="Q34" s="21" t="s">
        <v>844</v>
      </c>
      <c r="R34" s="21" t="s">
        <v>3615</v>
      </c>
      <c r="S34" s="21" t="str">
        <f ca="1">IF(BN34&lt;1,"Paid",IF(BM34&gt;0,"Partially paid",IF(ISNUMBER(SEARCH("hold",BU34)),"On hold",IF(BQ34&lt;TODAY(),"Overdue","Approved - unpaid"))))</f>
        <v>Paid</v>
      </c>
      <c r="T34" s="21" t="s">
        <v>3403</v>
      </c>
      <c r="U34" s="21" t="s">
        <v>3404</v>
      </c>
      <c r="V34" s="21" t="s">
        <v>967</v>
      </c>
      <c r="W34" s="21" t="s">
        <v>746</v>
      </c>
      <c r="X34" s="21" t="s">
        <v>846</v>
      </c>
      <c r="Y34" s="21" t="s">
        <v>3405</v>
      </c>
      <c r="Z34" s="21" t="s">
        <v>3406</v>
      </c>
      <c r="AA34" s="21" t="s">
        <v>1062</v>
      </c>
      <c r="AB34" s="37">
        <v>0</v>
      </c>
      <c r="AC34" s="21" t="s">
        <v>3616</v>
      </c>
      <c r="AD34" s="21" t="s">
        <v>3617</v>
      </c>
      <c r="AE34" s="21" t="s">
        <v>3409</v>
      </c>
      <c r="AF34" s="21">
        <v>1</v>
      </c>
      <c r="AG34" s="21" t="s">
        <v>763</v>
      </c>
      <c r="AH34" s="21" t="s">
        <v>766</v>
      </c>
      <c r="AI34" s="21" t="s">
        <v>1804</v>
      </c>
      <c r="AJ34" s="37">
        <v>3900</v>
      </c>
      <c r="AK34" s="37">
        <v>3900</v>
      </c>
      <c r="AL34" s="37">
        <v>1315</v>
      </c>
      <c r="AM34" s="37">
        <f>AK34*AL34</f>
        <v>5128500</v>
      </c>
      <c r="AN34" s="37">
        <f>AM34</f>
        <v>5128500</v>
      </c>
      <c r="AO34" s="23">
        <f>_xlfn.XLOOKUP(AG34,'T13'!$A$3:$A$1500,'T13'!$O$3:$O$1500)</f>
        <v>0.18</v>
      </c>
      <c r="AP34" s="37">
        <f>AK34*IF(AI34="MT",1000,IF(AI34="Jumbo bag (1.5 MT)",1500,IF(AI34="Bag (40 kg)",40,50)))*3</f>
        <v>585000</v>
      </c>
      <c r="AQ34" s="37">
        <f>SUMIFS($AN$3:$AN$1500,$G$3:$G$1500,G34)</f>
        <v>7336190</v>
      </c>
      <c r="AR34" s="37">
        <f>SUMIFS($AP$3:$AP$1500,$G$3:$G$1500,G34)</f>
        <v>824100</v>
      </c>
      <c r="AS34" s="21" t="s">
        <v>3410</v>
      </c>
      <c r="AT34" s="37">
        <f>ROUND(BH34*0.05,0)</f>
        <v>474040</v>
      </c>
      <c r="AU34" s="21" t="s">
        <v>846</v>
      </c>
      <c r="AV34" s="37" cm="1">
        <f t="array" ref="AV34">SUMPRODUCT(($G$3:$G$1500=G34)*$AN$3:$AN$1500*$AO$3:$AO$1500)+AR34</f>
        <v>2144614.2000000002</v>
      </c>
      <c r="AW34" s="37">
        <f>AT34</f>
        <v>474040</v>
      </c>
      <c r="AX34" s="21" t="str">
        <f>TEXT(EOMONTH(I34,0)+15,"dd-mmm-yyyy")&amp;" / "&amp;IF(BM34&gt;0,"CPR-IT-"&amp;TEXT(I34,"yymm")&amp;"-"&amp;RIGHT(G34,4),"Pending payment")</f>
        <v>15-Mar-2025 / CPR-IT-2502-0027</v>
      </c>
      <c r="AY34" s="21" t="str">
        <f>IF(BM34&gt;0,"Issued","Not yet")</f>
        <v>Issued</v>
      </c>
      <c r="AZ34" s="37">
        <v>0</v>
      </c>
      <c r="BA34" s="37">
        <v>0</v>
      </c>
      <c r="BB34" s="37">
        <v>0</v>
      </c>
      <c r="BC34" s="37">
        <v>0</v>
      </c>
      <c r="BD34" s="37">
        <v>0</v>
      </c>
      <c r="BE34" s="37">
        <f>AQ34</f>
        <v>7336190</v>
      </c>
      <c r="BF34" s="37">
        <f>AV34</f>
        <v>2144614.2000000002</v>
      </c>
      <c r="BG34" s="37">
        <f>AZ34</f>
        <v>0</v>
      </c>
      <c r="BH34" s="37">
        <f>BE34+BF34+BG34</f>
        <v>9480804.1999999993</v>
      </c>
      <c r="BI34" s="37">
        <f>AW34</f>
        <v>474040</v>
      </c>
      <c r="BJ34" s="37">
        <f>BA34+BB34+BC34+BD34</f>
        <v>0</v>
      </c>
      <c r="BK34" s="37">
        <f>BH34-BI34-BJ34</f>
        <v>9006764.1999999993</v>
      </c>
      <c r="BL34" s="21" t="str">
        <f>"PKR "&amp;TEXT(BK34,"#,##0")&amp;" only"</f>
        <v>PKR 9,006,764 only</v>
      </c>
      <c r="BM34" s="37">
        <f>SUMIFS('T10'!$AK$3:$AK$1500,'T10'!$V$3:$V$1500,G34)</f>
        <v>9006764.1999999993</v>
      </c>
      <c r="BN34" s="37">
        <f>BK34-BM34</f>
        <v>0</v>
      </c>
      <c r="BO34" s="21" t="str">
        <f>IF(BF34&gt;0,TEXT(I34,"mmm-yyyy")&amp;" sales tax return","N/A")</f>
        <v>Feb-2025 sales tax return</v>
      </c>
      <c r="BP34" s="21" t="s">
        <v>1062</v>
      </c>
      <c r="BQ34" s="29">
        <f>J34+15</f>
        <v>45731</v>
      </c>
      <c r="BR34" s="29">
        <f>BQ34</f>
        <v>45731</v>
      </c>
      <c r="BS34" s="21" t="s">
        <v>3095</v>
      </c>
      <c r="BT34" s="21" t="s">
        <v>3411</v>
      </c>
      <c r="BU34" s="21" t="s">
        <v>844</v>
      </c>
      <c r="BV34" s="21" t="s">
        <v>846</v>
      </c>
      <c r="BW34" s="21" t="str" cm="1">
        <f t="array" ref="BW34">_xlfn.TEXTJOIN(", ",TRUE,_xlfn.UNIQUE(_xlfn._xlws.FILTER('T10'!$A$3:$A$1500,'T10'!$V$3:$V$1500=G34,"None")))</f>
        <v>PV-0001</v>
      </c>
      <c r="BX34" s="21" t="s">
        <v>3618</v>
      </c>
      <c r="BY34" s="21" t="s">
        <v>3619</v>
      </c>
    </row>
    <row r="35" spans="1:77" x14ac:dyDescent="0.3">
      <c r="A35" s="21" t="s">
        <v>3395</v>
      </c>
      <c r="B35" s="21" t="s">
        <v>3612</v>
      </c>
      <c r="C35" s="21" t="s">
        <v>3613</v>
      </c>
      <c r="D35" s="35">
        <v>45718.666666666664</v>
      </c>
      <c r="E35" s="21" t="s">
        <v>3347</v>
      </c>
      <c r="F35" s="21" t="str">
        <f ca="1">IF(S35="Paid","Completed","Pending payment")</f>
        <v>Completed</v>
      </c>
      <c r="G35" s="21" t="s">
        <v>3614</v>
      </c>
      <c r="H35" s="21" t="s">
        <v>3399</v>
      </c>
      <c r="I35" s="29">
        <v>45716</v>
      </c>
      <c r="J35" s="29">
        <v>45716</v>
      </c>
      <c r="K35" s="21" t="str">
        <f>TEXT(I35,"mmm-yyyy")</f>
        <v>Feb-2025</v>
      </c>
      <c r="L35" s="21" t="s">
        <v>1797</v>
      </c>
      <c r="M35" s="21">
        <v>1</v>
      </c>
      <c r="N35" s="21" t="s">
        <v>743</v>
      </c>
      <c r="O35" s="21" t="s">
        <v>3400</v>
      </c>
      <c r="P35" s="21" t="s">
        <v>3401</v>
      </c>
      <c r="Q35" s="21" t="s">
        <v>844</v>
      </c>
      <c r="R35" s="21" t="s">
        <v>3615</v>
      </c>
      <c r="S35" s="21" t="str">
        <f ca="1">IF(BN35&lt;1,"Paid",IF(BM35&gt;0,"Partially paid",IF(ISNUMBER(SEARCH("hold",BU35)),"On hold",IF(BQ35&lt;TODAY(),"Overdue","Approved - unpaid"))))</f>
        <v>Paid</v>
      </c>
      <c r="T35" s="21" t="s">
        <v>3403</v>
      </c>
      <c r="U35" s="21" t="s">
        <v>3404</v>
      </c>
      <c r="V35" s="21" t="s">
        <v>967</v>
      </c>
      <c r="W35" s="21" t="s">
        <v>746</v>
      </c>
      <c r="X35" s="21" t="s">
        <v>846</v>
      </c>
      <c r="Y35" s="21" t="s">
        <v>3405</v>
      </c>
      <c r="Z35" s="21" t="s">
        <v>3406</v>
      </c>
      <c r="AA35" s="21" t="s">
        <v>1062</v>
      </c>
      <c r="AB35" s="37">
        <v>0</v>
      </c>
      <c r="AC35" s="21" t="s">
        <v>3616</v>
      </c>
      <c r="AD35" s="21" t="s">
        <v>3620</v>
      </c>
      <c r="AE35" s="21" t="s">
        <v>3409</v>
      </c>
      <c r="AF35" s="21">
        <v>2</v>
      </c>
      <c r="AG35" s="21" t="s">
        <v>788</v>
      </c>
      <c r="AH35" s="21" t="s">
        <v>790</v>
      </c>
      <c r="AI35" s="21" t="s">
        <v>1804</v>
      </c>
      <c r="AJ35" s="37">
        <v>1600</v>
      </c>
      <c r="AK35" s="37">
        <v>1594</v>
      </c>
      <c r="AL35" s="37">
        <v>1385</v>
      </c>
      <c r="AM35" s="37">
        <f>AK35*AL35</f>
        <v>2207690</v>
      </c>
      <c r="AN35" s="37">
        <f>AM35</f>
        <v>2207690</v>
      </c>
      <c r="AO35" s="23">
        <f>_xlfn.XLOOKUP(AG35,'T13'!$A$3:$A$1500,'T13'!$O$3:$O$1500)</f>
        <v>0.18</v>
      </c>
      <c r="AP35" s="37">
        <f>AK35*IF(AI35="MT",1000,IF(AI35="Jumbo bag (1.5 MT)",1500,IF(AI35="Bag (40 kg)",40,50)))*3</f>
        <v>239100</v>
      </c>
      <c r="AQ35" s="37">
        <f>SUMIFS($AN$3:$AN$1500,$G$3:$G$1500,G35)</f>
        <v>7336190</v>
      </c>
      <c r="AR35" s="37">
        <f>SUMIFS($AP$3:$AP$1500,$G$3:$G$1500,G35)</f>
        <v>824100</v>
      </c>
      <c r="AS35" s="21" t="s">
        <v>3410</v>
      </c>
      <c r="AT35" s="37">
        <f>ROUND(BH35*0.05,0)</f>
        <v>474040</v>
      </c>
      <c r="AU35" s="21" t="s">
        <v>846</v>
      </c>
      <c r="AV35" s="37" cm="1">
        <f t="array" ref="AV35">SUMPRODUCT(($G$3:$G$1500=G35)*$AN$3:$AN$1500*$AO$3:$AO$1500)+AR35</f>
        <v>2144614.2000000002</v>
      </c>
      <c r="AW35" s="37">
        <f>AT35</f>
        <v>474040</v>
      </c>
      <c r="AX35" s="21" t="str">
        <f>TEXT(EOMONTH(I35,0)+15,"dd-mmm-yyyy")&amp;" / "&amp;IF(BM35&gt;0,"CPR-IT-"&amp;TEXT(I35,"yymm")&amp;"-"&amp;RIGHT(G35,4),"Pending payment")</f>
        <v>15-Mar-2025 / CPR-IT-2502-0027</v>
      </c>
      <c r="AY35" s="21" t="str">
        <f>IF(BM35&gt;0,"Issued","Not yet")</f>
        <v>Issued</v>
      </c>
      <c r="AZ35" s="37">
        <v>0</v>
      </c>
      <c r="BA35" s="37">
        <v>0</v>
      </c>
      <c r="BB35" s="37">
        <v>0</v>
      </c>
      <c r="BC35" s="37">
        <v>0</v>
      </c>
      <c r="BD35" s="37">
        <v>0</v>
      </c>
      <c r="BE35" s="37">
        <f>AQ35</f>
        <v>7336190</v>
      </c>
      <c r="BF35" s="37">
        <f>AV35</f>
        <v>2144614.2000000002</v>
      </c>
      <c r="BG35" s="37">
        <f>AZ35</f>
        <v>0</v>
      </c>
      <c r="BH35" s="37">
        <f>BE35+BF35+BG35</f>
        <v>9480804.1999999993</v>
      </c>
      <c r="BI35" s="37">
        <f>AW35</f>
        <v>474040</v>
      </c>
      <c r="BJ35" s="37">
        <f>BA35+BB35+BC35+BD35</f>
        <v>0</v>
      </c>
      <c r="BK35" s="37">
        <f>BH35-BI35-BJ35</f>
        <v>9006764.1999999993</v>
      </c>
      <c r="BL35" s="21" t="str">
        <f>"PKR "&amp;TEXT(BK35,"#,##0")&amp;" only"</f>
        <v>PKR 9,006,764 only</v>
      </c>
      <c r="BM35" s="37">
        <f>SUMIFS('T10'!$AK$3:$AK$1500,'T10'!$V$3:$V$1500,G35)</f>
        <v>9006764.1999999993</v>
      </c>
      <c r="BN35" s="37">
        <f>BK35-BM35</f>
        <v>0</v>
      </c>
      <c r="BO35" s="21" t="str">
        <f>IF(BF35&gt;0,TEXT(I35,"mmm-yyyy")&amp;" sales tax return","N/A")</f>
        <v>Feb-2025 sales tax return</v>
      </c>
      <c r="BP35" s="21" t="s">
        <v>1062</v>
      </c>
      <c r="BQ35" s="29">
        <f>J35+15</f>
        <v>45731</v>
      </c>
      <c r="BR35" s="29">
        <f>BQ35</f>
        <v>45731</v>
      </c>
      <c r="BS35" s="21" t="s">
        <v>3095</v>
      </c>
      <c r="BT35" s="21" t="s">
        <v>3411</v>
      </c>
      <c r="BU35" s="21" t="s">
        <v>844</v>
      </c>
      <c r="BV35" s="21" t="s">
        <v>846</v>
      </c>
      <c r="BW35" s="21" t="str" cm="1">
        <f t="array" ref="BW35">_xlfn.TEXTJOIN(", ",TRUE,_xlfn.UNIQUE(_xlfn._xlws.FILTER('T10'!$A$3:$A$1500,'T10'!$V$3:$V$1500=G35,"None")))</f>
        <v>PV-0001</v>
      </c>
      <c r="BX35" s="21" t="s">
        <v>3618</v>
      </c>
      <c r="BY35" s="21" t="s">
        <v>3619</v>
      </c>
    </row>
    <row r="36" spans="1:77" x14ac:dyDescent="0.3">
      <c r="A36" s="21" t="s">
        <v>3415</v>
      </c>
      <c r="B36" s="21" t="s">
        <v>3621</v>
      </c>
      <c r="C36" s="21" t="s">
        <v>3622</v>
      </c>
      <c r="D36" s="35">
        <v>45718.375</v>
      </c>
      <c r="E36" s="21" t="s">
        <v>3347</v>
      </c>
      <c r="F36" s="21" t="str">
        <f ca="1">IF(S36="Paid","Completed","Pending payment")</f>
        <v>Completed</v>
      </c>
      <c r="G36" s="21" t="s">
        <v>3623</v>
      </c>
      <c r="H36" s="21" t="s">
        <v>3399</v>
      </c>
      <c r="I36" s="29">
        <v>45716</v>
      </c>
      <c r="J36" s="29">
        <v>45716</v>
      </c>
      <c r="K36" s="21" t="str">
        <f>TEXT(I36,"mmm-yyyy")</f>
        <v>Feb-2025</v>
      </c>
      <c r="L36" s="21" t="s">
        <v>1797</v>
      </c>
      <c r="M36" s="21">
        <v>1</v>
      </c>
      <c r="N36" s="21" t="s">
        <v>743</v>
      </c>
      <c r="O36" s="21" t="s">
        <v>3400</v>
      </c>
      <c r="P36" s="21" t="s">
        <v>3401</v>
      </c>
      <c r="Q36" s="21" t="s">
        <v>844</v>
      </c>
      <c r="R36" s="21" t="s">
        <v>3615</v>
      </c>
      <c r="S36" s="21" t="str">
        <f ca="1">IF(BN36&lt;1,"Paid",IF(BM36&gt;0,"Partially paid",IF(ISNUMBER(SEARCH("hold",BU36)),"On hold",IF(BQ36&lt;TODAY(),"Overdue","Approved - unpaid"))))</f>
        <v>Paid</v>
      </c>
      <c r="T36" s="21" t="s">
        <v>3403</v>
      </c>
      <c r="U36" s="21" t="s">
        <v>3419</v>
      </c>
      <c r="V36" s="21" t="s">
        <v>999</v>
      </c>
      <c r="W36" s="21" t="s">
        <v>746</v>
      </c>
      <c r="X36" s="21" t="s">
        <v>846</v>
      </c>
      <c r="Y36" s="21" t="s">
        <v>3420</v>
      </c>
      <c r="Z36" s="21" t="s">
        <v>3421</v>
      </c>
      <c r="AA36" s="21" t="s">
        <v>1062</v>
      </c>
      <c r="AB36" s="37">
        <v>0</v>
      </c>
      <c r="AC36" s="21" t="s">
        <v>3624</v>
      </c>
      <c r="AD36" s="21" t="s">
        <v>3625</v>
      </c>
      <c r="AE36" s="21" t="s">
        <v>3424</v>
      </c>
      <c r="AF36" s="21">
        <v>1</v>
      </c>
      <c r="AG36" s="21" t="s">
        <v>799</v>
      </c>
      <c r="AH36" s="21" t="s">
        <v>801</v>
      </c>
      <c r="AI36" s="21" t="s">
        <v>1804</v>
      </c>
      <c r="AJ36" s="37">
        <v>1300</v>
      </c>
      <c r="AK36" s="37">
        <v>1290</v>
      </c>
      <c r="AL36" s="37">
        <v>1265</v>
      </c>
      <c r="AM36" s="37">
        <f>AK36*AL36</f>
        <v>1631850</v>
      </c>
      <c r="AN36" s="37">
        <f>AM36</f>
        <v>1631850</v>
      </c>
      <c r="AO36" s="23">
        <f>_xlfn.XLOOKUP(AG36,'T13'!$A$3:$A$1500,'T13'!$O$3:$O$1500)</f>
        <v>0.18</v>
      </c>
      <c r="AP36" s="37">
        <f>AK36*IF(AI36="MT",1000,IF(AI36="Jumbo bag (1.5 MT)",1500,IF(AI36="Bag (40 kg)",40,50)))*3</f>
        <v>193500</v>
      </c>
      <c r="AQ36" s="37">
        <f>SUMIFS($AN$3:$AN$1500,$G$3:$G$1500,G36)</f>
        <v>1631850</v>
      </c>
      <c r="AR36" s="37">
        <f>SUMIFS($AP$3:$AP$1500,$G$3:$G$1500,G36)</f>
        <v>193500</v>
      </c>
      <c r="AS36" s="21" t="s">
        <v>3410</v>
      </c>
      <c r="AT36" s="37">
        <f>ROUND(BH36*0.05,0)</f>
        <v>105954</v>
      </c>
      <c r="AU36" s="21" t="s">
        <v>846</v>
      </c>
      <c r="AV36" s="37" cm="1">
        <f t="array" ref="AV36">SUMPRODUCT(($G$3:$G$1500=G36)*$AN$3:$AN$1500*$AO$3:$AO$1500)+AR36</f>
        <v>487233</v>
      </c>
      <c r="AW36" s="37">
        <f>AT36</f>
        <v>105954</v>
      </c>
      <c r="AX36" s="21" t="str">
        <f>TEXT(EOMONTH(I36,0)+15,"dd-mmm-yyyy")&amp;" / "&amp;IF(BM36&gt;0,"CPR-IT-"&amp;TEXT(I36,"yymm")&amp;"-"&amp;RIGHT(G36,4),"Pending payment")</f>
        <v>15-Mar-2025 / CPR-IT-2502-0028</v>
      </c>
      <c r="AY36" s="21" t="str">
        <f>IF(BM36&gt;0,"Issued","Not yet")</f>
        <v>Issued</v>
      </c>
      <c r="AZ36" s="37">
        <v>0</v>
      </c>
      <c r="BA36" s="37">
        <v>0</v>
      </c>
      <c r="BB36" s="37">
        <v>0</v>
      </c>
      <c r="BC36" s="37">
        <v>0</v>
      </c>
      <c r="BD36" s="37">
        <v>0</v>
      </c>
      <c r="BE36" s="37">
        <f>AQ36</f>
        <v>1631850</v>
      </c>
      <c r="BF36" s="37">
        <f>AV36</f>
        <v>487233</v>
      </c>
      <c r="BG36" s="37">
        <f>AZ36</f>
        <v>0</v>
      </c>
      <c r="BH36" s="37">
        <f>BE36+BF36+BG36</f>
        <v>2119083</v>
      </c>
      <c r="BI36" s="37">
        <f>AW36</f>
        <v>105954</v>
      </c>
      <c r="BJ36" s="37">
        <f>BA36+BB36+BC36+BD36</f>
        <v>0</v>
      </c>
      <c r="BK36" s="37">
        <f>BH36-BI36-BJ36</f>
        <v>2013129</v>
      </c>
      <c r="BL36" s="21" t="str">
        <f>"PKR "&amp;TEXT(BK36,"#,##0")&amp;" only"</f>
        <v>PKR 2,013,129 only</v>
      </c>
      <c r="BM36" s="37">
        <f>SUMIFS('T10'!$AK$3:$AK$1500,'T10'!$V$3:$V$1500,G36)</f>
        <v>2013129</v>
      </c>
      <c r="BN36" s="37">
        <f>BK36-BM36</f>
        <v>0</v>
      </c>
      <c r="BO36" s="21" t="str">
        <f>IF(BF36&gt;0,TEXT(I36,"mmm-yyyy")&amp;" sales tax return","N/A")</f>
        <v>Feb-2025 sales tax return</v>
      </c>
      <c r="BP36" s="21" t="s">
        <v>1062</v>
      </c>
      <c r="BQ36" s="29">
        <f>J36+15</f>
        <v>45731</v>
      </c>
      <c r="BR36" s="29">
        <f>BQ36</f>
        <v>45731</v>
      </c>
      <c r="BS36" s="21" t="s">
        <v>3095</v>
      </c>
      <c r="BT36" s="21" t="s">
        <v>3411</v>
      </c>
      <c r="BU36" s="21" t="s">
        <v>844</v>
      </c>
      <c r="BV36" s="21" t="s">
        <v>846</v>
      </c>
      <c r="BW36" s="21" t="str" cm="1">
        <f t="array" ref="BW36">_xlfn.TEXTJOIN(", ",TRUE,_xlfn.UNIQUE(_xlfn._xlws.FILTER('T10'!$A$3:$A$1500,'T10'!$V$3:$V$1500=G36,"None")))</f>
        <v>PV-0004</v>
      </c>
      <c r="BX36" s="21" t="s">
        <v>3618</v>
      </c>
      <c r="BY36" s="21" t="s">
        <v>3619</v>
      </c>
    </row>
    <row r="37" spans="1:77" x14ac:dyDescent="0.3">
      <c r="A37" s="21" t="s">
        <v>3489</v>
      </c>
      <c r="B37" s="21" t="s">
        <v>2113</v>
      </c>
      <c r="C37" s="21" t="s">
        <v>3626</v>
      </c>
      <c r="D37" s="35">
        <v>45718.5</v>
      </c>
      <c r="E37" s="21" t="s">
        <v>3347</v>
      </c>
      <c r="F37" s="21" t="str">
        <f ca="1">IF(S37="Paid","Completed","Pending payment")</f>
        <v>Completed</v>
      </c>
      <c r="G37" s="21" t="s">
        <v>3627</v>
      </c>
      <c r="H37" s="21" t="s">
        <v>3428</v>
      </c>
      <c r="I37" s="29">
        <v>45719</v>
      </c>
      <c r="J37" s="29">
        <v>45717</v>
      </c>
      <c r="K37" s="21" t="str">
        <f>TEXT(I37,"mmm-yyyy")</f>
        <v>Mar-2025</v>
      </c>
      <c r="L37" s="21" t="s">
        <v>1797</v>
      </c>
      <c r="M37" s="21">
        <v>1</v>
      </c>
      <c r="N37" s="21" t="s">
        <v>743</v>
      </c>
      <c r="O37" s="21" t="s">
        <v>3350</v>
      </c>
      <c r="P37" s="21" t="s">
        <v>3429</v>
      </c>
      <c r="Q37" s="21" t="s">
        <v>844</v>
      </c>
      <c r="R37" s="21" t="s">
        <v>3628</v>
      </c>
      <c r="S37" s="21" t="str">
        <f ca="1">IF(BN37&lt;1,"Paid",IF(BM37&gt;0,"Partially paid",IF(ISNUMBER(SEARCH("hold",BU37)),"On hold",IF(BQ37&lt;TODAY(),"Overdue","Approved - unpaid"))))</f>
        <v>Paid</v>
      </c>
      <c r="T37" s="21" t="s">
        <v>3431</v>
      </c>
      <c r="U37" s="21" t="s">
        <v>1213</v>
      </c>
      <c r="V37" s="21" t="s">
        <v>1194</v>
      </c>
      <c r="W37" s="21" t="s">
        <v>746</v>
      </c>
      <c r="X37" s="21" t="s">
        <v>846</v>
      </c>
      <c r="Y37" s="21" t="s">
        <v>3493</v>
      </c>
      <c r="Z37" s="21" t="s">
        <v>3494</v>
      </c>
      <c r="AA37" s="21" t="s">
        <v>1051</v>
      </c>
      <c r="AB37" s="37">
        <v>0</v>
      </c>
      <c r="AC37" s="21" t="s">
        <v>844</v>
      </c>
      <c r="AD37" s="21" t="s">
        <v>844</v>
      </c>
      <c r="AE37" s="21" t="s">
        <v>3495</v>
      </c>
      <c r="AF37" s="21">
        <v>1</v>
      </c>
      <c r="AG37" s="21" t="s">
        <v>837</v>
      </c>
      <c r="AH37" s="21" t="s">
        <v>840</v>
      </c>
      <c r="AI37" s="21" t="s">
        <v>842</v>
      </c>
      <c r="AJ37" s="37">
        <f>COUNTIFS('T14'!$AQ$3:$AQ$1500,B37,'T14'!$Z$3:$Z$1500,1,'T14'!$F$3:$F$1500,"Bag")</f>
        <v>4</v>
      </c>
      <c r="AK37" s="37">
        <f>AJ37</f>
        <v>4</v>
      </c>
      <c r="AL37" s="37">
        <v>38800</v>
      </c>
      <c r="AM37" s="37">
        <f>AK37*AL37</f>
        <v>155200</v>
      </c>
      <c r="AN37" s="37">
        <f>AM37</f>
        <v>155200</v>
      </c>
      <c r="AO37" s="23">
        <f>_xlfn.XLOOKUP(AG37,'T13'!$A$3:$A$1500,'T13'!$O$3:$O$1500)</f>
        <v>0.16</v>
      </c>
      <c r="AP37" s="37">
        <v>0</v>
      </c>
      <c r="AQ37" s="37">
        <f>SUMIFS($AN$3:$AN$1500,$G$3:$G$1500,G37)</f>
        <v>155200</v>
      </c>
      <c r="AR37" s="37">
        <f>SUMIFS($AP$3:$AP$1500,$G$3:$G$1500,G37)</f>
        <v>0</v>
      </c>
      <c r="AS37" s="21" t="s">
        <v>3444</v>
      </c>
      <c r="AT37" s="37">
        <f>ROUND(BH37*0.04,0)</f>
        <v>7201</v>
      </c>
      <c r="AU37" s="21" t="s">
        <v>846</v>
      </c>
      <c r="AV37" s="37" cm="1">
        <f t="array" ref="AV37">SUMPRODUCT(($G$3:$G$1500=G37)*$AN$3:$AN$1500*$AO$3:$AO$1500)+AR37</f>
        <v>24832</v>
      </c>
      <c r="AW37" s="37">
        <f>AT37</f>
        <v>7201</v>
      </c>
      <c r="AX37" s="21" t="str">
        <f>TEXT(EOMONTH(I37,0)+15,"dd-mmm-yyyy")&amp;" / "&amp;IF(BM37&gt;0,"CPR-IT-"&amp;TEXT(I37,"yymm")&amp;"-"&amp;RIGHT(G37,4),"Pending payment")</f>
        <v>15-Apr-2025 / CPR-IT-2503-0029</v>
      </c>
      <c r="AY37" s="21" t="str">
        <f>IF(BM37&gt;0,"Issued","Not yet")</f>
        <v>Issued</v>
      </c>
      <c r="AZ37" s="37">
        <v>0</v>
      </c>
      <c r="BA37" s="37">
        <v>0</v>
      </c>
      <c r="BB37" s="37">
        <v>0</v>
      </c>
      <c r="BC37" s="37">
        <v>0</v>
      </c>
      <c r="BD37" s="37">
        <v>0</v>
      </c>
      <c r="BE37" s="37">
        <f>AQ37</f>
        <v>155200</v>
      </c>
      <c r="BF37" s="37">
        <f>AV37</f>
        <v>24832</v>
      </c>
      <c r="BG37" s="37">
        <f>AZ37</f>
        <v>0</v>
      </c>
      <c r="BH37" s="37">
        <f>BE37+BF37+BG37</f>
        <v>180032</v>
      </c>
      <c r="BI37" s="37">
        <f>AW37</f>
        <v>7201</v>
      </c>
      <c r="BJ37" s="37">
        <f>BA37+BB37+BC37+BD37</f>
        <v>0</v>
      </c>
      <c r="BK37" s="37">
        <f>BH37-BI37-BJ37</f>
        <v>172831</v>
      </c>
      <c r="BL37" s="21" t="str">
        <f>"PKR "&amp;TEXT(BK37,"#,##0")&amp;" only"</f>
        <v>PKR 172,831 only</v>
      </c>
      <c r="BM37" s="37">
        <f>SUMIFS('T10'!$AK$3:$AK$1500,'T10'!$V$3:$V$1500,G37)</f>
        <v>172831</v>
      </c>
      <c r="BN37" s="37">
        <f>BK37-BM37</f>
        <v>0</v>
      </c>
      <c r="BO37" s="21" t="str">
        <f>IF(BF37&gt;0,TEXT(I37,"mmm-yyyy")&amp;" sales tax return","N/A")</f>
        <v>Mar-2025 sales tax return</v>
      </c>
      <c r="BP37" s="21" t="s">
        <v>1051</v>
      </c>
      <c r="BQ37" s="29">
        <f>J37+30</f>
        <v>45747</v>
      </c>
      <c r="BR37" s="29">
        <f>BQ37</f>
        <v>45747</v>
      </c>
      <c r="BS37" s="21" t="s">
        <v>3095</v>
      </c>
      <c r="BT37" s="21" t="s">
        <v>3360</v>
      </c>
      <c r="BU37" s="21" t="s">
        <v>844</v>
      </c>
      <c r="BV37" s="21" t="s">
        <v>846</v>
      </c>
      <c r="BW37" s="21" t="str" cm="1">
        <f t="array" ref="BW37">_xlfn.TEXTJOIN(", ",TRUE,_xlfn.UNIQUE(_xlfn._xlws.FILTER('T10'!$A$3:$A$1500,'T10'!$V$3:$V$1500=G37,"None")))</f>
        <v>PV-0005</v>
      </c>
      <c r="BX37" s="21" t="s">
        <v>3629</v>
      </c>
      <c r="BY37" s="21" t="s">
        <v>3630</v>
      </c>
    </row>
    <row r="38" spans="1:77" x14ac:dyDescent="0.3">
      <c r="A38" s="21" t="s">
        <v>3438</v>
      </c>
      <c r="B38" s="21" t="s">
        <v>2121</v>
      </c>
      <c r="C38" s="21" t="s">
        <v>3631</v>
      </c>
      <c r="D38" s="35">
        <v>45718.458333333336</v>
      </c>
      <c r="E38" s="21" t="s">
        <v>3347</v>
      </c>
      <c r="F38" s="21" t="str">
        <f ca="1">IF(S38="Paid","Completed","Pending payment")</f>
        <v>Completed</v>
      </c>
      <c r="G38" s="21" t="s">
        <v>3632</v>
      </c>
      <c r="H38" s="21" t="s">
        <v>3428</v>
      </c>
      <c r="I38" s="29">
        <v>45719</v>
      </c>
      <c r="J38" s="29">
        <v>45717</v>
      </c>
      <c r="K38" s="21" t="str">
        <f>TEXT(I38,"mmm-yyyy")</f>
        <v>Mar-2025</v>
      </c>
      <c r="L38" s="21" t="s">
        <v>1797</v>
      </c>
      <c r="M38" s="21">
        <v>1</v>
      </c>
      <c r="N38" s="21" t="s">
        <v>743</v>
      </c>
      <c r="O38" s="21" t="s">
        <v>3350</v>
      </c>
      <c r="P38" s="21" t="s">
        <v>3429</v>
      </c>
      <c r="Q38" s="21" t="s">
        <v>844</v>
      </c>
      <c r="R38" s="21" t="s">
        <v>3628</v>
      </c>
      <c r="S38" s="21" t="str">
        <f ca="1">IF(BN38&lt;1,"Paid",IF(BM38&gt;0,"Partially paid",IF(ISNUMBER(SEARCH("hold",BU38)),"On hold",IF(BQ38&lt;TODAY(),"Overdue","Approved - unpaid"))))</f>
        <v>Paid</v>
      </c>
      <c r="T38" s="21" t="s">
        <v>3431</v>
      </c>
      <c r="U38" s="21" t="s">
        <v>1278</v>
      </c>
      <c r="V38" s="21" t="s">
        <v>1200</v>
      </c>
      <c r="W38" s="21" t="s">
        <v>746</v>
      </c>
      <c r="X38" s="21" t="s">
        <v>846</v>
      </c>
      <c r="Y38" s="21" t="s">
        <v>3441</v>
      </c>
      <c r="Z38" s="21" t="s">
        <v>3442</v>
      </c>
      <c r="AA38" s="21" t="s">
        <v>1051</v>
      </c>
      <c r="AB38" s="37">
        <v>0</v>
      </c>
      <c r="AC38" s="21" t="s">
        <v>844</v>
      </c>
      <c r="AD38" s="21" t="s">
        <v>844</v>
      </c>
      <c r="AE38" s="21" t="s">
        <v>3443</v>
      </c>
      <c r="AF38" s="21">
        <v>1</v>
      </c>
      <c r="AG38" s="21" t="s">
        <v>837</v>
      </c>
      <c r="AH38" s="21" t="s">
        <v>840</v>
      </c>
      <c r="AI38" s="21" t="s">
        <v>842</v>
      </c>
      <c r="AJ38" s="37">
        <f>COUNTIFS('T14'!$AQ$3:$AQ$1500,B38,'T14'!$Z$3:$Z$1500,1,'T14'!$F$3:$F$1500,"Bag")</f>
        <v>8</v>
      </c>
      <c r="AK38" s="37">
        <f>AJ38</f>
        <v>8</v>
      </c>
      <c r="AL38" s="37">
        <v>38800</v>
      </c>
      <c r="AM38" s="37">
        <f>AK38*AL38</f>
        <v>310400</v>
      </c>
      <c r="AN38" s="37">
        <f>AM38</f>
        <v>310400</v>
      </c>
      <c r="AO38" s="23">
        <f>_xlfn.XLOOKUP(AG38,'T13'!$A$3:$A$1500,'T13'!$O$3:$O$1500)</f>
        <v>0.16</v>
      </c>
      <c r="AP38" s="37">
        <v>0</v>
      </c>
      <c r="AQ38" s="37">
        <f>SUMIFS($AN$3:$AN$1500,$G$3:$G$1500,G38)</f>
        <v>310400</v>
      </c>
      <c r="AR38" s="37">
        <f>SUMIFS($AP$3:$AP$1500,$G$3:$G$1500,G38)</f>
        <v>0</v>
      </c>
      <c r="AS38" s="21" t="s">
        <v>3444</v>
      </c>
      <c r="AT38" s="37">
        <f>ROUND(BH38*0.04,0)</f>
        <v>14403</v>
      </c>
      <c r="AU38" s="21" t="s">
        <v>846</v>
      </c>
      <c r="AV38" s="37" cm="1">
        <f t="array" ref="AV38">SUMPRODUCT(($G$3:$G$1500=G38)*$AN$3:$AN$1500*$AO$3:$AO$1500)+AR38</f>
        <v>49664</v>
      </c>
      <c r="AW38" s="37">
        <f>AT38</f>
        <v>14403</v>
      </c>
      <c r="AX38" s="21" t="str">
        <f>TEXT(EOMONTH(I38,0)+15,"dd-mmm-yyyy")&amp;" / "&amp;IF(BM38&gt;0,"CPR-IT-"&amp;TEXT(I38,"yymm")&amp;"-"&amp;RIGHT(G38,4),"Pending payment")</f>
        <v>15-Apr-2025 / CPR-IT-2503-0030</v>
      </c>
      <c r="AY38" s="21" t="str">
        <f>IF(BM38&gt;0,"Issued","Not yet")</f>
        <v>Issued</v>
      </c>
      <c r="AZ38" s="37">
        <v>0</v>
      </c>
      <c r="BA38" s="37">
        <v>0</v>
      </c>
      <c r="BB38" s="37">
        <v>0</v>
      </c>
      <c r="BC38" s="37">
        <v>0</v>
      </c>
      <c r="BD38" s="37">
        <v>0</v>
      </c>
      <c r="BE38" s="37">
        <f>AQ38</f>
        <v>310400</v>
      </c>
      <c r="BF38" s="37">
        <f>AV38</f>
        <v>49664</v>
      </c>
      <c r="BG38" s="37">
        <f>AZ38</f>
        <v>0</v>
      </c>
      <c r="BH38" s="37">
        <f>BE38+BF38+BG38</f>
        <v>360064</v>
      </c>
      <c r="BI38" s="37">
        <f>AW38</f>
        <v>14403</v>
      </c>
      <c r="BJ38" s="37">
        <f>BA38+BB38+BC38+BD38</f>
        <v>0</v>
      </c>
      <c r="BK38" s="37">
        <f>BH38-BI38-BJ38</f>
        <v>345661</v>
      </c>
      <c r="BL38" s="21" t="str">
        <f>"PKR "&amp;TEXT(BK38,"#,##0")&amp;" only"</f>
        <v>PKR 345,661 only</v>
      </c>
      <c r="BM38" s="37">
        <f>SUMIFS('T10'!$AK$3:$AK$1500,'T10'!$V$3:$V$1500,G38)</f>
        <v>345661</v>
      </c>
      <c r="BN38" s="37">
        <f>BK38-BM38</f>
        <v>0</v>
      </c>
      <c r="BO38" s="21" t="str">
        <f>IF(BF38&gt;0,TEXT(I38,"mmm-yyyy")&amp;" sales tax return","N/A")</f>
        <v>Mar-2025 sales tax return</v>
      </c>
      <c r="BP38" s="21" t="s">
        <v>1051</v>
      </c>
      <c r="BQ38" s="29">
        <f>J38+30</f>
        <v>45747</v>
      </c>
      <c r="BR38" s="29">
        <f>BQ38</f>
        <v>45747</v>
      </c>
      <c r="BS38" s="21" t="s">
        <v>3095</v>
      </c>
      <c r="BT38" s="21" t="s">
        <v>3360</v>
      </c>
      <c r="BU38" s="21" t="s">
        <v>844</v>
      </c>
      <c r="BV38" s="21" t="s">
        <v>846</v>
      </c>
      <c r="BW38" s="21" t="str" cm="1">
        <f t="array" ref="BW38">_xlfn.TEXTJOIN(", ",TRUE,_xlfn.UNIQUE(_xlfn._xlws.FILTER('T10'!$A$3:$A$1500,'T10'!$V$3:$V$1500=G38,"None")))</f>
        <v>PV-0003</v>
      </c>
      <c r="BX38" s="21" t="s">
        <v>3629</v>
      </c>
      <c r="BY38" s="21" t="s">
        <v>3630</v>
      </c>
    </row>
    <row r="39" spans="1:77" x14ac:dyDescent="0.3">
      <c r="A39" s="21" t="s">
        <v>3381</v>
      </c>
      <c r="B39" s="21" t="s">
        <v>3633</v>
      </c>
      <c r="C39" s="21" t="s">
        <v>3634</v>
      </c>
      <c r="D39" s="35">
        <v>45723.375</v>
      </c>
      <c r="E39" s="21" t="s">
        <v>3347</v>
      </c>
      <c r="F39" s="21" t="str">
        <f ca="1">IF(S39="Paid","Completed","Pending payment")</f>
        <v>Completed</v>
      </c>
      <c r="G39" s="21" t="s">
        <v>3635</v>
      </c>
      <c r="H39" s="21" t="s">
        <v>3385</v>
      </c>
      <c r="I39" s="29">
        <v>45723</v>
      </c>
      <c r="J39" s="29">
        <v>45721</v>
      </c>
      <c r="K39" s="21" t="str">
        <f>TEXT(I39,"mmm-yyyy")</f>
        <v>Mar-2025</v>
      </c>
      <c r="L39" s="21" t="s">
        <v>1797</v>
      </c>
      <c r="M39" s="21">
        <v>1</v>
      </c>
      <c r="N39" s="21" t="s">
        <v>743</v>
      </c>
      <c r="O39" s="21" t="s">
        <v>3350</v>
      </c>
      <c r="P39" s="21" t="s">
        <v>3351</v>
      </c>
      <c r="Q39" s="21" t="s">
        <v>844</v>
      </c>
      <c r="R39" s="21" t="s">
        <v>3636</v>
      </c>
      <c r="S39" s="21" t="str">
        <f ca="1">IF(BN39&lt;1,"Paid",IF(BM39&gt;0,"Partially paid",IF(ISNUMBER(SEARCH("hold",BU39)),"On hold",IF(BQ39&lt;TODAY(),"Overdue","Approved - unpaid"))))</f>
        <v>Paid</v>
      </c>
      <c r="T39" s="21" t="s">
        <v>3387</v>
      </c>
      <c r="U39" s="21" t="s">
        <v>3388</v>
      </c>
      <c r="V39" s="21" t="s">
        <v>3389</v>
      </c>
      <c r="W39" s="21" t="s">
        <v>746</v>
      </c>
      <c r="X39" s="21" t="s">
        <v>846</v>
      </c>
      <c r="Y39" s="21" t="s">
        <v>3390</v>
      </c>
      <c r="Z39" s="21" t="s">
        <v>3391</v>
      </c>
      <c r="AA39" s="21" t="s">
        <v>1051</v>
      </c>
      <c r="AB39" s="37">
        <v>0</v>
      </c>
      <c r="AC39" s="21" t="s">
        <v>844</v>
      </c>
      <c r="AD39" s="21" t="s">
        <v>844</v>
      </c>
      <c r="AE39" s="21" t="s">
        <v>844</v>
      </c>
      <c r="AF39" s="21">
        <v>1</v>
      </c>
      <c r="AG39" s="21" t="s">
        <v>959</v>
      </c>
      <c r="AH39" s="21" t="s">
        <v>961</v>
      </c>
      <c r="AI39" s="21" t="s">
        <v>905</v>
      </c>
      <c r="AJ39" s="37">
        <v>1</v>
      </c>
      <c r="AK39" s="37">
        <v>1</v>
      </c>
      <c r="AL39" s="37">
        <v>183600</v>
      </c>
      <c r="AM39" s="37">
        <f>AK39*AL39</f>
        <v>183600</v>
      </c>
      <c r="AN39" s="37">
        <f>AM39</f>
        <v>183600</v>
      </c>
      <c r="AO39" s="23">
        <f>_xlfn.XLOOKUP(AG39,'T13'!$A$3:$A$1500,'T13'!$O$3:$O$1500)</f>
        <v>0.16</v>
      </c>
      <c r="AP39" s="37">
        <v>0</v>
      </c>
      <c r="AQ39" s="37">
        <f>SUMIFS($AN$3:$AN$1500,$G$3:$G$1500,G39)</f>
        <v>183600</v>
      </c>
      <c r="AR39" s="37">
        <f>SUMIFS($AP$3:$AP$1500,$G$3:$G$1500,G39)</f>
        <v>0</v>
      </c>
      <c r="AS39" s="21" t="s">
        <v>3392</v>
      </c>
      <c r="AT39" s="37">
        <f>ROUND(BH39*0.11,0)</f>
        <v>23427</v>
      </c>
      <c r="AU39" s="21" t="s">
        <v>846</v>
      </c>
      <c r="AV39" s="37" cm="1">
        <f t="array" ref="AV39">SUMPRODUCT(($G$3:$G$1500=G39)*$AN$3:$AN$1500*$AO$3:$AO$1500)+AR39</f>
        <v>29376</v>
      </c>
      <c r="AW39" s="37">
        <f>AT39</f>
        <v>23427</v>
      </c>
      <c r="AX39" s="21" t="str">
        <f>TEXT(EOMONTH(I39,0)+15,"dd-mmm-yyyy")&amp;" / "&amp;IF(BM39&gt;0,"CPR-IT-"&amp;TEXT(I39,"yymm")&amp;"-"&amp;RIGHT(G39,4),"Pending payment")</f>
        <v>15-Apr-2025 / CPR-IT-2503-0031</v>
      </c>
      <c r="AY39" s="21" t="str">
        <f>IF(BM39&gt;0,"Issued","Not yet")</f>
        <v>Issued</v>
      </c>
      <c r="AZ39" s="37">
        <v>0</v>
      </c>
      <c r="BA39" s="37">
        <v>0</v>
      </c>
      <c r="BB39" s="37">
        <v>0</v>
      </c>
      <c r="BC39" s="37">
        <v>0</v>
      </c>
      <c r="BD39" s="37">
        <v>0</v>
      </c>
      <c r="BE39" s="37">
        <f>AQ39</f>
        <v>183600</v>
      </c>
      <c r="BF39" s="37">
        <f>AV39</f>
        <v>29376</v>
      </c>
      <c r="BG39" s="37">
        <f>AZ39</f>
        <v>0</v>
      </c>
      <c r="BH39" s="37">
        <f>BE39+BF39+BG39</f>
        <v>212976</v>
      </c>
      <c r="BI39" s="37">
        <f>AW39</f>
        <v>23427</v>
      </c>
      <c r="BJ39" s="37">
        <f>BA39+BB39+BC39+BD39</f>
        <v>0</v>
      </c>
      <c r="BK39" s="37">
        <f>BH39-BI39-BJ39</f>
        <v>189549</v>
      </c>
      <c r="BL39" s="21" t="str">
        <f>"PKR "&amp;TEXT(BK39,"#,##0")&amp;" only"</f>
        <v>PKR 189,549 only</v>
      </c>
      <c r="BM39" s="37">
        <f>SUMIFS('T10'!$AK$3:$AK$1500,'T10'!$V$3:$V$1500,G39)</f>
        <v>189549</v>
      </c>
      <c r="BN39" s="37">
        <f>BK39-BM39</f>
        <v>0</v>
      </c>
      <c r="BO39" s="21" t="str">
        <f>IF(BF39&gt;0,TEXT(I39,"mmm-yyyy")&amp;" sales tax return","N/A")</f>
        <v>Mar-2025 sales tax return</v>
      </c>
      <c r="BP39" s="21" t="s">
        <v>1051</v>
      </c>
      <c r="BQ39" s="29">
        <f>J39+30</f>
        <v>45751</v>
      </c>
      <c r="BR39" s="29">
        <f>BQ39</f>
        <v>45751</v>
      </c>
      <c r="BS39" s="21" t="s">
        <v>3095</v>
      </c>
      <c r="BT39" s="21" t="s">
        <v>3360</v>
      </c>
      <c r="BU39" s="21" t="s">
        <v>844</v>
      </c>
      <c r="BV39" s="21" t="s">
        <v>846</v>
      </c>
      <c r="BW39" s="21" t="str" cm="1">
        <f t="array" ref="BW39">_xlfn.TEXTJOIN(", ",TRUE,_xlfn.UNIQUE(_xlfn._xlws.FILTER('T10'!$A$3:$A$1500,'T10'!$V$3:$V$1500=G39,"None")))</f>
        <v>PV-0007</v>
      </c>
      <c r="BX39" s="21" t="s">
        <v>3637</v>
      </c>
      <c r="BY39" s="21" t="s">
        <v>3638</v>
      </c>
    </row>
    <row r="40" spans="1:77" x14ac:dyDescent="0.3">
      <c r="A40" s="21" t="s">
        <v>3344</v>
      </c>
      <c r="B40" s="21" t="s">
        <v>3639</v>
      </c>
      <c r="C40" s="21" t="s">
        <v>3640</v>
      </c>
      <c r="D40" s="35">
        <v>45741.416666666664</v>
      </c>
      <c r="E40" s="21" t="s">
        <v>3347</v>
      </c>
      <c r="F40" s="21" t="str">
        <f ca="1">IF(S40="Paid","Completed","Pending payment")</f>
        <v>Completed</v>
      </c>
      <c r="G40" s="21" t="s">
        <v>3641</v>
      </c>
      <c r="H40" s="21" t="s">
        <v>3349</v>
      </c>
      <c r="I40" s="29">
        <v>45741</v>
      </c>
      <c r="J40" s="29">
        <v>45739</v>
      </c>
      <c r="K40" s="21" t="str">
        <f>TEXT(I40,"mmm-yyyy")</f>
        <v>Mar-2025</v>
      </c>
      <c r="L40" s="21" t="s">
        <v>1797</v>
      </c>
      <c r="M40" s="21">
        <v>1</v>
      </c>
      <c r="N40" s="21" t="s">
        <v>743</v>
      </c>
      <c r="O40" s="21" t="s">
        <v>3350</v>
      </c>
      <c r="P40" s="21" t="s">
        <v>3351</v>
      </c>
      <c r="Q40" s="21" t="s">
        <v>844</v>
      </c>
      <c r="R40" s="21" t="s">
        <v>3642</v>
      </c>
      <c r="S40" s="21" t="str">
        <f ca="1">IF(BN40&lt;1,"Paid",IF(BM40&gt;0,"Partially paid",IF(ISNUMBER(SEARCH("hold",BU40)),"On hold",IF(BQ40&lt;TODAY(),"Overdue","Approved - unpaid"))))</f>
        <v>Paid</v>
      </c>
      <c r="T40" s="21" t="s">
        <v>3353</v>
      </c>
      <c r="U40" s="21" t="s">
        <v>3354</v>
      </c>
      <c r="V40" s="21" t="s">
        <v>3355</v>
      </c>
      <c r="W40" s="21" t="s">
        <v>746</v>
      </c>
      <c r="X40" s="21" t="s">
        <v>846</v>
      </c>
      <c r="Y40" s="21" t="s">
        <v>3356</v>
      </c>
      <c r="Z40" s="21" t="s">
        <v>3357</v>
      </c>
      <c r="AA40" s="21" t="s">
        <v>3358</v>
      </c>
      <c r="AB40" s="37">
        <v>0</v>
      </c>
      <c r="AC40" s="21" t="s">
        <v>844</v>
      </c>
      <c r="AD40" s="21" t="s">
        <v>844</v>
      </c>
      <c r="AE40" s="21" t="s">
        <v>844</v>
      </c>
      <c r="AF40" s="21">
        <v>1</v>
      </c>
      <c r="AG40" s="21" t="s">
        <v>911</v>
      </c>
      <c r="AH40" s="21" t="s">
        <v>913</v>
      </c>
      <c r="AI40" s="21" t="s">
        <v>905</v>
      </c>
      <c r="AJ40" s="37">
        <v>1</v>
      </c>
      <c r="AK40" s="37">
        <v>1</v>
      </c>
      <c r="AL40" s="37">
        <v>86700</v>
      </c>
      <c r="AM40" s="37">
        <f>AK40*AL40</f>
        <v>86700</v>
      </c>
      <c r="AN40" s="37">
        <f>AM40</f>
        <v>86700</v>
      </c>
      <c r="AO40" s="23">
        <f>_xlfn.XLOOKUP(AG40,'T13'!$A$3:$A$1500,'T13'!$O$3:$O$1500)</f>
        <v>0.18</v>
      </c>
      <c r="AP40" s="37">
        <v>0</v>
      </c>
      <c r="AQ40" s="37">
        <f>SUMIFS($AN$3:$AN$1500,$G$3:$G$1500,G40)</f>
        <v>86700</v>
      </c>
      <c r="AR40" s="37">
        <f>SUMIFS($AP$3:$AP$1500,$G$3:$G$1500,G40)</f>
        <v>0</v>
      </c>
      <c r="AS40" s="21" t="s">
        <v>3359</v>
      </c>
      <c r="AT40" s="37">
        <f>ROUND(BH40*0,0)</f>
        <v>0</v>
      </c>
      <c r="AU40" s="21" t="s">
        <v>846</v>
      </c>
      <c r="AV40" s="37" cm="1">
        <f t="array" ref="AV40">SUMPRODUCT(($G$3:$G$1500=G40)*$AN$3:$AN$1500*$AO$3:$AO$1500)+AR40</f>
        <v>15606</v>
      </c>
      <c r="AW40" s="37">
        <f>AT40</f>
        <v>0</v>
      </c>
      <c r="AX40" s="21" t="str">
        <f>TEXT(EOMONTH(I40,0)+15,"dd-mmm-yyyy")&amp;" / "&amp;IF(BM40&gt;0,"CPR-IT-"&amp;TEXT(I40,"yymm")&amp;"-"&amp;RIGHT(G40,4),"Pending payment")</f>
        <v>15-Apr-2025 / CPR-IT-2503-0032</v>
      </c>
      <c r="AY40" s="21" t="str">
        <f>IF(BM40&gt;0,"Issued","Not yet")</f>
        <v>Issued</v>
      </c>
      <c r="AZ40" s="37">
        <v>0</v>
      </c>
      <c r="BA40" s="37">
        <v>0</v>
      </c>
      <c r="BB40" s="37">
        <v>0</v>
      </c>
      <c r="BC40" s="37">
        <v>0</v>
      </c>
      <c r="BD40" s="37">
        <v>0</v>
      </c>
      <c r="BE40" s="37">
        <f>AQ40</f>
        <v>86700</v>
      </c>
      <c r="BF40" s="37">
        <f>AV40</f>
        <v>15606</v>
      </c>
      <c r="BG40" s="37">
        <f>AZ40</f>
        <v>0</v>
      </c>
      <c r="BH40" s="37">
        <f>BE40+BF40+BG40</f>
        <v>102306</v>
      </c>
      <c r="BI40" s="37">
        <f>AW40</f>
        <v>0</v>
      </c>
      <c r="BJ40" s="37">
        <f>BA40+BB40+BC40+BD40</f>
        <v>0</v>
      </c>
      <c r="BK40" s="37">
        <f>BH40-BI40-BJ40</f>
        <v>102306</v>
      </c>
      <c r="BL40" s="21" t="str">
        <f>"PKR "&amp;TEXT(BK40,"#,##0")&amp;" only"</f>
        <v>PKR 102,306 only</v>
      </c>
      <c r="BM40" s="37">
        <f>SUMIFS('T10'!$AK$3:$AK$1500,'T10'!$V$3:$V$1500,G40)</f>
        <v>102306</v>
      </c>
      <c r="BN40" s="37">
        <f>BK40-BM40</f>
        <v>0</v>
      </c>
      <c r="BO40" s="21" t="str">
        <f>IF(BF40&gt;0,TEXT(I40,"mmm-yyyy")&amp;" sales tax return","N/A")</f>
        <v>Mar-2025 sales tax return</v>
      </c>
      <c r="BP40" s="21" t="s">
        <v>3358</v>
      </c>
      <c r="BQ40" s="29">
        <f>J40+10</f>
        <v>45749</v>
      </c>
      <c r="BR40" s="29">
        <f>BQ40</f>
        <v>45749</v>
      </c>
      <c r="BS40" s="21" t="s">
        <v>3095</v>
      </c>
      <c r="BT40" s="21" t="s">
        <v>3360</v>
      </c>
      <c r="BU40" s="21" t="s">
        <v>844</v>
      </c>
      <c r="BV40" s="21" t="s">
        <v>846</v>
      </c>
      <c r="BW40" s="21" t="str" cm="1">
        <f t="array" ref="BW40">_xlfn.TEXTJOIN(", ",TRUE,_xlfn.UNIQUE(_xlfn._xlws.FILTER('T10'!$A$3:$A$1500,'T10'!$V$3:$V$1500=G40,"None")))</f>
        <v>PV-0006</v>
      </c>
      <c r="BX40" s="21" t="s">
        <v>3643</v>
      </c>
      <c r="BY40" s="21" t="s">
        <v>3644</v>
      </c>
    </row>
    <row r="41" spans="1:77" x14ac:dyDescent="0.3">
      <c r="A41" s="21" t="s">
        <v>3395</v>
      </c>
      <c r="B41" s="21" t="s">
        <v>3645</v>
      </c>
      <c r="C41" s="21" t="s">
        <v>3646</v>
      </c>
      <c r="D41" s="35">
        <v>45748.5</v>
      </c>
      <c r="E41" s="21" t="s">
        <v>3347</v>
      </c>
      <c r="F41" s="21" t="str">
        <f ca="1">IF(S41="Paid","Completed","Pending payment")</f>
        <v>Completed</v>
      </c>
      <c r="G41" s="21" t="s">
        <v>3647</v>
      </c>
      <c r="H41" s="21" t="s">
        <v>3399</v>
      </c>
      <c r="I41" s="29">
        <v>45747</v>
      </c>
      <c r="J41" s="29">
        <v>45747</v>
      </c>
      <c r="K41" s="21" t="str">
        <f>TEXT(I41,"mmm-yyyy")</f>
        <v>Mar-2025</v>
      </c>
      <c r="L41" s="21" t="s">
        <v>1797</v>
      </c>
      <c r="M41" s="21">
        <v>1</v>
      </c>
      <c r="N41" s="21" t="s">
        <v>743</v>
      </c>
      <c r="O41" s="21" t="s">
        <v>3400</v>
      </c>
      <c r="P41" s="21" t="s">
        <v>3401</v>
      </c>
      <c r="Q41" s="21" t="s">
        <v>844</v>
      </c>
      <c r="R41" s="21" t="s">
        <v>3648</v>
      </c>
      <c r="S41" s="21" t="str">
        <f ca="1">IF(BN41&lt;1,"Paid",IF(BM41&gt;0,"Partially paid",IF(ISNUMBER(SEARCH("hold",BU41)),"On hold",IF(BQ41&lt;TODAY(),"Overdue","Approved - unpaid"))))</f>
        <v>Paid</v>
      </c>
      <c r="T41" s="21" t="s">
        <v>3403</v>
      </c>
      <c r="U41" s="21" t="s">
        <v>3404</v>
      </c>
      <c r="V41" s="21" t="s">
        <v>967</v>
      </c>
      <c r="W41" s="21" t="s">
        <v>746</v>
      </c>
      <c r="X41" s="21" t="s">
        <v>846</v>
      </c>
      <c r="Y41" s="21" t="s">
        <v>3405</v>
      </c>
      <c r="Z41" s="21" t="s">
        <v>3406</v>
      </c>
      <c r="AA41" s="21" t="s">
        <v>1062</v>
      </c>
      <c r="AB41" s="37">
        <v>600000</v>
      </c>
      <c r="AC41" s="21" t="s">
        <v>3649</v>
      </c>
      <c r="AD41" s="21" t="s">
        <v>3650</v>
      </c>
      <c r="AE41" s="21" t="s">
        <v>3651</v>
      </c>
      <c r="AF41" s="21">
        <v>1</v>
      </c>
      <c r="AG41" s="21" t="s">
        <v>763</v>
      </c>
      <c r="AH41" s="21" t="s">
        <v>766</v>
      </c>
      <c r="AI41" s="21" t="s">
        <v>1804</v>
      </c>
      <c r="AJ41" s="37">
        <v>1150</v>
      </c>
      <c r="AK41" s="37">
        <v>1150</v>
      </c>
      <c r="AL41" s="37">
        <v>1320</v>
      </c>
      <c r="AM41" s="37">
        <f>AK41*AL41</f>
        <v>1518000</v>
      </c>
      <c r="AN41" s="37">
        <f>AM41</f>
        <v>1518000</v>
      </c>
      <c r="AO41" s="23">
        <f>_xlfn.XLOOKUP(AG41,'T13'!$A$3:$A$1500,'T13'!$O$3:$O$1500)</f>
        <v>0.18</v>
      </c>
      <c r="AP41" s="37">
        <f>AK41*IF(AI41="MT",1000,IF(AI41="Jumbo bag (1.5 MT)",1500,IF(AI41="Bag (40 kg)",40,50)))*3</f>
        <v>172500</v>
      </c>
      <c r="AQ41" s="37">
        <f>SUMIFS($AN$3:$AN$1500,$G$3:$G$1500,G41)</f>
        <v>1518000</v>
      </c>
      <c r="AR41" s="37">
        <f>SUMIFS($AP$3:$AP$1500,$G$3:$G$1500,G41)</f>
        <v>172500</v>
      </c>
      <c r="AS41" s="21" t="s">
        <v>3410</v>
      </c>
      <c r="AT41" s="37">
        <f>ROUND(BH41*0.05,0)</f>
        <v>98187</v>
      </c>
      <c r="AU41" s="21" t="s">
        <v>846</v>
      </c>
      <c r="AV41" s="37" cm="1">
        <f t="array" ref="AV41">SUMPRODUCT(($G$3:$G$1500=G41)*$AN$3:$AN$1500*$AO$3:$AO$1500)+AR41</f>
        <v>445740</v>
      </c>
      <c r="AW41" s="37">
        <f>AT41</f>
        <v>98187</v>
      </c>
      <c r="AX41" s="21" t="str">
        <f>TEXT(EOMONTH(I41,0)+15,"dd-mmm-yyyy")&amp;" / "&amp;IF(BM41&gt;0,"CPR-IT-"&amp;TEXT(I41,"yymm")&amp;"-"&amp;RIGHT(G41,4),"Pending payment")</f>
        <v>15-Apr-2025 / CPR-IT-2503-0033</v>
      </c>
      <c r="AY41" s="21" t="str">
        <f>IF(BM41&gt;0,"Issued","Not yet")</f>
        <v>Issued</v>
      </c>
      <c r="AZ41" s="37">
        <v>0</v>
      </c>
      <c r="BA41" s="37">
        <v>0</v>
      </c>
      <c r="BB41" s="37">
        <v>600000</v>
      </c>
      <c r="BC41" s="37">
        <v>0</v>
      </c>
      <c r="BD41" s="37">
        <v>0</v>
      </c>
      <c r="BE41" s="37">
        <f>AQ41</f>
        <v>1518000</v>
      </c>
      <c r="BF41" s="37">
        <f>AV41</f>
        <v>445740</v>
      </c>
      <c r="BG41" s="37">
        <f>AZ41</f>
        <v>0</v>
      </c>
      <c r="BH41" s="37">
        <f>BE41+BF41+BG41</f>
        <v>1963740</v>
      </c>
      <c r="BI41" s="37">
        <f>AW41</f>
        <v>98187</v>
      </c>
      <c r="BJ41" s="37">
        <f>BA41+BB41+BC41+BD41</f>
        <v>600000</v>
      </c>
      <c r="BK41" s="37">
        <f>BH41-BI41-BJ41</f>
        <v>1265553</v>
      </c>
      <c r="BL41" s="21" t="str">
        <f>"PKR "&amp;TEXT(BK41,"#,##0")&amp;" only"</f>
        <v>PKR 1,265,553 only</v>
      </c>
      <c r="BM41" s="37">
        <f>SUMIFS('T10'!$AK$3:$AK$1500,'T10'!$V$3:$V$1500,G41)</f>
        <v>1265553</v>
      </c>
      <c r="BN41" s="37">
        <f>BK41-BM41</f>
        <v>0</v>
      </c>
      <c r="BO41" s="21" t="str">
        <f>IF(BF41&gt;0,TEXT(I41,"mmm-yyyy")&amp;" sales tax return","N/A")</f>
        <v>Mar-2025 sales tax return</v>
      </c>
      <c r="BP41" s="21" t="s">
        <v>1062</v>
      </c>
      <c r="BQ41" s="29">
        <f>J41+15</f>
        <v>45762</v>
      </c>
      <c r="BR41" s="29">
        <f>BQ41</f>
        <v>45762</v>
      </c>
      <c r="BS41" s="21" t="s">
        <v>3095</v>
      </c>
      <c r="BT41" s="21" t="s">
        <v>3411</v>
      </c>
      <c r="BU41" s="21" t="s">
        <v>844</v>
      </c>
      <c r="BV41" s="21" t="s">
        <v>846</v>
      </c>
      <c r="BW41" s="21" t="str" cm="1">
        <f t="array" ref="BW41">_xlfn.TEXTJOIN(", ",TRUE,_xlfn.UNIQUE(_xlfn._xlws.FILTER('T10'!$A$3:$A$1500,'T10'!$V$3:$V$1500=G41,"None")))</f>
        <v>PV-0016</v>
      </c>
      <c r="BX41" s="21" t="s">
        <v>3652</v>
      </c>
      <c r="BY41" s="21" t="s">
        <v>3653</v>
      </c>
    </row>
    <row r="42" spans="1:77" x14ac:dyDescent="0.3">
      <c r="A42" s="21" t="s">
        <v>3415</v>
      </c>
      <c r="B42" s="21" t="s">
        <v>3654</v>
      </c>
      <c r="C42" s="21" t="s">
        <v>3655</v>
      </c>
      <c r="D42" s="35">
        <v>45749.666666666664</v>
      </c>
      <c r="E42" s="21" t="s">
        <v>3347</v>
      </c>
      <c r="F42" s="21" t="str">
        <f ca="1">IF(S42="Paid","Completed","Pending payment")</f>
        <v>Completed</v>
      </c>
      <c r="G42" s="21" t="s">
        <v>3656</v>
      </c>
      <c r="H42" s="21" t="s">
        <v>3399</v>
      </c>
      <c r="I42" s="29">
        <v>45747</v>
      </c>
      <c r="J42" s="29">
        <v>45747</v>
      </c>
      <c r="K42" s="21" t="str">
        <f>TEXT(I42,"mmm-yyyy")</f>
        <v>Mar-2025</v>
      </c>
      <c r="L42" s="21" t="s">
        <v>1797</v>
      </c>
      <c r="M42" s="21">
        <v>1</v>
      </c>
      <c r="N42" s="21" t="s">
        <v>743</v>
      </c>
      <c r="O42" s="21" t="s">
        <v>3400</v>
      </c>
      <c r="P42" s="21" t="s">
        <v>3401</v>
      </c>
      <c r="Q42" s="21" t="s">
        <v>844</v>
      </c>
      <c r="R42" s="21" t="s">
        <v>3657</v>
      </c>
      <c r="S42" s="21" t="str">
        <f ca="1">IF(BN42&lt;1,"Paid",IF(BM42&gt;0,"Partially paid",IF(ISNUMBER(SEARCH("hold",BU42)),"On hold",IF(BQ42&lt;TODAY(),"Overdue","Approved - unpaid"))))</f>
        <v>Paid</v>
      </c>
      <c r="T42" s="21" t="s">
        <v>3403</v>
      </c>
      <c r="U42" s="21" t="s">
        <v>3419</v>
      </c>
      <c r="V42" s="21" t="s">
        <v>999</v>
      </c>
      <c r="W42" s="21" t="s">
        <v>746</v>
      </c>
      <c r="X42" s="21" t="s">
        <v>846</v>
      </c>
      <c r="Y42" s="21" t="s">
        <v>3420</v>
      </c>
      <c r="Z42" s="21" t="s">
        <v>3421</v>
      </c>
      <c r="AA42" s="21" t="s">
        <v>1062</v>
      </c>
      <c r="AB42" s="37">
        <v>0</v>
      </c>
      <c r="AC42" s="21" t="s">
        <v>3658</v>
      </c>
      <c r="AD42" s="21" t="s">
        <v>3659</v>
      </c>
      <c r="AE42" s="21" t="s">
        <v>3424</v>
      </c>
      <c r="AF42" s="21">
        <v>1</v>
      </c>
      <c r="AG42" s="21" t="s">
        <v>799</v>
      </c>
      <c r="AH42" s="21" t="s">
        <v>801</v>
      </c>
      <c r="AI42" s="21" t="s">
        <v>1804</v>
      </c>
      <c r="AJ42" s="37">
        <v>2050</v>
      </c>
      <c r="AK42" s="37">
        <v>2050</v>
      </c>
      <c r="AL42" s="37">
        <v>1270</v>
      </c>
      <c r="AM42" s="37">
        <f>AK42*AL42</f>
        <v>2603500</v>
      </c>
      <c r="AN42" s="37">
        <f>AM42</f>
        <v>2603500</v>
      </c>
      <c r="AO42" s="23">
        <f>_xlfn.XLOOKUP(AG42,'T13'!$A$3:$A$1500,'T13'!$O$3:$O$1500)</f>
        <v>0.18</v>
      </c>
      <c r="AP42" s="37">
        <f>AK42*IF(AI42="MT",1000,IF(AI42="Jumbo bag (1.5 MT)",1500,IF(AI42="Bag (40 kg)",40,50)))*3</f>
        <v>307500</v>
      </c>
      <c r="AQ42" s="37">
        <f>SUMIFS($AN$3:$AN$1500,$G$3:$G$1500,G42)</f>
        <v>2791000</v>
      </c>
      <c r="AR42" s="37">
        <f>SUMIFS($AP$3:$AP$1500,$G$3:$G$1500,G42)</f>
        <v>330000</v>
      </c>
      <c r="AS42" s="21" t="s">
        <v>3410</v>
      </c>
      <c r="AT42" s="37">
        <f>ROUND(BH42*0.05,0)</f>
        <v>181169</v>
      </c>
      <c r="AU42" s="21" t="s">
        <v>846</v>
      </c>
      <c r="AV42" s="37" cm="1">
        <f t="array" ref="AV42">SUMPRODUCT(($G$3:$G$1500=G42)*$AN$3:$AN$1500*$AO$3:$AO$1500)+AR42</f>
        <v>832380</v>
      </c>
      <c r="AW42" s="37">
        <f>AT42</f>
        <v>181169</v>
      </c>
      <c r="AX42" s="21" t="str">
        <f>TEXT(EOMONTH(I42,0)+15,"dd-mmm-yyyy")&amp;" / "&amp;IF(BM42&gt;0,"CPR-IT-"&amp;TEXT(I42,"yymm")&amp;"-"&amp;RIGHT(G42,4),"Pending payment")</f>
        <v>15-Apr-2025 / CPR-IT-2503-0034</v>
      </c>
      <c r="AY42" s="21" t="str">
        <f>IF(BM42&gt;0,"Issued","Not yet")</f>
        <v>Issued</v>
      </c>
      <c r="AZ42" s="37">
        <v>0</v>
      </c>
      <c r="BA42" s="37">
        <v>0</v>
      </c>
      <c r="BB42" s="37">
        <v>0</v>
      </c>
      <c r="BC42" s="37">
        <v>0</v>
      </c>
      <c r="BD42" s="37">
        <v>0</v>
      </c>
      <c r="BE42" s="37">
        <f>AQ42</f>
        <v>2791000</v>
      </c>
      <c r="BF42" s="37">
        <f>AV42</f>
        <v>832380</v>
      </c>
      <c r="BG42" s="37">
        <f>AZ42</f>
        <v>0</v>
      </c>
      <c r="BH42" s="37">
        <f>BE42+BF42+BG42</f>
        <v>3623380</v>
      </c>
      <c r="BI42" s="37">
        <f>AW42</f>
        <v>181169</v>
      </c>
      <c r="BJ42" s="37">
        <f>BA42+BB42+BC42+BD42</f>
        <v>0</v>
      </c>
      <c r="BK42" s="37">
        <f>BH42-BI42-BJ42</f>
        <v>3442211</v>
      </c>
      <c r="BL42" s="21" t="str">
        <f>"PKR "&amp;TEXT(BK42,"#,##0")&amp;" only"</f>
        <v>PKR 3,442,211 only</v>
      </c>
      <c r="BM42" s="37">
        <f>SUMIFS('T10'!$AK$3:$AK$1500,'T10'!$V$3:$V$1500,G42)</f>
        <v>3442211</v>
      </c>
      <c r="BN42" s="37">
        <f>BK42-BM42</f>
        <v>0</v>
      </c>
      <c r="BO42" s="21" t="str">
        <f>IF(BF42&gt;0,TEXT(I42,"mmm-yyyy")&amp;" sales tax return","N/A")</f>
        <v>Mar-2025 sales tax return</v>
      </c>
      <c r="BP42" s="21" t="s">
        <v>1062</v>
      </c>
      <c r="BQ42" s="29">
        <f>J42+15</f>
        <v>45762</v>
      </c>
      <c r="BR42" s="29">
        <f>BQ42</f>
        <v>45762</v>
      </c>
      <c r="BS42" s="21" t="s">
        <v>3095</v>
      </c>
      <c r="BT42" s="21" t="s">
        <v>3411</v>
      </c>
      <c r="BU42" s="21" t="s">
        <v>844</v>
      </c>
      <c r="BV42" s="21" t="s">
        <v>846</v>
      </c>
      <c r="BW42" s="21" t="str" cm="1">
        <f t="array" ref="BW42">_xlfn.TEXTJOIN(", ",TRUE,_xlfn.UNIQUE(_xlfn._xlws.FILTER('T10'!$A$3:$A$1500,'T10'!$V$3:$V$1500=G42,"None")))</f>
        <v>PV-0004</v>
      </c>
      <c r="BX42" s="21" t="s">
        <v>3652</v>
      </c>
      <c r="BY42" s="21" t="s">
        <v>3653</v>
      </c>
    </row>
    <row r="43" spans="1:77" x14ac:dyDescent="0.3">
      <c r="A43" s="21" t="s">
        <v>3415</v>
      </c>
      <c r="B43" s="21" t="s">
        <v>3654</v>
      </c>
      <c r="C43" s="21" t="s">
        <v>3655</v>
      </c>
      <c r="D43" s="35">
        <v>45749.666666666664</v>
      </c>
      <c r="E43" s="21" t="s">
        <v>3347</v>
      </c>
      <c r="F43" s="21" t="str">
        <f ca="1">IF(S43="Paid","Completed","Pending payment")</f>
        <v>Completed</v>
      </c>
      <c r="G43" s="21" t="s">
        <v>3656</v>
      </c>
      <c r="H43" s="21" t="s">
        <v>3399</v>
      </c>
      <c r="I43" s="29">
        <v>45747</v>
      </c>
      <c r="J43" s="29">
        <v>45747</v>
      </c>
      <c r="K43" s="21" t="str">
        <f>TEXT(I43,"mmm-yyyy")</f>
        <v>Mar-2025</v>
      </c>
      <c r="L43" s="21" t="s">
        <v>1797</v>
      </c>
      <c r="M43" s="21">
        <v>1</v>
      </c>
      <c r="N43" s="21" t="s">
        <v>743</v>
      </c>
      <c r="O43" s="21" t="s">
        <v>3400</v>
      </c>
      <c r="P43" s="21" t="s">
        <v>3401</v>
      </c>
      <c r="Q43" s="21" t="s">
        <v>844</v>
      </c>
      <c r="R43" s="21" t="s">
        <v>3657</v>
      </c>
      <c r="S43" s="21" t="str">
        <f ca="1">IF(BN43&lt;1,"Paid",IF(BM43&gt;0,"Partially paid",IF(ISNUMBER(SEARCH("hold",BU43)),"On hold",IF(BQ43&lt;TODAY(),"Overdue","Approved - unpaid"))))</f>
        <v>Paid</v>
      </c>
      <c r="T43" s="21" t="s">
        <v>3403</v>
      </c>
      <c r="U43" s="21" t="s">
        <v>3419</v>
      </c>
      <c r="V43" s="21" t="s">
        <v>999</v>
      </c>
      <c r="W43" s="21" t="s">
        <v>746</v>
      </c>
      <c r="X43" s="21" t="s">
        <v>846</v>
      </c>
      <c r="Y43" s="21" t="s">
        <v>3420</v>
      </c>
      <c r="Z43" s="21" t="s">
        <v>3421</v>
      </c>
      <c r="AA43" s="21" t="s">
        <v>1062</v>
      </c>
      <c r="AB43" s="37">
        <v>0</v>
      </c>
      <c r="AC43" s="21" t="s">
        <v>3658</v>
      </c>
      <c r="AD43" s="21" t="s">
        <v>3660</v>
      </c>
      <c r="AE43" s="21" t="s">
        <v>3424</v>
      </c>
      <c r="AF43" s="21">
        <v>2</v>
      </c>
      <c r="AG43" s="21" t="s">
        <v>820</v>
      </c>
      <c r="AH43" s="21" t="s">
        <v>822</v>
      </c>
      <c r="AI43" s="21" t="s">
        <v>1804</v>
      </c>
      <c r="AJ43" s="37">
        <v>150</v>
      </c>
      <c r="AK43" s="37">
        <v>150</v>
      </c>
      <c r="AL43" s="37">
        <v>1250</v>
      </c>
      <c r="AM43" s="37">
        <f>AK43*AL43</f>
        <v>187500</v>
      </c>
      <c r="AN43" s="37">
        <f>AM43</f>
        <v>187500</v>
      </c>
      <c r="AO43" s="23">
        <f>_xlfn.XLOOKUP(AG43,'T13'!$A$3:$A$1500,'T13'!$O$3:$O$1500)</f>
        <v>0.18</v>
      </c>
      <c r="AP43" s="37">
        <f>AK43*IF(AI43="MT",1000,IF(AI43="Jumbo bag (1.5 MT)",1500,IF(AI43="Bag (40 kg)",40,50)))*3</f>
        <v>22500</v>
      </c>
      <c r="AQ43" s="37">
        <f>SUMIFS($AN$3:$AN$1500,$G$3:$G$1500,G43)</f>
        <v>2791000</v>
      </c>
      <c r="AR43" s="37">
        <f>SUMIFS($AP$3:$AP$1500,$G$3:$G$1500,G43)</f>
        <v>330000</v>
      </c>
      <c r="AS43" s="21" t="s">
        <v>3410</v>
      </c>
      <c r="AT43" s="37">
        <f>ROUND(BH43*0.05,0)</f>
        <v>181169</v>
      </c>
      <c r="AU43" s="21" t="s">
        <v>846</v>
      </c>
      <c r="AV43" s="37" cm="1">
        <f t="array" ref="AV43">SUMPRODUCT(($G$3:$G$1500=G43)*$AN$3:$AN$1500*$AO$3:$AO$1500)+AR43</f>
        <v>832380</v>
      </c>
      <c r="AW43" s="37">
        <f>AT43</f>
        <v>181169</v>
      </c>
      <c r="AX43" s="21" t="str">
        <f>TEXT(EOMONTH(I43,0)+15,"dd-mmm-yyyy")&amp;" / "&amp;IF(BM43&gt;0,"CPR-IT-"&amp;TEXT(I43,"yymm")&amp;"-"&amp;RIGHT(G43,4),"Pending payment")</f>
        <v>15-Apr-2025 / CPR-IT-2503-0034</v>
      </c>
      <c r="AY43" s="21" t="str">
        <f>IF(BM43&gt;0,"Issued","Not yet")</f>
        <v>Issued</v>
      </c>
      <c r="AZ43" s="37">
        <v>0</v>
      </c>
      <c r="BA43" s="37">
        <v>0</v>
      </c>
      <c r="BB43" s="37">
        <v>0</v>
      </c>
      <c r="BC43" s="37">
        <v>0</v>
      </c>
      <c r="BD43" s="37">
        <v>0</v>
      </c>
      <c r="BE43" s="37">
        <f>AQ43</f>
        <v>2791000</v>
      </c>
      <c r="BF43" s="37">
        <f>AV43</f>
        <v>832380</v>
      </c>
      <c r="BG43" s="37">
        <f>AZ43</f>
        <v>0</v>
      </c>
      <c r="BH43" s="37">
        <f>BE43+BF43+BG43</f>
        <v>3623380</v>
      </c>
      <c r="BI43" s="37">
        <f>AW43</f>
        <v>181169</v>
      </c>
      <c r="BJ43" s="37">
        <f>BA43+BB43+BC43+BD43</f>
        <v>0</v>
      </c>
      <c r="BK43" s="37">
        <f>BH43-BI43-BJ43</f>
        <v>3442211</v>
      </c>
      <c r="BL43" s="21" t="str">
        <f>"PKR "&amp;TEXT(BK43,"#,##0")&amp;" only"</f>
        <v>PKR 3,442,211 only</v>
      </c>
      <c r="BM43" s="37">
        <f>SUMIFS('T10'!$AK$3:$AK$1500,'T10'!$V$3:$V$1500,G43)</f>
        <v>3442211</v>
      </c>
      <c r="BN43" s="37">
        <f>BK43-BM43</f>
        <v>0</v>
      </c>
      <c r="BO43" s="21" t="str">
        <f>IF(BF43&gt;0,TEXT(I43,"mmm-yyyy")&amp;" sales tax return","N/A")</f>
        <v>Mar-2025 sales tax return</v>
      </c>
      <c r="BP43" s="21" t="s">
        <v>1062</v>
      </c>
      <c r="BQ43" s="29">
        <f>J43+15</f>
        <v>45762</v>
      </c>
      <c r="BR43" s="29">
        <f>BQ43</f>
        <v>45762</v>
      </c>
      <c r="BS43" s="21" t="s">
        <v>3095</v>
      </c>
      <c r="BT43" s="21" t="s">
        <v>3411</v>
      </c>
      <c r="BU43" s="21" t="s">
        <v>844</v>
      </c>
      <c r="BV43" s="21" t="s">
        <v>846</v>
      </c>
      <c r="BW43" s="21" t="str" cm="1">
        <f t="array" ref="BW43">_xlfn.TEXTJOIN(", ",TRUE,_xlfn.UNIQUE(_xlfn._xlws.FILTER('T10'!$A$3:$A$1500,'T10'!$V$3:$V$1500=G43,"None")))</f>
        <v>PV-0004</v>
      </c>
      <c r="BX43" s="21" t="s">
        <v>3652</v>
      </c>
      <c r="BY43" s="21" t="s">
        <v>3653</v>
      </c>
    </row>
    <row r="44" spans="1:77" x14ac:dyDescent="0.3">
      <c r="A44" s="21" t="s">
        <v>3438</v>
      </c>
      <c r="B44" s="21" t="s">
        <v>2166</v>
      </c>
      <c r="C44" s="21" t="s">
        <v>3661</v>
      </c>
      <c r="D44" s="35">
        <v>45750.583333333336</v>
      </c>
      <c r="E44" s="21" t="s">
        <v>3347</v>
      </c>
      <c r="F44" s="21" t="str">
        <f ca="1">IF(S44="Paid","Completed","Pending payment")</f>
        <v>Completed</v>
      </c>
      <c r="G44" s="21" t="s">
        <v>3662</v>
      </c>
      <c r="H44" s="21" t="s">
        <v>3428</v>
      </c>
      <c r="I44" s="29">
        <v>45750</v>
      </c>
      <c r="J44" s="29">
        <v>45748</v>
      </c>
      <c r="K44" s="21" t="str">
        <f>TEXT(I44,"mmm-yyyy")</f>
        <v>Apr-2025</v>
      </c>
      <c r="L44" s="21" t="s">
        <v>1797</v>
      </c>
      <c r="M44" s="21">
        <v>1</v>
      </c>
      <c r="N44" s="21" t="s">
        <v>743</v>
      </c>
      <c r="O44" s="21" t="s">
        <v>3350</v>
      </c>
      <c r="P44" s="21" t="s">
        <v>3429</v>
      </c>
      <c r="Q44" s="21" t="s">
        <v>844</v>
      </c>
      <c r="R44" s="21" t="s">
        <v>3663</v>
      </c>
      <c r="S44" s="21" t="str">
        <f ca="1">IF(BN44&lt;1,"Paid",IF(BM44&gt;0,"Partially paid",IF(ISNUMBER(SEARCH("hold",BU44)),"On hold",IF(BQ44&lt;TODAY(),"Overdue","Approved - unpaid"))))</f>
        <v>Paid</v>
      </c>
      <c r="T44" s="21" t="s">
        <v>3431</v>
      </c>
      <c r="U44" s="21" t="s">
        <v>1278</v>
      </c>
      <c r="V44" s="21" t="s">
        <v>1200</v>
      </c>
      <c r="W44" s="21" t="s">
        <v>746</v>
      </c>
      <c r="X44" s="21" t="s">
        <v>846</v>
      </c>
      <c r="Y44" s="21" t="s">
        <v>3441</v>
      </c>
      <c r="Z44" s="21" t="s">
        <v>3442</v>
      </c>
      <c r="AA44" s="21" t="s">
        <v>1051</v>
      </c>
      <c r="AB44" s="37">
        <v>0</v>
      </c>
      <c r="AC44" s="21" t="s">
        <v>844</v>
      </c>
      <c r="AD44" s="21" t="s">
        <v>844</v>
      </c>
      <c r="AE44" s="21" t="s">
        <v>3443</v>
      </c>
      <c r="AF44" s="21">
        <v>1</v>
      </c>
      <c r="AG44" s="21" t="s">
        <v>837</v>
      </c>
      <c r="AH44" s="21" t="s">
        <v>840</v>
      </c>
      <c r="AI44" s="21" t="s">
        <v>842</v>
      </c>
      <c r="AJ44" s="37">
        <f>COUNTIFS('T14'!$AQ$3:$AQ$1500,B44,'T14'!$Z$3:$Z$1500,1,'T14'!$F$3:$F$1500,"Bag")</f>
        <v>3</v>
      </c>
      <c r="AK44" s="37">
        <f>AJ44</f>
        <v>3</v>
      </c>
      <c r="AL44" s="37">
        <v>39000</v>
      </c>
      <c r="AM44" s="37">
        <f>AK44*AL44</f>
        <v>117000</v>
      </c>
      <c r="AN44" s="37">
        <f>AM44</f>
        <v>117000</v>
      </c>
      <c r="AO44" s="23">
        <f>_xlfn.XLOOKUP(AG44,'T13'!$A$3:$A$1500,'T13'!$O$3:$O$1500)</f>
        <v>0.16</v>
      </c>
      <c r="AP44" s="37">
        <v>0</v>
      </c>
      <c r="AQ44" s="37">
        <f>SUMIFS($AN$3:$AN$1500,$G$3:$G$1500,G44)</f>
        <v>117000</v>
      </c>
      <c r="AR44" s="37">
        <f>SUMIFS($AP$3:$AP$1500,$G$3:$G$1500,G44)</f>
        <v>0</v>
      </c>
      <c r="AS44" s="21" t="s">
        <v>3444</v>
      </c>
      <c r="AT44" s="37">
        <f>ROUND(BH44*0.04,0)</f>
        <v>5429</v>
      </c>
      <c r="AU44" s="21" t="s">
        <v>846</v>
      </c>
      <c r="AV44" s="37" cm="1">
        <f t="array" ref="AV44">SUMPRODUCT(($G$3:$G$1500=G44)*$AN$3:$AN$1500*$AO$3:$AO$1500)+AR44</f>
        <v>18720</v>
      </c>
      <c r="AW44" s="37">
        <f>AT44</f>
        <v>5429</v>
      </c>
      <c r="AX44" s="21" t="str">
        <f>TEXT(EOMONTH(I44,0)+15,"dd-mmm-yyyy")&amp;" / "&amp;IF(BM44&gt;0,"CPR-IT-"&amp;TEXT(I44,"yymm")&amp;"-"&amp;RIGHT(G44,4),"Pending payment")</f>
        <v>15-May-2025 / CPR-IT-2504-0035</v>
      </c>
      <c r="AY44" s="21" t="str">
        <f>IF(BM44&gt;0,"Issued","Not yet")</f>
        <v>Issued</v>
      </c>
      <c r="AZ44" s="37">
        <v>0</v>
      </c>
      <c r="BA44" s="37">
        <v>0</v>
      </c>
      <c r="BB44" s="37">
        <v>0</v>
      </c>
      <c r="BC44" s="37">
        <v>0</v>
      </c>
      <c r="BD44" s="37">
        <v>0</v>
      </c>
      <c r="BE44" s="37">
        <f>AQ44</f>
        <v>117000</v>
      </c>
      <c r="BF44" s="37">
        <f>AV44</f>
        <v>18720</v>
      </c>
      <c r="BG44" s="37">
        <f>AZ44</f>
        <v>0</v>
      </c>
      <c r="BH44" s="37">
        <f>BE44+BF44+BG44</f>
        <v>135720</v>
      </c>
      <c r="BI44" s="37">
        <f>AW44</f>
        <v>5429</v>
      </c>
      <c r="BJ44" s="37">
        <f>BA44+BB44+BC44+BD44</f>
        <v>0</v>
      </c>
      <c r="BK44" s="37">
        <f>BH44-BI44-BJ44</f>
        <v>130291</v>
      </c>
      <c r="BL44" s="21" t="str">
        <f>"PKR "&amp;TEXT(BK44,"#,##0")&amp;" only"</f>
        <v>PKR 130,291 only</v>
      </c>
      <c r="BM44" s="37">
        <f>SUMIFS('T10'!$AK$3:$AK$1500,'T10'!$V$3:$V$1500,G44)</f>
        <v>130291</v>
      </c>
      <c r="BN44" s="37">
        <f>BK44-BM44</f>
        <v>0</v>
      </c>
      <c r="BO44" s="21" t="str">
        <f>IF(BF44&gt;0,TEXT(I44,"mmm-yyyy")&amp;" sales tax return","N/A")</f>
        <v>Apr-2025 sales tax return</v>
      </c>
      <c r="BP44" s="21" t="s">
        <v>1051</v>
      </c>
      <c r="BQ44" s="29">
        <f>J44+30</f>
        <v>45778</v>
      </c>
      <c r="BR44" s="29">
        <f>BQ44</f>
        <v>45778</v>
      </c>
      <c r="BS44" s="21" t="s">
        <v>3095</v>
      </c>
      <c r="BT44" s="21" t="s">
        <v>3360</v>
      </c>
      <c r="BU44" s="21" t="s">
        <v>844</v>
      </c>
      <c r="BV44" s="21" t="s">
        <v>846</v>
      </c>
      <c r="BW44" s="21" t="str" cm="1">
        <f t="array" ref="BW44">_xlfn.TEXTJOIN(", ",TRUE,_xlfn.UNIQUE(_xlfn._xlws.FILTER('T10'!$A$3:$A$1500,'T10'!$V$3:$V$1500=G44,"None")))</f>
        <v>PV-0012</v>
      </c>
      <c r="BX44" s="21" t="s">
        <v>3664</v>
      </c>
      <c r="BY44" s="21" t="s">
        <v>3665</v>
      </c>
    </row>
    <row r="45" spans="1:77" x14ac:dyDescent="0.3">
      <c r="A45" s="21" t="s">
        <v>3489</v>
      </c>
      <c r="B45" s="21" t="s">
        <v>2170</v>
      </c>
      <c r="C45" s="21" t="s">
        <v>3666</v>
      </c>
      <c r="D45" s="35">
        <v>45750.458333333336</v>
      </c>
      <c r="E45" s="21" t="s">
        <v>3347</v>
      </c>
      <c r="F45" s="21" t="str">
        <f ca="1">IF(S45="Paid","Completed","Pending payment")</f>
        <v>Completed</v>
      </c>
      <c r="G45" s="21" t="s">
        <v>3667</v>
      </c>
      <c r="H45" s="21" t="s">
        <v>3428</v>
      </c>
      <c r="I45" s="29">
        <v>45750</v>
      </c>
      <c r="J45" s="29">
        <v>45748</v>
      </c>
      <c r="K45" s="21" t="str">
        <f>TEXT(I45,"mmm-yyyy")</f>
        <v>Apr-2025</v>
      </c>
      <c r="L45" s="21" t="s">
        <v>1797</v>
      </c>
      <c r="M45" s="21">
        <v>1</v>
      </c>
      <c r="N45" s="21" t="s">
        <v>743</v>
      </c>
      <c r="O45" s="21" t="s">
        <v>3350</v>
      </c>
      <c r="P45" s="21" t="s">
        <v>3429</v>
      </c>
      <c r="Q45" s="21" t="s">
        <v>844</v>
      </c>
      <c r="R45" s="21" t="s">
        <v>3663</v>
      </c>
      <c r="S45" s="21" t="str">
        <f ca="1">IF(BN45&lt;1,"Paid",IF(BM45&gt;0,"Partially paid",IF(ISNUMBER(SEARCH("hold",BU45)),"On hold",IF(BQ45&lt;TODAY(),"Overdue","Approved - unpaid"))))</f>
        <v>Paid</v>
      </c>
      <c r="T45" s="21" t="s">
        <v>3431</v>
      </c>
      <c r="U45" s="21" t="s">
        <v>1213</v>
      </c>
      <c r="V45" s="21" t="s">
        <v>1194</v>
      </c>
      <c r="W45" s="21" t="s">
        <v>746</v>
      </c>
      <c r="X45" s="21" t="s">
        <v>846</v>
      </c>
      <c r="Y45" s="21" t="s">
        <v>3493</v>
      </c>
      <c r="Z45" s="21" t="s">
        <v>3494</v>
      </c>
      <c r="AA45" s="21" t="s">
        <v>1051</v>
      </c>
      <c r="AB45" s="37">
        <v>0</v>
      </c>
      <c r="AC45" s="21" t="s">
        <v>844</v>
      </c>
      <c r="AD45" s="21" t="s">
        <v>844</v>
      </c>
      <c r="AE45" s="21" t="s">
        <v>3495</v>
      </c>
      <c r="AF45" s="21">
        <v>1</v>
      </c>
      <c r="AG45" s="21" t="s">
        <v>837</v>
      </c>
      <c r="AH45" s="21" t="s">
        <v>840</v>
      </c>
      <c r="AI45" s="21" t="s">
        <v>842</v>
      </c>
      <c r="AJ45" s="37">
        <f>COUNTIFS('T14'!$AQ$3:$AQ$1500,B45,'T14'!$Z$3:$Z$1500,1,'T14'!$F$3:$F$1500,"Bag")</f>
        <v>3</v>
      </c>
      <c r="AK45" s="37">
        <f>AJ45</f>
        <v>3</v>
      </c>
      <c r="AL45" s="37">
        <v>39000</v>
      </c>
      <c r="AM45" s="37">
        <f>AK45*AL45</f>
        <v>117000</v>
      </c>
      <c r="AN45" s="37">
        <f>AM45</f>
        <v>117000</v>
      </c>
      <c r="AO45" s="23">
        <f>_xlfn.XLOOKUP(AG45,'T13'!$A$3:$A$1500,'T13'!$O$3:$O$1500)</f>
        <v>0.16</v>
      </c>
      <c r="AP45" s="37">
        <v>0</v>
      </c>
      <c r="AQ45" s="37">
        <f>SUMIFS($AN$3:$AN$1500,$G$3:$G$1500,G45)</f>
        <v>117000</v>
      </c>
      <c r="AR45" s="37">
        <f>SUMIFS($AP$3:$AP$1500,$G$3:$G$1500,G45)</f>
        <v>0</v>
      </c>
      <c r="AS45" s="21" t="s">
        <v>3444</v>
      </c>
      <c r="AT45" s="37">
        <f>ROUND(BH45*0.04,0)</f>
        <v>5429</v>
      </c>
      <c r="AU45" s="21" t="s">
        <v>846</v>
      </c>
      <c r="AV45" s="37" cm="1">
        <f t="array" ref="AV45">SUMPRODUCT(($G$3:$G$1500=G45)*$AN$3:$AN$1500*$AO$3:$AO$1500)+AR45</f>
        <v>18720</v>
      </c>
      <c r="AW45" s="37">
        <f>AT45</f>
        <v>5429</v>
      </c>
      <c r="AX45" s="21" t="str">
        <f>TEXT(EOMONTH(I45,0)+15,"dd-mmm-yyyy")&amp;" / "&amp;IF(BM45&gt;0,"CPR-IT-"&amp;TEXT(I45,"yymm")&amp;"-"&amp;RIGHT(G45,4),"Pending payment")</f>
        <v>15-May-2025 / CPR-IT-2504-0036</v>
      </c>
      <c r="AY45" s="21" t="str">
        <f>IF(BM45&gt;0,"Issued","Not yet")</f>
        <v>Issued</v>
      </c>
      <c r="AZ45" s="37">
        <v>0</v>
      </c>
      <c r="BA45" s="37">
        <v>0</v>
      </c>
      <c r="BB45" s="37">
        <v>0</v>
      </c>
      <c r="BC45" s="37">
        <v>0</v>
      </c>
      <c r="BD45" s="37">
        <v>0</v>
      </c>
      <c r="BE45" s="37">
        <f>AQ45</f>
        <v>117000</v>
      </c>
      <c r="BF45" s="37">
        <f>AV45</f>
        <v>18720</v>
      </c>
      <c r="BG45" s="37">
        <f>AZ45</f>
        <v>0</v>
      </c>
      <c r="BH45" s="37">
        <f>BE45+BF45+BG45</f>
        <v>135720</v>
      </c>
      <c r="BI45" s="37">
        <f>AW45</f>
        <v>5429</v>
      </c>
      <c r="BJ45" s="37">
        <f>BA45+BB45+BC45+BD45</f>
        <v>0</v>
      </c>
      <c r="BK45" s="37">
        <f>BH45-BI45-BJ45</f>
        <v>130291</v>
      </c>
      <c r="BL45" s="21" t="str">
        <f>"PKR "&amp;TEXT(BK45,"#,##0")&amp;" only"</f>
        <v>PKR 130,291 only</v>
      </c>
      <c r="BM45" s="37">
        <f>SUMIFS('T10'!$AK$3:$AK$1500,'T10'!$V$3:$V$1500,G45)</f>
        <v>130291</v>
      </c>
      <c r="BN45" s="37">
        <f>BK45-BM45</f>
        <v>0</v>
      </c>
      <c r="BO45" s="21" t="str">
        <f>IF(BF45&gt;0,TEXT(I45,"mmm-yyyy")&amp;" sales tax return","N/A")</f>
        <v>Apr-2025 sales tax return</v>
      </c>
      <c r="BP45" s="21" t="s">
        <v>1051</v>
      </c>
      <c r="BQ45" s="29">
        <f>J45+30</f>
        <v>45778</v>
      </c>
      <c r="BR45" s="29">
        <f>BQ45</f>
        <v>45778</v>
      </c>
      <c r="BS45" s="21" t="s">
        <v>3095</v>
      </c>
      <c r="BT45" s="21" t="s">
        <v>3360</v>
      </c>
      <c r="BU45" s="21" t="s">
        <v>844</v>
      </c>
      <c r="BV45" s="21" t="s">
        <v>846</v>
      </c>
      <c r="BW45" s="21" t="str" cm="1">
        <f t="array" ref="BW45">_xlfn.TEXTJOIN(", ",TRUE,_xlfn.UNIQUE(_xlfn._xlws.FILTER('T10'!$A$3:$A$1500,'T10'!$V$3:$V$1500=G45,"None")))</f>
        <v>PV-0005</v>
      </c>
      <c r="BX45" s="21" t="s">
        <v>3664</v>
      </c>
      <c r="BY45" s="21" t="s">
        <v>3665</v>
      </c>
    </row>
    <row r="46" spans="1:77" x14ac:dyDescent="0.3">
      <c r="A46" s="21" t="s">
        <v>3456</v>
      </c>
      <c r="B46" s="21" t="s">
        <v>3668</v>
      </c>
      <c r="C46" s="21" t="s">
        <v>3669</v>
      </c>
      <c r="D46" s="35">
        <v>45750.583333333336</v>
      </c>
      <c r="E46" s="21" t="s">
        <v>3347</v>
      </c>
      <c r="F46" s="21" t="str">
        <f ca="1">IF(S46="Paid","Completed","Pending payment")</f>
        <v>Completed</v>
      </c>
      <c r="G46" s="21" t="s">
        <v>3670</v>
      </c>
      <c r="H46" s="21" t="s">
        <v>3460</v>
      </c>
      <c r="I46" s="29">
        <v>45751</v>
      </c>
      <c r="J46" s="29">
        <v>45749</v>
      </c>
      <c r="K46" s="21" t="str">
        <f>TEXT(I46,"mmm-yyyy")</f>
        <v>Apr-2025</v>
      </c>
      <c r="L46" s="21" t="s">
        <v>1797</v>
      </c>
      <c r="M46" s="21">
        <v>1</v>
      </c>
      <c r="N46" s="21" t="s">
        <v>743</v>
      </c>
      <c r="O46" s="21" t="s">
        <v>3368</v>
      </c>
      <c r="P46" s="21" t="s">
        <v>3429</v>
      </c>
      <c r="Q46" s="21" t="s">
        <v>844</v>
      </c>
      <c r="R46" s="21" t="s">
        <v>3671</v>
      </c>
      <c r="S46" s="21" t="str">
        <f ca="1">IF(BN46&lt;1,"Paid",IF(BM46&gt;0,"Partially paid",IF(ISNUMBER(SEARCH("hold",BU46)),"On hold",IF(BQ46&lt;TODAY(),"Overdue","Approved - unpaid"))))</f>
        <v>Paid</v>
      </c>
      <c r="T46" s="21" t="s">
        <v>3462</v>
      </c>
      <c r="U46" s="21" t="s">
        <v>3463</v>
      </c>
      <c r="V46" s="21" t="s">
        <v>3464</v>
      </c>
      <c r="W46" s="21" t="s">
        <v>746</v>
      </c>
      <c r="X46" s="21" t="s">
        <v>846</v>
      </c>
      <c r="Y46" s="21" t="s">
        <v>3465</v>
      </c>
      <c r="Z46" s="21" t="s">
        <v>3466</v>
      </c>
      <c r="AA46" s="21" t="s">
        <v>1062</v>
      </c>
      <c r="AB46" s="37">
        <v>0</v>
      </c>
      <c r="AC46" s="21" t="s">
        <v>844</v>
      </c>
      <c r="AD46" s="21" t="s">
        <v>844</v>
      </c>
      <c r="AE46" s="21" t="s">
        <v>844</v>
      </c>
      <c r="AF46" s="21">
        <v>1</v>
      </c>
      <c r="AG46" s="21" t="s">
        <v>866</v>
      </c>
      <c r="AH46" s="21" t="s">
        <v>869</v>
      </c>
      <c r="AI46" s="21" t="s">
        <v>870</v>
      </c>
      <c r="AJ46" s="37">
        <v>430</v>
      </c>
      <c r="AK46" s="37">
        <v>430</v>
      </c>
      <c r="AL46" s="37">
        <v>280</v>
      </c>
      <c r="AM46" s="37">
        <f>AK46*AL46</f>
        <v>120400</v>
      </c>
      <c r="AN46" s="37">
        <f>AM46</f>
        <v>120400</v>
      </c>
      <c r="AO46" s="23">
        <f>_xlfn.XLOOKUP(AG46,'T13'!$A$3:$A$1500,'T13'!$O$3:$O$1500)</f>
        <v>0.18</v>
      </c>
      <c r="AP46" s="37">
        <v>0</v>
      </c>
      <c r="AQ46" s="37">
        <f>SUMIFS($AN$3:$AN$1500,$G$3:$G$1500,G46)</f>
        <v>120400</v>
      </c>
      <c r="AR46" s="37">
        <f>SUMIFS($AP$3:$AP$1500,$G$3:$G$1500,G46)</f>
        <v>0</v>
      </c>
      <c r="AS46" s="21" t="s">
        <v>3467</v>
      </c>
      <c r="AT46" s="37">
        <f>ROUND(BH46*0,0)</f>
        <v>0</v>
      </c>
      <c r="AU46" s="21" t="s">
        <v>846</v>
      </c>
      <c r="AV46" s="37" cm="1">
        <f t="array" ref="AV46">SUMPRODUCT(($G$3:$G$1500=G46)*$AN$3:$AN$1500*$AO$3:$AO$1500)+AR46</f>
        <v>21672</v>
      </c>
      <c r="AW46" s="37">
        <f>AT46</f>
        <v>0</v>
      </c>
      <c r="AX46" s="21" t="str">
        <f>TEXT(EOMONTH(I46,0)+15,"dd-mmm-yyyy")&amp;" / "&amp;IF(BM46&gt;0,"CPR-IT-"&amp;TEXT(I46,"yymm")&amp;"-"&amp;RIGHT(G46,4),"Pending payment")</f>
        <v>15-May-2025 / CPR-IT-2504-0037</v>
      </c>
      <c r="AY46" s="21" t="str">
        <f>IF(BM46&gt;0,"Issued","Not yet")</f>
        <v>Issued</v>
      </c>
      <c r="AZ46" s="37">
        <v>0</v>
      </c>
      <c r="BA46" s="37">
        <v>0</v>
      </c>
      <c r="BB46" s="37">
        <v>0</v>
      </c>
      <c r="BC46" s="37">
        <v>0</v>
      </c>
      <c r="BD46" s="37">
        <v>0</v>
      </c>
      <c r="BE46" s="37">
        <f>AQ46</f>
        <v>120400</v>
      </c>
      <c r="BF46" s="37">
        <f>AV46</f>
        <v>21672</v>
      </c>
      <c r="BG46" s="37">
        <f>AZ46</f>
        <v>0</v>
      </c>
      <c r="BH46" s="37">
        <f>BE46+BF46+BG46</f>
        <v>142072</v>
      </c>
      <c r="BI46" s="37">
        <f>AW46</f>
        <v>0</v>
      </c>
      <c r="BJ46" s="37">
        <f>BA46+BB46+BC46+BD46</f>
        <v>0</v>
      </c>
      <c r="BK46" s="37">
        <f>BH46-BI46-BJ46</f>
        <v>142072</v>
      </c>
      <c r="BL46" s="21" t="str">
        <f>"PKR "&amp;TEXT(BK46,"#,##0")&amp;" only"</f>
        <v>PKR 142,072 only</v>
      </c>
      <c r="BM46" s="37">
        <f>SUMIFS('T10'!$AK$3:$AK$1500,'T10'!$V$3:$V$1500,G46)</f>
        <v>142072</v>
      </c>
      <c r="BN46" s="37">
        <f>BK46-BM46</f>
        <v>0</v>
      </c>
      <c r="BO46" s="21" t="str">
        <f>IF(BF46&gt;0,TEXT(I46,"mmm-yyyy")&amp;" sales tax return","N/A")</f>
        <v>Apr-2025 sales tax return</v>
      </c>
      <c r="BP46" s="21" t="s">
        <v>1062</v>
      </c>
      <c r="BQ46" s="29">
        <f>J46+15</f>
        <v>45764</v>
      </c>
      <c r="BR46" s="29">
        <f>BQ46</f>
        <v>45764</v>
      </c>
      <c r="BS46" s="21" t="s">
        <v>3095</v>
      </c>
      <c r="BT46" s="21" t="s">
        <v>3360</v>
      </c>
      <c r="BU46" s="21" t="s">
        <v>844</v>
      </c>
      <c r="BV46" s="21" t="s">
        <v>846</v>
      </c>
      <c r="BW46" s="21" t="str" cm="1">
        <f t="array" ref="BW46">_xlfn.TEXTJOIN(", ",TRUE,_xlfn.UNIQUE(_xlfn._xlws.FILTER('T10'!$A$3:$A$1500,'T10'!$V$3:$V$1500=G46,"None")))</f>
        <v>PV-0034</v>
      </c>
      <c r="BX46" s="21" t="s">
        <v>3672</v>
      </c>
      <c r="BY46" s="21" t="s">
        <v>3673</v>
      </c>
    </row>
    <row r="47" spans="1:77" x14ac:dyDescent="0.3">
      <c r="A47" s="21" t="s">
        <v>3445</v>
      </c>
      <c r="B47" s="21" t="s">
        <v>3674</v>
      </c>
      <c r="C47" s="21" t="s">
        <v>3675</v>
      </c>
      <c r="D47" s="35">
        <v>45762.666666666664</v>
      </c>
      <c r="E47" s="21" t="s">
        <v>3347</v>
      </c>
      <c r="F47" s="21" t="str">
        <f ca="1">IF(S47="Paid","Completed","Pending payment")</f>
        <v>Completed</v>
      </c>
      <c r="G47" s="21" t="s">
        <v>3676</v>
      </c>
      <c r="H47" s="21" t="s">
        <v>3349</v>
      </c>
      <c r="I47" s="29">
        <v>45762</v>
      </c>
      <c r="J47" s="29">
        <v>45760</v>
      </c>
      <c r="K47" s="21" t="str">
        <f>TEXT(I47,"mmm-yyyy")</f>
        <v>Apr-2025</v>
      </c>
      <c r="L47" s="21" t="s">
        <v>1797</v>
      </c>
      <c r="M47" s="21">
        <v>1</v>
      </c>
      <c r="N47" s="21" t="s">
        <v>743</v>
      </c>
      <c r="O47" s="21" t="s">
        <v>3350</v>
      </c>
      <c r="P47" s="21" t="s">
        <v>3351</v>
      </c>
      <c r="Q47" s="21" t="s">
        <v>844</v>
      </c>
      <c r="R47" s="21" t="s">
        <v>3677</v>
      </c>
      <c r="S47" s="21" t="str">
        <f ca="1">IF(BN47&lt;1,"Paid",IF(BM47&gt;0,"Partially paid",IF(ISNUMBER(SEARCH("hold",BU47)),"On hold",IF(BQ47&lt;TODAY(),"Overdue","Approved - unpaid"))))</f>
        <v>Paid</v>
      </c>
      <c r="T47" s="21" t="s">
        <v>3353</v>
      </c>
      <c r="U47" s="21" t="s">
        <v>3450</v>
      </c>
      <c r="V47" s="21" t="s">
        <v>3451</v>
      </c>
      <c r="W47" s="21" t="s">
        <v>746</v>
      </c>
      <c r="X47" s="21" t="s">
        <v>846</v>
      </c>
      <c r="Y47" s="21" t="s">
        <v>3452</v>
      </c>
      <c r="Z47" s="21" t="s">
        <v>3453</v>
      </c>
      <c r="AA47" s="21" t="s">
        <v>1062</v>
      </c>
      <c r="AB47" s="37">
        <v>0</v>
      </c>
      <c r="AC47" s="21" t="s">
        <v>844</v>
      </c>
      <c r="AD47" s="21" t="s">
        <v>844</v>
      </c>
      <c r="AE47" s="21" t="s">
        <v>844</v>
      </c>
      <c r="AF47" s="21">
        <v>1</v>
      </c>
      <c r="AG47" s="21" t="s">
        <v>919</v>
      </c>
      <c r="AH47" s="21" t="s">
        <v>921</v>
      </c>
      <c r="AI47" s="21" t="s">
        <v>905</v>
      </c>
      <c r="AJ47" s="37">
        <v>1</v>
      </c>
      <c r="AK47" s="37">
        <v>1</v>
      </c>
      <c r="AL47" s="37">
        <v>25600</v>
      </c>
      <c r="AM47" s="37">
        <f>AK47*AL47</f>
        <v>25600</v>
      </c>
      <c r="AN47" s="37">
        <f>AM47</f>
        <v>25600</v>
      </c>
      <c r="AO47" s="23">
        <f>_xlfn.XLOOKUP(AG47,'T13'!$A$3:$A$1500,'T13'!$O$3:$O$1500)</f>
        <v>0.16</v>
      </c>
      <c r="AP47" s="37">
        <v>0</v>
      </c>
      <c r="AQ47" s="37">
        <f>SUMIFS($AN$3:$AN$1500,$G$3:$G$1500,G47)</f>
        <v>25600</v>
      </c>
      <c r="AR47" s="37">
        <f>SUMIFS($AP$3:$AP$1500,$G$3:$G$1500,G47)</f>
        <v>0</v>
      </c>
      <c r="AS47" s="21" t="s">
        <v>3359</v>
      </c>
      <c r="AT47" s="37">
        <f>ROUND(BH47*0,0)</f>
        <v>0</v>
      </c>
      <c r="AU47" s="21" t="s">
        <v>846</v>
      </c>
      <c r="AV47" s="37" cm="1">
        <f t="array" ref="AV47">SUMPRODUCT(($G$3:$G$1500=G47)*$AN$3:$AN$1500*$AO$3:$AO$1500)+AR47</f>
        <v>4096</v>
      </c>
      <c r="AW47" s="37">
        <f>AT47</f>
        <v>0</v>
      </c>
      <c r="AX47" s="21" t="str">
        <f>TEXT(EOMONTH(I47,0)+15,"dd-mmm-yyyy")&amp;" / "&amp;IF(BM47&gt;0,"CPR-IT-"&amp;TEXT(I47,"yymm")&amp;"-"&amp;RIGHT(G47,4),"Pending payment")</f>
        <v>15-May-2025 / CPR-IT-2504-0038</v>
      </c>
      <c r="AY47" s="21" t="str">
        <f>IF(BM47&gt;0,"Issued","Not yet")</f>
        <v>Issued</v>
      </c>
      <c r="AZ47" s="37">
        <v>0</v>
      </c>
      <c r="BA47" s="37">
        <v>0</v>
      </c>
      <c r="BB47" s="37">
        <v>0</v>
      </c>
      <c r="BC47" s="37">
        <v>0</v>
      </c>
      <c r="BD47" s="37">
        <v>0</v>
      </c>
      <c r="BE47" s="37">
        <f>AQ47</f>
        <v>25600</v>
      </c>
      <c r="BF47" s="37">
        <f>AV47</f>
        <v>4096</v>
      </c>
      <c r="BG47" s="37">
        <f>AZ47</f>
        <v>0</v>
      </c>
      <c r="BH47" s="37">
        <f>BE47+BF47+BG47</f>
        <v>29696</v>
      </c>
      <c r="BI47" s="37">
        <f>AW47</f>
        <v>0</v>
      </c>
      <c r="BJ47" s="37">
        <f>BA47+BB47+BC47+BD47</f>
        <v>0</v>
      </c>
      <c r="BK47" s="37">
        <f>BH47-BI47-BJ47</f>
        <v>29696</v>
      </c>
      <c r="BL47" s="21" t="str">
        <f>"PKR "&amp;TEXT(BK47,"#,##0")&amp;" only"</f>
        <v>PKR 29,696 only</v>
      </c>
      <c r="BM47" s="37">
        <f>SUMIFS('T10'!$AK$3:$AK$1500,'T10'!$V$3:$V$1500,G47)</f>
        <v>29696</v>
      </c>
      <c r="BN47" s="37">
        <f>BK47-BM47</f>
        <v>0</v>
      </c>
      <c r="BO47" s="21" t="str">
        <f>IF(BF47&gt;0,TEXT(I47,"mmm-yyyy")&amp;" sales tax return","N/A")</f>
        <v>Apr-2025 sales tax return</v>
      </c>
      <c r="BP47" s="21" t="s">
        <v>1062</v>
      </c>
      <c r="BQ47" s="29">
        <f>J47+15</f>
        <v>45775</v>
      </c>
      <c r="BR47" s="29">
        <f>BQ47</f>
        <v>45775</v>
      </c>
      <c r="BS47" s="21" t="s">
        <v>3095</v>
      </c>
      <c r="BT47" s="21" t="s">
        <v>3360</v>
      </c>
      <c r="BU47" s="21" t="s">
        <v>844</v>
      </c>
      <c r="BV47" s="21" t="s">
        <v>846</v>
      </c>
      <c r="BW47" s="21" t="str" cm="1">
        <f t="array" ref="BW47">_xlfn.TEXTJOIN(", ",TRUE,_xlfn.UNIQUE(_xlfn._xlws.FILTER('T10'!$A$3:$A$1500,'T10'!$V$3:$V$1500=G47,"None")))</f>
        <v>PV-0010</v>
      </c>
      <c r="BX47" s="21" t="s">
        <v>3678</v>
      </c>
      <c r="BY47" s="21" t="s">
        <v>3679</v>
      </c>
    </row>
    <row r="48" spans="1:77" x14ac:dyDescent="0.3">
      <c r="A48" s="21" t="s">
        <v>3511</v>
      </c>
      <c r="B48" s="21" t="s">
        <v>3680</v>
      </c>
      <c r="C48" s="21" t="s">
        <v>3681</v>
      </c>
      <c r="D48" s="35">
        <v>45768.541666666664</v>
      </c>
      <c r="E48" s="21" t="s">
        <v>3347</v>
      </c>
      <c r="F48" s="21" t="str">
        <f ca="1">IF(S48="Paid","Completed","Pending payment")</f>
        <v>Completed</v>
      </c>
      <c r="G48" s="21" t="s">
        <v>3682</v>
      </c>
      <c r="H48" s="21" t="s">
        <v>3515</v>
      </c>
      <c r="I48" s="29">
        <v>45769</v>
      </c>
      <c r="J48" s="29">
        <v>45767</v>
      </c>
      <c r="K48" s="21" t="str">
        <f>TEXT(I48,"mmm-yyyy")</f>
        <v>Apr-2025</v>
      </c>
      <c r="L48" s="21" t="s">
        <v>1797</v>
      </c>
      <c r="M48" s="21">
        <v>1</v>
      </c>
      <c r="N48" s="21" t="s">
        <v>743</v>
      </c>
      <c r="O48" s="21" t="s">
        <v>3350</v>
      </c>
      <c r="P48" s="21" t="s">
        <v>3429</v>
      </c>
      <c r="Q48" s="21" t="s">
        <v>844</v>
      </c>
      <c r="R48" s="21" t="s">
        <v>3683</v>
      </c>
      <c r="S48" s="21" t="str">
        <f ca="1">IF(BN48&lt;1,"Paid",IF(BM48&gt;0,"Partially paid",IF(ISNUMBER(SEARCH("hold",BU48)),"On hold",IF(BQ48&lt;TODAY(),"Overdue","Approved - unpaid"))))</f>
        <v>Paid</v>
      </c>
      <c r="T48" s="21" t="s">
        <v>3517</v>
      </c>
      <c r="U48" s="21" t="s">
        <v>3518</v>
      </c>
      <c r="V48" s="21" t="s">
        <v>3519</v>
      </c>
      <c r="W48" s="21" t="s">
        <v>746</v>
      </c>
      <c r="X48" s="21" t="s">
        <v>846</v>
      </c>
      <c r="Y48" s="21" t="s">
        <v>3520</v>
      </c>
      <c r="Z48" s="21" t="s">
        <v>3521</v>
      </c>
      <c r="AA48" s="21" t="s">
        <v>1051</v>
      </c>
      <c r="AB48" s="37">
        <v>0</v>
      </c>
      <c r="AC48" s="21" t="s">
        <v>3684</v>
      </c>
      <c r="AD48" s="21" t="s">
        <v>3685</v>
      </c>
      <c r="AE48" s="21" t="s">
        <v>844</v>
      </c>
      <c r="AF48" s="21">
        <v>1</v>
      </c>
      <c r="AG48" s="21" t="s">
        <v>925</v>
      </c>
      <c r="AH48" s="21" t="s">
        <v>928</v>
      </c>
      <c r="AI48" s="21" t="s">
        <v>882</v>
      </c>
      <c r="AJ48" s="37">
        <v>7</v>
      </c>
      <c r="AK48" s="37">
        <v>7</v>
      </c>
      <c r="AL48" s="37">
        <v>69630</v>
      </c>
      <c r="AM48" s="37">
        <f>AK48*AL48</f>
        <v>487410</v>
      </c>
      <c r="AN48" s="37">
        <f>AM48</f>
        <v>487410</v>
      </c>
      <c r="AO48" s="23">
        <f>_xlfn.XLOOKUP(AG48,'T13'!$A$3:$A$1500,'T13'!$O$3:$O$1500)</f>
        <v>0.18</v>
      </c>
      <c r="AP48" s="37">
        <v>0</v>
      </c>
      <c r="AQ48" s="37">
        <f>SUMIFS($AN$3:$AN$1500,$G$3:$G$1500,G48)</f>
        <v>538110</v>
      </c>
      <c r="AR48" s="37">
        <f>SUMIFS($AP$3:$AP$1500,$G$3:$G$1500,G48)</f>
        <v>0</v>
      </c>
      <c r="AS48" s="21" t="s">
        <v>3410</v>
      </c>
      <c r="AT48" s="37">
        <f>ROUND(BH48*0.05,0)</f>
        <v>31748</v>
      </c>
      <c r="AU48" s="21" t="s">
        <v>846</v>
      </c>
      <c r="AV48" s="37" cm="1">
        <f t="array" ref="AV48">SUMPRODUCT(($G$3:$G$1500=G48)*$AN$3:$AN$1500*$AO$3:$AO$1500)+AR48</f>
        <v>96859.8</v>
      </c>
      <c r="AW48" s="37">
        <f>AT48</f>
        <v>31748</v>
      </c>
      <c r="AX48" s="21" t="str">
        <f>TEXT(EOMONTH(I48,0)+15,"dd-mmm-yyyy")&amp;" / "&amp;IF(BM48&gt;0,"CPR-IT-"&amp;TEXT(I48,"yymm")&amp;"-"&amp;RIGHT(G48,4),"Pending payment")</f>
        <v>15-May-2025 / CPR-IT-2504-0039</v>
      </c>
      <c r="AY48" s="21" t="str">
        <f>IF(BM48&gt;0,"Issued","Not yet")</f>
        <v>Issued</v>
      </c>
      <c r="AZ48" s="37">
        <v>0</v>
      </c>
      <c r="BA48" s="37">
        <v>0</v>
      </c>
      <c r="BB48" s="37">
        <v>0</v>
      </c>
      <c r="BC48" s="37">
        <v>0</v>
      </c>
      <c r="BD48" s="37">
        <v>0</v>
      </c>
      <c r="BE48" s="37">
        <f>AQ48</f>
        <v>538110</v>
      </c>
      <c r="BF48" s="37">
        <f>AV48</f>
        <v>96859.8</v>
      </c>
      <c r="BG48" s="37">
        <f>AZ48</f>
        <v>0</v>
      </c>
      <c r="BH48" s="37">
        <f>BE48+BF48+BG48</f>
        <v>634969.80000000005</v>
      </c>
      <c r="BI48" s="37">
        <f>AW48</f>
        <v>31748</v>
      </c>
      <c r="BJ48" s="37">
        <f>BA48+BB48+BC48+BD48</f>
        <v>0</v>
      </c>
      <c r="BK48" s="37">
        <f>BH48-BI48-BJ48</f>
        <v>603221.80000000005</v>
      </c>
      <c r="BL48" s="21" t="str">
        <f>"PKR "&amp;TEXT(BK48,"#,##0")&amp;" only"</f>
        <v>PKR 603,222 only</v>
      </c>
      <c r="BM48" s="37">
        <f>SUMIFS('T10'!$AK$3:$AK$1500,'T10'!$V$3:$V$1500,G48)</f>
        <v>603221.80000000005</v>
      </c>
      <c r="BN48" s="37">
        <f>BK48-BM48</f>
        <v>0</v>
      </c>
      <c r="BO48" s="21" t="str">
        <f>IF(BF48&gt;0,TEXT(I48,"mmm-yyyy")&amp;" sales tax return","N/A")</f>
        <v>Apr-2025 sales tax return</v>
      </c>
      <c r="BP48" s="21" t="s">
        <v>1051</v>
      </c>
      <c r="BQ48" s="29">
        <f>J48+30</f>
        <v>45797</v>
      </c>
      <c r="BR48" s="29">
        <f>BQ48</f>
        <v>45797</v>
      </c>
      <c r="BS48" s="21" t="s">
        <v>3095</v>
      </c>
      <c r="BT48" s="21" t="s">
        <v>3360</v>
      </c>
      <c r="BU48" s="21" t="s">
        <v>844</v>
      </c>
      <c r="BV48" s="21" t="s">
        <v>846</v>
      </c>
      <c r="BW48" s="21" t="str" cm="1">
        <f t="array" ref="BW48">_xlfn.TEXTJOIN(", ",TRUE,_xlfn.UNIQUE(_xlfn._xlws.FILTER('T10'!$A$3:$A$1500,'T10'!$V$3:$V$1500=G48,"None")))</f>
        <v>PV-0039</v>
      </c>
      <c r="BX48" s="21" t="s">
        <v>3686</v>
      </c>
      <c r="BY48" s="21" t="s">
        <v>3687</v>
      </c>
    </row>
    <row r="49" spans="1:77" x14ac:dyDescent="0.3">
      <c r="A49" s="21" t="s">
        <v>3511</v>
      </c>
      <c r="B49" s="21" t="s">
        <v>3680</v>
      </c>
      <c r="C49" s="21" t="s">
        <v>3681</v>
      </c>
      <c r="D49" s="35">
        <v>45768.541666666664</v>
      </c>
      <c r="E49" s="21" t="s">
        <v>3347</v>
      </c>
      <c r="F49" s="21" t="str">
        <f ca="1">IF(S49="Paid","Completed","Pending payment")</f>
        <v>Completed</v>
      </c>
      <c r="G49" s="21" t="s">
        <v>3682</v>
      </c>
      <c r="H49" s="21" t="s">
        <v>3515</v>
      </c>
      <c r="I49" s="29">
        <v>45769</v>
      </c>
      <c r="J49" s="29">
        <v>45767</v>
      </c>
      <c r="K49" s="21" t="str">
        <f>TEXT(I49,"mmm-yyyy")</f>
        <v>Apr-2025</v>
      </c>
      <c r="L49" s="21" t="s">
        <v>1797</v>
      </c>
      <c r="M49" s="21">
        <v>1</v>
      </c>
      <c r="N49" s="21" t="s">
        <v>743</v>
      </c>
      <c r="O49" s="21" t="s">
        <v>3350</v>
      </c>
      <c r="P49" s="21" t="s">
        <v>3429</v>
      </c>
      <c r="Q49" s="21" t="s">
        <v>844</v>
      </c>
      <c r="R49" s="21" t="s">
        <v>3683</v>
      </c>
      <c r="S49" s="21" t="str">
        <f ca="1">IF(BN49&lt;1,"Paid",IF(BM49&gt;0,"Partially paid",IF(ISNUMBER(SEARCH("hold",BU49)),"On hold",IF(BQ49&lt;TODAY(),"Overdue","Approved - unpaid"))))</f>
        <v>Paid</v>
      </c>
      <c r="T49" s="21" t="s">
        <v>3517</v>
      </c>
      <c r="U49" s="21" t="s">
        <v>3518</v>
      </c>
      <c r="V49" s="21" t="s">
        <v>3519</v>
      </c>
      <c r="W49" s="21" t="s">
        <v>746</v>
      </c>
      <c r="X49" s="21" t="s">
        <v>846</v>
      </c>
      <c r="Y49" s="21" t="s">
        <v>3520</v>
      </c>
      <c r="Z49" s="21" t="s">
        <v>3521</v>
      </c>
      <c r="AA49" s="21" t="s">
        <v>1051</v>
      </c>
      <c r="AB49" s="37">
        <v>0</v>
      </c>
      <c r="AC49" s="21" t="s">
        <v>3684</v>
      </c>
      <c r="AD49" s="21" t="s">
        <v>3688</v>
      </c>
      <c r="AE49" s="21" t="s">
        <v>844</v>
      </c>
      <c r="AF49" s="21">
        <v>2</v>
      </c>
      <c r="AG49" s="21" t="s">
        <v>934</v>
      </c>
      <c r="AH49" s="21" t="s">
        <v>936</v>
      </c>
      <c r="AI49" s="21" t="s">
        <v>937</v>
      </c>
      <c r="AJ49" s="37">
        <v>3</v>
      </c>
      <c r="AK49" s="37">
        <v>3</v>
      </c>
      <c r="AL49" s="37">
        <v>16900</v>
      </c>
      <c r="AM49" s="37">
        <f>AK49*AL49</f>
        <v>50700</v>
      </c>
      <c r="AN49" s="37">
        <f>AM49</f>
        <v>50700</v>
      </c>
      <c r="AO49" s="23">
        <f>_xlfn.XLOOKUP(AG49,'T13'!$A$3:$A$1500,'T13'!$O$3:$O$1500)</f>
        <v>0.18</v>
      </c>
      <c r="AP49" s="37">
        <v>0</v>
      </c>
      <c r="AQ49" s="37">
        <f>SUMIFS($AN$3:$AN$1500,$G$3:$G$1500,G49)</f>
        <v>538110</v>
      </c>
      <c r="AR49" s="37">
        <f>SUMIFS($AP$3:$AP$1500,$G$3:$G$1500,G49)</f>
        <v>0</v>
      </c>
      <c r="AS49" s="21" t="s">
        <v>3410</v>
      </c>
      <c r="AT49" s="37">
        <f>ROUND(BH49*0.05,0)</f>
        <v>31748</v>
      </c>
      <c r="AU49" s="21" t="s">
        <v>846</v>
      </c>
      <c r="AV49" s="37" cm="1">
        <f t="array" ref="AV49">SUMPRODUCT(($G$3:$G$1500=G49)*$AN$3:$AN$1500*$AO$3:$AO$1500)+AR49</f>
        <v>96859.8</v>
      </c>
      <c r="AW49" s="37">
        <f>AT49</f>
        <v>31748</v>
      </c>
      <c r="AX49" s="21" t="str">
        <f>TEXT(EOMONTH(I49,0)+15,"dd-mmm-yyyy")&amp;" / "&amp;IF(BM49&gt;0,"CPR-IT-"&amp;TEXT(I49,"yymm")&amp;"-"&amp;RIGHT(G49,4),"Pending payment")</f>
        <v>15-May-2025 / CPR-IT-2504-0039</v>
      </c>
      <c r="AY49" s="21" t="str">
        <f>IF(BM49&gt;0,"Issued","Not yet")</f>
        <v>Issued</v>
      </c>
      <c r="AZ49" s="37">
        <v>0</v>
      </c>
      <c r="BA49" s="37">
        <v>0</v>
      </c>
      <c r="BB49" s="37">
        <v>0</v>
      </c>
      <c r="BC49" s="37">
        <v>0</v>
      </c>
      <c r="BD49" s="37">
        <v>0</v>
      </c>
      <c r="BE49" s="37">
        <f>AQ49</f>
        <v>538110</v>
      </c>
      <c r="BF49" s="37">
        <f>AV49</f>
        <v>96859.8</v>
      </c>
      <c r="BG49" s="37">
        <f>AZ49</f>
        <v>0</v>
      </c>
      <c r="BH49" s="37">
        <f>BE49+BF49+BG49</f>
        <v>634969.80000000005</v>
      </c>
      <c r="BI49" s="37">
        <f>AW49</f>
        <v>31748</v>
      </c>
      <c r="BJ49" s="37">
        <f>BA49+BB49+BC49+BD49</f>
        <v>0</v>
      </c>
      <c r="BK49" s="37">
        <f>BH49-BI49-BJ49</f>
        <v>603221.80000000005</v>
      </c>
      <c r="BL49" s="21" t="str">
        <f>"PKR "&amp;TEXT(BK49,"#,##0")&amp;" only"</f>
        <v>PKR 603,222 only</v>
      </c>
      <c r="BM49" s="37">
        <f>SUMIFS('T10'!$AK$3:$AK$1500,'T10'!$V$3:$V$1500,G49)</f>
        <v>603221.80000000005</v>
      </c>
      <c r="BN49" s="37">
        <f>BK49-BM49</f>
        <v>0</v>
      </c>
      <c r="BO49" s="21" t="str">
        <f>IF(BF49&gt;0,TEXT(I49,"mmm-yyyy")&amp;" sales tax return","N/A")</f>
        <v>Apr-2025 sales tax return</v>
      </c>
      <c r="BP49" s="21" t="s">
        <v>1051</v>
      </c>
      <c r="BQ49" s="29">
        <f>J49+30</f>
        <v>45797</v>
      </c>
      <c r="BR49" s="29">
        <f>BQ49</f>
        <v>45797</v>
      </c>
      <c r="BS49" s="21" t="s">
        <v>3095</v>
      </c>
      <c r="BT49" s="21" t="s">
        <v>3360</v>
      </c>
      <c r="BU49" s="21" t="s">
        <v>844</v>
      </c>
      <c r="BV49" s="21" t="s">
        <v>846</v>
      </c>
      <c r="BW49" s="21" t="str" cm="1">
        <f t="array" ref="BW49">_xlfn.TEXTJOIN(", ",TRUE,_xlfn.UNIQUE(_xlfn._xlws.FILTER('T10'!$A$3:$A$1500,'T10'!$V$3:$V$1500=G49,"None")))</f>
        <v>PV-0039</v>
      </c>
      <c r="BX49" s="21" t="s">
        <v>3686</v>
      </c>
      <c r="BY49" s="21" t="s">
        <v>3687</v>
      </c>
    </row>
    <row r="50" spans="1:77" x14ac:dyDescent="0.3">
      <c r="A50" s="21" t="s">
        <v>3395</v>
      </c>
      <c r="B50" s="21" t="s">
        <v>3689</v>
      </c>
      <c r="C50" s="21" t="s">
        <v>3690</v>
      </c>
      <c r="D50" s="35">
        <v>45779.666666666664</v>
      </c>
      <c r="E50" s="21" t="s">
        <v>3347</v>
      </c>
      <c r="F50" s="21" t="str">
        <f ca="1">IF(S50="Paid","Completed","Pending payment")</f>
        <v>Completed</v>
      </c>
      <c r="G50" s="21" t="s">
        <v>3691</v>
      </c>
      <c r="H50" s="21" t="s">
        <v>3399</v>
      </c>
      <c r="I50" s="29">
        <v>45777</v>
      </c>
      <c r="J50" s="29">
        <v>45777</v>
      </c>
      <c r="K50" s="21" t="str">
        <f>TEXT(I50,"mmm-yyyy")</f>
        <v>Apr-2025</v>
      </c>
      <c r="L50" s="21" t="s">
        <v>1797</v>
      </c>
      <c r="M50" s="21">
        <v>1</v>
      </c>
      <c r="N50" s="21" t="s">
        <v>743</v>
      </c>
      <c r="O50" s="21" t="s">
        <v>3400</v>
      </c>
      <c r="P50" s="21" t="s">
        <v>3401</v>
      </c>
      <c r="Q50" s="21" t="s">
        <v>844</v>
      </c>
      <c r="R50" s="21" t="s">
        <v>3692</v>
      </c>
      <c r="S50" s="21" t="str">
        <f ca="1">IF(BN50&lt;1,"Paid",IF(BM50&gt;0,"Partially paid",IF(ISNUMBER(SEARCH("hold",BU50)),"On hold",IF(BQ50&lt;TODAY(),"Overdue","Approved - unpaid"))))</f>
        <v>Paid</v>
      </c>
      <c r="T50" s="21" t="s">
        <v>3403</v>
      </c>
      <c r="U50" s="21" t="s">
        <v>3404</v>
      </c>
      <c r="V50" s="21" t="s">
        <v>967</v>
      </c>
      <c r="W50" s="21" t="s">
        <v>746</v>
      </c>
      <c r="X50" s="21" t="s">
        <v>846</v>
      </c>
      <c r="Y50" s="21" t="s">
        <v>3405</v>
      </c>
      <c r="Z50" s="21" t="s">
        <v>3406</v>
      </c>
      <c r="AA50" s="21" t="s">
        <v>1062</v>
      </c>
      <c r="AB50" s="37">
        <v>0</v>
      </c>
      <c r="AC50" s="21" t="s">
        <v>3693</v>
      </c>
      <c r="AD50" s="21" t="s">
        <v>3694</v>
      </c>
      <c r="AE50" s="21" t="s">
        <v>3409</v>
      </c>
      <c r="AF50" s="21">
        <v>1</v>
      </c>
      <c r="AG50" s="21" t="s">
        <v>763</v>
      </c>
      <c r="AH50" s="21" t="s">
        <v>766</v>
      </c>
      <c r="AI50" s="21" t="s">
        <v>1804</v>
      </c>
      <c r="AJ50" s="37">
        <v>250</v>
      </c>
      <c r="AK50" s="37">
        <v>250</v>
      </c>
      <c r="AL50" s="37">
        <v>1330</v>
      </c>
      <c r="AM50" s="37">
        <f>AK50*AL50</f>
        <v>332500</v>
      </c>
      <c r="AN50" s="37">
        <f>AM50</f>
        <v>332500</v>
      </c>
      <c r="AO50" s="23">
        <f>_xlfn.XLOOKUP(AG50,'T13'!$A$3:$A$1500,'T13'!$O$3:$O$1500)</f>
        <v>0.18</v>
      </c>
      <c r="AP50" s="37">
        <f>AK50*IF(AI50="MT",1000,IF(AI50="Jumbo bag (1.5 MT)",1500,IF(AI50="Bag (40 kg)",40,50)))*3</f>
        <v>37500</v>
      </c>
      <c r="AQ50" s="37">
        <f>SUMIFS($AN$3:$AN$1500,$G$3:$G$1500,G50)</f>
        <v>752500</v>
      </c>
      <c r="AR50" s="37">
        <f>SUMIFS($AP$3:$AP$1500,$G$3:$G$1500,G50)</f>
        <v>82500</v>
      </c>
      <c r="AS50" s="21" t="s">
        <v>3410</v>
      </c>
      <c r="AT50" s="37">
        <f>ROUND(BH50*0.05,0)</f>
        <v>48523</v>
      </c>
      <c r="AU50" s="21" t="s">
        <v>846</v>
      </c>
      <c r="AV50" s="37" cm="1">
        <f t="array" ref="AV50">SUMPRODUCT(($G$3:$G$1500=G50)*$AN$3:$AN$1500*$AO$3:$AO$1500)+AR50</f>
        <v>217950</v>
      </c>
      <c r="AW50" s="37">
        <f>AT50</f>
        <v>48523</v>
      </c>
      <c r="AX50" s="21" t="str">
        <f>TEXT(EOMONTH(I50,0)+15,"dd-mmm-yyyy")&amp;" / "&amp;IF(BM50&gt;0,"CPR-IT-"&amp;TEXT(I50,"yymm")&amp;"-"&amp;RIGHT(G50,4),"Pending payment")</f>
        <v>15-May-2025 / CPR-IT-2504-0040</v>
      </c>
      <c r="AY50" s="21" t="str">
        <f>IF(BM50&gt;0,"Issued","Not yet")</f>
        <v>Issued</v>
      </c>
      <c r="AZ50" s="37">
        <v>0</v>
      </c>
      <c r="BA50" s="37">
        <v>0</v>
      </c>
      <c r="BB50" s="37">
        <v>0</v>
      </c>
      <c r="BC50" s="37">
        <v>0</v>
      </c>
      <c r="BD50" s="37">
        <v>0</v>
      </c>
      <c r="BE50" s="37">
        <f>AQ50</f>
        <v>752500</v>
      </c>
      <c r="BF50" s="37">
        <f>AV50</f>
        <v>217950</v>
      </c>
      <c r="BG50" s="37">
        <f>AZ50</f>
        <v>0</v>
      </c>
      <c r="BH50" s="37">
        <f>BE50+BF50+BG50</f>
        <v>970450</v>
      </c>
      <c r="BI50" s="37">
        <f>AW50</f>
        <v>48523</v>
      </c>
      <c r="BJ50" s="37">
        <f>BA50+BB50+BC50+BD50</f>
        <v>0</v>
      </c>
      <c r="BK50" s="37">
        <f>BH50-BI50-BJ50</f>
        <v>921927</v>
      </c>
      <c r="BL50" s="21" t="str">
        <f>"PKR "&amp;TEXT(BK50,"#,##0")&amp;" only"</f>
        <v>PKR 921,927 only</v>
      </c>
      <c r="BM50" s="37">
        <f>SUMIFS('T10'!$AK$3:$AK$1500,'T10'!$V$3:$V$1500,G50)</f>
        <v>921927</v>
      </c>
      <c r="BN50" s="37">
        <f>BK50-BM50</f>
        <v>0</v>
      </c>
      <c r="BO50" s="21" t="str">
        <f>IF(BF50&gt;0,TEXT(I50,"mmm-yyyy")&amp;" sales tax return","N/A")</f>
        <v>Apr-2025 sales tax return</v>
      </c>
      <c r="BP50" s="21" t="s">
        <v>1062</v>
      </c>
      <c r="BQ50" s="29">
        <f>J50+15</f>
        <v>45792</v>
      </c>
      <c r="BR50" s="29">
        <f>BQ50</f>
        <v>45792</v>
      </c>
      <c r="BS50" s="21" t="s">
        <v>3095</v>
      </c>
      <c r="BT50" s="21" t="s">
        <v>3411</v>
      </c>
      <c r="BU50" s="21" t="s">
        <v>844</v>
      </c>
      <c r="BV50" s="21" t="s">
        <v>846</v>
      </c>
      <c r="BW50" s="21" t="str" cm="1">
        <f t="array" ref="BW50">_xlfn.TEXTJOIN(", ",TRUE,_xlfn.UNIQUE(_xlfn._xlws.FILTER('T10'!$A$3:$A$1500,'T10'!$V$3:$V$1500=G50,"None")))</f>
        <v>PV-0016</v>
      </c>
      <c r="BX50" s="21" t="s">
        <v>3695</v>
      </c>
      <c r="BY50" s="21" t="s">
        <v>3696</v>
      </c>
    </row>
    <row r="51" spans="1:77" x14ac:dyDescent="0.3">
      <c r="A51" s="21" t="s">
        <v>3395</v>
      </c>
      <c r="B51" s="21" t="s">
        <v>3689</v>
      </c>
      <c r="C51" s="21" t="s">
        <v>3690</v>
      </c>
      <c r="D51" s="35">
        <v>45779.666666666664</v>
      </c>
      <c r="E51" s="21" t="s">
        <v>3347</v>
      </c>
      <c r="F51" s="21" t="str">
        <f ca="1">IF(S51="Paid","Completed","Pending payment")</f>
        <v>Completed</v>
      </c>
      <c r="G51" s="21" t="s">
        <v>3691</v>
      </c>
      <c r="H51" s="21" t="s">
        <v>3399</v>
      </c>
      <c r="I51" s="29">
        <v>45777</v>
      </c>
      <c r="J51" s="29">
        <v>45777</v>
      </c>
      <c r="K51" s="21" t="str">
        <f>TEXT(I51,"mmm-yyyy")</f>
        <v>Apr-2025</v>
      </c>
      <c r="L51" s="21" t="s">
        <v>1797</v>
      </c>
      <c r="M51" s="21">
        <v>1</v>
      </c>
      <c r="N51" s="21" t="s">
        <v>743</v>
      </c>
      <c r="O51" s="21" t="s">
        <v>3400</v>
      </c>
      <c r="P51" s="21" t="s">
        <v>3401</v>
      </c>
      <c r="Q51" s="21" t="s">
        <v>844</v>
      </c>
      <c r="R51" s="21" t="s">
        <v>3692</v>
      </c>
      <c r="S51" s="21" t="str">
        <f ca="1">IF(BN51&lt;1,"Paid",IF(BM51&gt;0,"Partially paid",IF(ISNUMBER(SEARCH("hold",BU51)),"On hold",IF(BQ51&lt;TODAY(),"Overdue","Approved - unpaid"))))</f>
        <v>Paid</v>
      </c>
      <c r="T51" s="21" t="s">
        <v>3403</v>
      </c>
      <c r="U51" s="21" t="s">
        <v>3404</v>
      </c>
      <c r="V51" s="21" t="s">
        <v>967</v>
      </c>
      <c r="W51" s="21" t="s">
        <v>746</v>
      </c>
      <c r="X51" s="21" t="s">
        <v>846</v>
      </c>
      <c r="Y51" s="21" t="s">
        <v>3405</v>
      </c>
      <c r="Z51" s="21" t="s">
        <v>3406</v>
      </c>
      <c r="AA51" s="21" t="s">
        <v>1062</v>
      </c>
      <c r="AB51" s="37">
        <v>0</v>
      </c>
      <c r="AC51" s="21" t="s">
        <v>3693</v>
      </c>
      <c r="AD51" s="21" t="s">
        <v>3697</v>
      </c>
      <c r="AE51" s="21" t="s">
        <v>3409</v>
      </c>
      <c r="AF51" s="21">
        <v>2</v>
      </c>
      <c r="AG51" s="21" t="s">
        <v>788</v>
      </c>
      <c r="AH51" s="21" t="s">
        <v>790</v>
      </c>
      <c r="AI51" s="21" t="s">
        <v>1804</v>
      </c>
      <c r="AJ51" s="37">
        <v>300</v>
      </c>
      <c r="AK51" s="37">
        <v>300</v>
      </c>
      <c r="AL51" s="37">
        <v>1400</v>
      </c>
      <c r="AM51" s="37">
        <f>AK51*AL51</f>
        <v>420000</v>
      </c>
      <c r="AN51" s="37">
        <f>AM51</f>
        <v>420000</v>
      </c>
      <c r="AO51" s="23">
        <f>_xlfn.XLOOKUP(AG51,'T13'!$A$3:$A$1500,'T13'!$O$3:$O$1500)</f>
        <v>0.18</v>
      </c>
      <c r="AP51" s="37">
        <f>AK51*IF(AI51="MT",1000,IF(AI51="Jumbo bag (1.5 MT)",1500,IF(AI51="Bag (40 kg)",40,50)))*3</f>
        <v>45000</v>
      </c>
      <c r="AQ51" s="37">
        <f>SUMIFS($AN$3:$AN$1500,$G$3:$G$1500,G51)</f>
        <v>752500</v>
      </c>
      <c r="AR51" s="37">
        <f>SUMIFS($AP$3:$AP$1500,$G$3:$G$1500,G51)</f>
        <v>82500</v>
      </c>
      <c r="AS51" s="21" t="s">
        <v>3410</v>
      </c>
      <c r="AT51" s="37">
        <f>ROUND(BH51*0.05,0)</f>
        <v>48523</v>
      </c>
      <c r="AU51" s="21" t="s">
        <v>846</v>
      </c>
      <c r="AV51" s="37" cm="1">
        <f t="array" ref="AV51">SUMPRODUCT(($G$3:$G$1500=G51)*$AN$3:$AN$1500*$AO$3:$AO$1500)+AR51</f>
        <v>217950</v>
      </c>
      <c r="AW51" s="37">
        <f>AT51</f>
        <v>48523</v>
      </c>
      <c r="AX51" s="21" t="str">
        <f>TEXT(EOMONTH(I51,0)+15,"dd-mmm-yyyy")&amp;" / "&amp;IF(BM51&gt;0,"CPR-IT-"&amp;TEXT(I51,"yymm")&amp;"-"&amp;RIGHT(G51,4),"Pending payment")</f>
        <v>15-May-2025 / CPR-IT-2504-0040</v>
      </c>
      <c r="AY51" s="21" t="str">
        <f>IF(BM51&gt;0,"Issued","Not yet")</f>
        <v>Issued</v>
      </c>
      <c r="AZ51" s="37">
        <v>0</v>
      </c>
      <c r="BA51" s="37">
        <v>0</v>
      </c>
      <c r="BB51" s="37">
        <v>0</v>
      </c>
      <c r="BC51" s="37">
        <v>0</v>
      </c>
      <c r="BD51" s="37">
        <v>0</v>
      </c>
      <c r="BE51" s="37">
        <f>AQ51</f>
        <v>752500</v>
      </c>
      <c r="BF51" s="37">
        <f>AV51</f>
        <v>217950</v>
      </c>
      <c r="BG51" s="37">
        <f>AZ51</f>
        <v>0</v>
      </c>
      <c r="BH51" s="37">
        <f>BE51+BF51+BG51</f>
        <v>970450</v>
      </c>
      <c r="BI51" s="37">
        <f>AW51</f>
        <v>48523</v>
      </c>
      <c r="BJ51" s="37">
        <f>BA51+BB51+BC51+BD51</f>
        <v>0</v>
      </c>
      <c r="BK51" s="37">
        <f>BH51-BI51-BJ51</f>
        <v>921927</v>
      </c>
      <c r="BL51" s="21" t="str">
        <f>"PKR "&amp;TEXT(BK51,"#,##0")&amp;" only"</f>
        <v>PKR 921,927 only</v>
      </c>
      <c r="BM51" s="37">
        <f>SUMIFS('T10'!$AK$3:$AK$1500,'T10'!$V$3:$V$1500,G51)</f>
        <v>921927</v>
      </c>
      <c r="BN51" s="37">
        <f>BK51-BM51</f>
        <v>0</v>
      </c>
      <c r="BO51" s="21" t="str">
        <f>IF(BF51&gt;0,TEXT(I51,"mmm-yyyy")&amp;" sales tax return","N/A")</f>
        <v>Apr-2025 sales tax return</v>
      </c>
      <c r="BP51" s="21" t="s">
        <v>1062</v>
      </c>
      <c r="BQ51" s="29">
        <f>J51+15</f>
        <v>45792</v>
      </c>
      <c r="BR51" s="29">
        <f>BQ51</f>
        <v>45792</v>
      </c>
      <c r="BS51" s="21" t="s">
        <v>3095</v>
      </c>
      <c r="BT51" s="21" t="s">
        <v>3411</v>
      </c>
      <c r="BU51" s="21" t="s">
        <v>844</v>
      </c>
      <c r="BV51" s="21" t="s">
        <v>846</v>
      </c>
      <c r="BW51" s="21" t="str" cm="1">
        <f t="array" ref="BW51">_xlfn.TEXTJOIN(", ",TRUE,_xlfn.UNIQUE(_xlfn._xlws.FILTER('T10'!$A$3:$A$1500,'T10'!$V$3:$V$1500=G51,"None")))</f>
        <v>PV-0016</v>
      </c>
      <c r="BX51" s="21" t="s">
        <v>3695</v>
      </c>
      <c r="BY51" s="21" t="s">
        <v>3696</v>
      </c>
    </row>
    <row r="52" spans="1:77" x14ac:dyDescent="0.3">
      <c r="A52" s="21" t="s">
        <v>3573</v>
      </c>
      <c r="B52" s="21" t="s">
        <v>3698</v>
      </c>
      <c r="C52" s="21" t="s">
        <v>3699</v>
      </c>
      <c r="D52" s="35">
        <v>45779.541666666664</v>
      </c>
      <c r="E52" s="21" t="s">
        <v>3347</v>
      </c>
      <c r="F52" s="21" t="str">
        <f ca="1">IF(S52="Paid","Completed","Pending payment")</f>
        <v>Completed</v>
      </c>
      <c r="G52" s="21" t="s">
        <v>3700</v>
      </c>
      <c r="H52" s="21" t="s">
        <v>3399</v>
      </c>
      <c r="I52" s="29">
        <v>45777</v>
      </c>
      <c r="J52" s="29">
        <v>45777</v>
      </c>
      <c r="K52" s="21" t="str">
        <f>TEXT(I52,"mmm-yyyy")</f>
        <v>Apr-2025</v>
      </c>
      <c r="L52" s="21" t="s">
        <v>1797</v>
      </c>
      <c r="M52" s="21">
        <v>1</v>
      </c>
      <c r="N52" s="21" t="s">
        <v>743</v>
      </c>
      <c r="O52" s="21" t="s">
        <v>3400</v>
      </c>
      <c r="P52" s="21" t="s">
        <v>3401</v>
      </c>
      <c r="Q52" s="21" t="s">
        <v>844</v>
      </c>
      <c r="R52" s="21" t="s">
        <v>3692</v>
      </c>
      <c r="S52" s="21" t="str">
        <f ca="1">IF(BN52&lt;1,"Paid",IF(BM52&gt;0,"Partially paid",IF(ISNUMBER(SEARCH("hold",BU52)),"On hold",IF(BQ52&lt;TODAY(),"Overdue","Approved - unpaid"))))</f>
        <v>Paid</v>
      </c>
      <c r="T52" s="21" t="s">
        <v>3403</v>
      </c>
      <c r="U52" s="21" t="s">
        <v>3578</v>
      </c>
      <c r="V52" s="21" t="s">
        <v>1021</v>
      </c>
      <c r="W52" s="21" t="s">
        <v>746</v>
      </c>
      <c r="X52" s="21" t="s">
        <v>846</v>
      </c>
      <c r="Y52" s="21" t="s">
        <v>3579</v>
      </c>
      <c r="Z52" s="21" t="s">
        <v>3580</v>
      </c>
      <c r="AA52" s="21" t="s">
        <v>1062</v>
      </c>
      <c r="AB52" s="37">
        <v>0</v>
      </c>
      <c r="AC52" s="21" t="s">
        <v>3701</v>
      </c>
      <c r="AD52" s="21" t="s">
        <v>3702</v>
      </c>
      <c r="AE52" s="21" t="s">
        <v>3583</v>
      </c>
      <c r="AF52" s="21">
        <v>1</v>
      </c>
      <c r="AG52" s="21" t="s">
        <v>805</v>
      </c>
      <c r="AH52" s="21" t="s">
        <v>807</v>
      </c>
      <c r="AI52" s="21" t="s">
        <v>1804</v>
      </c>
      <c r="AJ52" s="37">
        <v>450</v>
      </c>
      <c r="AK52" s="37">
        <v>444</v>
      </c>
      <c r="AL52" s="37">
        <v>1440</v>
      </c>
      <c r="AM52" s="37">
        <f>AK52*AL52</f>
        <v>639360</v>
      </c>
      <c r="AN52" s="37">
        <f>AM52</f>
        <v>639360</v>
      </c>
      <c r="AO52" s="23">
        <f>_xlfn.XLOOKUP(AG52,'T13'!$A$3:$A$1500,'T13'!$O$3:$O$1500)</f>
        <v>0.18</v>
      </c>
      <c r="AP52" s="37">
        <f>AK52*IF(AI52="MT",1000,IF(AI52="Jumbo bag (1.5 MT)",1500,IF(AI52="Bag (40 kg)",40,50)))*3</f>
        <v>66600</v>
      </c>
      <c r="AQ52" s="37">
        <f>SUMIFS($AN$3:$AN$1500,$G$3:$G$1500,G52)</f>
        <v>639360</v>
      </c>
      <c r="AR52" s="37">
        <f>SUMIFS($AP$3:$AP$1500,$G$3:$G$1500,G52)</f>
        <v>66600</v>
      </c>
      <c r="AS52" s="21" t="s">
        <v>3410</v>
      </c>
      <c r="AT52" s="37">
        <f>ROUND(BH52*0.05,0)</f>
        <v>41052</v>
      </c>
      <c r="AU52" s="21" t="s">
        <v>846</v>
      </c>
      <c r="AV52" s="37" cm="1">
        <f t="array" ref="AV52">SUMPRODUCT(($G$3:$G$1500=G52)*$AN$3:$AN$1500*$AO$3:$AO$1500)+AR52</f>
        <v>181684.8</v>
      </c>
      <c r="AW52" s="37">
        <f>AT52</f>
        <v>41052</v>
      </c>
      <c r="AX52" s="21" t="str">
        <f>TEXT(EOMONTH(I52,0)+15,"dd-mmm-yyyy")&amp;" / "&amp;IF(BM52&gt;0,"CPR-IT-"&amp;TEXT(I52,"yymm")&amp;"-"&amp;RIGHT(G52,4),"Pending payment")</f>
        <v>15-May-2025 / CPR-IT-2504-0041</v>
      </c>
      <c r="AY52" s="21" t="str">
        <f>IF(BM52&gt;0,"Issued","Not yet")</f>
        <v>Issued</v>
      </c>
      <c r="AZ52" s="37">
        <v>0</v>
      </c>
      <c r="BA52" s="37">
        <v>0</v>
      </c>
      <c r="BB52" s="37">
        <v>0</v>
      </c>
      <c r="BC52" s="37">
        <v>0</v>
      </c>
      <c r="BD52" s="37">
        <v>0</v>
      </c>
      <c r="BE52" s="37">
        <f>AQ52</f>
        <v>639360</v>
      </c>
      <c r="BF52" s="37">
        <f>AV52</f>
        <v>181684.8</v>
      </c>
      <c r="BG52" s="37">
        <f>AZ52</f>
        <v>0</v>
      </c>
      <c r="BH52" s="37">
        <f>BE52+BF52+BG52</f>
        <v>821044.8</v>
      </c>
      <c r="BI52" s="37">
        <f>AW52</f>
        <v>41052</v>
      </c>
      <c r="BJ52" s="37">
        <f>BA52+BB52+BC52+BD52</f>
        <v>0</v>
      </c>
      <c r="BK52" s="37">
        <f>BH52-BI52-BJ52</f>
        <v>779992.8</v>
      </c>
      <c r="BL52" s="21" t="str">
        <f>"PKR "&amp;TEXT(BK52,"#,##0")&amp;" only"</f>
        <v>PKR 779,993 only</v>
      </c>
      <c r="BM52" s="37">
        <f>SUMIFS('T10'!$AK$3:$AK$1500,'T10'!$V$3:$V$1500,G52)</f>
        <v>779992.8</v>
      </c>
      <c r="BN52" s="37">
        <f>BK52-BM52</f>
        <v>0</v>
      </c>
      <c r="BO52" s="21" t="str">
        <f>IF(BF52&gt;0,TEXT(I52,"mmm-yyyy")&amp;" sales tax return","N/A")</f>
        <v>Apr-2025 sales tax return</v>
      </c>
      <c r="BP52" s="21" t="s">
        <v>1062</v>
      </c>
      <c r="BQ52" s="29">
        <f>J52+15</f>
        <v>45792</v>
      </c>
      <c r="BR52" s="29">
        <f>BQ52</f>
        <v>45792</v>
      </c>
      <c r="BS52" s="21" t="s">
        <v>3095</v>
      </c>
      <c r="BT52" s="21" t="s">
        <v>3411</v>
      </c>
      <c r="BU52" s="21" t="s">
        <v>844</v>
      </c>
      <c r="BV52" s="21" t="s">
        <v>846</v>
      </c>
      <c r="BW52" s="21" t="str" cm="1">
        <f t="array" ref="BW52">_xlfn.TEXTJOIN(", ",TRUE,_xlfn.UNIQUE(_xlfn._xlws.FILTER('T10'!$A$3:$A$1500,'T10'!$V$3:$V$1500=G52,"None")))</f>
        <v>PV-0009</v>
      </c>
      <c r="BX52" s="21" t="s">
        <v>3695</v>
      </c>
      <c r="BY52" s="21" t="s">
        <v>3696</v>
      </c>
    </row>
    <row r="53" spans="1:77" x14ac:dyDescent="0.3">
      <c r="A53" s="21" t="s">
        <v>3415</v>
      </c>
      <c r="B53" s="21" t="s">
        <v>3703</v>
      </c>
      <c r="C53" s="21" t="s">
        <v>3704</v>
      </c>
      <c r="D53" s="35">
        <v>45779.708333333336</v>
      </c>
      <c r="E53" s="21" t="s">
        <v>3347</v>
      </c>
      <c r="F53" s="21" t="str">
        <f ca="1">IF(S53="Paid","Completed","Pending payment")</f>
        <v>Completed</v>
      </c>
      <c r="G53" s="21" t="s">
        <v>3705</v>
      </c>
      <c r="H53" s="21" t="s">
        <v>3399</v>
      </c>
      <c r="I53" s="29">
        <v>45777</v>
      </c>
      <c r="J53" s="29">
        <v>45777</v>
      </c>
      <c r="K53" s="21" t="str">
        <f>TEXT(I53,"mmm-yyyy")</f>
        <v>Apr-2025</v>
      </c>
      <c r="L53" s="21" t="s">
        <v>1797</v>
      </c>
      <c r="M53" s="21">
        <v>1</v>
      </c>
      <c r="N53" s="21" t="s">
        <v>743</v>
      </c>
      <c r="O53" s="21" t="s">
        <v>3400</v>
      </c>
      <c r="P53" s="21" t="s">
        <v>3401</v>
      </c>
      <c r="Q53" s="21" t="s">
        <v>844</v>
      </c>
      <c r="R53" s="21" t="s">
        <v>3692</v>
      </c>
      <c r="S53" s="21" t="str">
        <f ca="1">IF(BN53&lt;1,"Paid",IF(BM53&gt;0,"Partially paid",IF(ISNUMBER(SEARCH("hold",BU53)),"On hold",IF(BQ53&lt;TODAY(),"Overdue","Approved - unpaid"))))</f>
        <v>Paid</v>
      </c>
      <c r="T53" s="21" t="s">
        <v>3403</v>
      </c>
      <c r="U53" s="21" t="s">
        <v>3419</v>
      </c>
      <c r="V53" s="21" t="s">
        <v>999</v>
      </c>
      <c r="W53" s="21" t="s">
        <v>746</v>
      </c>
      <c r="X53" s="21" t="s">
        <v>846</v>
      </c>
      <c r="Y53" s="21" t="s">
        <v>3420</v>
      </c>
      <c r="Z53" s="21" t="s">
        <v>3421</v>
      </c>
      <c r="AA53" s="21" t="s">
        <v>1062</v>
      </c>
      <c r="AB53" s="37">
        <v>0</v>
      </c>
      <c r="AC53" s="21" t="s">
        <v>3706</v>
      </c>
      <c r="AD53" s="21" t="s">
        <v>3707</v>
      </c>
      <c r="AE53" s="21" t="s">
        <v>3424</v>
      </c>
      <c r="AF53" s="21">
        <v>1</v>
      </c>
      <c r="AG53" s="21" t="s">
        <v>826</v>
      </c>
      <c r="AH53" s="21" t="s">
        <v>827</v>
      </c>
      <c r="AI53" s="21" t="s">
        <v>1860</v>
      </c>
      <c r="AJ53" s="37">
        <v>55</v>
      </c>
      <c r="AK53" s="37">
        <v>48</v>
      </c>
      <c r="AL53" s="37">
        <v>39350</v>
      </c>
      <c r="AM53" s="37">
        <f>AK53*AL53</f>
        <v>1888800</v>
      </c>
      <c r="AN53" s="37">
        <f>AM53</f>
        <v>1888800</v>
      </c>
      <c r="AO53" s="23">
        <f>_xlfn.XLOOKUP(AG53,'T13'!$A$3:$A$1500,'T13'!$O$3:$O$1500)</f>
        <v>0.18</v>
      </c>
      <c r="AP53" s="37">
        <f>AK53*IF(AI53="MT",1000,IF(AI53="Jumbo bag (1.5 MT)",1500,IF(AI53="Bag (40 kg)",40,50)))*3</f>
        <v>216000</v>
      </c>
      <c r="AQ53" s="37">
        <f>SUMIFS($AN$3:$AN$1500,$G$3:$G$1500,G53)</f>
        <v>1888800</v>
      </c>
      <c r="AR53" s="37">
        <f>SUMIFS($AP$3:$AP$1500,$G$3:$G$1500,G53)</f>
        <v>216000</v>
      </c>
      <c r="AS53" s="21" t="s">
        <v>3410</v>
      </c>
      <c r="AT53" s="37">
        <f>ROUND(BH53*0.05,0)</f>
        <v>122239</v>
      </c>
      <c r="AU53" s="21" t="s">
        <v>846</v>
      </c>
      <c r="AV53" s="37" cm="1">
        <f t="array" ref="AV53">SUMPRODUCT(($G$3:$G$1500=G53)*$AN$3:$AN$1500*$AO$3:$AO$1500)+AR53</f>
        <v>555984</v>
      </c>
      <c r="AW53" s="37">
        <f>AT53</f>
        <v>122239</v>
      </c>
      <c r="AX53" s="21" t="str">
        <f>TEXT(EOMONTH(I53,0)+15,"dd-mmm-yyyy")&amp;" / "&amp;IF(BM53&gt;0,"CPR-IT-"&amp;TEXT(I53,"yymm")&amp;"-"&amp;RIGHT(G53,4),"Pending payment")</f>
        <v>15-May-2025 / CPR-IT-2504-0042</v>
      </c>
      <c r="AY53" s="21" t="str">
        <f>IF(BM53&gt;0,"Issued","Not yet")</f>
        <v>Issued</v>
      </c>
      <c r="AZ53" s="37">
        <v>0</v>
      </c>
      <c r="BA53" s="37">
        <v>0</v>
      </c>
      <c r="BB53" s="37">
        <v>0</v>
      </c>
      <c r="BC53" s="37">
        <v>0</v>
      </c>
      <c r="BD53" s="37">
        <v>0</v>
      </c>
      <c r="BE53" s="37">
        <f>AQ53</f>
        <v>1888800</v>
      </c>
      <c r="BF53" s="37">
        <f>AV53</f>
        <v>555984</v>
      </c>
      <c r="BG53" s="37">
        <f>AZ53</f>
        <v>0</v>
      </c>
      <c r="BH53" s="37">
        <f>BE53+BF53+BG53</f>
        <v>2444784</v>
      </c>
      <c r="BI53" s="37">
        <f>AW53</f>
        <v>122239</v>
      </c>
      <c r="BJ53" s="37">
        <f>BA53+BB53+BC53+BD53</f>
        <v>0</v>
      </c>
      <c r="BK53" s="37">
        <f>BH53-BI53-BJ53</f>
        <v>2322545</v>
      </c>
      <c r="BL53" s="21" t="str">
        <f>"PKR "&amp;TEXT(BK53,"#,##0")&amp;" only"</f>
        <v>PKR 2,322,545 only</v>
      </c>
      <c r="BM53" s="37">
        <f>SUMIFS('T10'!$AK$3:$AK$1500,'T10'!$V$3:$V$1500,G53)</f>
        <v>2322545</v>
      </c>
      <c r="BN53" s="37">
        <f>BK53-BM53</f>
        <v>0</v>
      </c>
      <c r="BO53" s="21" t="str">
        <f>IF(BF53&gt;0,TEXT(I53,"mmm-yyyy")&amp;" sales tax return","N/A")</f>
        <v>Apr-2025 sales tax return</v>
      </c>
      <c r="BP53" s="21" t="s">
        <v>1062</v>
      </c>
      <c r="BQ53" s="29">
        <f>J53+15</f>
        <v>45792</v>
      </c>
      <c r="BR53" s="29">
        <f>BQ53</f>
        <v>45792</v>
      </c>
      <c r="BS53" s="21" t="s">
        <v>3095</v>
      </c>
      <c r="BT53" s="21" t="s">
        <v>3411</v>
      </c>
      <c r="BU53" s="21" t="s">
        <v>844</v>
      </c>
      <c r="BV53" s="21" t="s">
        <v>846</v>
      </c>
      <c r="BW53" s="21" t="str" cm="1">
        <f t="array" ref="BW53">_xlfn.TEXTJOIN(", ",TRUE,_xlfn.UNIQUE(_xlfn._xlws.FILTER('T10'!$A$3:$A$1500,'T10'!$V$3:$V$1500=G53,"None")))</f>
        <v>PV-0013</v>
      </c>
      <c r="BX53" s="21" t="s">
        <v>3695</v>
      </c>
      <c r="BY53" s="21" t="s">
        <v>3696</v>
      </c>
    </row>
    <row r="54" spans="1:77" x14ac:dyDescent="0.3">
      <c r="A54" s="21" t="s">
        <v>3438</v>
      </c>
      <c r="B54" s="21" t="s">
        <v>2209</v>
      </c>
      <c r="C54" s="21" t="s">
        <v>3708</v>
      </c>
      <c r="D54" s="35">
        <v>45780.541666666664</v>
      </c>
      <c r="E54" s="21" t="s">
        <v>3347</v>
      </c>
      <c r="F54" s="21" t="str">
        <f ca="1">IF(S54="Paid","Completed","Pending payment")</f>
        <v>Completed</v>
      </c>
      <c r="G54" s="21" t="s">
        <v>3709</v>
      </c>
      <c r="H54" s="21" t="s">
        <v>3428</v>
      </c>
      <c r="I54" s="29">
        <v>45780</v>
      </c>
      <c r="J54" s="29">
        <v>45778</v>
      </c>
      <c r="K54" s="21" t="str">
        <f>TEXT(I54,"mmm-yyyy")</f>
        <v>May-2025</v>
      </c>
      <c r="L54" s="21" t="s">
        <v>1797</v>
      </c>
      <c r="M54" s="21">
        <v>1</v>
      </c>
      <c r="N54" s="21" t="s">
        <v>743</v>
      </c>
      <c r="O54" s="21" t="s">
        <v>3350</v>
      </c>
      <c r="P54" s="21" t="s">
        <v>3429</v>
      </c>
      <c r="Q54" s="21" t="s">
        <v>844</v>
      </c>
      <c r="R54" s="21" t="s">
        <v>3710</v>
      </c>
      <c r="S54" s="21" t="str">
        <f ca="1">IF(BN54&lt;1,"Paid",IF(BM54&gt;0,"Partially paid",IF(ISNUMBER(SEARCH("hold",BU54)),"On hold",IF(BQ54&lt;TODAY(),"Overdue","Approved - unpaid"))))</f>
        <v>Paid</v>
      </c>
      <c r="T54" s="21" t="s">
        <v>3431</v>
      </c>
      <c r="U54" s="21" t="s">
        <v>1278</v>
      </c>
      <c r="V54" s="21" t="s">
        <v>1200</v>
      </c>
      <c r="W54" s="21" t="s">
        <v>746</v>
      </c>
      <c r="X54" s="21" t="s">
        <v>846</v>
      </c>
      <c r="Y54" s="21" t="s">
        <v>3441</v>
      </c>
      <c r="Z54" s="21" t="s">
        <v>3442</v>
      </c>
      <c r="AA54" s="21" t="s">
        <v>1051</v>
      </c>
      <c r="AB54" s="37">
        <v>0</v>
      </c>
      <c r="AC54" s="21" t="s">
        <v>844</v>
      </c>
      <c r="AD54" s="21" t="s">
        <v>844</v>
      </c>
      <c r="AE54" s="21" t="s">
        <v>3443</v>
      </c>
      <c r="AF54" s="21">
        <v>1</v>
      </c>
      <c r="AG54" s="21" t="s">
        <v>837</v>
      </c>
      <c r="AH54" s="21" t="s">
        <v>840</v>
      </c>
      <c r="AI54" s="21" t="s">
        <v>842</v>
      </c>
      <c r="AJ54" s="37">
        <f>COUNTIFS('T14'!$AQ$3:$AQ$1500,B54,'T14'!$Z$3:$Z$1500,1,'T14'!$F$3:$F$1500,"Bag")</f>
        <v>2</v>
      </c>
      <c r="AK54" s="37">
        <f>AJ54</f>
        <v>2</v>
      </c>
      <c r="AL54" s="37">
        <v>39100</v>
      </c>
      <c r="AM54" s="37">
        <f>AK54*AL54</f>
        <v>78200</v>
      </c>
      <c r="AN54" s="37">
        <f>AM54</f>
        <v>78200</v>
      </c>
      <c r="AO54" s="23">
        <f>_xlfn.XLOOKUP(AG54,'T13'!$A$3:$A$1500,'T13'!$O$3:$O$1500)</f>
        <v>0.16</v>
      </c>
      <c r="AP54" s="37">
        <v>0</v>
      </c>
      <c r="AQ54" s="37">
        <f>SUMIFS($AN$3:$AN$1500,$G$3:$G$1500,G54)</f>
        <v>78200</v>
      </c>
      <c r="AR54" s="37">
        <f>SUMIFS($AP$3:$AP$1500,$G$3:$G$1500,G54)</f>
        <v>0</v>
      </c>
      <c r="AS54" s="21" t="s">
        <v>3444</v>
      </c>
      <c r="AT54" s="37">
        <f>ROUND(BH54*0.04,0)</f>
        <v>3628</v>
      </c>
      <c r="AU54" s="21" t="s">
        <v>846</v>
      </c>
      <c r="AV54" s="37" cm="1">
        <f t="array" ref="AV54">SUMPRODUCT(($G$3:$G$1500=G54)*$AN$3:$AN$1500*$AO$3:$AO$1500)+AR54</f>
        <v>12512</v>
      </c>
      <c r="AW54" s="37">
        <f>AT54</f>
        <v>3628</v>
      </c>
      <c r="AX54" s="21" t="str">
        <f>TEXT(EOMONTH(I54,0)+15,"dd-mmm-yyyy")&amp;" / "&amp;IF(BM54&gt;0,"CPR-IT-"&amp;TEXT(I54,"yymm")&amp;"-"&amp;RIGHT(G54,4),"Pending payment")</f>
        <v>15-Jun-2025 / CPR-IT-2505-0043</v>
      </c>
      <c r="AY54" s="21" t="str">
        <f>IF(BM54&gt;0,"Issued","Not yet")</f>
        <v>Issued</v>
      </c>
      <c r="AZ54" s="37">
        <v>0</v>
      </c>
      <c r="BA54" s="37">
        <v>0</v>
      </c>
      <c r="BB54" s="37">
        <v>0</v>
      </c>
      <c r="BC54" s="37">
        <v>0</v>
      </c>
      <c r="BD54" s="37">
        <v>0</v>
      </c>
      <c r="BE54" s="37">
        <f>AQ54</f>
        <v>78200</v>
      </c>
      <c r="BF54" s="37">
        <f>AV54</f>
        <v>12512</v>
      </c>
      <c r="BG54" s="37">
        <f>AZ54</f>
        <v>0</v>
      </c>
      <c r="BH54" s="37">
        <f>BE54+BF54+BG54</f>
        <v>90712</v>
      </c>
      <c r="BI54" s="37">
        <f>AW54</f>
        <v>3628</v>
      </c>
      <c r="BJ54" s="37">
        <f>BA54+BB54+BC54+BD54</f>
        <v>0</v>
      </c>
      <c r="BK54" s="37">
        <f>BH54-BI54-BJ54</f>
        <v>87084</v>
      </c>
      <c r="BL54" s="21" t="str">
        <f>"PKR "&amp;TEXT(BK54,"#,##0")&amp;" only"</f>
        <v>PKR 87,084 only</v>
      </c>
      <c r="BM54" s="37">
        <f>SUMIFS('T10'!$AK$3:$AK$1500,'T10'!$V$3:$V$1500,G54)</f>
        <v>87084</v>
      </c>
      <c r="BN54" s="37">
        <f>BK54-BM54</f>
        <v>0</v>
      </c>
      <c r="BO54" s="21" t="str">
        <f>IF(BF54&gt;0,TEXT(I54,"mmm-yyyy")&amp;" sales tax return","N/A")</f>
        <v>May-2025 sales tax return</v>
      </c>
      <c r="BP54" s="21" t="s">
        <v>1051</v>
      </c>
      <c r="BQ54" s="29">
        <f>J54+30</f>
        <v>45808</v>
      </c>
      <c r="BR54" s="29">
        <f>BQ54</f>
        <v>45808</v>
      </c>
      <c r="BS54" s="21" t="s">
        <v>3095</v>
      </c>
      <c r="BT54" s="21" t="s">
        <v>3360</v>
      </c>
      <c r="BU54" s="21" t="s">
        <v>844</v>
      </c>
      <c r="BV54" s="21" t="s">
        <v>846</v>
      </c>
      <c r="BW54" s="21" t="str" cm="1">
        <f t="array" ref="BW54">_xlfn.TEXTJOIN(", ",TRUE,_xlfn.UNIQUE(_xlfn._xlws.FILTER('T10'!$A$3:$A$1500,'T10'!$V$3:$V$1500=G54,"None")))</f>
        <v>PV-0012</v>
      </c>
      <c r="BX54" s="21" t="s">
        <v>3711</v>
      </c>
      <c r="BY54" s="21" t="s">
        <v>3712</v>
      </c>
    </row>
    <row r="55" spans="1:77" x14ac:dyDescent="0.3">
      <c r="A55" s="21" t="s">
        <v>3489</v>
      </c>
      <c r="B55" s="21" t="s">
        <v>2215</v>
      </c>
      <c r="C55" s="21" t="s">
        <v>3713</v>
      </c>
      <c r="D55" s="35">
        <v>45779.5</v>
      </c>
      <c r="E55" s="21" t="s">
        <v>3347</v>
      </c>
      <c r="F55" s="21" t="str">
        <f ca="1">IF(S55="Paid","Completed","Pending payment")</f>
        <v>Completed</v>
      </c>
      <c r="G55" s="21" t="s">
        <v>3714</v>
      </c>
      <c r="H55" s="21" t="s">
        <v>3428</v>
      </c>
      <c r="I55" s="29">
        <v>45780</v>
      </c>
      <c r="J55" s="29">
        <v>45778</v>
      </c>
      <c r="K55" s="21" t="str">
        <f>TEXT(I55,"mmm-yyyy")</f>
        <v>May-2025</v>
      </c>
      <c r="L55" s="21" t="s">
        <v>1797</v>
      </c>
      <c r="M55" s="21">
        <v>1</v>
      </c>
      <c r="N55" s="21" t="s">
        <v>743</v>
      </c>
      <c r="O55" s="21" t="s">
        <v>3350</v>
      </c>
      <c r="P55" s="21" t="s">
        <v>3429</v>
      </c>
      <c r="Q55" s="21" t="s">
        <v>844</v>
      </c>
      <c r="R55" s="21" t="s">
        <v>3715</v>
      </c>
      <c r="S55" s="21" t="str">
        <f ca="1">IF(BN55&lt;1,"Paid",IF(BM55&gt;0,"Partially paid",IF(ISNUMBER(SEARCH("hold",BU55)),"On hold",IF(BQ55&lt;TODAY(),"Overdue","Approved - unpaid"))))</f>
        <v>Paid</v>
      </c>
      <c r="T55" s="21" t="s">
        <v>3431</v>
      </c>
      <c r="U55" s="21" t="s">
        <v>1213</v>
      </c>
      <c r="V55" s="21" t="s">
        <v>1194</v>
      </c>
      <c r="W55" s="21" t="s">
        <v>746</v>
      </c>
      <c r="X55" s="21" t="s">
        <v>846</v>
      </c>
      <c r="Y55" s="21" t="s">
        <v>3493</v>
      </c>
      <c r="Z55" s="21" t="s">
        <v>3494</v>
      </c>
      <c r="AA55" s="21" t="s">
        <v>1051</v>
      </c>
      <c r="AB55" s="37">
        <v>0</v>
      </c>
      <c r="AC55" s="21" t="s">
        <v>844</v>
      </c>
      <c r="AD55" s="21" t="s">
        <v>844</v>
      </c>
      <c r="AE55" s="21" t="s">
        <v>3495</v>
      </c>
      <c r="AF55" s="21">
        <v>1</v>
      </c>
      <c r="AG55" s="21" t="s">
        <v>837</v>
      </c>
      <c r="AH55" s="21" t="s">
        <v>840</v>
      </c>
      <c r="AI55" s="21" t="s">
        <v>842</v>
      </c>
      <c r="AJ55" s="37">
        <f>COUNTIFS('T14'!$AQ$3:$AQ$1500,B55,'T14'!$Z$3:$Z$1500,1,'T14'!$F$3:$F$1500,"Bag")</f>
        <v>4</v>
      </c>
      <c r="AK55" s="37">
        <f>AJ55</f>
        <v>4</v>
      </c>
      <c r="AL55" s="37">
        <v>39100</v>
      </c>
      <c r="AM55" s="37">
        <f>AK55*AL55</f>
        <v>156400</v>
      </c>
      <c r="AN55" s="37">
        <f>AM55</f>
        <v>156400</v>
      </c>
      <c r="AO55" s="23">
        <f>_xlfn.XLOOKUP(AG55,'T13'!$A$3:$A$1500,'T13'!$O$3:$O$1500)</f>
        <v>0.16</v>
      </c>
      <c r="AP55" s="37">
        <v>0</v>
      </c>
      <c r="AQ55" s="37">
        <f>SUMIFS($AN$3:$AN$1500,$G$3:$G$1500,G55)</f>
        <v>156400</v>
      </c>
      <c r="AR55" s="37">
        <f>SUMIFS($AP$3:$AP$1500,$G$3:$G$1500,G55)</f>
        <v>0</v>
      </c>
      <c r="AS55" s="21" t="s">
        <v>3444</v>
      </c>
      <c r="AT55" s="37">
        <f>ROUND(BH55*0.04,0)</f>
        <v>7257</v>
      </c>
      <c r="AU55" s="21" t="s">
        <v>846</v>
      </c>
      <c r="AV55" s="37" cm="1">
        <f t="array" ref="AV55">SUMPRODUCT(($G$3:$G$1500=G55)*$AN$3:$AN$1500*$AO$3:$AO$1500)+AR55</f>
        <v>25024</v>
      </c>
      <c r="AW55" s="37">
        <f>AT55</f>
        <v>7257</v>
      </c>
      <c r="AX55" s="21" t="str">
        <f>TEXT(EOMONTH(I55,0)+15,"dd-mmm-yyyy")&amp;" / "&amp;IF(BM55&gt;0,"CPR-IT-"&amp;TEXT(I55,"yymm")&amp;"-"&amp;RIGHT(G55,4),"Pending payment")</f>
        <v>15-Jun-2025 / CPR-IT-2505-0044</v>
      </c>
      <c r="AY55" s="21" t="str">
        <f>IF(BM55&gt;0,"Issued","Not yet")</f>
        <v>Issued</v>
      </c>
      <c r="AZ55" s="37">
        <v>0</v>
      </c>
      <c r="BA55" s="37">
        <v>5000</v>
      </c>
      <c r="BB55" s="37">
        <v>0</v>
      </c>
      <c r="BC55" s="37">
        <v>0</v>
      </c>
      <c r="BD55" s="37">
        <v>0</v>
      </c>
      <c r="BE55" s="37">
        <f>AQ55</f>
        <v>156400</v>
      </c>
      <c r="BF55" s="37">
        <f>AV55</f>
        <v>25024</v>
      </c>
      <c r="BG55" s="37">
        <f>AZ55</f>
        <v>0</v>
      </c>
      <c r="BH55" s="37">
        <f>BE55+BF55+BG55</f>
        <v>181424</v>
      </c>
      <c r="BI55" s="37">
        <f>AW55</f>
        <v>7257</v>
      </c>
      <c r="BJ55" s="37">
        <f>BA55+BB55+BC55+BD55</f>
        <v>5000</v>
      </c>
      <c r="BK55" s="37">
        <f>BH55-BI55-BJ55</f>
        <v>169167</v>
      </c>
      <c r="BL55" s="21" t="str">
        <f>"PKR "&amp;TEXT(BK55,"#,##0")&amp;" only"</f>
        <v>PKR 169,167 only</v>
      </c>
      <c r="BM55" s="37">
        <f>SUMIFS('T10'!$AK$3:$AK$1500,'T10'!$V$3:$V$1500,G55)</f>
        <v>169167</v>
      </c>
      <c r="BN55" s="37">
        <f>BK55-BM55</f>
        <v>0</v>
      </c>
      <c r="BO55" s="21" t="str">
        <f>IF(BF55&gt;0,TEXT(I55,"mmm-yyyy")&amp;" sales tax return","N/A")</f>
        <v>May-2025 sales tax return</v>
      </c>
      <c r="BP55" s="21" t="s">
        <v>1051</v>
      </c>
      <c r="BQ55" s="29">
        <f>J55+30</f>
        <v>45808</v>
      </c>
      <c r="BR55" s="29">
        <f>BQ55</f>
        <v>45808</v>
      </c>
      <c r="BS55" s="21" t="s">
        <v>3095</v>
      </c>
      <c r="BT55" s="21" t="s">
        <v>3360</v>
      </c>
      <c r="BU55" s="21" t="s">
        <v>844</v>
      </c>
      <c r="BV55" s="21" t="s">
        <v>846</v>
      </c>
      <c r="BW55" s="21" t="str" cm="1">
        <f t="array" ref="BW55">_xlfn.TEXTJOIN(", ",TRUE,_xlfn.UNIQUE(_xlfn._xlws.FILTER('T10'!$A$3:$A$1500,'T10'!$V$3:$V$1500=G55,"None")))</f>
        <v>PV-0015</v>
      </c>
      <c r="BX55" s="21" t="s">
        <v>3711</v>
      </c>
      <c r="BY55" s="21" t="s">
        <v>3712</v>
      </c>
    </row>
    <row r="56" spans="1:77" x14ac:dyDescent="0.3">
      <c r="A56" s="21" t="s">
        <v>3527</v>
      </c>
      <c r="B56" s="21" t="s">
        <v>3716</v>
      </c>
      <c r="C56" s="21" t="s">
        <v>3717</v>
      </c>
      <c r="D56" s="35">
        <v>45792.375</v>
      </c>
      <c r="E56" s="21" t="s">
        <v>3347</v>
      </c>
      <c r="F56" s="21" t="str">
        <f ca="1">IF(S56="Paid","Completed","Pending payment")</f>
        <v>Completed</v>
      </c>
      <c r="G56" s="21" t="s">
        <v>3718</v>
      </c>
      <c r="H56" s="21" t="s">
        <v>3531</v>
      </c>
      <c r="I56" s="29">
        <v>45792</v>
      </c>
      <c r="J56" s="29">
        <v>45790</v>
      </c>
      <c r="K56" s="21" t="str">
        <f>TEXT(I56,"mmm-yyyy")</f>
        <v>May-2025</v>
      </c>
      <c r="L56" s="21" t="s">
        <v>1797</v>
      </c>
      <c r="M56" s="21">
        <v>1</v>
      </c>
      <c r="N56" s="21" t="s">
        <v>743</v>
      </c>
      <c r="O56" s="21" t="s">
        <v>3368</v>
      </c>
      <c r="P56" s="21" t="s">
        <v>3369</v>
      </c>
      <c r="Q56" s="21" t="s">
        <v>844</v>
      </c>
      <c r="R56" s="21" t="s">
        <v>3719</v>
      </c>
      <c r="S56" s="21" t="str">
        <f ca="1">IF(BN56&lt;1,"Paid",IF(BM56&gt;0,"Partially paid",IF(ISNUMBER(SEARCH("hold",BU56)),"On hold",IF(BQ56&lt;TODAY(),"Overdue","Approved - unpaid"))))</f>
        <v>Paid</v>
      </c>
      <c r="T56" s="21" t="s">
        <v>3533</v>
      </c>
      <c r="U56" s="21" t="s">
        <v>3534</v>
      </c>
      <c r="V56" s="21" t="s">
        <v>3535</v>
      </c>
      <c r="W56" s="21" t="s">
        <v>746</v>
      </c>
      <c r="X56" s="21" t="s">
        <v>846</v>
      </c>
      <c r="Y56" s="21" t="s">
        <v>3536</v>
      </c>
      <c r="Z56" s="21" t="s">
        <v>3537</v>
      </c>
      <c r="AA56" s="21" t="s">
        <v>1051</v>
      </c>
      <c r="AB56" s="37">
        <v>0</v>
      </c>
      <c r="AC56" s="21" t="s">
        <v>3720</v>
      </c>
      <c r="AD56" s="21" t="s">
        <v>3721</v>
      </c>
      <c r="AE56" s="21" t="s">
        <v>844</v>
      </c>
      <c r="AF56" s="21">
        <v>1</v>
      </c>
      <c r="AG56" s="21" t="s">
        <v>879</v>
      </c>
      <c r="AH56" s="21" t="s">
        <v>881</v>
      </c>
      <c r="AI56" s="21" t="s">
        <v>882</v>
      </c>
      <c r="AJ56" s="37">
        <v>68</v>
      </c>
      <c r="AK56" s="37">
        <v>68</v>
      </c>
      <c r="AL56" s="37">
        <v>2880</v>
      </c>
      <c r="AM56" s="37">
        <f>AK56*AL56</f>
        <v>195840</v>
      </c>
      <c r="AN56" s="37">
        <f>AM56</f>
        <v>195840</v>
      </c>
      <c r="AO56" s="23">
        <f>_xlfn.XLOOKUP(AG56,'T13'!$A$3:$A$1500,'T13'!$O$3:$O$1500)</f>
        <v>0.18</v>
      </c>
      <c r="AP56" s="37">
        <v>0</v>
      </c>
      <c r="AQ56" s="37">
        <f>SUMIFS($AN$3:$AN$1500,$G$3:$G$1500,G56)</f>
        <v>209340</v>
      </c>
      <c r="AR56" s="37">
        <f>SUMIFS($AP$3:$AP$1500,$G$3:$G$1500,G56)</f>
        <v>0</v>
      </c>
      <c r="AS56" s="21" t="s">
        <v>3410</v>
      </c>
      <c r="AT56" s="37">
        <f>ROUND(BH56*0.05,0)</f>
        <v>12351</v>
      </c>
      <c r="AU56" s="21" t="s">
        <v>846</v>
      </c>
      <c r="AV56" s="37" cm="1">
        <f t="array" ref="AV56">SUMPRODUCT(($G$3:$G$1500=G56)*$AN$3:$AN$1500*$AO$3:$AO$1500)+AR56</f>
        <v>37681.199999999997</v>
      </c>
      <c r="AW56" s="37">
        <f>AT56</f>
        <v>12351</v>
      </c>
      <c r="AX56" s="21" t="str">
        <f>TEXT(EOMONTH(I56,0)+15,"dd-mmm-yyyy")&amp;" / "&amp;IF(BM56&gt;0,"CPR-IT-"&amp;TEXT(I56,"yymm")&amp;"-"&amp;RIGHT(G56,4),"Pending payment")</f>
        <v>15-Jun-2025 / CPR-IT-2505-0045</v>
      </c>
      <c r="AY56" s="21" t="str">
        <f>IF(BM56&gt;0,"Issued","Not yet")</f>
        <v>Issued</v>
      </c>
      <c r="AZ56" s="37">
        <v>0</v>
      </c>
      <c r="BA56" s="37">
        <v>0</v>
      </c>
      <c r="BB56" s="37">
        <v>0</v>
      </c>
      <c r="BC56" s="37">
        <v>0</v>
      </c>
      <c r="BD56" s="37">
        <v>0</v>
      </c>
      <c r="BE56" s="37">
        <f>AQ56</f>
        <v>209340</v>
      </c>
      <c r="BF56" s="37">
        <f>AV56</f>
        <v>37681.199999999997</v>
      </c>
      <c r="BG56" s="37">
        <f>AZ56</f>
        <v>0</v>
      </c>
      <c r="BH56" s="37">
        <f>BE56+BF56+BG56</f>
        <v>247021.2</v>
      </c>
      <c r="BI56" s="37">
        <f>AW56</f>
        <v>12351</v>
      </c>
      <c r="BJ56" s="37">
        <f>BA56+BB56+BC56+BD56</f>
        <v>0</v>
      </c>
      <c r="BK56" s="37">
        <f>BH56-BI56-BJ56</f>
        <v>234670.2</v>
      </c>
      <c r="BL56" s="21" t="str">
        <f>"PKR "&amp;TEXT(BK56,"#,##0")&amp;" only"</f>
        <v>PKR 234,670 only</v>
      </c>
      <c r="BM56" s="37">
        <f>SUMIFS('T10'!$AK$3:$AK$1500,'T10'!$V$3:$V$1500,G56)</f>
        <v>234670.2</v>
      </c>
      <c r="BN56" s="37">
        <f>BK56-BM56</f>
        <v>0</v>
      </c>
      <c r="BO56" s="21" t="str">
        <f>IF(BF56&gt;0,TEXT(I56,"mmm-yyyy")&amp;" sales tax return","N/A")</f>
        <v>May-2025 sales tax return</v>
      </c>
      <c r="BP56" s="21" t="s">
        <v>1051</v>
      </c>
      <c r="BQ56" s="29">
        <f>J56+30</f>
        <v>45820</v>
      </c>
      <c r="BR56" s="29">
        <f>BQ56</f>
        <v>45820</v>
      </c>
      <c r="BS56" s="21" t="s">
        <v>3095</v>
      </c>
      <c r="BT56" s="21" t="s">
        <v>3360</v>
      </c>
      <c r="BU56" s="21" t="s">
        <v>844</v>
      </c>
      <c r="BV56" s="21" t="s">
        <v>846</v>
      </c>
      <c r="BW56" s="21" t="str" cm="1">
        <f t="array" ref="BW56">_xlfn.TEXTJOIN(", ",TRUE,_xlfn.UNIQUE(_xlfn._xlws.FILTER('T10'!$A$3:$A$1500,'T10'!$V$3:$V$1500=G56,"None")))</f>
        <v>PV-0044</v>
      </c>
      <c r="BX56" s="21" t="s">
        <v>3722</v>
      </c>
      <c r="BY56" s="21" t="s">
        <v>3723</v>
      </c>
    </row>
    <row r="57" spans="1:77" x14ac:dyDescent="0.3">
      <c r="A57" s="21" t="s">
        <v>3527</v>
      </c>
      <c r="B57" s="21" t="s">
        <v>3716</v>
      </c>
      <c r="C57" s="21" t="s">
        <v>3717</v>
      </c>
      <c r="D57" s="35">
        <v>45792.375</v>
      </c>
      <c r="E57" s="21" t="s">
        <v>3347</v>
      </c>
      <c r="F57" s="21" t="str">
        <f ca="1">IF(S57="Paid","Completed","Pending payment")</f>
        <v>Completed</v>
      </c>
      <c r="G57" s="21" t="s">
        <v>3718</v>
      </c>
      <c r="H57" s="21" t="s">
        <v>3531</v>
      </c>
      <c r="I57" s="29">
        <v>45792</v>
      </c>
      <c r="J57" s="29">
        <v>45790</v>
      </c>
      <c r="K57" s="21" t="str">
        <f>TEXT(I57,"mmm-yyyy")</f>
        <v>May-2025</v>
      </c>
      <c r="L57" s="21" t="s">
        <v>1797</v>
      </c>
      <c r="M57" s="21">
        <v>1</v>
      </c>
      <c r="N57" s="21" t="s">
        <v>743</v>
      </c>
      <c r="O57" s="21" t="s">
        <v>3368</v>
      </c>
      <c r="P57" s="21" t="s">
        <v>3369</v>
      </c>
      <c r="Q57" s="21" t="s">
        <v>844</v>
      </c>
      <c r="R57" s="21" t="s">
        <v>3719</v>
      </c>
      <c r="S57" s="21" t="str">
        <f ca="1">IF(BN57&lt;1,"Paid",IF(BM57&gt;0,"Partially paid",IF(ISNUMBER(SEARCH("hold",BU57)),"On hold",IF(BQ57&lt;TODAY(),"Overdue","Approved - unpaid"))))</f>
        <v>Paid</v>
      </c>
      <c r="T57" s="21" t="s">
        <v>3533</v>
      </c>
      <c r="U57" s="21" t="s">
        <v>3534</v>
      </c>
      <c r="V57" s="21" t="s">
        <v>3535</v>
      </c>
      <c r="W57" s="21" t="s">
        <v>746</v>
      </c>
      <c r="X57" s="21" t="s">
        <v>846</v>
      </c>
      <c r="Y57" s="21" t="s">
        <v>3536</v>
      </c>
      <c r="Z57" s="21" t="s">
        <v>3537</v>
      </c>
      <c r="AA57" s="21" t="s">
        <v>1051</v>
      </c>
      <c r="AB57" s="37">
        <v>0</v>
      </c>
      <c r="AC57" s="21" t="s">
        <v>3720</v>
      </c>
      <c r="AD57" s="21" t="s">
        <v>3724</v>
      </c>
      <c r="AE57" s="21" t="s">
        <v>844</v>
      </c>
      <c r="AF57" s="21">
        <v>2</v>
      </c>
      <c r="AG57" s="21" t="s">
        <v>888</v>
      </c>
      <c r="AH57" s="21" t="s">
        <v>890</v>
      </c>
      <c r="AI57" s="21" t="s">
        <v>882</v>
      </c>
      <c r="AJ57" s="37">
        <v>3</v>
      </c>
      <c r="AK57" s="37">
        <v>3</v>
      </c>
      <c r="AL57" s="37">
        <v>4500</v>
      </c>
      <c r="AM57" s="37">
        <f>AK57*AL57</f>
        <v>13500</v>
      </c>
      <c r="AN57" s="37">
        <f>AM57</f>
        <v>13500</v>
      </c>
      <c r="AO57" s="23">
        <f>_xlfn.XLOOKUP(AG57,'T13'!$A$3:$A$1500,'T13'!$O$3:$O$1500)</f>
        <v>0.18</v>
      </c>
      <c r="AP57" s="37">
        <v>0</v>
      </c>
      <c r="AQ57" s="37">
        <f>SUMIFS($AN$3:$AN$1500,$G$3:$G$1500,G57)</f>
        <v>209340</v>
      </c>
      <c r="AR57" s="37">
        <f>SUMIFS($AP$3:$AP$1500,$G$3:$G$1500,G57)</f>
        <v>0</v>
      </c>
      <c r="AS57" s="21" t="s">
        <v>3410</v>
      </c>
      <c r="AT57" s="37">
        <f>ROUND(BH57*0.05,0)</f>
        <v>12351</v>
      </c>
      <c r="AU57" s="21" t="s">
        <v>846</v>
      </c>
      <c r="AV57" s="37" cm="1">
        <f t="array" ref="AV57">SUMPRODUCT(($G$3:$G$1500=G57)*$AN$3:$AN$1500*$AO$3:$AO$1500)+AR57</f>
        <v>37681.199999999997</v>
      </c>
      <c r="AW57" s="37">
        <f>AT57</f>
        <v>12351</v>
      </c>
      <c r="AX57" s="21" t="str">
        <f>TEXT(EOMONTH(I57,0)+15,"dd-mmm-yyyy")&amp;" / "&amp;IF(BM57&gt;0,"CPR-IT-"&amp;TEXT(I57,"yymm")&amp;"-"&amp;RIGHT(G57,4),"Pending payment")</f>
        <v>15-Jun-2025 / CPR-IT-2505-0045</v>
      </c>
      <c r="AY57" s="21" t="str">
        <f>IF(BM57&gt;0,"Issued","Not yet")</f>
        <v>Issued</v>
      </c>
      <c r="AZ57" s="37">
        <v>0</v>
      </c>
      <c r="BA57" s="37">
        <v>0</v>
      </c>
      <c r="BB57" s="37">
        <v>0</v>
      </c>
      <c r="BC57" s="37">
        <v>0</v>
      </c>
      <c r="BD57" s="37">
        <v>0</v>
      </c>
      <c r="BE57" s="37">
        <f>AQ57</f>
        <v>209340</v>
      </c>
      <c r="BF57" s="37">
        <f>AV57</f>
        <v>37681.199999999997</v>
      </c>
      <c r="BG57" s="37">
        <f>AZ57</f>
        <v>0</v>
      </c>
      <c r="BH57" s="37">
        <f>BE57+BF57+BG57</f>
        <v>247021.2</v>
      </c>
      <c r="BI57" s="37">
        <f>AW57</f>
        <v>12351</v>
      </c>
      <c r="BJ57" s="37">
        <f>BA57+BB57+BC57+BD57</f>
        <v>0</v>
      </c>
      <c r="BK57" s="37">
        <f>BH57-BI57-BJ57</f>
        <v>234670.2</v>
      </c>
      <c r="BL57" s="21" t="str">
        <f>"PKR "&amp;TEXT(BK57,"#,##0")&amp;" only"</f>
        <v>PKR 234,670 only</v>
      </c>
      <c r="BM57" s="37">
        <f>SUMIFS('T10'!$AK$3:$AK$1500,'T10'!$V$3:$V$1500,G57)</f>
        <v>234670.2</v>
      </c>
      <c r="BN57" s="37">
        <f>BK57-BM57</f>
        <v>0</v>
      </c>
      <c r="BO57" s="21" t="str">
        <f>IF(BF57&gt;0,TEXT(I57,"mmm-yyyy")&amp;" sales tax return","N/A")</f>
        <v>May-2025 sales tax return</v>
      </c>
      <c r="BP57" s="21" t="s">
        <v>1051</v>
      </c>
      <c r="BQ57" s="29">
        <f>J57+30</f>
        <v>45820</v>
      </c>
      <c r="BR57" s="29">
        <f>BQ57</f>
        <v>45820</v>
      </c>
      <c r="BS57" s="21" t="s">
        <v>3095</v>
      </c>
      <c r="BT57" s="21" t="s">
        <v>3360</v>
      </c>
      <c r="BU57" s="21" t="s">
        <v>844</v>
      </c>
      <c r="BV57" s="21" t="s">
        <v>846</v>
      </c>
      <c r="BW57" s="21" t="str" cm="1">
        <f t="array" ref="BW57">_xlfn.TEXTJOIN(", ",TRUE,_xlfn.UNIQUE(_xlfn._xlws.FILTER('T10'!$A$3:$A$1500,'T10'!$V$3:$V$1500=G57,"None")))</f>
        <v>PV-0044</v>
      </c>
      <c r="BX57" s="21" t="s">
        <v>3722</v>
      </c>
      <c r="BY57" s="21" t="s">
        <v>3723</v>
      </c>
    </row>
    <row r="58" spans="1:77" x14ac:dyDescent="0.3">
      <c r="A58" s="21" t="s">
        <v>3496</v>
      </c>
      <c r="B58" s="21" t="s">
        <v>3725</v>
      </c>
      <c r="C58" s="21" t="s">
        <v>3726</v>
      </c>
      <c r="D58" s="35">
        <v>45796.5</v>
      </c>
      <c r="E58" s="21" t="s">
        <v>3347</v>
      </c>
      <c r="F58" s="21" t="str">
        <f ca="1">IF(S58="Paid","Completed","Pending payment")</f>
        <v>Completed</v>
      </c>
      <c r="G58" s="21" t="s">
        <v>3727</v>
      </c>
      <c r="H58" s="21" t="s">
        <v>3500</v>
      </c>
      <c r="I58" s="29">
        <v>45797</v>
      </c>
      <c r="J58" s="29">
        <v>45795</v>
      </c>
      <c r="K58" s="21" t="str">
        <f>TEXT(I58,"mmm-yyyy")</f>
        <v>May-2025</v>
      </c>
      <c r="L58" s="21" t="s">
        <v>1797</v>
      </c>
      <c r="M58" s="21">
        <v>1</v>
      </c>
      <c r="N58" s="21" t="s">
        <v>743</v>
      </c>
      <c r="O58" s="21" t="s">
        <v>3350</v>
      </c>
      <c r="P58" s="21" t="s">
        <v>3351</v>
      </c>
      <c r="Q58" s="21" t="s">
        <v>844</v>
      </c>
      <c r="R58" s="21" t="s">
        <v>3728</v>
      </c>
      <c r="S58" s="21" t="str">
        <f ca="1">IF(BN58&lt;1,"Paid",IF(BM58&gt;0,"Partially paid",IF(ISNUMBER(SEARCH("hold",BU58)),"On hold",IF(BQ58&lt;TODAY(),"Overdue","Approved - unpaid"))))</f>
        <v>Paid</v>
      </c>
      <c r="T58" s="21" t="s">
        <v>3502</v>
      </c>
      <c r="U58" s="21" t="s">
        <v>3503</v>
      </c>
      <c r="V58" s="21" t="s">
        <v>3504</v>
      </c>
      <c r="W58" s="21" t="s">
        <v>746</v>
      </c>
      <c r="X58" s="21" t="s">
        <v>846</v>
      </c>
      <c r="Y58" s="21" t="s">
        <v>3505</v>
      </c>
      <c r="Z58" s="21" t="s">
        <v>3506</v>
      </c>
      <c r="AA58" s="21" t="s">
        <v>1051</v>
      </c>
      <c r="AB58" s="37">
        <v>0</v>
      </c>
      <c r="AC58" s="21" t="s">
        <v>3729</v>
      </c>
      <c r="AD58" s="21" t="s">
        <v>3730</v>
      </c>
      <c r="AE58" s="21" t="s">
        <v>844</v>
      </c>
      <c r="AF58" s="21">
        <v>1</v>
      </c>
      <c r="AG58" s="21" t="s">
        <v>894</v>
      </c>
      <c r="AH58" s="21" t="s">
        <v>896</v>
      </c>
      <c r="AI58" s="21" t="s">
        <v>897</v>
      </c>
      <c r="AJ58" s="37">
        <v>1</v>
      </c>
      <c r="AK58" s="37">
        <v>1</v>
      </c>
      <c r="AL58" s="37">
        <v>15420</v>
      </c>
      <c r="AM58" s="37">
        <f>AK58*AL58</f>
        <v>15420</v>
      </c>
      <c r="AN58" s="37">
        <f>AM58</f>
        <v>15420</v>
      </c>
      <c r="AO58" s="23">
        <f>_xlfn.XLOOKUP(AG58,'T13'!$A$3:$A$1500,'T13'!$O$3:$O$1500)</f>
        <v>0.18</v>
      </c>
      <c r="AP58" s="37">
        <v>0</v>
      </c>
      <c r="AQ58" s="37">
        <f>SUMIFS($AN$3:$AN$1500,$G$3:$G$1500,G58)</f>
        <v>15420</v>
      </c>
      <c r="AR58" s="37">
        <f>SUMIFS($AP$3:$AP$1500,$G$3:$G$1500,G58)</f>
        <v>0</v>
      </c>
      <c r="AS58" s="21" t="s">
        <v>3410</v>
      </c>
      <c r="AT58" s="37">
        <f>ROUND(BH58*0.05,0)</f>
        <v>910</v>
      </c>
      <c r="AU58" s="21" t="s">
        <v>846</v>
      </c>
      <c r="AV58" s="37" cm="1">
        <f t="array" ref="AV58">SUMPRODUCT(($G$3:$G$1500=G58)*$AN$3:$AN$1500*$AO$3:$AO$1500)+AR58</f>
        <v>2775.6</v>
      </c>
      <c r="AW58" s="37">
        <f>AT58</f>
        <v>910</v>
      </c>
      <c r="AX58" s="21" t="str">
        <f>TEXT(EOMONTH(I58,0)+15,"dd-mmm-yyyy")&amp;" / "&amp;IF(BM58&gt;0,"CPR-IT-"&amp;TEXT(I58,"yymm")&amp;"-"&amp;RIGHT(G58,4),"Pending payment")</f>
        <v>15-Jun-2025 / CPR-IT-2505-0046</v>
      </c>
      <c r="AY58" s="21" t="str">
        <f>IF(BM58&gt;0,"Issued","Not yet")</f>
        <v>Issued</v>
      </c>
      <c r="AZ58" s="37">
        <v>0</v>
      </c>
      <c r="BA58" s="37">
        <v>0</v>
      </c>
      <c r="BB58" s="37">
        <v>0</v>
      </c>
      <c r="BC58" s="37">
        <v>0</v>
      </c>
      <c r="BD58" s="37">
        <v>0</v>
      </c>
      <c r="BE58" s="37">
        <f>AQ58</f>
        <v>15420</v>
      </c>
      <c r="BF58" s="37">
        <f>AV58</f>
        <v>2775.6</v>
      </c>
      <c r="BG58" s="37">
        <f>AZ58</f>
        <v>0</v>
      </c>
      <c r="BH58" s="37">
        <f>BE58+BF58+BG58</f>
        <v>18195.599999999999</v>
      </c>
      <c r="BI58" s="37">
        <f>AW58</f>
        <v>910</v>
      </c>
      <c r="BJ58" s="37">
        <f>BA58+BB58+BC58+BD58</f>
        <v>0</v>
      </c>
      <c r="BK58" s="37">
        <f>BH58-BI58-BJ58</f>
        <v>17285.599999999999</v>
      </c>
      <c r="BL58" s="21" t="str">
        <f>"PKR "&amp;TEXT(BK58,"#,##0")&amp;" only"</f>
        <v>PKR 17,286 only</v>
      </c>
      <c r="BM58" s="37">
        <f>SUMIFS('T10'!$AK$3:$AK$1500,'T10'!$V$3:$V$1500,G58)</f>
        <v>17285.599999999999</v>
      </c>
      <c r="BN58" s="37">
        <f>BK58-BM58</f>
        <v>0</v>
      </c>
      <c r="BO58" s="21" t="str">
        <f>IF(BF58&gt;0,TEXT(I58,"mmm-yyyy")&amp;" sales tax return","N/A")</f>
        <v>May-2025 sales tax return</v>
      </c>
      <c r="BP58" s="21" t="s">
        <v>1051</v>
      </c>
      <c r="BQ58" s="29">
        <f>J58+30</f>
        <v>45825</v>
      </c>
      <c r="BR58" s="29">
        <f>BQ58</f>
        <v>45825</v>
      </c>
      <c r="BS58" s="21" t="s">
        <v>3095</v>
      </c>
      <c r="BT58" s="21" t="s">
        <v>3360</v>
      </c>
      <c r="BU58" s="21" t="s">
        <v>844</v>
      </c>
      <c r="BV58" s="21" t="s">
        <v>846</v>
      </c>
      <c r="BW58" s="21" t="str" cm="1">
        <f t="array" ref="BW58">_xlfn.TEXTJOIN(", ",TRUE,_xlfn.UNIQUE(_xlfn._xlws.FILTER('T10'!$A$3:$A$1500,'T10'!$V$3:$V$1500=G58,"None")))</f>
        <v>PV-0038</v>
      </c>
      <c r="BX58" s="21" t="s">
        <v>3731</v>
      </c>
      <c r="BY58" s="21" t="s">
        <v>3732</v>
      </c>
    </row>
    <row r="59" spans="1:77" x14ac:dyDescent="0.3">
      <c r="A59" s="21" t="s">
        <v>3395</v>
      </c>
      <c r="B59" s="21" t="s">
        <v>3733</v>
      </c>
      <c r="C59" s="21" t="s">
        <v>3734</v>
      </c>
      <c r="D59" s="35">
        <v>45809.583333333336</v>
      </c>
      <c r="E59" s="21" t="s">
        <v>3347</v>
      </c>
      <c r="F59" s="21" t="str">
        <f ca="1">IF(S59="Paid","Completed","Pending payment")</f>
        <v>Completed</v>
      </c>
      <c r="G59" s="21" t="s">
        <v>3735</v>
      </c>
      <c r="H59" s="21" t="s">
        <v>3399</v>
      </c>
      <c r="I59" s="29">
        <v>45808</v>
      </c>
      <c r="J59" s="29">
        <v>45808</v>
      </c>
      <c r="K59" s="21" t="str">
        <f>TEXT(I59,"mmm-yyyy")</f>
        <v>May-2025</v>
      </c>
      <c r="L59" s="21" t="s">
        <v>1797</v>
      </c>
      <c r="M59" s="21">
        <v>1</v>
      </c>
      <c r="N59" s="21" t="s">
        <v>743</v>
      </c>
      <c r="O59" s="21" t="s">
        <v>3400</v>
      </c>
      <c r="P59" s="21" t="s">
        <v>3401</v>
      </c>
      <c r="Q59" s="21" t="s">
        <v>844</v>
      </c>
      <c r="R59" s="21" t="s">
        <v>3736</v>
      </c>
      <c r="S59" s="21" t="str">
        <f ca="1">IF(BN59&lt;1,"Paid",IF(BM59&gt;0,"Partially paid",IF(ISNUMBER(SEARCH("hold",BU59)),"On hold",IF(BQ59&lt;TODAY(),"Overdue","Approved - unpaid"))))</f>
        <v>Paid</v>
      </c>
      <c r="T59" s="21" t="s">
        <v>3403</v>
      </c>
      <c r="U59" s="21" t="s">
        <v>3404</v>
      </c>
      <c r="V59" s="21" t="s">
        <v>967</v>
      </c>
      <c r="W59" s="21" t="s">
        <v>746</v>
      </c>
      <c r="X59" s="21" t="s">
        <v>846</v>
      </c>
      <c r="Y59" s="21" t="s">
        <v>3405</v>
      </c>
      <c r="Z59" s="21" t="s">
        <v>3406</v>
      </c>
      <c r="AA59" s="21" t="s">
        <v>1062</v>
      </c>
      <c r="AB59" s="37">
        <v>0</v>
      </c>
      <c r="AC59" s="21" t="s">
        <v>3737</v>
      </c>
      <c r="AD59" s="21" t="s">
        <v>3738</v>
      </c>
      <c r="AE59" s="21" t="s">
        <v>3409</v>
      </c>
      <c r="AF59" s="21">
        <v>1</v>
      </c>
      <c r="AG59" s="21" t="s">
        <v>781</v>
      </c>
      <c r="AH59" s="21" t="s">
        <v>782</v>
      </c>
      <c r="AI59" s="21" t="s">
        <v>783</v>
      </c>
      <c r="AJ59" s="37">
        <v>245</v>
      </c>
      <c r="AK59" s="37">
        <v>245</v>
      </c>
      <c r="AL59" s="37">
        <v>25650</v>
      </c>
      <c r="AM59" s="37">
        <f>AK59*AL59</f>
        <v>6284250</v>
      </c>
      <c r="AN59" s="37">
        <f>AM59</f>
        <v>6284250</v>
      </c>
      <c r="AO59" s="23">
        <f>_xlfn.XLOOKUP(AG59,'T13'!$A$3:$A$1500,'T13'!$O$3:$O$1500)</f>
        <v>0.18</v>
      </c>
      <c r="AP59" s="37">
        <f>AK59*IF(AI59="MT",1000,IF(AI59="Jumbo bag (1.5 MT)",1500,IF(AI59="Bag (40 kg)",40,50)))*3</f>
        <v>735000</v>
      </c>
      <c r="AQ59" s="37">
        <f>SUMIFS($AN$3:$AN$1500,$G$3:$G$1500,G59)</f>
        <v>6284250</v>
      </c>
      <c r="AR59" s="37">
        <f>SUMIFS($AP$3:$AP$1500,$G$3:$G$1500,G59)</f>
        <v>735000</v>
      </c>
      <c r="AS59" s="21" t="s">
        <v>3410</v>
      </c>
      <c r="AT59" s="37">
        <f>ROUND(BH59*0.05,0)</f>
        <v>407521</v>
      </c>
      <c r="AU59" s="21" t="s">
        <v>846</v>
      </c>
      <c r="AV59" s="37" cm="1">
        <f t="array" ref="AV59">SUMPRODUCT(($G$3:$G$1500=G59)*$AN$3:$AN$1500*$AO$3:$AO$1500)+AR59</f>
        <v>1866165</v>
      </c>
      <c r="AW59" s="37">
        <f>AT59</f>
        <v>407521</v>
      </c>
      <c r="AX59" s="21" t="str">
        <f>TEXT(EOMONTH(I59,0)+15,"dd-mmm-yyyy")&amp;" / "&amp;IF(BM59&gt;0,"CPR-IT-"&amp;TEXT(I59,"yymm")&amp;"-"&amp;RIGHT(G59,4),"Pending payment")</f>
        <v>15-Jun-2025 / CPR-IT-2505-0047</v>
      </c>
      <c r="AY59" s="21" t="str">
        <f>IF(BM59&gt;0,"Issued","Not yet")</f>
        <v>Issued</v>
      </c>
      <c r="AZ59" s="37">
        <v>0</v>
      </c>
      <c r="BA59" s="37">
        <v>0</v>
      </c>
      <c r="BB59" s="37">
        <v>0</v>
      </c>
      <c r="BC59" s="37">
        <v>0</v>
      </c>
      <c r="BD59" s="37">
        <v>0</v>
      </c>
      <c r="BE59" s="37">
        <f>AQ59</f>
        <v>6284250</v>
      </c>
      <c r="BF59" s="37">
        <f>AV59</f>
        <v>1866165</v>
      </c>
      <c r="BG59" s="37">
        <f>AZ59</f>
        <v>0</v>
      </c>
      <c r="BH59" s="37">
        <f>BE59+BF59+BG59</f>
        <v>8150415</v>
      </c>
      <c r="BI59" s="37">
        <f>AW59</f>
        <v>407521</v>
      </c>
      <c r="BJ59" s="37">
        <f>BA59+BB59+BC59+BD59</f>
        <v>0</v>
      </c>
      <c r="BK59" s="37">
        <f>BH59-BI59-BJ59</f>
        <v>7742894</v>
      </c>
      <c r="BL59" s="21" t="str">
        <f>"PKR "&amp;TEXT(BK59,"#,##0")&amp;" only"</f>
        <v>PKR 7,742,894 only</v>
      </c>
      <c r="BM59" s="37">
        <f>SUMIFS('T10'!$AK$3:$AK$1500,'T10'!$V$3:$V$1500,G59)</f>
        <v>7742894</v>
      </c>
      <c r="BN59" s="37">
        <f>BK59-BM59</f>
        <v>0</v>
      </c>
      <c r="BO59" s="21" t="str">
        <f>IF(BF59&gt;0,TEXT(I59,"mmm-yyyy")&amp;" sales tax return","N/A")</f>
        <v>May-2025 sales tax return</v>
      </c>
      <c r="BP59" s="21" t="s">
        <v>1062</v>
      </c>
      <c r="BQ59" s="29">
        <f>J59+15</f>
        <v>45823</v>
      </c>
      <c r="BR59" s="29">
        <f>BQ59</f>
        <v>45823</v>
      </c>
      <c r="BS59" s="21" t="s">
        <v>3095</v>
      </c>
      <c r="BT59" s="21" t="s">
        <v>3411</v>
      </c>
      <c r="BU59" s="21" t="s">
        <v>844</v>
      </c>
      <c r="BV59" s="21" t="s">
        <v>846</v>
      </c>
      <c r="BW59" s="21" t="str" cm="1">
        <f t="array" ref="BW59">_xlfn.TEXTJOIN(", ",TRUE,_xlfn.UNIQUE(_xlfn._xlws.FILTER('T10'!$A$3:$A$1500,'T10'!$V$3:$V$1500=G59,"None")))</f>
        <v>PV-0016</v>
      </c>
      <c r="BX59" s="21" t="s">
        <v>3739</v>
      </c>
      <c r="BY59" s="21" t="s">
        <v>3740</v>
      </c>
    </row>
    <row r="60" spans="1:77" x14ac:dyDescent="0.3">
      <c r="A60" s="21" t="s">
        <v>3573</v>
      </c>
      <c r="B60" s="21" t="s">
        <v>3741</v>
      </c>
      <c r="C60" s="21" t="s">
        <v>3742</v>
      </c>
      <c r="D60" s="35">
        <v>45809.458333333336</v>
      </c>
      <c r="E60" s="21" t="s">
        <v>3347</v>
      </c>
      <c r="F60" s="21" t="str">
        <f ca="1">IF(S60="Paid","Completed","Pending payment")</f>
        <v>Completed</v>
      </c>
      <c r="G60" s="21" t="s">
        <v>3743</v>
      </c>
      <c r="H60" s="21" t="s">
        <v>3399</v>
      </c>
      <c r="I60" s="29">
        <v>45808</v>
      </c>
      <c r="J60" s="29">
        <v>45808</v>
      </c>
      <c r="K60" s="21" t="str">
        <f>TEXT(I60,"mmm-yyyy")</f>
        <v>May-2025</v>
      </c>
      <c r="L60" s="21" t="s">
        <v>1797</v>
      </c>
      <c r="M60" s="21">
        <v>1</v>
      </c>
      <c r="N60" s="21" t="s">
        <v>743</v>
      </c>
      <c r="O60" s="21" t="s">
        <v>3400</v>
      </c>
      <c r="P60" s="21" t="s">
        <v>3401</v>
      </c>
      <c r="Q60" s="21" t="s">
        <v>844</v>
      </c>
      <c r="R60" s="21" t="s">
        <v>3736</v>
      </c>
      <c r="S60" s="21" t="str">
        <f ca="1">IF(BN60&lt;1,"Paid",IF(BM60&gt;0,"Partially paid",IF(ISNUMBER(SEARCH("hold",BU60)),"On hold",IF(BQ60&lt;TODAY(),"Overdue","Approved - unpaid"))))</f>
        <v>Paid</v>
      </c>
      <c r="T60" s="21" t="s">
        <v>3403</v>
      </c>
      <c r="U60" s="21" t="s">
        <v>3578</v>
      </c>
      <c r="V60" s="21" t="s">
        <v>1021</v>
      </c>
      <c r="W60" s="21" t="s">
        <v>746</v>
      </c>
      <c r="X60" s="21" t="s">
        <v>846</v>
      </c>
      <c r="Y60" s="21" t="s">
        <v>3579</v>
      </c>
      <c r="Z60" s="21" t="s">
        <v>3580</v>
      </c>
      <c r="AA60" s="21" t="s">
        <v>1062</v>
      </c>
      <c r="AB60" s="37">
        <v>0</v>
      </c>
      <c r="AC60" s="21" t="s">
        <v>3744</v>
      </c>
      <c r="AD60" s="21" t="s">
        <v>3745</v>
      </c>
      <c r="AE60" s="21" t="s">
        <v>3583</v>
      </c>
      <c r="AF60" s="21">
        <v>1</v>
      </c>
      <c r="AG60" s="21" t="s">
        <v>805</v>
      </c>
      <c r="AH60" s="21" t="s">
        <v>807</v>
      </c>
      <c r="AI60" s="21" t="s">
        <v>1804</v>
      </c>
      <c r="AJ60" s="37">
        <v>1900</v>
      </c>
      <c r="AK60" s="37">
        <v>1900</v>
      </c>
      <c r="AL60" s="37">
        <v>1450</v>
      </c>
      <c r="AM60" s="37">
        <f>AK60*AL60</f>
        <v>2755000</v>
      </c>
      <c r="AN60" s="37">
        <f>AM60</f>
        <v>2755000</v>
      </c>
      <c r="AO60" s="23">
        <f>_xlfn.XLOOKUP(AG60,'T13'!$A$3:$A$1500,'T13'!$O$3:$O$1500)</f>
        <v>0.18</v>
      </c>
      <c r="AP60" s="37">
        <f>AK60*IF(AI60="MT",1000,IF(AI60="Jumbo bag (1.5 MT)",1500,IF(AI60="Bag (40 kg)",40,50)))*3</f>
        <v>285000</v>
      </c>
      <c r="AQ60" s="37">
        <f>SUMIFS($AN$3:$AN$1500,$G$3:$G$1500,G60)</f>
        <v>2755000</v>
      </c>
      <c r="AR60" s="37">
        <f>SUMIFS($AP$3:$AP$1500,$G$3:$G$1500,G60)</f>
        <v>285000</v>
      </c>
      <c r="AS60" s="21" t="s">
        <v>3410</v>
      </c>
      <c r="AT60" s="37">
        <f>ROUND(BH60*0.05,0)</f>
        <v>176795</v>
      </c>
      <c r="AU60" s="21" t="s">
        <v>846</v>
      </c>
      <c r="AV60" s="37" cm="1">
        <f t="array" ref="AV60">SUMPRODUCT(($G$3:$G$1500=G60)*$AN$3:$AN$1500*$AO$3:$AO$1500)+AR60</f>
        <v>780900</v>
      </c>
      <c r="AW60" s="37">
        <f>AT60</f>
        <v>176795</v>
      </c>
      <c r="AX60" s="21" t="str">
        <f>TEXT(EOMONTH(I60,0)+15,"dd-mmm-yyyy")&amp;" / "&amp;IF(BM60&gt;0,"CPR-IT-"&amp;TEXT(I60,"yymm")&amp;"-"&amp;RIGHT(G60,4),"Pending payment")</f>
        <v>15-Jun-2025 / CPR-IT-2505-0048</v>
      </c>
      <c r="AY60" s="21" t="str">
        <f>IF(BM60&gt;0,"Issued","Not yet")</f>
        <v>Issued</v>
      </c>
      <c r="AZ60" s="37">
        <v>0</v>
      </c>
      <c r="BA60" s="37">
        <v>0</v>
      </c>
      <c r="BB60" s="37">
        <v>0</v>
      </c>
      <c r="BC60" s="37">
        <v>0</v>
      </c>
      <c r="BD60" s="37">
        <v>0</v>
      </c>
      <c r="BE60" s="37">
        <f>AQ60</f>
        <v>2755000</v>
      </c>
      <c r="BF60" s="37">
        <f>AV60</f>
        <v>780900</v>
      </c>
      <c r="BG60" s="37">
        <f>AZ60</f>
        <v>0</v>
      </c>
      <c r="BH60" s="37">
        <f>BE60+BF60+BG60</f>
        <v>3535900</v>
      </c>
      <c r="BI60" s="37">
        <f>AW60</f>
        <v>176795</v>
      </c>
      <c r="BJ60" s="37">
        <f>BA60+BB60+BC60+BD60</f>
        <v>0</v>
      </c>
      <c r="BK60" s="37">
        <f>BH60-BI60-BJ60</f>
        <v>3359105</v>
      </c>
      <c r="BL60" s="21" t="str">
        <f>"PKR "&amp;TEXT(BK60,"#,##0")&amp;" only"</f>
        <v>PKR 3,359,105 only</v>
      </c>
      <c r="BM60" s="37">
        <f>SUMIFS('T10'!$AK$3:$AK$1500,'T10'!$V$3:$V$1500,G60)</f>
        <v>3359105</v>
      </c>
      <c r="BN60" s="37">
        <f>BK60-BM60</f>
        <v>0</v>
      </c>
      <c r="BO60" s="21" t="str">
        <f>IF(BF60&gt;0,TEXT(I60,"mmm-yyyy")&amp;" sales tax return","N/A")</f>
        <v>May-2025 sales tax return</v>
      </c>
      <c r="BP60" s="21" t="s">
        <v>1062</v>
      </c>
      <c r="BQ60" s="29">
        <f>J60+15</f>
        <v>45823</v>
      </c>
      <c r="BR60" s="29">
        <f>BQ60</f>
        <v>45823</v>
      </c>
      <c r="BS60" s="21" t="s">
        <v>3095</v>
      </c>
      <c r="BT60" s="21" t="s">
        <v>3411</v>
      </c>
      <c r="BU60" s="21" t="s">
        <v>844</v>
      </c>
      <c r="BV60" s="21" t="s">
        <v>846</v>
      </c>
      <c r="BW60" s="21" t="str" cm="1">
        <f t="array" ref="BW60">_xlfn.TEXTJOIN(", ",TRUE,_xlfn.UNIQUE(_xlfn._xlws.FILTER('T10'!$A$3:$A$1500,'T10'!$V$3:$V$1500=G60,"None")))</f>
        <v>PV-0009</v>
      </c>
      <c r="BX60" s="21" t="s">
        <v>3739</v>
      </c>
      <c r="BY60" s="21" t="s">
        <v>3740</v>
      </c>
    </row>
    <row r="61" spans="1:77" x14ac:dyDescent="0.3">
      <c r="A61" s="21" t="s">
        <v>3415</v>
      </c>
      <c r="B61" s="21" t="s">
        <v>3746</v>
      </c>
      <c r="C61" s="21" t="s">
        <v>3747</v>
      </c>
      <c r="D61" s="35">
        <v>45809.666666666664</v>
      </c>
      <c r="E61" s="21" t="s">
        <v>3347</v>
      </c>
      <c r="F61" s="21" t="str">
        <f ca="1">IF(S61="Paid","Completed","Pending payment")</f>
        <v>Completed</v>
      </c>
      <c r="G61" s="21" t="s">
        <v>3748</v>
      </c>
      <c r="H61" s="21" t="s">
        <v>3399</v>
      </c>
      <c r="I61" s="29">
        <v>45808</v>
      </c>
      <c r="J61" s="29">
        <v>45808</v>
      </c>
      <c r="K61" s="21" t="str">
        <f>TEXT(I61,"mmm-yyyy")</f>
        <v>May-2025</v>
      </c>
      <c r="L61" s="21" t="s">
        <v>1797</v>
      </c>
      <c r="M61" s="21">
        <v>1</v>
      </c>
      <c r="N61" s="21" t="s">
        <v>743</v>
      </c>
      <c r="O61" s="21" t="s">
        <v>3400</v>
      </c>
      <c r="P61" s="21" t="s">
        <v>3401</v>
      </c>
      <c r="Q61" s="21" t="s">
        <v>844</v>
      </c>
      <c r="R61" s="21" t="s">
        <v>3736</v>
      </c>
      <c r="S61" s="21" t="str">
        <f ca="1">IF(BN61&lt;1,"Paid",IF(BM61&gt;0,"Partially paid",IF(ISNUMBER(SEARCH("hold",BU61)),"On hold",IF(BQ61&lt;TODAY(),"Overdue","Approved - unpaid"))))</f>
        <v>Paid</v>
      </c>
      <c r="T61" s="21" t="s">
        <v>3403</v>
      </c>
      <c r="U61" s="21" t="s">
        <v>3419</v>
      </c>
      <c r="V61" s="21" t="s">
        <v>999</v>
      </c>
      <c r="W61" s="21" t="s">
        <v>746</v>
      </c>
      <c r="X61" s="21" t="s">
        <v>846</v>
      </c>
      <c r="Y61" s="21" t="s">
        <v>3420</v>
      </c>
      <c r="Z61" s="21" t="s">
        <v>3421</v>
      </c>
      <c r="AA61" s="21" t="s">
        <v>1062</v>
      </c>
      <c r="AB61" s="37">
        <v>0</v>
      </c>
      <c r="AC61" s="21" t="s">
        <v>3749</v>
      </c>
      <c r="AD61" s="21" t="s">
        <v>3750</v>
      </c>
      <c r="AE61" s="21" t="s">
        <v>3424</v>
      </c>
      <c r="AF61" s="21">
        <v>1</v>
      </c>
      <c r="AG61" s="21" t="s">
        <v>831</v>
      </c>
      <c r="AH61" s="21" t="s">
        <v>833</v>
      </c>
      <c r="AI61" s="21" t="s">
        <v>1804</v>
      </c>
      <c r="AJ61" s="37">
        <v>1400</v>
      </c>
      <c r="AK61" s="37">
        <v>1400</v>
      </c>
      <c r="AL61" s="37">
        <v>1470</v>
      </c>
      <c r="AM61" s="37">
        <f>AK61*AL61</f>
        <v>2058000</v>
      </c>
      <c r="AN61" s="37">
        <f>AM61</f>
        <v>2058000</v>
      </c>
      <c r="AO61" s="23">
        <f>_xlfn.XLOOKUP(AG61,'T13'!$A$3:$A$1500,'T13'!$O$3:$O$1500)</f>
        <v>0.18</v>
      </c>
      <c r="AP61" s="37">
        <f>AK61*IF(AI61="MT",1000,IF(AI61="Jumbo bag (1.5 MT)",1500,IF(AI61="Bag (40 kg)",40,50)))*3</f>
        <v>210000</v>
      </c>
      <c r="AQ61" s="37">
        <f>SUMIFS($AN$3:$AN$1500,$G$3:$G$1500,G61)</f>
        <v>2058000</v>
      </c>
      <c r="AR61" s="37">
        <f>SUMIFS($AP$3:$AP$1500,$G$3:$G$1500,G61)</f>
        <v>210000</v>
      </c>
      <c r="AS61" s="21" t="s">
        <v>3410</v>
      </c>
      <c r="AT61" s="37">
        <f>ROUND(BH61*0.05,0)</f>
        <v>131922</v>
      </c>
      <c r="AU61" s="21" t="s">
        <v>846</v>
      </c>
      <c r="AV61" s="37" cm="1">
        <f t="array" ref="AV61">SUMPRODUCT(($G$3:$G$1500=G61)*$AN$3:$AN$1500*$AO$3:$AO$1500)+AR61</f>
        <v>580440</v>
      </c>
      <c r="AW61" s="37">
        <f>AT61</f>
        <v>131922</v>
      </c>
      <c r="AX61" s="21" t="str">
        <f>TEXT(EOMONTH(I61,0)+15,"dd-mmm-yyyy")&amp;" / "&amp;IF(BM61&gt;0,"CPR-IT-"&amp;TEXT(I61,"yymm")&amp;"-"&amp;RIGHT(G61,4),"Pending payment")</f>
        <v>15-Jun-2025 / CPR-IT-2505-0049</v>
      </c>
      <c r="AY61" s="21" t="str">
        <f>IF(BM61&gt;0,"Issued","Not yet")</f>
        <v>Issued</v>
      </c>
      <c r="AZ61" s="37">
        <v>0</v>
      </c>
      <c r="BA61" s="37">
        <v>0</v>
      </c>
      <c r="BB61" s="37">
        <v>0</v>
      </c>
      <c r="BC61" s="37">
        <v>0</v>
      </c>
      <c r="BD61" s="37">
        <v>0</v>
      </c>
      <c r="BE61" s="37">
        <f>AQ61</f>
        <v>2058000</v>
      </c>
      <c r="BF61" s="37">
        <f>AV61</f>
        <v>580440</v>
      </c>
      <c r="BG61" s="37">
        <f>AZ61</f>
        <v>0</v>
      </c>
      <c r="BH61" s="37">
        <f>BE61+BF61+BG61</f>
        <v>2638440</v>
      </c>
      <c r="BI61" s="37">
        <f>AW61</f>
        <v>131922</v>
      </c>
      <c r="BJ61" s="37">
        <f>BA61+BB61+BC61+BD61</f>
        <v>0</v>
      </c>
      <c r="BK61" s="37">
        <f>BH61-BI61-BJ61</f>
        <v>2506518</v>
      </c>
      <c r="BL61" s="21" t="str">
        <f>"PKR "&amp;TEXT(BK61,"#,##0")&amp;" only"</f>
        <v>PKR 2,506,518 only</v>
      </c>
      <c r="BM61" s="37">
        <f>SUMIFS('T10'!$AK$3:$AK$1500,'T10'!$V$3:$V$1500,G61)</f>
        <v>2506518</v>
      </c>
      <c r="BN61" s="37">
        <f>BK61-BM61</f>
        <v>0</v>
      </c>
      <c r="BO61" s="21" t="str">
        <f>IF(BF61&gt;0,TEXT(I61,"mmm-yyyy")&amp;" sales tax return","N/A")</f>
        <v>May-2025 sales tax return</v>
      </c>
      <c r="BP61" s="21" t="s">
        <v>1062</v>
      </c>
      <c r="BQ61" s="29">
        <f>J61+15</f>
        <v>45823</v>
      </c>
      <c r="BR61" s="29">
        <f>BQ61</f>
        <v>45823</v>
      </c>
      <c r="BS61" s="21" t="s">
        <v>3095</v>
      </c>
      <c r="BT61" s="21" t="s">
        <v>3411</v>
      </c>
      <c r="BU61" s="21" t="s">
        <v>844</v>
      </c>
      <c r="BV61" s="21" t="s">
        <v>846</v>
      </c>
      <c r="BW61" s="21" t="str" cm="1">
        <f t="array" ref="BW61">_xlfn.TEXTJOIN(", ",TRUE,_xlfn.UNIQUE(_xlfn._xlws.FILTER('T10'!$A$3:$A$1500,'T10'!$V$3:$V$1500=G61,"None")))</f>
        <v>PV-0013</v>
      </c>
      <c r="BX61" s="21" t="s">
        <v>3739</v>
      </c>
      <c r="BY61" s="21" t="s">
        <v>3740</v>
      </c>
    </row>
    <row r="62" spans="1:77" x14ac:dyDescent="0.3">
      <c r="A62" s="21" t="s">
        <v>3425</v>
      </c>
      <c r="B62" s="21" t="s">
        <v>2270</v>
      </c>
      <c r="C62" s="21" t="s">
        <v>3751</v>
      </c>
      <c r="D62" s="35">
        <v>45810.416666666664</v>
      </c>
      <c r="E62" s="21" t="s">
        <v>3347</v>
      </c>
      <c r="F62" s="21" t="str">
        <f ca="1">IF(S62="Paid","Completed","Pending payment")</f>
        <v>Completed</v>
      </c>
      <c r="G62" s="21" t="s">
        <v>3752</v>
      </c>
      <c r="H62" s="21" t="s">
        <v>3428</v>
      </c>
      <c r="I62" s="29">
        <v>45811</v>
      </c>
      <c r="J62" s="29">
        <v>45809</v>
      </c>
      <c r="K62" s="21" t="str">
        <f>TEXT(I62,"mmm-yyyy")</f>
        <v>Jun-2025</v>
      </c>
      <c r="L62" s="21" t="s">
        <v>1797</v>
      </c>
      <c r="M62" s="21">
        <v>1</v>
      </c>
      <c r="N62" s="21" t="s">
        <v>743</v>
      </c>
      <c r="O62" s="21" t="s">
        <v>3350</v>
      </c>
      <c r="P62" s="21" t="s">
        <v>3429</v>
      </c>
      <c r="Q62" s="21" t="s">
        <v>844</v>
      </c>
      <c r="R62" s="21" t="s">
        <v>3753</v>
      </c>
      <c r="S62" s="21" t="str">
        <f ca="1">IF(BN62&lt;1,"Paid",IF(BM62&gt;0,"Partially paid",IF(ISNUMBER(SEARCH("hold",BU62)),"On hold",IF(BQ62&lt;TODAY(),"Overdue","Approved - unpaid"))))</f>
        <v>Paid</v>
      </c>
      <c r="T62" s="21" t="s">
        <v>3431</v>
      </c>
      <c r="U62" s="21" t="s">
        <v>1339</v>
      </c>
      <c r="V62" s="21" t="s">
        <v>1207</v>
      </c>
      <c r="W62" s="21" t="s">
        <v>1066</v>
      </c>
      <c r="X62" s="21" t="s">
        <v>846</v>
      </c>
      <c r="Y62" s="21" t="s">
        <v>3432</v>
      </c>
      <c r="Z62" s="21" t="s">
        <v>3433</v>
      </c>
      <c r="AA62" s="21" t="s">
        <v>1051</v>
      </c>
      <c r="AB62" s="37">
        <v>0</v>
      </c>
      <c r="AC62" s="21" t="s">
        <v>844</v>
      </c>
      <c r="AD62" s="21" t="s">
        <v>844</v>
      </c>
      <c r="AE62" s="21" t="s">
        <v>3434</v>
      </c>
      <c r="AF62" s="21">
        <v>1</v>
      </c>
      <c r="AG62" s="21" t="s">
        <v>853</v>
      </c>
      <c r="AH62" s="21" t="s">
        <v>855</v>
      </c>
      <c r="AI62" s="21" t="s">
        <v>842</v>
      </c>
      <c r="AJ62" s="37">
        <f>COUNTIFS('T14'!$AQ$3:$AQ$1500,B62,'T14'!$Z$3:$Z$1500,1,'T14'!$F$3:$F$1500,"Bulker")</f>
        <v>7</v>
      </c>
      <c r="AK62" s="37">
        <f>AJ62</f>
        <v>7</v>
      </c>
      <c r="AL62" s="37">
        <v>56900</v>
      </c>
      <c r="AM62" s="37">
        <f>AK62*AL62</f>
        <v>398300</v>
      </c>
      <c r="AN62" s="37">
        <f>AM62</f>
        <v>398300</v>
      </c>
      <c r="AO62" s="23">
        <f>_xlfn.XLOOKUP(AG62,'T13'!$A$3:$A$1500,'T13'!$O$3:$O$1500)</f>
        <v>0.16</v>
      </c>
      <c r="AP62" s="37">
        <v>0</v>
      </c>
      <c r="AQ62" s="37">
        <f>SUMIFS($AN$3:$AN$1500,$G$3:$G$1500,G62)</f>
        <v>398300</v>
      </c>
      <c r="AR62" s="37">
        <f>SUMIFS($AP$3:$AP$1500,$G$3:$G$1500,G62)</f>
        <v>0</v>
      </c>
      <c r="AS62" s="21" t="s">
        <v>3435</v>
      </c>
      <c r="AT62" s="37">
        <f>ROUND(BH62*0.08,0)</f>
        <v>37202</v>
      </c>
      <c r="AU62" s="21" t="s">
        <v>846</v>
      </c>
      <c r="AV62" s="37" cm="1">
        <f t="array" ref="AV62">SUMPRODUCT(($G$3:$G$1500=G62)*$AN$3:$AN$1500*$AO$3:$AO$1500)+AR62</f>
        <v>63728</v>
      </c>
      <c r="AW62" s="37">
        <f>AT62</f>
        <v>37202</v>
      </c>
      <c r="AX62" s="21" t="str">
        <f>TEXT(EOMONTH(I62,0)+15,"dd-mmm-yyyy")&amp;" / "&amp;IF(BM62&gt;0,"CPR-IT-"&amp;TEXT(I62,"yymm")&amp;"-"&amp;RIGHT(G62,4),"Pending payment")</f>
        <v>15-Jul-2025 / CPR-IT-2506-0050</v>
      </c>
      <c r="AY62" s="21" t="str">
        <f>IF(BM62&gt;0,"Issued","Not yet")</f>
        <v>Issued</v>
      </c>
      <c r="AZ62" s="37">
        <v>3000</v>
      </c>
      <c r="BA62" s="37">
        <v>0</v>
      </c>
      <c r="BB62" s="37">
        <v>0</v>
      </c>
      <c r="BC62" s="37">
        <v>0</v>
      </c>
      <c r="BD62" s="37">
        <v>0</v>
      </c>
      <c r="BE62" s="37">
        <f>AQ62</f>
        <v>398300</v>
      </c>
      <c r="BF62" s="37">
        <f>AV62</f>
        <v>63728</v>
      </c>
      <c r="BG62" s="37">
        <f>AZ62</f>
        <v>3000</v>
      </c>
      <c r="BH62" s="37">
        <f>BE62+BF62+BG62</f>
        <v>465028</v>
      </c>
      <c r="BI62" s="37">
        <f>AW62</f>
        <v>37202</v>
      </c>
      <c r="BJ62" s="37">
        <f>BA62+BB62+BC62+BD62</f>
        <v>0</v>
      </c>
      <c r="BK62" s="37">
        <f>BH62-BI62-BJ62</f>
        <v>427826</v>
      </c>
      <c r="BL62" s="21" t="str">
        <f>"PKR "&amp;TEXT(BK62,"#,##0")&amp;" only"</f>
        <v>PKR 427,826 only</v>
      </c>
      <c r="BM62" s="37">
        <f>SUMIFS('T10'!$AK$3:$AK$1500,'T10'!$V$3:$V$1500,G62)</f>
        <v>427826</v>
      </c>
      <c r="BN62" s="37">
        <f>BK62-BM62</f>
        <v>0</v>
      </c>
      <c r="BO62" s="21" t="str">
        <f>IF(BF62&gt;0,TEXT(I62,"mmm-yyyy")&amp;" sales tax return","N/A")</f>
        <v>Jun-2025 sales tax return</v>
      </c>
      <c r="BP62" s="21" t="s">
        <v>1051</v>
      </c>
      <c r="BQ62" s="29">
        <f>J62+30</f>
        <v>45839</v>
      </c>
      <c r="BR62" s="29">
        <f>BQ62</f>
        <v>45839</v>
      </c>
      <c r="BS62" s="21" t="s">
        <v>3095</v>
      </c>
      <c r="BT62" s="21" t="s">
        <v>3360</v>
      </c>
      <c r="BU62" s="21" t="s">
        <v>844</v>
      </c>
      <c r="BV62" s="21" t="s">
        <v>846</v>
      </c>
      <c r="BW62" s="21" t="str" cm="1">
        <f t="array" ref="BW62">_xlfn.TEXTJOIN(", ",TRUE,_xlfn.UNIQUE(_xlfn._xlws.FILTER('T10'!$A$3:$A$1500,'T10'!$V$3:$V$1500=G62,"None")))</f>
        <v>PV-0022</v>
      </c>
      <c r="BX62" s="21" t="s">
        <v>3754</v>
      </c>
      <c r="BY62" s="21" t="s">
        <v>3755</v>
      </c>
    </row>
    <row r="63" spans="1:77" x14ac:dyDescent="0.3">
      <c r="A63" s="21" t="s">
        <v>3381</v>
      </c>
      <c r="B63" s="21" t="s">
        <v>3756</v>
      </c>
      <c r="C63" s="21" t="s">
        <v>3757</v>
      </c>
      <c r="D63" s="35">
        <v>45814.5</v>
      </c>
      <c r="E63" s="21" t="s">
        <v>3347</v>
      </c>
      <c r="F63" s="21" t="str">
        <f ca="1">IF(S63="Paid","Completed","Pending payment")</f>
        <v>Completed</v>
      </c>
      <c r="G63" s="21" t="s">
        <v>3758</v>
      </c>
      <c r="H63" s="21" t="s">
        <v>3385</v>
      </c>
      <c r="I63" s="29">
        <v>45814</v>
      </c>
      <c r="J63" s="29">
        <v>45812</v>
      </c>
      <c r="K63" s="21" t="str">
        <f>TEXT(I63,"mmm-yyyy")</f>
        <v>Jun-2025</v>
      </c>
      <c r="L63" s="21" t="s">
        <v>1797</v>
      </c>
      <c r="M63" s="21">
        <v>1</v>
      </c>
      <c r="N63" s="21" t="s">
        <v>743</v>
      </c>
      <c r="O63" s="21" t="s">
        <v>3350</v>
      </c>
      <c r="P63" s="21" t="s">
        <v>3351</v>
      </c>
      <c r="Q63" s="21" t="s">
        <v>844</v>
      </c>
      <c r="R63" s="21" t="s">
        <v>3759</v>
      </c>
      <c r="S63" s="21" t="str">
        <f ca="1">IF(BN63&lt;1,"Paid",IF(BM63&gt;0,"Partially paid",IF(ISNUMBER(SEARCH("hold",BU63)),"On hold",IF(BQ63&lt;TODAY(),"Overdue","Approved - unpaid"))))</f>
        <v>Paid</v>
      </c>
      <c r="T63" s="21" t="s">
        <v>3387</v>
      </c>
      <c r="U63" s="21" t="s">
        <v>3388</v>
      </c>
      <c r="V63" s="21" t="s">
        <v>3389</v>
      </c>
      <c r="W63" s="21" t="s">
        <v>746</v>
      </c>
      <c r="X63" s="21" t="s">
        <v>846</v>
      </c>
      <c r="Y63" s="21" t="s">
        <v>3390</v>
      </c>
      <c r="Z63" s="21" t="s">
        <v>3391</v>
      </c>
      <c r="AA63" s="21" t="s">
        <v>1051</v>
      </c>
      <c r="AB63" s="37">
        <v>0</v>
      </c>
      <c r="AC63" s="21" t="s">
        <v>844</v>
      </c>
      <c r="AD63" s="21" t="s">
        <v>844</v>
      </c>
      <c r="AE63" s="21" t="s">
        <v>844</v>
      </c>
      <c r="AF63" s="21">
        <v>1</v>
      </c>
      <c r="AG63" s="21" t="s">
        <v>959</v>
      </c>
      <c r="AH63" s="21" t="s">
        <v>961</v>
      </c>
      <c r="AI63" s="21" t="s">
        <v>905</v>
      </c>
      <c r="AJ63" s="37">
        <v>1</v>
      </c>
      <c r="AK63" s="37">
        <v>1</v>
      </c>
      <c r="AL63" s="37">
        <v>185760</v>
      </c>
      <c r="AM63" s="37">
        <f>AK63*AL63</f>
        <v>185760</v>
      </c>
      <c r="AN63" s="37">
        <f>AM63</f>
        <v>185760</v>
      </c>
      <c r="AO63" s="23">
        <f>_xlfn.XLOOKUP(AG63,'T13'!$A$3:$A$1500,'T13'!$O$3:$O$1500)</f>
        <v>0.16</v>
      </c>
      <c r="AP63" s="37">
        <v>0</v>
      </c>
      <c r="AQ63" s="37">
        <f>SUMIFS($AN$3:$AN$1500,$G$3:$G$1500,G63)</f>
        <v>185760</v>
      </c>
      <c r="AR63" s="37">
        <f>SUMIFS($AP$3:$AP$1500,$G$3:$G$1500,G63)</f>
        <v>0</v>
      </c>
      <c r="AS63" s="21" t="s">
        <v>3392</v>
      </c>
      <c r="AT63" s="37">
        <f>ROUND(BH63*0.11,0)</f>
        <v>23703</v>
      </c>
      <c r="AU63" s="21" t="s">
        <v>846</v>
      </c>
      <c r="AV63" s="37" cm="1">
        <f t="array" ref="AV63">SUMPRODUCT(($G$3:$G$1500=G63)*$AN$3:$AN$1500*$AO$3:$AO$1500)+AR63</f>
        <v>29721.600000000002</v>
      </c>
      <c r="AW63" s="37">
        <f>AT63</f>
        <v>23703</v>
      </c>
      <c r="AX63" s="21" t="str">
        <f>TEXT(EOMONTH(I63,0)+15,"dd-mmm-yyyy")&amp;" / "&amp;IF(BM63&gt;0,"CPR-IT-"&amp;TEXT(I63,"yymm")&amp;"-"&amp;RIGHT(G63,4),"Pending payment")</f>
        <v>15-Jul-2025 / CPR-IT-2506-0051</v>
      </c>
      <c r="AY63" s="21" t="str">
        <f>IF(BM63&gt;0,"Issued","Not yet")</f>
        <v>Issued</v>
      </c>
      <c r="AZ63" s="37">
        <v>0</v>
      </c>
      <c r="BA63" s="37">
        <v>0</v>
      </c>
      <c r="BB63" s="37">
        <v>0</v>
      </c>
      <c r="BC63" s="37">
        <v>0</v>
      </c>
      <c r="BD63" s="37">
        <v>0</v>
      </c>
      <c r="BE63" s="37">
        <f>AQ63</f>
        <v>185760</v>
      </c>
      <c r="BF63" s="37">
        <f>AV63</f>
        <v>29721.600000000002</v>
      </c>
      <c r="BG63" s="37">
        <f>AZ63</f>
        <v>0</v>
      </c>
      <c r="BH63" s="37">
        <f>BE63+BF63+BG63</f>
        <v>215481.60000000001</v>
      </c>
      <c r="BI63" s="37">
        <f>AW63</f>
        <v>23703</v>
      </c>
      <c r="BJ63" s="37">
        <f>BA63+BB63+BC63+BD63</f>
        <v>0</v>
      </c>
      <c r="BK63" s="37">
        <f>BH63-BI63-BJ63</f>
        <v>191778.6</v>
      </c>
      <c r="BL63" s="21" t="str">
        <f>"PKR "&amp;TEXT(BK63,"#,##0")&amp;" only"</f>
        <v>PKR 191,779 only</v>
      </c>
      <c r="BM63" s="37">
        <f>SUMIFS('T10'!$AK$3:$AK$1500,'T10'!$V$3:$V$1500,G63)</f>
        <v>191778.6</v>
      </c>
      <c r="BN63" s="37">
        <f>BK63-BM63</f>
        <v>0</v>
      </c>
      <c r="BO63" s="21" t="str">
        <f>IF(BF63&gt;0,TEXT(I63,"mmm-yyyy")&amp;" sales tax return","N/A")</f>
        <v>Jun-2025 sales tax return</v>
      </c>
      <c r="BP63" s="21" t="s">
        <v>1051</v>
      </c>
      <c r="BQ63" s="29">
        <f>J63+30</f>
        <v>45842</v>
      </c>
      <c r="BR63" s="29">
        <f>BQ63</f>
        <v>45842</v>
      </c>
      <c r="BS63" s="21" t="s">
        <v>3095</v>
      </c>
      <c r="BT63" s="21" t="s">
        <v>3360</v>
      </c>
      <c r="BU63" s="21" t="s">
        <v>844</v>
      </c>
      <c r="BV63" s="21" t="s">
        <v>846</v>
      </c>
      <c r="BW63" s="21" t="str" cm="1">
        <f t="array" ref="BW63">_xlfn.TEXTJOIN(", ",TRUE,_xlfn.UNIQUE(_xlfn._xlws.FILTER('T10'!$A$3:$A$1500,'T10'!$V$3:$V$1500=G63,"None")))</f>
        <v>PV-0007</v>
      </c>
      <c r="BX63" s="21" t="s">
        <v>3760</v>
      </c>
      <c r="BY63" s="21" t="s">
        <v>3761</v>
      </c>
    </row>
    <row r="64" spans="1:77" x14ac:dyDescent="0.3">
      <c r="A64" s="21" t="s">
        <v>3762</v>
      </c>
      <c r="B64" s="21" t="s">
        <v>3763</v>
      </c>
      <c r="C64" s="21" t="s">
        <v>3764</v>
      </c>
      <c r="D64" s="35">
        <v>45815.541666666664</v>
      </c>
      <c r="E64" s="21" t="s">
        <v>3347</v>
      </c>
      <c r="F64" s="21" t="str">
        <f ca="1">IF(S64="Paid","Completed","Pending payment")</f>
        <v>Completed</v>
      </c>
      <c r="G64" s="21" t="s">
        <v>3765</v>
      </c>
      <c r="H64" s="21" t="s">
        <v>3766</v>
      </c>
      <c r="I64" s="29">
        <v>45815</v>
      </c>
      <c r="J64" s="29">
        <v>45813</v>
      </c>
      <c r="K64" s="21" t="str">
        <f>TEXT(I64,"mmm-yyyy")</f>
        <v>Jun-2025</v>
      </c>
      <c r="L64" s="21" t="s">
        <v>1797</v>
      </c>
      <c r="M64" s="21">
        <v>1</v>
      </c>
      <c r="N64" s="21" t="s">
        <v>743</v>
      </c>
      <c r="O64" s="21" t="s">
        <v>3368</v>
      </c>
      <c r="P64" s="21" t="s">
        <v>3369</v>
      </c>
      <c r="Q64" s="21" t="s">
        <v>844</v>
      </c>
      <c r="R64" s="21" t="s">
        <v>3767</v>
      </c>
      <c r="S64" s="21" t="str">
        <f ca="1">IF(BN64&lt;1,"Paid",IF(BM64&gt;0,"Partially paid",IF(ISNUMBER(SEARCH("hold",BU64)),"On hold",IF(BQ64&lt;TODAY(),"Overdue","Approved - unpaid"))))</f>
        <v>Paid</v>
      </c>
      <c r="T64" s="21" t="s">
        <v>3768</v>
      </c>
      <c r="U64" s="21" t="s">
        <v>3769</v>
      </c>
      <c r="V64" s="21" t="s">
        <v>3770</v>
      </c>
      <c r="W64" s="21" t="s">
        <v>746</v>
      </c>
      <c r="X64" s="21" t="s">
        <v>846</v>
      </c>
      <c r="Y64" s="21" t="s">
        <v>3771</v>
      </c>
      <c r="Z64" s="21" t="s">
        <v>3772</v>
      </c>
      <c r="AA64" s="21" t="s">
        <v>1051</v>
      </c>
      <c r="AB64" s="37">
        <v>0</v>
      </c>
      <c r="AC64" s="21" t="s">
        <v>3773</v>
      </c>
      <c r="AD64" s="21" t="s">
        <v>3774</v>
      </c>
      <c r="AE64" s="21" t="s">
        <v>844</v>
      </c>
      <c r="AF64" s="21">
        <v>1</v>
      </c>
      <c r="AG64" s="21" t="s">
        <v>950</v>
      </c>
      <c r="AH64" s="21" t="s">
        <v>953</v>
      </c>
      <c r="AI64" s="21" t="s">
        <v>882</v>
      </c>
      <c r="AJ64" s="37">
        <v>1</v>
      </c>
      <c r="AK64" s="37">
        <v>1</v>
      </c>
      <c r="AL64" s="37">
        <v>4334400</v>
      </c>
      <c r="AM64" s="37">
        <f>AK64*AL64</f>
        <v>4334400</v>
      </c>
      <c r="AN64" s="37">
        <f>AM64</f>
        <v>4334400</v>
      </c>
      <c r="AO64" s="23">
        <f>_xlfn.XLOOKUP(AG64,'T13'!$A$3:$A$1500,'T13'!$O$3:$O$1500)</f>
        <v>0.18</v>
      </c>
      <c r="AP64" s="37">
        <v>0</v>
      </c>
      <c r="AQ64" s="37">
        <f>SUMIFS($AN$3:$AN$1500,$G$3:$G$1500,G64)</f>
        <v>4334400</v>
      </c>
      <c r="AR64" s="37">
        <f>SUMIFS($AP$3:$AP$1500,$G$3:$G$1500,G64)</f>
        <v>0</v>
      </c>
      <c r="AS64" s="21" t="s">
        <v>3410</v>
      </c>
      <c r="AT64" s="37">
        <f>ROUND(BH64*0.05,0)</f>
        <v>255730</v>
      </c>
      <c r="AU64" s="21" t="s">
        <v>846</v>
      </c>
      <c r="AV64" s="37" cm="1">
        <f t="array" ref="AV64">SUMPRODUCT(($G$3:$G$1500=G64)*$AN$3:$AN$1500*$AO$3:$AO$1500)+AR64</f>
        <v>780192</v>
      </c>
      <c r="AW64" s="37">
        <f>AT64</f>
        <v>255730</v>
      </c>
      <c r="AX64" s="21" t="str">
        <f>TEXT(EOMONTH(I64,0)+15,"dd-mmm-yyyy")&amp;" / "&amp;IF(BM64&gt;0,"CPR-IT-"&amp;TEXT(I64,"yymm")&amp;"-"&amp;RIGHT(G64,4),"Pending payment")</f>
        <v>15-Jul-2025 / CPR-IT-2506-0052</v>
      </c>
      <c r="AY64" s="21" t="str">
        <f>IF(BM64&gt;0,"Issued","Not yet")</f>
        <v>Issued</v>
      </c>
      <c r="AZ64" s="37">
        <v>0</v>
      </c>
      <c r="BA64" s="37">
        <v>0</v>
      </c>
      <c r="BB64" s="37">
        <v>0</v>
      </c>
      <c r="BC64" s="37">
        <v>0</v>
      </c>
      <c r="BD64" s="37">
        <v>0</v>
      </c>
      <c r="BE64" s="37">
        <f>AQ64</f>
        <v>4334400</v>
      </c>
      <c r="BF64" s="37">
        <f>AV64</f>
        <v>780192</v>
      </c>
      <c r="BG64" s="37">
        <f>AZ64</f>
        <v>0</v>
      </c>
      <c r="BH64" s="37">
        <f>BE64+BF64+BG64</f>
        <v>5114592</v>
      </c>
      <c r="BI64" s="37">
        <f>AW64</f>
        <v>255730</v>
      </c>
      <c r="BJ64" s="37">
        <f>BA64+BB64+BC64+BD64</f>
        <v>0</v>
      </c>
      <c r="BK64" s="37">
        <f>BH64-BI64-BJ64</f>
        <v>4858862</v>
      </c>
      <c r="BL64" s="21" t="str">
        <f>"PKR "&amp;TEXT(BK64,"#,##0")&amp;" only"</f>
        <v>PKR 4,858,862 only</v>
      </c>
      <c r="BM64" s="37">
        <f>SUMIFS('T10'!$AK$3:$AK$1500,'T10'!$V$3:$V$1500,G64)</f>
        <v>4858862</v>
      </c>
      <c r="BN64" s="37">
        <f>BK64-BM64</f>
        <v>0</v>
      </c>
      <c r="BO64" s="21" t="str">
        <f>IF(BF64&gt;0,TEXT(I64,"mmm-yyyy")&amp;" sales tax return","N/A")</f>
        <v>Jun-2025 sales tax return</v>
      </c>
      <c r="BP64" s="21" t="s">
        <v>1051</v>
      </c>
      <c r="BQ64" s="29">
        <f>J64+30</f>
        <v>45843</v>
      </c>
      <c r="BR64" s="29">
        <f>BQ64</f>
        <v>45843</v>
      </c>
      <c r="BS64" s="21" t="s">
        <v>3095</v>
      </c>
      <c r="BT64" s="21" t="s">
        <v>3360</v>
      </c>
      <c r="BU64" s="21" t="s">
        <v>844</v>
      </c>
      <c r="BV64" s="21" t="s">
        <v>846</v>
      </c>
      <c r="BW64" s="21" t="str" cm="1">
        <f t="array" ref="BW64">_xlfn.TEXTJOIN(", ",TRUE,_xlfn.UNIQUE(_xlfn._xlws.FILTER('T10'!$A$3:$A$1500,'T10'!$V$3:$V$1500=G64,"None")))</f>
        <v>PV-0008</v>
      </c>
      <c r="BX64" s="21" t="s">
        <v>3775</v>
      </c>
      <c r="BY64" s="21" t="s">
        <v>3776</v>
      </c>
    </row>
    <row r="65" spans="1:77" x14ac:dyDescent="0.3">
      <c r="A65" s="21" t="s">
        <v>3344</v>
      </c>
      <c r="B65" s="21" t="s">
        <v>3777</v>
      </c>
      <c r="C65" s="21" t="s">
        <v>3778</v>
      </c>
      <c r="D65" s="35">
        <v>45815.708333333336</v>
      </c>
      <c r="E65" s="21" t="s">
        <v>3347</v>
      </c>
      <c r="F65" s="21" t="str">
        <f ca="1">IF(S65="Paid","Completed","Pending payment")</f>
        <v>Completed</v>
      </c>
      <c r="G65" s="21" t="s">
        <v>3779</v>
      </c>
      <c r="H65" s="21" t="s">
        <v>3349</v>
      </c>
      <c r="I65" s="29">
        <v>45815</v>
      </c>
      <c r="J65" s="29">
        <v>45813</v>
      </c>
      <c r="K65" s="21" t="str">
        <f>TEXT(I65,"mmm-yyyy")</f>
        <v>Jun-2025</v>
      </c>
      <c r="L65" s="21" t="s">
        <v>1797</v>
      </c>
      <c r="M65" s="21">
        <v>1</v>
      </c>
      <c r="N65" s="21" t="s">
        <v>743</v>
      </c>
      <c r="O65" s="21" t="s">
        <v>3350</v>
      </c>
      <c r="P65" s="21" t="s">
        <v>3351</v>
      </c>
      <c r="Q65" s="21" t="s">
        <v>844</v>
      </c>
      <c r="R65" s="21" t="s">
        <v>3767</v>
      </c>
      <c r="S65" s="21" t="str">
        <f ca="1">IF(BN65&lt;1,"Paid",IF(BM65&gt;0,"Partially paid",IF(ISNUMBER(SEARCH("hold",BU65)),"On hold",IF(BQ65&lt;TODAY(),"Overdue","Approved - unpaid"))))</f>
        <v>Paid</v>
      </c>
      <c r="T65" s="21" t="s">
        <v>3353</v>
      </c>
      <c r="U65" s="21" t="s">
        <v>3354</v>
      </c>
      <c r="V65" s="21" t="s">
        <v>3355</v>
      </c>
      <c r="W65" s="21" t="s">
        <v>746</v>
      </c>
      <c r="X65" s="21" t="s">
        <v>846</v>
      </c>
      <c r="Y65" s="21" t="s">
        <v>3356</v>
      </c>
      <c r="Z65" s="21" t="s">
        <v>3357</v>
      </c>
      <c r="AA65" s="21" t="s">
        <v>3358</v>
      </c>
      <c r="AB65" s="37">
        <v>0</v>
      </c>
      <c r="AC65" s="21" t="s">
        <v>844</v>
      </c>
      <c r="AD65" s="21" t="s">
        <v>844</v>
      </c>
      <c r="AE65" s="21" t="s">
        <v>844</v>
      </c>
      <c r="AF65" s="21">
        <v>1</v>
      </c>
      <c r="AG65" s="21" t="s">
        <v>911</v>
      </c>
      <c r="AH65" s="21" t="s">
        <v>913</v>
      </c>
      <c r="AI65" s="21" t="s">
        <v>905</v>
      </c>
      <c r="AJ65" s="37">
        <v>1</v>
      </c>
      <c r="AK65" s="37">
        <v>1</v>
      </c>
      <c r="AL65" s="37">
        <v>87720</v>
      </c>
      <c r="AM65" s="37">
        <f>AK65*AL65</f>
        <v>87720</v>
      </c>
      <c r="AN65" s="37">
        <f>AM65</f>
        <v>87720</v>
      </c>
      <c r="AO65" s="23">
        <f>_xlfn.XLOOKUP(AG65,'T13'!$A$3:$A$1500,'T13'!$O$3:$O$1500)</f>
        <v>0.18</v>
      </c>
      <c r="AP65" s="37">
        <v>0</v>
      </c>
      <c r="AQ65" s="37">
        <f>SUMIFS($AN$3:$AN$1500,$G$3:$G$1500,G65)</f>
        <v>87720</v>
      </c>
      <c r="AR65" s="37">
        <f>SUMIFS($AP$3:$AP$1500,$G$3:$G$1500,G65)</f>
        <v>0</v>
      </c>
      <c r="AS65" s="21" t="s">
        <v>3359</v>
      </c>
      <c r="AT65" s="37">
        <f>ROUND(BH65*0,0)</f>
        <v>0</v>
      </c>
      <c r="AU65" s="21" t="s">
        <v>846</v>
      </c>
      <c r="AV65" s="37" cm="1">
        <f t="array" ref="AV65">SUMPRODUCT(($G$3:$G$1500=G65)*$AN$3:$AN$1500*$AO$3:$AO$1500)+AR65</f>
        <v>15789.599999999999</v>
      </c>
      <c r="AW65" s="37">
        <f>AT65</f>
        <v>0</v>
      </c>
      <c r="AX65" s="21" t="str">
        <f>TEXT(EOMONTH(I65,0)+15,"dd-mmm-yyyy")&amp;" / "&amp;IF(BM65&gt;0,"CPR-IT-"&amp;TEXT(I65,"yymm")&amp;"-"&amp;RIGHT(G65,4),"Pending payment")</f>
        <v>15-Jul-2025 / CPR-IT-2506-0053</v>
      </c>
      <c r="AY65" s="21" t="str">
        <f>IF(BM65&gt;0,"Issued","Not yet")</f>
        <v>Issued</v>
      </c>
      <c r="AZ65" s="37">
        <v>0</v>
      </c>
      <c r="BA65" s="37">
        <v>0</v>
      </c>
      <c r="BB65" s="37">
        <v>0</v>
      </c>
      <c r="BC65" s="37">
        <v>0</v>
      </c>
      <c r="BD65" s="37">
        <v>0</v>
      </c>
      <c r="BE65" s="37">
        <f>AQ65</f>
        <v>87720</v>
      </c>
      <c r="BF65" s="37">
        <f>AV65</f>
        <v>15789.599999999999</v>
      </c>
      <c r="BG65" s="37">
        <f>AZ65</f>
        <v>0</v>
      </c>
      <c r="BH65" s="37">
        <f>BE65+BF65+BG65</f>
        <v>103509.6</v>
      </c>
      <c r="BI65" s="37">
        <f>AW65</f>
        <v>0</v>
      </c>
      <c r="BJ65" s="37">
        <f>BA65+BB65+BC65+BD65</f>
        <v>0</v>
      </c>
      <c r="BK65" s="37">
        <f>BH65-BI65-BJ65</f>
        <v>103509.6</v>
      </c>
      <c r="BL65" s="21" t="str">
        <f>"PKR "&amp;TEXT(BK65,"#,##0")&amp;" only"</f>
        <v>PKR 103,510 only</v>
      </c>
      <c r="BM65" s="37">
        <f>SUMIFS('T10'!$AK$3:$AK$1500,'T10'!$V$3:$V$1500,G65)</f>
        <v>103509.6</v>
      </c>
      <c r="BN65" s="37">
        <f>BK65-BM65</f>
        <v>0</v>
      </c>
      <c r="BO65" s="21" t="str">
        <f>IF(BF65&gt;0,TEXT(I65,"mmm-yyyy")&amp;" sales tax return","N/A")</f>
        <v>Jun-2025 sales tax return</v>
      </c>
      <c r="BP65" s="21" t="s">
        <v>3358</v>
      </c>
      <c r="BQ65" s="29">
        <f>J65+10</f>
        <v>45823</v>
      </c>
      <c r="BR65" s="29">
        <f>BQ65</f>
        <v>45823</v>
      </c>
      <c r="BS65" s="21" t="s">
        <v>3095</v>
      </c>
      <c r="BT65" s="21" t="s">
        <v>3360</v>
      </c>
      <c r="BU65" s="21" t="s">
        <v>844</v>
      </c>
      <c r="BV65" s="21" t="s">
        <v>846</v>
      </c>
      <c r="BW65" s="21" t="str" cm="1">
        <f t="array" ref="BW65">_xlfn.TEXTJOIN(", ",TRUE,_xlfn.UNIQUE(_xlfn._xlws.FILTER('T10'!$A$3:$A$1500,'T10'!$V$3:$V$1500=G65,"None")))</f>
        <v>PV-0006</v>
      </c>
      <c r="BX65" s="21" t="s">
        <v>3775</v>
      </c>
      <c r="BY65" s="21" t="s">
        <v>3776</v>
      </c>
    </row>
    <row r="66" spans="1:77" x14ac:dyDescent="0.3">
      <c r="A66" s="21" t="s">
        <v>3573</v>
      </c>
      <c r="B66" s="21" t="s">
        <v>3780</v>
      </c>
      <c r="C66" s="21" t="s">
        <v>3781</v>
      </c>
      <c r="D66" s="35">
        <v>45840.458333333336</v>
      </c>
      <c r="E66" s="21" t="s">
        <v>3347</v>
      </c>
      <c r="F66" s="21" t="str">
        <f ca="1">IF(S66="Paid","Completed","Pending payment")</f>
        <v>Completed</v>
      </c>
      <c r="G66" s="21" t="s">
        <v>3782</v>
      </c>
      <c r="H66" s="21" t="s">
        <v>3399</v>
      </c>
      <c r="I66" s="29">
        <v>45838</v>
      </c>
      <c r="J66" s="29">
        <v>45838</v>
      </c>
      <c r="K66" s="21" t="str">
        <f>TEXT(I66,"mmm-yyyy")</f>
        <v>Jun-2025</v>
      </c>
      <c r="L66" s="21" t="s">
        <v>1797</v>
      </c>
      <c r="M66" s="21">
        <v>1</v>
      </c>
      <c r="N66" s="21" t="s">
        <v>743</v>
      </c>
      <c r="O66" s="21" t="s">
        <v>3400</v>
      </c>
      <c r="P66" s="21" t="s">
        <v>3401</v>
      </c>
      <c r="Q66" s="21" t="s">
        <v>844</v>
      </c>
      <c r="R66" s="21" t="s">
        <v>3783</v>
      </c>
      <c r="S66" s="21" t="str">
        <f ca="1">IF(BN66&lt;1,"Paid",IF(BM66&gt;0,"Partially paid",IF(ISNUMBER(SEARCH("hold",BU66)),"On hold",IF(BQ66&lt;TODAY(),"Overdue","Approved - unpaid"))))</f>
        <v>Paid</v>
      </c>
      <c r="T66" s="21" t="s">
        <v>3403</v>
      </c>
      <c r="U66" s="21" t="s">
        <v>3578</v>
      </c>
      <c r="V66" s="21" t="s">
        <v>1021</v>
      </c>
      <c r="W66" s="21" t="s">
        <v>746</v>
      </c>
      <c r="X66" s="21" t="s">
        <v>846</v>
      </c>
      <c r="Y66" s="21" t="s">
        <v>3579</v>
      </c>
      <c r="Z66" s="21" t="s">
        <v>3580</v>
      </c>
      <c r="AA66" s="21" t="s">
        <v>1062</v>
      </c>
      <c r="AB66" s="37">
        <v>0</v>
      </c>
      <c r="AC66" s="21" t="s">
        <v>3784</v>
      </c>
      <c r="AD66" s="21" t="s">
        <v>3785</v>
      </c>
      <c r="AE66" s="21" t="s">
        <v>3583</v>
      </c>
      <c r="AF66" s="21">
        <v>1</v>
      </c>
      <c r="AG66" s="21" t="s">
        <v>805</v>
      </c>
      <c r="AH66" s="21" t="s">
        <v>807</v>
      </c>
      <c r="AI66" s="21" t="s">
        <v>1804</v>
      </c>
      <c r="AJ66" s="37">
        <v>1800</v>
      </c>
      <c r="AK66" s="37">
        <v>1800</v>
      </c>
      <c r="AL66" s="37">
        <v>1455</v>
      </c>
      <c r="AM66" s="37">
        <f>AK66*AL66</f>
        <v>2619000</v>
      </c>
      <c r="AN66" s="37">
        <f>AM66</f>
        <v>2619000</v>
      </c>
      <c r="AO66" s="23">
        <f>_xlfn.XLOOKUP(AG66,'T13'!$A$3:$A$1500,'T13'!$O$3:$O$1500)</f>
        <v>0.18</v>
      </c>
      <c r="AP66" s="37">
        <f>AK66*IF(AI66="MT",1000,IF(AI66="Jumbo bag (1.5 MT)",1500,IF(AI66="Bag (40 kg)",40,50)))*3</f>
        <v>270000</v>
      </c>
      <c r="AQ66" s="37">
        <f>SUMIFS($AN$3:$AN$1500,$G$3:$G$1500,G66)</f>
        <v>7020000</v>
      </c>
      <c r="AR66" s="37">
        <f>SUMIFS($AP$3:$AP$1500,$G$3:$G$1500,G66)</f>
        <v>486000</v>
      </c>
      <c r="AS66" s="21" t="s">
        <v>3410</v>
      </c>
      <c r="AT66" s="37">
        <f>ROUND(BH66*0.05,0)</f>
        <v>438480</v>
      </c>
      <c r="AU66" s="21" t="s">
        <v>846</v>
      </c>
      <c r="AV66" s="37" cm="1">
        <f t="array" ref="AV66">SUMPRODUCT(($G$3:$G$1500=G66)*$AN$3:$AN$1500*$AO$3:$AO$1500)+AR66</f>
        <v>1749600</v>
      </c>
      <c r="AW66" s="37">
        <f>AT66</f>
        <v>438480</v>
      </c>
      <c r="AX66" s="21" t="str">
        <f>TEXT(EOMONTH(I66,0)+15,"dd-mmm-yyyy")&amp;" / "&amp;IF(BM66&gt;0,"CPR-IT-"&amp;TEXT(I66,"yymm")&amp;"-"&amp;RIGHT(G66,4),"Pending payment")</f>
        <v>15-Jul-2025 / CPR-IT-2506-0054</v>
      </c>
      <c r="AY66" s="21" t="str">
        <f>IF(BM66&gt;0,"Issued","Not yet")</f>
        <v>Issued</v>
      </c>
      <c r="AZ66" s="37">
        <v>0</v>
      </c>
      <c r="BA66" s="37">
        <v>0</v>
      </c>
      <c r="BB66" s="37">
        <v>0</v>
      </c>
      <c r="BC66" s="37">
        <v>0</v>
      </c>
      <c r="BD66" s="37">
        <v>0</v>
      </c>
      <c r="BE66" s="37">
        <f>AQ66</f>
        <v>7020000</v>
      </c>
      <c r="BF66" s="37">
        <f>AV66</f>
        <v>1749600</v>
      </c>
      <c r="BG66" s="37">
        <f>AZ66</f>
        <v>0</v>
      </c>
      <c r="BH66" s="37">
        <f>BE66+BF66+BG66</f>
        <v>8769600</v>
      </c>
      <c r="BI66" s="37">
        <f>AW66</f>
        <v>438480</v>
      </c>
      <c r="BJ66" s="37">
        <f>BA66+BB66+BC66+BD66</f>
        <v>0</v>
      </c>
      <c r="BK66" s="37">
        <f>BH66-BI66-BJ66</f>
        <v>8331120</v>
      </c>
      <c r="BL66" s="21" t="str">
        <f>"PKR "&amp;TEXT(BK66,"#,##0")&amp;" only"</f>
        <v>PKR 8,331,120 only</v>
      </c>
      <c r="BM66" s="37">
        <f>SUMIFS('T10'!$AK$3:$AK$1500,'T10'!$V$3:$V$1500,G66)</f>
        <v>8331120</v>
      </c>
      <c r="BN66" s="37">
        <f>BK66-BM66</f>
        <v>0</v>
      </c>
      <c r="BO66" s="21" t="str">
        <f>IF(BF66&gt;0,TEXT(I66,"mmm-yyyy")&amp;" sales tax return","N/A")</f>
        <v>Jun-2025 sales tax return</v>
      </c>
      <c r="BP66" s="21" t="s">
        <v>1062</v>
      </c>
      <c r="BQ66" s="29">
        <f>J66+15</f>
        <v>45853</v>
      </c>
      <c r="BR66" s="29">
        <f>BQ66</f>
        <v>45853</v>
      </c>
      <c r="BS66" s="21" t="s">
        <v>3095</v>
      </c>
      <c r="BT66" s="21" t="s">
        <v>3411</v>
      </c>
      <c r="BU66" s="21" t="s">
        <v>844</v>
      </c>
      <c r="BV66" s="21" t="s">
        <v>846</v>
      </c>
      <c r="BW66" s="21" t="str" cm="1">
        <f t="array" ref="BW66">_xlfn.TEXTJOIN(", ",TRUE,_xlfn.UNIQUE(_xlfn._xlws.FILTER('T10'!$A$3:$A$1500,'T10'!$V$3:$V$1500=G66,"None")))</f>
        <v>PV-0009</v>
      </c>
      <c r="BX66" s="21" t="s">
        <v>3786</v>
      </c>
      <c r="BY66" s="21" t="s">
        <v>3787</v>
      </c>
    </row>
    <row r="67" spans="1:77" x14ac:dyDescent="0.3">
      <c r="A67" s="21" t="s">
        <v>3573</v>
      </c>
      <c r="B67" s="21" t="s">
        <v>3780</v>
      </c>
      <c r="C67" s="21" t="s">
        <v>3781</v>
      </c>
      <c r="D67" s="35">
        <v>45840.458333333336</v>
      </c>
      <c r="E67" s="21" t="s">
        <v>3347</v>
      </c>
      <c r="F67" s="21" t="str">
        <f ca="1">IF(S67="Paid","Completed","Pending payment")</f>
        <v>Completed</v>
      </c>
      <c r="G67" s="21" t="s">
        <v>3782</v>
      </c>
      <c r="H67" s="21" t="s">
        <v>3399</v>
      </c>
      <c r="I67" s="29">
        <v>45838</v>
      </c>
      <c r="J67" s="29">
        <v>45838</v>
      </c>
      <c r="K67" s="21" t="str">
        <f>TEXT(I67,"mmm-yyyy")</f>
        <v>Jun-2025</v>
      </c>
      <c r="L67" s="21" t="s">
        <v>1797</v>
      </c>
      <c r="M67" s="21">
        <v>1</v>
      </c>
      <c r="N67" s="21" t="s">
        <v>743</v>
      </c>
      <c r="O67" s="21" t="s">
        <v>3400</v>
      </c>
      <c r="P67" s="21" t="s">
        <v>3401</v>
      </c>
      <c r="Q67" s="21" t="s">
        <v>844</v>
      </c>
      <c r="R67" s="21" t="s">
        <v>3783</v>
      </c>
      <c r="S67" s="21" t="str">
        <f ca="1">IF(BN67&lt;1,"Paid",IF(BM67&gt;0,"Partially paid",IF(ISNUMBER(SEARCH("hold",BU67)),"On hold",IF(BQ67&lt;TODAY(),"Overdue","Approved - unpaid"))))</f>
        <v>Paid</v>
      </c>
      <c r="T67" s="21" t="s">
        <v>3403</v>
      </c>
      <c r="U67" s="21" t="s">
        <v>3578</v>
      </c>
      <c r="V67" s="21" t="s">
        <v>1021</v>
      </c>
      <c r="W67" s="21" t="s">
        <v>746</v>
      </c>
      <c r="X67" s="21" t="s">
        <v>846</v>
      </c>
      <c r="Y67" s="21" t="s">
        <v>3579</v>
      </c>
      <c r="Z67" s="21" t="s">
        <v>3580</v>
      </c>
      <c r="AA67" s="21" t="s">
        <v>1062</v>
      </c>
      <c r="AB67" s="37">
        <v>0</v>
      </c>
      <c r="AC67" s="21" t="s">
        <v>3784</v>
      </c>
      <c r="AD67" s="21" t="s">
        <v>3788</v>
      </c>
      <c r="AE67" s="21" t="s">
        <v>3583</v>
      </c>
      <c r="AF67" s="21">
        <v>2</v>
      </c>
      <c r="AG67" s="21" t="s">
        <v>812</v>
      </c>
      <c r="AH67" s="21" t="s">
        <v>814</v>
      </c>
      <c r="AI67" s="21" t="s">
        <v>1841</v>
      </c>
      <c r="AJ67" s="37">
        <v>1800</v>
      </c>
      <c r="AK67" s="37">
        <v>1800</v>
      </c>
      <c r="AL67" s="37">
        <v>2445</v>
      </c>
      <c r="AM67" s="37">
        <f>AK67*AL67</f>
        <v>4401000</v>
      </c>
      <c r="AN67" s="37">
        <f>AM67</f>
        <v>4401000</v>
      </c>
      <c r="AO67" s="23">
        <f>_xlfn.XLOOKUP(AG67,'T13'!$A$3:$A$1500,'T13'!$O$3:$O$1500)</f>
        <v>0.18</v>
      </c>
      <c r="AP67" s="37">
        <f>AK67*IF(AI67="MT",1000,IF(AI67="Jumbo bag (1.5 MT)",1500,IF(AI67="Bag (40 kg)",40,50)))*3</f>
        <v>216000</v>
      </c>
      <c r="AQ67" s="37">
        <f>SUMIFS($AN$3:$AN$1500,$G$3:$G$1500,G67)</f>
        <v>7020000</v>
      </c>
      <c r="AR67" s="37">
        <f>SUMIFS($AP$3:$AP$1500,$G$3:$G$1500,G67)</f>
        <v>486000</v>
      </c>
      <c r="AS67" s="21" t="s">
        <v>3410</v>
      </c>
      <c r="AT67" s="37">
        <f>ROUND(BH67*0.05,0)</f>
        <v>438480</v>
      </c>
      <c r="AU67" s="21" t="s">
        <v>846</v>
      </c>
      <c r="AV67" s="37" cm="1">
        <f t="array" ref="AV67">SUMPRODUCT(($G$3:$G$1500=G67)*$AN$3:$AN$1500*$AO$3:$AO$1500)+AR67</f>
        <v>1749600</v>
      </c>
      <c r="AW67" s="37">
        <f>AT67</f>
        <v>438480</v>
      </c>
      <c r="AX67" s="21" t="str">
        <f>TEXT(EOMONTH(I67,0)+15,"dd-mmm-yyyy")&amp;" / "&amp;IF(BM67&gt;0,"CPR-IT-"&amp;TEXT(I67,"yymm")&amp;"-"&amp;RIGHT(G67,4),"Pending payment")</f>
        <v>15-Jul-2025 / CPR-IT-2506-0054</v>
      </c>
      <c r="AY67" s="21" t="str">
        <f>IF(BM67&gt;0,"Issued","Not yet")</f>
        <v>Issued</v>
      </c>
      <c r="AZ67" s="37">
        <v>0</v>
      </c>
      <c r="BA67" s="37">
        <v>0</v>
      </c>
      <c r="BB67" s="37">
        <v>0</v>
      </c>
      <c r="BC67" s="37">
        <v>0</v>
      </c>
      <c r="BD67" s="37">
        <v>0</v>
      </c>
      <c r="BE67" s="37">
        <f>AQ67</f>
        <v>7020000</v>
      </c>
      <c r="BF67" s="37">
        <f>AV67</f>
        <v>1749600</v>
      </c>
      <c r="BG67" s="37">
        <f>AZ67</f>
        <v>0</v>
      </c>
      <c r="BH67" s="37">
        <f>BE67+BF67+BG67</f>
        <v>8769600</v>
      </c>
      <c r="BI67" s="37">
        <f>AW67</f>
        <v>438480</v>
      </c>
      <c r="BJ67" s="37">
        <f>BA67+BB67+BC67+BD67</f>
        <v>0</v>
      </c>
      <c r="BK67" s="37">
        <f>BH67-BI67-BJ67</f>
        <v>8331120</v>
      </c>
      <c r="BL67" s="21" t="str">
        <f>"PKR "&amp;TEXT(BK67,"#,##0")&amp;" only"</f>
        <v>PKR 8,331,120 only</v>
      </c>
      <c r="BM67" s="37">
        <f>SUMIFS('T10'!$AK$3:$AK$1500,'T10'!$V$3:$V$1500,G67)</f>
        <v>8331120</v>
      </c>
      <c r="BN67" s="37">
        <f>BK67-BM67</f>
        <v>0</v>
      </c>
      <c r="BO67" s="21" t="str">
        <f>IF(BF67&gt;0,TEXT(I67,"mmm-yyyy")&amp;" sales tax return","N/A")</f>
        <v>Jun-2025 sales tax return</v>
      </c>
      <c r="BP67" s="21" t="s">
        <v>1062</v>
      </c>
      <c r="BQ67" s="29">
        <f>J67+15</f>
        <v>45853</v>
      </c>
      <c r="BR67" s="29">
        <f>BQ67</f>
        <v>45853</v>
      </c>
      <c r="BS67" s="21" t="s">
        <v>3095</v>
      </c>
      <c r="BT67" s="21" t="s">
        <v>3411</v>
      </c>
      <c r="BU67" s="21" t="s">
        <v>844</v>
      </c>
      <c r="BV67" s="21" t="s">
        <v>846</v>
      </c>
      <c r="BW67" s="21" t="str" cm="1">
        <f t="array" ref="BW67">_xlfn.TEXTJOIN(", ",TRUE,_xlfn.UNIQUE(_xlfn._xlws.FILTER('T10'!$A$3:$A$1500,'T10'!$V$3:$V$1500=G67,"None")))</f>
        <v>PV-0009</v>
      </c>
      <c r="BX67" s="21" t="s">
        <v>3786</v>
      </c>
      <c r="BY67" s="21" t="s">
        <v>3787</v>
      </c>
    </row>
    <row r="68" spans="1:77" x14ac:dyDescent="0.3">
      <c r="A68" s="21" t="s">
        <v>3438</v>
      </c>
      <c r="B68" s="21" t="s">
        <v>2328</v>
      </c>
      <c r="C68" s="21" t="s">
        <v>3789</v>
      </c>
      <c r="D68" s="35">
        <v>45841.625</v>
      </c>
      <c r="E68" s="21" t="s">
        <v>3347</v>
      </c>
      <c r="F68" s="21" t="str">
        <f ca="1">IF(S68="Paid","Completed","Pending payment")</f>
        <v>Completed</v>
      </c>
      <c r="G68" s="21" t="s">
        <v>3790</v>
      </c>
      <c r="H68" s="21" t="s">
        <v>3428</v>
      </c>
      <c r="I68" s="29">
        <v>45841</v>
      </c>
      <c r="J68" s="29">
        <v>45839</v>
      </c>
      <c r="K68" s="21" t="str">
        <f>TEXT(I68,"mmm-yyyy")</f>
        <v>Jul-2025</v>
      </c>
      <c r="L68" s="21" t="s">
        <v>1797</v>
      </c>
      <c r="M68" s="21">
        <v>1</v>
      </c>
      <c r="N68" s="21" t="s">
        <v>743</v>
      </c>
      <c r="O68" s="21" t="s">
        <v>3350</v>
      </c>
      <c r="P68" s="21" t="s">
        <v>3429</v>
      </c>
      <c r="Q68" s="21" t="s">
        <v>844</v>
      </c>
      <c r="R68" s="21" t="s">
        <v>3791</v>
      </c>
      <c r="S68" s="21" t="str">
        <f ca="1">IF(BN68&lt;1,"Paid",IF(BM68&gt;0,"Partially paid",IF(ISNUMBER(SEARCH("hold",BU68)),"On hold",IF(BQ68&lt;TODAY(),"Overdue","Approved - unpaid"))))</f>
        <v>Paid</v>
      </c>
      <c r="T68" s="21" t="s">
        <v>3431</v>
      </c>
      <c r="U68" s="21" t="s">
        <v>1278</v>
      </c>
      <c r="V68" s="21" t="s">
        <v>1200</v>
      </c>
      <c r="W68" s="21" t="s">
        <v>746</v>
      </c>
      <c r="X68" s="21" t="s">
        <v>846</v>
      </c>
      <c r="Y68" s="21" t="s">
        <v>3441</v>
      </c>
      <c r="Z68" s="21" t="s">
        <v>3442</v>
      </c>
      <c r="AA68" s="21" t="s">
        <v>1051</v>
      </c>
      <c r="AB68" s="37">
        <v>0</v>
      </c>
      <c r="AC68" s="21" t="s">
        <v>844</v>
      </c>
      <c r="AD68" s="21" t="s">
        <v>844</v>
      </c>
      <c r="AE68" s="21" t="s">
        <v>3443</v>
      </c>
      <c r="AF68" s="21">
        <v>1</v>
      </c>
      <c r="AG68" s="21" t="s">
        <v>837</v>
      </c>
      <c r="AH68" s="21" t="s">
        <v>840</v>
      </c>
      <c r="AI68" s="21" t="s">
        <v>842</v>
      </c>
      <c r="AJ68" s="37">
        <f>COUNTIFS('T14'!$AQ$3:$AQ$1500,B68,'T14'!$Z$3:$Z$1500,1,'T14'!$F$3:$F$1500,"Bag")</f>
        <v>1</v>
      </c>
      <c r="AK68" s="37">
        <f>AJ68</f>
        <v>1</v>
      </c>
      <c r="AL68" s="37">
        <v>39500</v>
      </c>
      <c r="AM68" s="37">
        <f>AK68*AL68</f>
        <v>39500</v>
      </c>
      <c r="AN68" s="37">
        <f>AM68</f>
        <v>39500</v>
      </c>
      <c r="AO68" s="23">
        <f>_xlfn.XLOOKUP(AG68,'T13'!$A$3:$A$1500,'T13'!$O$3:$O$1500)</f>
        <v>0.16</v>
      </c>
      <c r="AP68" s="37">
        <v>0</v>
      </c>
      <c r="AQ68" s="37">
        <f>SUMIFS($AN$3:$AN$1500,$G$3:$G$1500,G68)</f>
        <v>39500</v>
      </c>
      <c r="AR68" s="37">
        <f>SUMIFS($AP$3:$AP$1500,$G$3:$G$1500,G68)</f>
        <v>0</v>
      </c>
      <c r="AS68" s="21" t="s">
        <v>3444</v>
      </c>
      <c r="AT68" s="37">
        <f>ROUND(BH68*0.04,0)</f>
        <v>1833</v>
      </c>
      <c r="AU68" s="21" t="s">
        <v>846</v>
      </c>
      <c r="AV68" s="37" cm="1">
        <f t="array" ref="AV68">SUMPRODUCT(($G$3:$G$1500=G68)*$AN$3:$AN$1500*$AO$3:$AO$1500)+AR68</f>
        <v>6320</v>
      </c>
      <c r="AW68" s="37">
        <f>AT68</f>
        <v>1833</v>
      </c>
      <c r="AX68" s="21" t="str">
        <f>TEXT(EOMONTH(I68,0)+15,"dd-mmm-yyyy")&amp;" / "&amp;IF(BM68&gt;0,"CPR-IT-"&amp;TEXT(I68,"yymm")&amp;"-"&amp;RIGHT(G68,4),"Pending payment")</f>
        <v>15-Aug-2025 / CPR-IT-2507-0055</v>
      </c>
      <c r="AY68" s="21" t="str">
        <f>IF(BM68&gt;0,"Issued","Not yet")</f>
        <v>Issued</v>
      </c>
      <c r="AZ68" s="37">
        <v>0</v>
      </c>
      <c r="BA68" s="37">
        <v>0</v>
      </c>
      <c r="BB68" s="37">
        <v>0</v>
      </c>
      <c r="BC68" s="37">
        <v>0</v>
      </c>
      <c r="BD68" s="37">
        <v>0</v>
      </c>
      <c r="BE68" s="37">
        <f>AQ68</f>
        <v>39500</v>
      </c>
      <c r="BF68" s="37">
        <f>AV68</f>
        <v>6320</v>
      </c>
      <c r="BG68" s="37">
        <f>AZ68</f>
        <v>0</v>
      </c>
      <c r="BH68" s="37">
        <f>BE68+BF68+BG68</f>
        <v>45820</v>
      </c>
      <c r="BI68" s="37">
        <f>AW68</f>
        <v>1833</v>
      </c>
      <c r="BJ68" s="37">
        <f>BA68+BB68+BC68+BD68</f>
        <v>0</v>
      </c>
      <c r="BK68" s="37">
        <f>BH68-BI68-BJ68</f>
        <v>43987</v>
      </c>
      <c r="BL68" s="21" t="str">
        <f>"PKR "&amp;TEXT(BK68,"#,##0")&amp;" only"</f>
        <v>PKR 43,987 only</v>
      </c>
      <c r="BM68" s="37">
        <f>SUMIFS('T10'!$AK$3:$AK$1500,'T10'!$V$3:$V$1500,G68)</f>
        <v>43987</v>
      </c>
      <c r="BN68" s="37">
        <f>BK68-BM68</f>
        <v>0</v>
      </c>
      <c r="BO68" s="21" t="str">
        <f>IF(BF68&gt;0,TEXT(I68,"mmm-yyyy")&amp;" sales tax return","N/A")</f>
        <v>Jul-2025 sales tax return</v>
      </c>
      <c r="BP68" s="21" t="s">
        <v>1051</v>
      </c>
      <c r="BQ68" s="29">
        <f>J68+30</f>
        <v>45869</v>
      </c>
      <c r="BR68" s="29">
        <f>BQ68</f>
        <v>45869</v>
      </c>
      <c r="BS68" s="21" t="s">
        <v>3095</v>
      </c>
      <c r="BT68" s="21" t="s">
        <v>3360</v>
      </c>
      <c r="BU68" s="21" t="s">
        <v>844</v>
      </c>
      <c r="BV68" s="21" t="s">
        <v>846</v>
      </c>
      <c r="BW68" s="21" t="str" cm="1">
        <f t="array" ref="BW68">_xlfn.TEXTJOIN(", ",TRUE,_xlfn.UNIQUE(_xlfn._xlws.FILTER('T10'!$A$3:$A$1500,'T10'!$V$3:$V$1500=G68,"None")))</f>
        <v>PV-0012</v>
      </c>
      <c r="BX68" s="21" t="s">
        <v>3792</v>
      </c>
      <c r="BY68" s="21" t="s">
        <v>1153</v>
      </c>
    </row>
    <row r="69" spans="1:77" x14ac:dyDescent="0.3">
      <c r="A69" s="21" t="s">
        <v>3489</v>
      </c>
      <c r="B69" s="21" t="s">
        <v>2334</v>
      </c>
      <c r="C69" s="21" t="s">
        <v>3793</v>
      </c>
      <c r="D69" s="35">
        <v>45840.416666666664</v>
      </c>
      <c r="E69" s="21" t="s">
        <v>3347</v>
      </c>
      <c r="F69" s="21" t="str">
        <f ca="1">IF(S69="Paid","Completed","Pending payment")</f>
        <v>Completed</v>
      </c>
      <c r="G69" s="21" t="s">
        <v>3794</v>
      </c>
      <c r="H69" s="21" t="s">
        <v>3428</v>
      </c>
      <c r="I69" s="29">
        <v>45841</v>
      </c>
      <c r="J69" s="29">
        <v>45839</v>
      </c>
      <c r="K69" s="21" t="str">
        <f>TEXT(I69,"mmm-yyyy")</f>
        <v>Jul-2025</v>
      </c>
      <c r="L69" s="21" t="s">
        <v>1797</v>
      </c>
      <c r="M69" s="21">
        <v>1</v>
      </c>
      <c r="N69" s="21" t="s">
        <v>743</v>
      </c>
      <c r="O69" s="21" t="s">
        <v>3350</v>
      </c>
      <c r="P69" s="21" t="s">
        <v>3429</v>
      </c>
      <c r="Q69" s="21" t="s">
        <v>844</v>
      </c>
      <c r="R69" s="21" t="s">
        <v>3795</v>
      </c>
      <c r="S69" s="21" t="str">
        <f ca="1">IF(BN69&lt;1,"Paid",IF(BM69&gt;0,"Partially paid",IF(ISNUMBER(SEARCH("hold",BU69)),"On hold",IF(BQ69&lt;TODAY(),"Overdue","Approved - unpaid"))))</f>
        <v>Paid</v>
      </c>
      <c r="T69" s="21" t="s">
        <v>3431</v>
      </c>
      <c r="U69" s="21" t="s">
        <v>1213</v>
      </c>
      <c r="V69" s="21" t="s">
        <v>1194</v>
      </c>
      <c r="W69" s="21" t="s">
        <v>746</v>
      </c>
      <c r="X69" s="21" t="s">
        <v>846</v>
      </c>
      <c r="Y69" s="21" t="s">
        <v>3493</v>
      </c>
      <c r="Z69" s="21" t="s">
        <v>3494</v>
      </c>
      <c r="AA69" s="21" t="s">
        <v>1051</v>
      </c>
      <c r="AB69" s="37">
        <v>0</v>
      </c>
      <c r="AC69" s="21" t="s">
        <v>844</v>
      </c>
      <c r="AD69" s="21" t="s">
        <v>844</v>
      </c>
      <c r="AE69" s="21" t="s">
        <v>3495</v>
      </c>
      <c r="AF69" s="21">
        <v>1</v>
      </c>
      <c r="AG69" s="21" t="s">
        <v>837</v>
      </c>
      <c r="AH69" s="21" t="s">
        <v>840</v>
      </c>
      <c r="AI69" s="21" t="s">
        <v>842</v>
      </c>
      <c r="AJ69" s="37">
        <f>COUNTIFS('T14'!$AQ$3:$AQ$1500,B69,'T14'!$Z$3:$Z$1500,1,'T14'!$F$3:$F$1500,"Bag")</f>
        <v>4</v>
      </c>
      <c r="AK69" s="37">
        <f>AJ69</f>
        <v>4</v>
      </c>
      <c r="AL69" s="37">
        <v>39500</v>
      </c>
      <c r="AM69" s="37">
        <f>AK69*AL69</f>
        <v>158000</v>
      </c>
      <c r="AN69" s="37">
        <f>AM69</f>
        <v>158000</v>
      </c>
      <c r="AO69" s="23">
        <f>_xlfn.XLOOKUP(AG69,'T13'!$A$3:$A$1500,'T13'!$O$3:$O$1500)</f>
        <v>0.16</v>
      </c>
      <c r="AP69" s="37">
        <v>0</v>
      </c>
      <c r="AQ69" s="37">
        <f>SUMIFS($AN$3:$AN$1500,$G$3:$G$1500,G69)</f>
        <v>158000</v>
      </c>
      <c r="AR69" s="37">
        <f>SUMIFS($AP$3:$AP$1500,$G$3:$G$1500,G69)</f>
        <v>0</v>
      </c>
      <c r="AS69" s="21" t="s">
        <v>3444</v>
      </c>
      <c r="AT69" s="37">
        <f>ROUND(BH69*0.04,0)</f>
        <v>7511</v>
      </c>
      <c r="AU69" s="21" t="s">
        <v>846</v>
      </c>
      <c r="AV69" s="37" cm="1">
        <f t="array" ref="AV69">SUMPRODUCT(($G$3:$G$1500=G69)*$AN$3:$AN$1500*$AO$3:$AO$1500)+AR69</f>
        <v>25280</v>
      </c>
      <c r="AW69" s="37">
        <f>AT69</f>
        <v>7511</v>
      </c>
      <c r="AX69" s="21" t="str">
        <f>TEXT(EOMONTH(I69,0)+15,"dd-mmm-yyyy")&amp;" / "&amp;IF(BM69&gt;0,"CPR-IT-"&amp;TEXT(I69,"yymm")&amp;"-"&amp;RIGHT(G69,4),"Pending payment")</f>
        <v>15-Aug-2025 / CPR-IT-2507-0056</v>
      </c>
      <c r="AY69" s="21" t="str">
        <f>IF(BM69&gt;0,"Issued","Not yet")</f>
        <v>Issued</v>
      </c>
      <c r="AZ69" s="37">
        <v>4500</v>
      </c>
      <c r="BA69" s="37">
        <v>0</v>
      </c>
      <c r="BB69" s="37">
        <v>0</v>
      </c>
      <c r="BC69" s="37">
        <v>0</v>
      </c>
      <c r="BD69" s="37">
        <v>0</v>
      </c>
      <c r="BE69" s="37">
        <f>AQ69</f>
        <v>158000</v>
      </c>
      <c r="BF69" s="37">
        <f>AV69</f>
        <v>25280</v>
      </c>
      <c r="BG69" s="37">
        <f>AZ69</f>
        <v>4500</v>
      </c>
      <c r="BH69" s="37">
        <f>BE69+BF69+BG69</f>
        <v>187780</v>
      </c>
      <c r="BI69" s="37">
        <f>AW69</f>
        <v>7511</v>
      </c>
      <c r="BJ69" s="37">
        <f>BA69+BB69+BC69+BD69</f>
        <v>0</v>
      </c>
      <c r="BK69" s="37">
        <f>BH69-BI69-BJ69</f>
        <v>180269</v>
      </c>
      <c r="BL69" s="21" t="str">
        <f>"PKR "&amp;TEXT(BK69,"#,##0")&amp;" only"</f>
        <v>PKR 180,269 only</v>
      </c>
      <c r="BM69" s="37">
        <f>SUMIFS('T10'!$AK$3:$AK$1500,'T10'!$V$3:$V$1500,G69)</f>
        <v>180269</v>
      </c>
      <c r="BN69" s="37">
        <f>BK69-BM69</f>
        <v>0</v>
      </c>
      <c r="BO69" s="21" t="str">
        <f>IF(BF69&gt;0,TEXT(I69,"mmm-yyyy")&amp;" sales tax return","N/A")</f>
        <v>Jul-2025 sales tax return</v>
      </c>
      <c r="BP69" s="21" t="s">
        <v>1051</v>
      </c>
      <c r="BQ69" s="29">
        <f>J69+30</f>
        <v>45869</v>
      </c>
      <c r="BR69" s="29">
        <f>BQ69</f>
        <v>45869</v>
      </c>
      <c r="BS69" s="21" t="s">
        <v>3095</v>
      </c>
      <c r="BT69" s="21" t="s">
        <v>3360</v>
      </c>
      <c r="BU69" s="21" t="s">
        <v>844</v>
      </c>
      <c r="BV69" s="21" t="s">
        <v>846</v>
      </c>
      <c r="BW69" s="21" t="str" cm="1">
        <f t="array" ref="BW69">_xlfn.TEXTJOIN(", ",TRUE,_xlfn.UNIQUE(_xlfn._xlws.FILTER('T10'!$A$3:$A$1500,'T10'!$V$3:$V$1500=G69,"None")))</f>
        <v>PV-0015</v>
      </c>
      <c r="BX69" s="21" t="s">
        <v>3792</v>
      </c>
      <c r="BY69" s="21" t="s">
        <v>1153</v>
      </c>
    </row>
    <row r="70" spans="1:77" x14ac:dyDescent="0.3">
      <c r="A70" s="21" t="s">
        <v>3363</v>
      </c>
      <c r="B70" s="21" t="s">
        <v>3796</v>
      </c>
      <c r="C70" s="21" t="s">
        <v>3797</v>
      </c>
      <c r="D70" s="35">
        <v>45846.708333333336</v>
      </c>
      <c r="E70" s="21" t="s">
        <v>3347</v>
      </c>
      <c r="F70" s="21" t="str">
        <f ca="1">IF(S70="Paid","Completed","Pending payment")</f>
        <v>Completed</v>
      </c>
      <c r="G70" s="21" t="s">
        <v>3798</v>
      </c>
      <c r="H70" s="21" t="s">
        <v>3367</v>
      </c>
      <c r="I70" s="29">
        <v>45846</v>
      </c>
      <c r="J70" s="29">
        <v>45844</v>
      </c>
      <c r="K70" s="21" t="str">
        <f>TEXT(I70,"mmm-yyyy")</f>
        <v>Jul-2025</v>
      </c>
      <c r="L70" s="21" t="s">
        <v>1797</v>
      </c>
      <c r="M70" s="21">
        <v>1</v>
      </c>
      <c r="N70" s="21" t="s">
        <v>743</v>
      </c>
      <c r="O70" s="21" t="s">
        <v>3368</v>
      </c>
      <c r="P70" s="21" t="s">
        <v>3369</v>
      </c>
      <c r="Q70" s="21" t="s">
        <v>844</v>
      </c>
      <c r="R70" s="21" t="s">
        <v>3799</v>
      </c>
      <c r="S70" s="21" t="str">
        <f ca="1">IF(BN70&lt;1,"Paid",IF(BM70&gt;0,"Partially paid",IF(ISNUMBER(SEARCH("hold",BU70)),"On hold",IF(BQ70&lt;TODAY(),"Overdue","Approved - unpaid"))))</f>
        <v>Paid</v>
      </c>
      <c r="T70" s="21" t="s">
        <v>3371</v>
      </c>
      <c r="U70" s="21" t="s">
        <v>3372</v>
      </c>
      <c r="V70" s="21" t="s">
        <v>3373</v>
      </c>
      <c r="W70" s="21" t="s">
        <v>746</v>
      </c>
      <c r="X70" s="21" t="s">
        <v>846</v>
      </c>
      <c r="Y70" s="21" t="s">
        <v>3374</v>
      </c>
      <c r="Z70" s="21" t="s">
        <v>3375</v>
      </c>
      <c r="AA70" s="21" t="s">
        <v>3376</v>
      </c>
      <c r="AB70" s="37">
        <v>0</v>
      </c>
      <c r="AC70" s="21" t="s">
        <v>844</v>
      </c>
      <c r="AD70" s="21" t="s">
        <v>844</v>
      </c>
      <c r="AE70" s="21" t="s">
        <v>3377</v>
      </c>
      <c r="AF70" s="21">
        <v>1</v>
      </c>
      <c r="AG70" s="21" t="s">
        <v>902</v>
      </c>
      <c r="AH70" s="21" t="s">
        <v>904</v>
      </c>
      <c r="AI70" s="21" t="s">
        <v>905</v>
      </c>
      <c r="AJ70" s="37">
        <v>3</v>
      </c>
      <c r="AK70" s="37">
        <v>3</v>
      </c>
      <c r="AL70" s="37">
        <v>362600</v>
      </c>
      <c r="AM70" s="37">
        <f>AK70*AL70</f>
        <v>1087800</v>
      </c>
      <c r="AN70" s="37">
        <f>AM70</f>
        <v>1087800</v>
      </c>
      <c r="AO70" s="23">
        <f>_xlfn.XLOOKUP(AG70,'T13'!$A$3:$A$1500,'T13'!$O$3:$O$1500)</f>
        <v>0</v>
      </c>
      <c r="AP70" s="37">
        <v>0</v>
      </c>
      <c r="AQ70" s="37">
        <f>SUMIFS($AN$3:$AN$1500,$G$3:$G$1500,G70)</f>
        <v>1087800</v>
      </c>
      <c r="AR70" s="37">
        <f>SUMIFS($AP$3:$AP$1500,$G$3:$G$1500,G70)</f>
        <v>0</v>
      </c>
      <c r="AS70" s="21" t="s">
        <v>3378</v>
      </c>
      <c r="AT70" s="37">
        <f>ROUND(BH70*0.15,0)</f>
        <v>163170</v>
      </c>
      <c r="AU70" s="21" t="s">
        <v>846</v>
      </c>
      <c r="AV70" s="37" cm="1">
        <f t="array" ref="AV70">SUMPRODUCT(($G$3:$G$1500=G70)*$AN$3:$AN$1500*$AO$3:$AO$1500)+AR70</f>
        <v>0</v>
      </c>
      <c r="AW70" s="37">
        <f>AT70</f>
        <v>163170</v>
      </c>
      <c r="AX70" s="21" t="str">
        <f>TEXT(EOMONTH(I70,0)+15,"dd-mmm-yyyy")&amp;" / "&amp;IF(BM70&gt;0,"CPR-IT-"&amp;TEXT(I70,"yymm")&amp;"-"&amp;RIGHT(G70,4),"Pending payment")</f>
        <v>15-Aug-2025 / CPR-IT-2507-0057</v>
      </c>
      <c r="AY70" s="21" t="str">
        <f>IF(BM70&gt;0,"Issued","Not yet")</f>
        <v>Issued</v>
      </c>
      <c r="AZ70" s="37">
        <v>0</v>
      </c>
      <c r="BA70" s="37">
        <v>0</v>
      </c>
      <c r="BB70" s="37">
        <v>0</v>
      </c>
      <c r="BC70" s="37">
        <v>0</v>
      </c>
      <c r="BD70" s="37">
        <v>0</v>
      </c>
      <c r="BE70" s="37">
        <f>AQ70</f>
        <v>1087800</v>
      </c>
      <c r="BF70" s="37">
        <f>AV70</f>
        <v>0</v>
      </c>
      <c r="BG70" s="37">
        <f>AZ70</f>
        <v>0</v>
      </c>
      <c r="BH70" s="37">
        <f>BE70+BF70+BG70</f>
        <v>1087800</v>
      </c>
      <c r="BI70" s="37">
        <f>AW70</f>
        <v>163170</v>
      </c>
      <c r="BJ70" s="37">
        <f>BA70+BB70+BC70+BD70</f>
        <v>0</v>
      </c>
      <c r="BK70" s="37">
        <f>BH70-BI70-BJ70</f>
        <v>924630</v>
      </c>
      <c r="BL70" s="21" t="str">
        <f>"PKR "&amp;TEXT(BK70,"#,##0")&amp;" only"</f>
        <v>PKR 924,630 only</v>
      </c>
      <c r="BM70" s="37">
        <f>SUMIFS('T10'!$AK$3:$AK$1500,'T10'!$V$3:$V$1500,G70)</f>
        <v>924630</v>
      </c>
      <c r="BN70" s="37">
        <f>BK70-BM70</f>
        <v>0</v>
      </c>
      <c r="BO70" s="21" t="str">
        <f>IF(BF70&gt;0,TEXT(I70,"mmm-yyyy")&amp;" sales tax return","N/A")</f>
        <v>N/A</v>
      </c>
      <c r="BP70" s="21" t="s">
        <v>3376</v>
      </c>
      <c r="BQ70" s="29">
        <f>J70+7</f>
        <v>45851</v>
      </c>
      <c r="BR70" s="29">
        <f>BQ70</f>
        <v>45851</v>
      </c>
      <c r="BS70" s="21" t="s">
        <v>3095</v>
      </c>
      <c r="BT70" s="21" t="s">
        <v>3360</v>
      </c>
      <c r="BU70" s="21" t="s">
        <v>844</v>
      </c>
      <c r="BV70" s="21" t="s">
        <v>846</v>
      </c>
      <c r="BW70" s="21" t="str" cm="1">
        <f t="array" ref="BW70">_xlfn.TEXTJOIN(", ",TRUE,_xlfn.UNIQUE(_xlfn._xlws.FILTER('T10'!$A$3:$A$1500,'T10'!$V$3:$V$1500=G70,"None")))</f>
        <v>PV-0025</v>
      </c>
      <c r="BX70" s="21" t="s">
        <v>3800</v>
      </c>
      <c r="BY70" s="21" t="s">
        <v>3801</v>
      </c>
    </row>
    <row r="71" spans="1:77" x14ac:dyDescent="0.3">
      <c r="A71" s="21" t="s">
        <v>3445</v>
      </c>
      <c r="B71" s="21" t="s">
        <v>3802</v>
      </c>
      <c r="C71" s="21" t="s">
        <v>3803</v>
      </c>
      <c r="D71" s="35">
        <v>45861.458333333336</v>
      </c>
      <c r="E71" s="21" t="s">
        <v>3347</v>
      </c>
      <c r="F71" s="21" t="str">
        <f ca="1">IF(S71="Paid","Completed","Pending payment")</f>
        <v>Completed</v>
      </c>
      <c r="G71" s="21" t="s">
        <v>3804</v>
      </c>
      <c r="H71" s="21" t="s">
        <v>3349</v>
      </c>
      <c r="I71" s="29">
        <v>45861</v>
      </c>
      <c r="J71" s="29">
        <v>45859</v>
      </c>
      <c r="K71" s="21" t="str">
        <f>TEXT(I71,"mmm-yyyy")</f>
        <v>Jul-2025</v>
      </c>
      <c r="L71" s="21" t="s">
        <v>1797</v>
      </c>
      <c r="M71" s="21">
        <v>1</v>
      </c>
      <c r="N71" s="21" t="s">
        <v>743</v>
      </c>
      <c r="O71" s="21" t="s">
        <v>3350</v>
      </c>
      <c r="P71" s="21" t="s">
        <v>3351</v>
      </c>
      <c r="Q71" s="21" t="s">
        <v>844</v>
      </c>
      <c r="R71" s="21" t="s">
        <v>3805</v>
      </c>
      <c r="S71" s="21" t="str">
        <f ca="1">IF(BN71&lt;1,"Paid",IF(BM71&gt;0,"Partially paid",IF(ISNUMBER(SEARCH("hold",BU71)),"On hold",IF(BQ71&lt;TODAY(),"Overdue","Approved - unpaid"))))</f>
        <v>Paid</v>
      </c>
      <c r="T71" s="21" t="s">
        <v>3353</v>
      </c>
      <c r="U71" s="21" t="s">
        <v>3450</v>
      </c>
      <c r="V71" s="21" t="s">
        <v>3451</v>
      </c>
      <c r="W71" s="21" t="s">
        <v>746</v>
      </c>
      <c r="X71" s="21" t="s">
        <v>846</v>
      </c>
      <c r="Y71" s="21" t="s">
        <v>3452</v>
      </c>
      <c r="Z71" s="21" t="s">
        <v>3453</v>
      </c>
      <c r="AA71" s="21" t="s">
        <v>1062</v>
      </c>
      <c r="AB71" s="37">
        <v>0</v>
      </c>
      <c r="AC71" s="21" t="s">
        <v>844</v>
      </c>
      <c r="AD71" s="21" t="s">
        <v>844</v>
      </c>
      <c r="AE71" s="21" t="s">
        <v>844</v>
      </c>
      <c r="AF71" s="21">
        <v>1</v>
      </c>
      <c r="AG71" s="21" t="s">
        <v>919</v>
      </c>
      <c r="AH71" s="21" t="s">
        <v>921</v>
      </c>
      <c r="AI71" s="21" t="s">
        <v>905</v>
      </c>
      <c r="AJ71" s="37">
        <v>1</v>
      </c>
      <c r="AK71" s="37">
        <v>1</v>
      </c>
      <c r="AL71" s="37">
        <v>25900</v>
      </c>
      <c r="AM71" s="37">
        <f>AK71*AL71</f>
        <v>25900</v>
      </c>
      <c r="AN71" s="37">
        <f>AM71</f>
        <v>25900</v>
      </c>
      <c r="AO71" s="23">
        <f>_xlfn.XLOOKUP(AG71,'T13'!$A$3:$A$1500,'T13'!$O$3:$O$1500)</f>
        <v>0.16</v>
      </c>
      <c r="AP71" s="37">
        <v>0</v>
      </c>
      <c r="AQ71" s="37">
        <f>SUMIFS($AN$3:$AN$1500,$G$3:$G$1500,G71)</f>
        <v>25900</v>
      </c>
      <c r="AR71" s="37">
        <f>SUMIFS($AP$3:$AP$1500,$G$3:$G$1500,G71)</f>
        <v>0</v>
      </c>
      <c r="AS71" s="21" t="s">
        <v>3359</v>
      </c>
      <c r="AT71" s="37">
        <f>ROUND(BH71*0,0)</f>
        <v>0</v>
      </c>
      <c r="AU71" s="21" t="s">
        <v>846</v>
      </c>
      <c r="AV71" s="37" cm="1">
        <f t="array" ref="AV71">SUMPRODUCT(($G$3:$G$1500=G71)*$AN$3:$AN$1500*$AO$3:$AO$1500)+AR71</f>
        <v>4144</v>
      </c>
      <c r="AW71" s="37">
        <f>AT71</f>
        <v>0</v>
      </c>
      <c r="AX71" s="21" t="str">
        <f>TEXT(EOMONTH(I71,0)+15,"dd-mmm-yyyy")&amp;" / "&amp;IF(BM71&gt;0,"CPR-IT-"&amp;TEXT(I71,"yymm")&amp;"-"&amp;RIGHT(G71,4),"Pending payment")</f>
        <v>15-Aug-2025 / CPR-IT-2507-0058</v>
      </c>
      <c r="AY71" s="21" t="str">
        <f>IF(BM71&gt;0,"Issued","Not yet")</f>
        <v>Issued</v>
      </c>
      <c r="AZ71" s="37">
        <v>0</v>
      </c>
      <c r="BA71" s="37">
        <v>0</v>
      </c>
      <c r="BB71" s="37">
        <v>0</v>
      </c>
      <c r="BC71" s="37">
        <v>0</v>
      </c>
      <c r="BD71" s="37">
        <v>0</v>
      </c>
      <c r="BE71" s="37">
        <f>AQ71</f>
        <v>25900</v>
      </c>
      <c r="BF71" s="37">
        <f>AV71</f>
        <v>4144</v>
      </c>
      <c r="BG71" s="37">
        <f>AZ71</f>
        <v>0</v>
      </c>
      <c r="BH71" s="37">
        <f>BE71+BF71+BG71</f>
        <v>30044</v>
      </c>
      <c r="BI71" s="37">
        <f>AW71</f>
        <v>0</v>
      </c>
      <c r="BJ71" s="37">
        <f>BA71+BB71+BC71+BD71</f>
        <v>0</v>
      </c>
      <c r="BK71" s="37">
        <f>BH71-BI71-BJ71</f>
        <v>30044</v>
      </c>
      <c r="BL71" s="21" t="str">
        <f>"PKR "&amp;TEXT(BK71,"#,##0")&amp;" only"</f>
        <v>PKR 30,044 only</v>
      </c>
      <c r="BM71" s="37">
        <f>SUMIFS('T10'!$AK$3:$AK$1500,'T10'!$V$3:$V$1500,G71)</f>
        <v>30044</v>
      </c>
      <c r="BN71" s="37">
        <f>BK71-BM71</f>
        <v>0</v>
      </c>
      <c r="BO71" s="21" t="str">
        <f>IF(BF71&gt;0,TEXT(I71,"mmm-yyyy")&amp;" sales tax return","N/A")</f>
        <v>Jul-2025 sales tax return</v>
      </c>
      <c r="BP71" s="21" t="s">
        <v>1062</v>
      </c>
      <c r="BQ71" s="29">
        <f>J71+15</f>
        <v>45874</v>
      </c>
      <c r="BR71" s="29">
        <f>BQ71</f>
        <v>45874</v>
      </c>
      <c r="BS71" s="21" t="s">
        <v>3095</v>
      </c>
      <c r="BT71" s="21" t="s">
        <v>3360</v>
      </c>
      <c r="BU71" s="21" t="s">
        <v>844</v>
      </c>
      <c r="BV71" s="21" t="s">
        <v>846</v>
      </c>
      <c r="BW71" s="21" t="str" cm="1">
        <f t="array" ref="BW71">_xlfn.TEXTJOIN(", ",TRUE,_xlfn.UNIQUE(_xlfn._xlws.FILTER('T10'!$A$3:$A$1500,'T10'!$V$3:$V$1500=G71,"None")))</f>
        <v>PV-0010</v>
      </c>
      <c r="BX71" s="21" t="s">
        <v>3806</v>
      </c>
      <c r="BY71" s="21" t="s">
        <v>3807</v>
      </c>
    </row>
    <row r="72" spans="1:77" x14ac:dyDescent="0.3">
      <c r="A72" s="21" t="s">
        <v>3415</v>
      </c>
      <c r="B72" s="21" t="s">
        <v>3808</v>
      </c>
      <c r="C72" s="21" t="s">
        <v>3809</v>
      </c>
      <c r="D72" s="35">
        <v>45871.458333333336</v>
      </c>
      <c r="E72" s="21" t="s">
        <v>3347</v>
      </c>
      <c r="F72" s="21" t="str">
        <f ca="1">IF(S72="Paid","Completed","Pending payment")</f>
        <v>Completed</v>
      </c>
      <c r="G72" s="21" t="s">
        <v>3810</v>
      </c>
      <c r="H72" s="21" t="s">
        <v>3399</v>
      </c>
      <c r="I72" s="29">
        <v>45869</v>
      </c>
      <c r="J72" s="29">
        <v>45869</v>
      </c>
      <c r="K72" s="21" t="str">
        <f>TEXT(I72,"mmm-yyyy")</f>
        <v>Jul-2025</v>
      </c>
      <c r="L72" s="21" t="s">
        <v>1797</v>
      </c>
      <c r="M72" s="21">
        <v>1</v>
      </c>
      <c r="N72" s="21" t="s">
        <v>743</v>
      </c>
      <c r="O72" s="21" t="s">
        <v>3400</v>
      </c>
      <c r="P72" s="21" t="s">
        <v>3401</v>
      </c>
      <c r="Q72" s="21" t="s">
        <v>844</v>
      </c>
      <c r="R72" s="21" t="s">
        <v>3811</v>
      </c>
      <c r="S72" s="21" t="str">
        <f ca="1">IF(BN72&lt;1,"Paid",IF(BM72&gt;0,"Partially paid",IF(ISNUMBER(SEARCH("hold",BU72)),"On hold",IF(BQ72&lt;TODAY(),"Overdue","Approved - unpaid"))))</f>
        <v>Paid</v>
      </c>
      <c r="T72" s="21" t="s">
        <v>3403</v>
      </c>
      <c r="U72" s="21" t="s">
        <v>3419</v>
      </c>
      <c r="V72" s="21" t="s">
        <v>999</v>
      </c>
      <c r="W72" s="21" t="s">
        <v>746</v>
      </c>
      <c r="X72" s="21" t="s">
        <v>3812</v>
      </c>
      <c r="Y72" s="21" t="s">
        <v>3420</v>
      </c>
      <c r="Z72" s="21" t="s">
        <v>3421</v>
      </c>
      <c r="AA72" s="21" t="s">
        <v>1062</v>
      </c>
      <c r="AB72" s="37">
        <v>0</v>
      </c>
      <c r="AC72" s="21" t="s">
        <v>3813</v>
      </c>
      <c r="AD72" s="21" t="s">
        <v>3814</v>
      </c>
      <c r="AE72" s="21" t="s">
        <v>3424</v>
      </c>
      <c r="AF72" s="21">
        <v>1</v>
      </c>
      <c r="AG72" s="21" t="s">
        <v>799</v>
      </c>
      <c r="AH72" s="21" t="s">
        <v>801</v>
      </c>
      <c r="AI72" s="21" t="s">
        <v>1804</v>
      </c>
      <c r="AJ72" s="37">
        <v>200</v>
      </c>
      <c r="AK72" s="37">
        <v>200</v>
      </c>
      <c r="AL72" s="37">
        <v>1295</v>
      </c>
      <c r="AM72" s="37">
        <f>AK72*AL72</f>
        <v>259000</v>
      </c>
      <c r="AN72" s="37">
        <f>AM72</f>
        <v>259000</v>
      </c>
      <c r="AO72" s="23">
        <f>_xlfn.XLOOKUP(AG72,'T13'!$A$3:$A$1500,'T13'!$O$3:$O$1500)</f>
        <v>0.18</v>
      </c>
      <c r="AP72" s="37">
        <f>AK72*IF(AI72="MT",1000,IF(AI72="Jumbo bag (1.5 MT)",1500,IF(AI72="Bag (40 kg)",40,50)))*3</f>
        <v>30000</v>
      </c>
      <c r="AQ72" s="37">
        <f>SUMIFS($AN$3:$AN$1500,$G$3:$G$1500,G72)</f>
        <v>3025300</v>
      </c>
      <c r="AR72" s="37">
        <f>SUMIFS($AP$3:$AP$1500,$G$3:$G$1500,G72)</f>
        <v>343800</v>
      </c>
      <c r="AS72" s="21" t="s">
        <v>3815</v>
      </c>
      <c r="AT72" s="37">
        <f>ROUND(BH72*0.01,0)</f>
        <v>39137</v>
      </c>
      <c r="AU72" s="21" t="s">
        <v>3816</v>
      </c>
      <c r="AV72" s="37" cm="1">
        <f t="array" ref="AV72">SUMPRODUCT(($G$3:$G$1500=G72)*$AN$3:$AN$1500*$AO$3:$AO$1500)+AR72</f>
        <v>888354</v>
      </c>
      <c r="AW72" s="37">
        <f>AT72</f>
        <v>39137</v>
      </c>
      <c r="AX72" s="21" t="str">
        <f>TEXT(EOMONTH(I72,0)+15,"dd-mmm-yyyy")&amp;" / "&amp;IF(BM72&gt;0,"CPR-IT-"&amp;TEXT(I72,"yymm")&amp;"-"&amp;RIGHT(G72,4),"Pending payment")</f>
        <v>15-Aug-2025 / CPR-IT-2507-0059</v>
      </c>
      <c r="AY72" s="21" t="str">
        <f>IF(BM72&gt;0,"Issued","Not yet")</f>
        <v>Issued</v>
      </c>
      <c r="AZ72" s="37">
        <v>0</v>
      </c>
      <c r="BA72" s="37">
        <v>0</v>
      </c>
      <c r="BB72" s="37">
        <v>0</v>
      </c>
      <c r="BC72" s="37">
        <v>0</v>
      </c>
      <c r="BD72" s="37">
        <v>0</v>
      </c>
      <c r="BE72" s="37">
        <f>AQ72</f>
        <v>3025300</v>
      </c>
      <c r="BF72" s="37">
        <f>AV72</f>
        <v>888354</v>
      </c>
      <c r="BG72" s="37">
        <f>AZ72</f>
        <v>0</v>
      </c>
      <c r="BH72" s="37">
        <f>BE72+BF72+BG72</f>
        <v>3913654</v>
      </c>
      <c r="BI72" s="37">
        <f>AW72</f>
        <v>39137</v>
      </c>
      <c r="BJ72" s="37">
        <f>BA72+BB72+BC72+BD72</f>
        <v>0</v>
      </c>
      <c r="BK72" s="37">
        <f>BH72-BI72-BJ72</f>
        <v>3874517</v>
      </c>
      <c r="BL72" s="21" t="str">
        <f>"PKR "&amp;TEXT(BK72,"#,##0")&amp;" only"</f>
        <v>PKR 3,874,517 only</v>
      </c>
      <c r="BM72" s="37">
        <f>SUMIFS('T10'!$AK$3:$AK$1500,'T10'!$V$3:$V$1500,G72)</f>
        <v>3874517</v>
      </c>
      <c r="BN72" s="37">
        <f>BK72-BM72</f>
        <v>0</v>
      </c>
      <c r="BO72" s="21" t="str">
        <f>IF(BF72&gt;0,TEXT(I72,"mmm-yyyy")&amp;" sales tax return","N/A")</f>
        <v>Jul-2025 sales tax return</v>
      </c>
      <c r="BP72" s="21" t="s">
        <v>1062</v>
      </c>
      <c r="BQ72" s="29">
        <f>J72+15</f>
        <v>45884</v>
      </c>
      <c r="BR72" s="29">
        <f>BQ72</f>
        <v>45884</v>
      </c>
      <c r="BS72" s="21" t="s">
        <v>3095</v>
      </c>
      <c r="BT72" s="21" t="s">
        <v>3411</v>
      </c>
      <c r="BU72" s="21" t="s">
        <v>844</v>
      </c>
      <c r="BV72" s="21" t="s">
        <v>753</v>
      </c>
      <c r="BW72" s="21" t="str" cm="1">
        <f t="array" ref="BW72">_xlfn.TEXTJOIN(", ",TRUE,_xlfn.UNIQUE(_xlfn._xlws.FILTER('T10'!$A$3:$A$1500,'T10'!$V$3:$V$1500=G72,"None")))</f>
        <v>PV-0011, PV-0013</v>
      </c>
      <c r="BX72" s="21" t="s">
        <v>3817</v>
      </c>
      <c r="BY72" s="21" t="s">
        <v>3818</v>
      </c>
    </row>
    <row r="73" spans="1:77" x14ac:dyDescent="0.3">
      <c r="A73" s="21" t="s">
        <v>3415</v>
      </c>
      <c r="B73" s="21" t="s">
        <v>3808</v>
      </c>
      <c r="C73" s="21" t="s">
        <v>3809</v>
      </c>
      <c r="D73" s="35">
        <v>45871.458333333336</v>
      </c>
      <c r="E73" s="21" t="s">
        <v>3347</v>
      </c>
      <c r="F73" s="21" t="str">
        <f ca="1">IF(S73="Paid","Completed","Pending payment")</f>
        <v>Completed</v>
      </c>
      <c r="G73" s="21" t="s">
        <v>3810</v>
      </c>
      <c r="H73" s="21" t="s">
        <v>3399</v>
      </c>
      <c r="I73" s="29">
        <v>45869</v>
      </c>
      <c r="J73" s="29">
        <v>45869</v>
      </c>
      <c r="K73" s="21" t="str">
        <f>TEXT(I73,"mmm-yyyy")</f>
        <v>Jul-2025</v>
      </c>
      <c r="L73" s="21" t="s">
        <v>1797</v>
      </c>
      <c r="M73" s="21">
        <v>1</v>
      </c>
      <c r="N73" s="21" t="s">
        <v>743</v>
      </c>
      <c r="O73" s="21" t="s">
        <v>3400</v>
      </c>
      <c r="P73" s="21" t="s">
        <v>3401</v>
      </c>
      <c r="Q73" s="21" t="s">
        <v>844</v>
      </c>
      <c r="R73" s="21" t="s">
        <v>3811</v>
      </c>
      <c r="S73" s="21" t="str">
        <f ca="1">IF(BN73&lt;1,"Paid",IF(BM73&gt;0,"Partially paid",IF(ISNUMBER(SEARCH("hold",BU73)),"On hold",IF(BQ73&lt;TODAY(),"Overdue","Approved - unpaid"))))</f>
        <v>Paid</v>
      </c>
      <c r="T73" s="21" t="s">
        <v>3403</v>
      </c>
      <c r="U73" s="21" t="s">
        <v>3419</v>
      </c>
      <c r="V73" s="21" t="s">
        <v>999</v>
      </c>
      <c r="W73" s="21" t="s">
        <v>746</v>
      </c>
      <c r="X73" s="21" t="s">
        <v>3812</v>
      </c>
      <c r="Y73" s="21" t="s">
        <v>3420</v>
      </c>
      <c r="Z73" s="21" t="s">
        <v>3421</v>
      </c>
      <c r="AA73" s="21" t="s">
        <v>1062</v>
      </c>
      <c r="AB73" s="37">
        <v>0</v>
      </c>
      <c r="AC73" s="21" t="s">
        <v>3813</v>
      </c>
      <c r="AD73" s="21" t="s">
        <v>3819</v>
      </c>
      <c r="AE73" s="21" t="s">
        <v>3424</v>
      </c>
      <c r="AF73" s="21">
        <v>2</v>
      </c>
      <c r="AG73" s="21" t="s">
        <v>820</v>
      </c>
      <c r="AH73" s="21" t="s">
        <v>822</v>
      </c>
      <c r="AI73" s="21" t="s">
        <v>1804</v>
      </c>
      <c r="AJ73" s="37">
        <v>300</v>
      </c>
      <c r="AK73" s="37">
        <v>292</v>
      </c>
      <c r="AL73" s="37">
        <v>1275</v>
      </c>
      <c r="AM73" s="37">
        <f>AK73*AL73</f>
        <v>372300</v>
      </c>
      <c r="AN73" s="37">
        <f>AM73</f>
        <v>372300</v>
      </c>
      <c r="AO73" s="23">
        <f>_xlfn.XLOOKUP(AG73,'T13'!$A$3:$A$1500,'T13'!$O$3:$O$1500)</f>
        <v>0.18</v>
      </c>
      <c r="AP73" s="37">
        <f>AK73*IF(AI73="MT",1000,IF(AI73="Jumbo bag (1.5 MT)",1500,IF(AI73="Bag (40 kg)",40,50)))*3</f>
        <v>43800</v>
      </c>
      <c r="AQ73" s="37">
        <f>SUMIFS($AN$3:$AN$1500,$G$3:$G$1500,G73)</f>
        <v>3025300</v>
      </c>
      <c r="AR73" s="37">
        <f>SUMIFS($AP$3:$AP$1500,$G$3:$G$1500,G73)</f>
        <v>343800</v>
      </c>
      <c r="AS73" s="21" t="s">
        <v>3815</v>
      </c>
      <c r="AT73" s="37">
        <f>ROUND(BH73*0.01,0)</f>
        <v>39137</v>
      </c>
      <c r="AU73" s="21" t="s">
        <v>3816</v>
      </c>
      <c r="AV73" s="37" cm="1">
        <f t="array" ref="AV73">SUMPRODUCT(($G$3:$G$1500=G73)*$AN$3:$AN$1500*$AO$3:$AO$1500)+AR73</f>
        <v>888354</v>
      </c>
      <c r="AW73" s="37">
        <f>AT73</f>
        <v>39137</v>
      </c>
      <c r="AX73" s="21" t="str">
        <f>TEXT(EOMONTH(I73,0)+15,"dd-mmm-yyyy")&amp;" / "&amp;IF(BM73&gt;0,"CPR-IT-"&amp;TEXT(I73,"yymm")&amp;"-"&amp;RIGHT(G73,4),"Pending payment")</f>
        <v>15-Aug-2025 / CPR-IT-2507-0059</v>
      </c>
      <c r="AY73" s="21" t="str">
        <f>IF(BM73&gt;0,"Issued","Not yet")</f>
        <v>Issued</v>
      </c>
      <c r="AZ73" s="37">
        <v>0</v>
      </c>
      <c r="BA73" s="37">
        <v>0</v>
      </c>
      <c r="BB73" s="37">
        <v>0</v>
      </c>
      <c r="BC73" s="37">
        <v>0</v>
      </c>
      <c r="BD73" s="37">
        <v>0</v>
      </c>
      <c r="BE73" s="37">
        <f>AQ73</f>
        <v>3025300</v>
      </c>
      <c r="BF73" s="37">
        <f>AV73</f>
        <v>888354</v>
      </c>
      <c r="BG73" s="37">
        <f>AZ73</f>
        <v>0</v>
      </c>
      <c r="BH73" s="37">
        <f>BE73+BF73+BG73</f>
        <v>3913654</v>
      </c>
      <c r="BI73" s="37">
        <f>AW73</f>
        <v>39137</v>
      </c>
      <c r="BJ73" s="37">
        <f>BA73+BB73+BC73+BD73</f>
        <v>0</v>
      </c>
      <c r="BK73" s="37">
        <f>BH73-BI73-BJ73</f>
        <v>3874517</v>
      </c>
      <c r="BL73" s="21" t="str">
        <f>"PKR "&amp;TEXT(BK73,"#,##0")&amp;" only"</f>
        <v>PKR 3,874,517 only</v>
      </c>
      <c r="BM73" s="37">
        <f>SUMIFS('T10'!$AK$3:$AK$1500,'T10'!$V$3:$V$1500,G73)</f>
        <v>3874517</v>
      </c>
      <c r="BN73" s="37">
        <f>BK73-BM73</f>
        <v>0</v>
      </c>
      <c r="BO73" s="21" t="str">
        <f>IF(BF73&gt;0,TEXT(I73,"mmm-yyyy")&amp;" sales tax return","N/A")</f>
        <v>Jul-2025 sales tax return</v>
      </c>
      <c r="BP73" s="21" t="s">
        <v>1062</v>
      </c>
      <c r="BQ73" s="29">
        <f>J73+15</f>
        <v>45884</v>
      </c>
      <c r="BR73" s="29">
        <f>BQ73</f>
        <v>45884</v>
      </c>
      <c r="BS73" s="21" t="s">
        <v>3095</v>
      </c>
      <c r="BT73" s="21" t="s">
        <v>3411</v>
      </c>
      <c r="BU73" s="21" t="s">
        <v>844</v>
      </c>
      <c r="BV73" s="21" t="s">
        <v>753</v>
      </c>
      <c r="BW73" s="21" t="str" cm="1">
        <f t="array" ref="BW73">_xlfn.TEXTJOIN(", ",TRUE,_xlfn.UNIQUE(_xlfn._xlws.FILTER('T10'!$A$3:$A$1500,'T10'!$V$3:$V$1500=G73,"None")))</f>
        <v>PV-0011, PV-0013</v>
      </c>
      <c r="BX73" s="21" t="s">
        <v>3817</v>
      </c>
      <c r="BY73" s="21" t="s">
        <v>3818</v>
      </c>
    </row>
    <row r="74" spans="1:77" x14ac:dyDescent="0.3">
      <c r="A74" s="21" t="s">
        <v>3415</v>
      </c>
      <c r="B74" s="21" t="s">
        <v>3808</v>
      </c>
      <c r="C74" s="21" t="s">
        <v>3809</v>
      </c>
      <c r="D74" s="35">
        <v>45871.458333333336</v>
      </c>
      <c r="E74" s="21" t="s">
        <v>3347</v>
      </c>
      <c r="F74" s="21" t="str">
        <f ca="1">IF(S74="Paid","Completed","Pending payment")</f>
        <v>Completed</v>
      </c>
      <c r="G74" s="21" t="s">
        <v>3810</v>
      </c>
      <c r="H74" s="21" t="s">
        <v>3399</v>
      </c>
      <c r="I74" s="29">
        <v>45869</v>
      </c>
      <c r="J74" s="29">
        <v>45869</v>
      </c>
      <c r="K74" s="21" t="str">
        <f>TEXT(I74,"mmm-yyyy")</f>
        <v>Jul-2025</v>
      </c>
      <c r="L74" s="21" t="s">
        <v>1797</v>
      </c>
      <c r="M74" s="21">
        <v>1</v>
      </c>
      <c r="N74" s="21" t="s">
        <v>743</v>
      </c>
      <c r="O74" s="21" t="s">
        <v>3400</v>
      </c>
      <c r="P74" s="21" t="s">
        <v>3401</v>
      </c>
      <c r="Q74" s="21" t="s">
        <v>844</v>
      </c>
      <c r="R74" s="21" t="s">
        <v>3811</v>
      </c>
      <c r="S74" s="21" t="str">
        <f ca="1">IF(BN74&lt;1,"Paid",IF(BM74&gt;0,"Partially paid",IF(ISNUMBER(SEARCH("hold",BU74)),"On hold",IF(BQ74&lt;TODAY(),"Overdue","Approved - unpaid"))))</f>
        <v>Paid</v>
      </c>
      <c r="T74" s="21" t="s">
        <v>3403</v>
      </c>
      <c r="U74" s="21" t="s">
        <v>3419</v>
      </c>
      <c r="V74" s="21" t="s">
        <v>999</v>
      </c>
      <c r="W74" s="21" t="s">
        <v>746</v>
      </c>
      <c r="X74" s="21" t="s">
        <v>3812</v>
      </c>
      <c r="Y74" s="21" t="s">
        <v>3420</v>
      </c>
      <c r="Z74" s="21" t="s">
        <v>3421</v>
      </c>
      <c r="AA74" s="21" t="s">
        <v>1062</v>
      </c>
      <c r="AB74" s="37">
        <v>0</v>
      </c>
      <c r="AC74" s="21" t="s">
        <v>3813</v>
      </c>
      <c r="AD74" s="21" t="s">
        <v>3819</v>
      </c>
      <c r="AE74" s="21" t="s">
        <v>3424</v>
      </c>
      <c r="AF74" s="21">
        <v>3</v>
      </c>
      <c r="AG74" s="21" t="s">
        <v>826</v>
      </c>
      <c r="AH74" s="21" t="s">
        <v>827</v>
      </c>
      <c r="AI74" s="21" t="s">
        <v>1860</v>
      </c>
      <c r="AJ74" s="37">
        <v>60</v>
      </c>
      <c r="AK74" s="37">
        <v>60</v>
      </c>
      <c r="AL74" s="37">
        <v>39900</v>
      </c>
      <c r="AM74" s="37">
        <f>AK74*AL74</f>
        <v>2394000</v>
      </c>
      <c r="AN74" s="37">
        <f>AM74</f>
        <v>2394000</v>
      </c>
      <c r="AO74" s="23">
        <f>_xlfn.XLOOKUP(AG74,'T13'!$A$3:$A$1500,'T13'!$O$3:$O$1500)</f>
        <v>0.18</v>
      </c>
      <c r="AP74" s="37">
        <f>AK74*IF(AI74="MT",1000,IF(AI74="Jumbo bag (1.5 MT)",1500,IF(AI74="Bag (40 kg)",40,50)))*3</f>
        <v>270000</v>
      </c>
      <c r="AQ74" s="37">
        <f>SUMIFS($AN$3:$AN$1500,$G$3:$G$1500,G74)</f>
        <v>3025300</v>
      </c>
      <c r="AR74" s="37">
        <f>SUMIFS($AP$3:$AP$1500,$G$3:$G$1500,G74)</f>
        <v>343800</v>
      </c>
      <c r="AS74" s="21" t="s">
        <v>3815</v>
      </c>
      <c r="AT74" s="37">
        <f>ROUND(BH74*0.01,0)</f>
        <v>39137</v>
      </c>
      <c r="AU74" s="21" t="s">
        <v>3816</v>
      </c>
      <c r="AV74" s="37" cm="1">
        <f t="array" ref="AV74">SUMPRODUCT(($G$3:$G$1500=G74)*$AN$3:$AN$1500*$AO$3:$AO$1500)+AR74</f>
        <v>888354</v>
      </c>
      <c r="AW74" s="37">
        <f>AT74</f>
        <v>39137</v>
      </c>
      <c r="AX74" s="21" t="str">
        <f>TEXT(EOMONTH(I74,0)+15,"dd-mmm-yyyy")&amp;" / "&amp;IF(BM74&gt;0,"CPR-IT-"&amp;TEXT(I74,"yymm")&amp;"-"&amp;RIGHT(G74,4),"Pending payment")</f>
        <v>15-Aug-2025 / CPR-IT-2507-0059</v>
      </c>
      <c r="AY74" s="21" t="str">
        <f>IF(BM74&gt;0,"Issued","Not yet")</f>
        <v>Issued</v>
      </c>
      <c r="AZ74" s="37">
        <v>0</v>
      </c>
      <c r="BA74" s="37">
        <v>0</v>
      </c>
      <c r="BB74" s="37">
        <v>0</v>
      </c>
      <c r="BC74" s="37">
        <v>0</v>
      </c>
      <c r="BD74" s="37">
        <v>0</v>
      </c>
      <c r="BE74" s="37">
        <f>AQ74</f>
        <v>3025300</v>
      </c>
      <c r="BF74" s="37">
        <f>AV74</f>
        <v>888354</v>
      </c>
      <c r="BG74" s="37">
        <f>AZ74</f>
        <v>0</v>
      </c>
      <c r="BH74" s="37">
        <f>BE74+BF74+BG74</f>
        <v>3913654</v>
      </c>
      <c r="BI74" s="37">
        <f>AW74</f>
        <v>39137</v>
      </c>
      <c r="BJ74" s="37">
        <f>BA74+BB74+BC74+BD74</f>
        <v>0</v>
      </c>
      <c r="BK74" s="37">
        <f>BH74-BI74-BJ74</f>
        <v>3874517</v>
      </c>
      <c r="BL74" s="21" t="str">
        <f>"PKR "&amp;TEXT(BK74,"#,##0")&amp;" only"</f>
        <v>PKR 3,874,517 only</v>
      </c>
      <c r="BM74" s="37">
        <f>SUMIFS('T10'!$AK$3:$AK$1500,'T10'!$V$3:$V$1500,G74)</f>
        <v>3874517</v>
      </c>
      <c r="BN74" s="37">
        <f>BK74-BM74</f>
        <v>0</v>
      </c>
      <c r="BO74" s="21" t="str">
        <f>IF(BF74&gt;0,TEXT(I74,"mmm-yyyy")&amp;" sales tax return","N/A")</f>
        <v>Jul-2025 sales tax return</v>
      </c>
      <c r="BP74" s="21" t="s">
        <v>1062</v>
      </c>
      <c r="BQ74" s="29">
        <f>J74+15</f>
        <v>45884</v>
      </c>
      <c r="BR74" s="29">
        <f>BQ74</f>
        <v>45884</v>
      </c>
      <c r="BS74" s="21" t="s">
        <v>3095</v>
      </c>
      <c r="BT74" s="21" t="s">
        <v>3411</v>
      </c>
      <c r="BU74" s="21" t="s">
        <v>844</v>
      </c>
      <c r="BV74" s="21" t="s">
        <v>753</v>
      </c>
      <c r="BW74" s="21" t="str" cm="1">
        <f t="array" ref="BW74">_xlfn.TEXTJOIN(", ",TRUE,_xlfn.UNIQUE(_xlfn._xlws.FILTER('T10'!$A$3:$A$1500,'T10'!$V$3:$V$1500=G74,"None")))</f>
        <v>PV-0011, PV-0013</v>
      </c>
      <c r="BX74" s="21" t="s">
        <v>3817</v>
      </c>
      <c r="BY74" s="21" t="s">
        <v>3818</v>
      </c>
    </row>
    <row r="75" spans="1:77" x14ac:dyDescent="0.3">
      <c r="A75" s="21" t="s">
        <v>3573</v>
      </c>
      <c r="B75" s="21" t="s">
        <v>3820</v>
      </c>
      <c r="C75" s="21" t="s">
        <v>3821</v>
      </c>
      <c r="D75" s="35">
        <v>45870.458333333336</v>
      </c>
      <c r="E75" s="21" t="s">
        <v>3347</v>
      </c>
      <c r="F75" s="21" t="str">
        <f ca="1">IF(S75="Paid","Completed","Pending payment")</f>
        <v>Completed</v>
      </c>
      <c r="G75" s="21" t="s">
        <v>3822</v>
      </c>
      <c r="H75" s="21" t="s">
        <v>3399</v>
      </c>
      <c r="I75" s="29">
        <v>45869</v>
      </c>
      <c r="J75" s="29">
        <v>45869</v>
      </c>
      <c r="K75" s="21" t="str">
        <f>TEXT(I75,"mmm-yyyy")</f>
        <v>Jul-2025</v>
      </c>
      <c r="L75" s="21" t="s">
        <v>1797</v>
      </c>
      <c r="M75" s="21">
        <v>1</v>
      </c>
      <c r="N75" s="21" t="s">
        <v>743</v>
      </c>
      <c r="O75" s="21" t="s">
        <v>3400</v>
      </c>
      <c r="P75" s="21" t="s">
        <v>3401</v>
      </c>
      <c r="Q75" s="21" t="s">
        <v>844</v>
      </c>
      <c r="R75" s="21" t="s">
        <v>3823</v>
      </c>
      <c r="S75" s="21" t="str">
        <f ca="1">IF(BN75&lt;1,"Paid",IF(BM75&gt;0,"Partially paid",IF(ISNUMBER(SEARCH("hold",BU75)),"On hold",IF(BQ75&lt;TODAY(),"Overdue","Approved - unpaid"))))</f>
        <v>Paid</v>
      </c>
      <c r="T75" s="21" t="s">
        <v>3403</v>
      </c>
      <c r="U75" s="21" t="s">
        <v>3578</v>
      </c>
      <c r="V75" s="21" t="s">
        <v>1021</v>
      </c>
      <c r="W75" s="21" t="s">
        <v>746</v>
      </c>
      <c r="X75" s="21" t="s">
        <v>846</v>
      </c>
      <c r="Y75" s="21" t="s">
        <v>3579</v>
      </c>
      <c r="Z75" s="21" t="s">
        <v>3580</v>
      </c>
      <c r="AA75" s="21" t="s">
        <v>1062</v>
      </c>
      <c r="AB75" s="37">
        <v>0</v>
      </c>
      <c r="AC75" s="21" t="s">
        <v>3824</v>
      </c>
      <c r="AD75" s="21" t="s">
        <v>3825</v>
      </c>
      <c r="AE75" s="21" t="s">
        <v>3583</v>
      </c>
      <c r="AF75" s="21">
        <v>1</v>
      </c>
      <c r="AG75" s="21" t="s">
        <v>812</v>
      </c>
      <c r="AH75" s="21" t="s">
        <v>814</v>
      </c>
      <c r="AI75" s="21" t="s">
        <v>1841</v>
      </c>
      <c r="AJ75" s="37">
        <v>300</v>
      </c>
      <c r="AK75" s="37">
        <v>300</v>
      </c>
      <c r="AL75" s="37">
        <v>2455</v>
      </c>
      <c r="AM75" s="37">
        <f>AK75*AL75</f>
        <v>736500</v>
      </c>
      <c r="AN75" s="37">
        <f>AM75</f>
        <v>736500</v>
      </c>
      <c r="AO75" s="23">
        <f>_xlfn.XLOOKUP(AG75,'T13'!$A$3:$A$1500,'T13'!$O$3:$O$1500)</f>
        <v>0.18</v>
      </c>
      <c r="AP75" s="37">
        <f>AK75*IF(AI75="MT",1000,IF(AI75="Jumbo bag (1.5 MT)",1500,IF(AI75="Bag (40 kg)",40,50)))*3</f>
        <v>36000</v>
      </c>
      <c r="AQ75" s="37">
        <f>SUMIFS($AN$3:$AN$1500,$G$3:$G$1500,G75)</f>
        <v>736500</v>
      </c>
      <c r="AR75" s="37">
        <f>SUMIFS($AP$3:$AP$1500,$G$3:$G$1500,G75)</f>
        <v>36000</v>
      </c>
      <c r="AS75" s="21" t="s">
        <v>3410</v>
      </c>
      <c r="AT75" s="37">
        <f>ROUND(BH75*0.05,0)</f>
        <v>45254</v>
      </c>
      <c r="AU75" s="21" t="s">
        <v>846</v>
      </c>
      <c r="AV75" s="37" cm="1">
        <f t="array" ref="AV75">SUMPRODUCT(($G$3:$G$1500=G75)*$AN$3:$AN$1500*$AO$3:$AO$1500)+AR75</f>
        <v>168570</v>
      </c>
      <c r="AW75" s="37">
        <f>AT75</f>
        <v>45254</v>
      </c>
      <c r="AX75" s="21" t="str">
        <f>TEXT(EOMONTH(I75,0)+15,"dd-mmm-yyyy")&amp;" / "&amp;IF(BM75&gt;0,"CPR-IT-"&amp;TEXT(I75,"yymm")&amp;"-"&amp;RIGHT(G75,4),"Pending payment")</f>
        <v>15-Aug-2025 / CPR-IT-2507-0060</v>
      </c>
      <c r="AY75" s="21" t="str">
        <f>IF(BM75&gt;0,"Issued","Not yet")</f>
        <v>Issued</v>
      </c>
      <c r="AZ75" s="37">
        <v>0</v>
      </c>
      <c r="BA75" s="37">
        <v>0</v>
      </c>
      <c r="BB75" s="37">
        <v>0</v>
      </c>
      <c r="BC75" s="37">
        <v>0</v>
      </c>
      <c r="BD75" s="37">
        <v>0</v>
      </c>
      <c r="BE75" s="37">
        <f>AQ75</f>
        <v>736500</v>
      </c>
      <c r="BF75" s="37">
        <f>AV75</f>
        <v>168570</v>
      </c>
      <c r="BG75" s="37">
        <f>AZ75</f>
        <v>0</v>
      </c>
      <c r="BH75" s="37">
        <f>BE75+BF75+BG75</f>
        <v>905070</v>
      </c>
      <c r="BI75" s="37">
        <f>AW75</f>
        <v>45254</v>
      </c>
      <c r="BJ75" s="37">
        <f>BA75+BB75+BC75+BD75</f>
        <v>0</v>
      </c>
      <c r="BK75" s="37">
        <f>BH75-BI75-BJ75</f>
        <v>859816</v>
      </c>
      <c r="BL75" s="21" t="str">
        <f>"PKR "&amp;TEXT(BK75,"#,##0")&amp;" only"</f>
        <v>PKR 859,816 only</v>
      </c>
      <c r="BM75" s="37">
        <f>SUMIFS('T10'!$AK$3:$AK$1500,'T10'!$V$3:$V$1500,G75)</f>
        <v>859816</v>
      </c>
      <c r="BN75" s="37">
        <f>BK75-BM75</f>
        <v>0</v>
      </c>
      <c r="BO75" s="21" t="str">
        <f>IF(BF75&gt;0,TEXT(I75,"mmm-yyyy")&amp;" sales tax return","N/A")</f>
        <v>Jul-2025 sales tax return</v>
      </c>
      <c r="BP75" s="21" t="s">
        <v>1062</v>
      </c>
      <c r="BQ75" s="29">
        <f>J75+15</f>
        <v>45884</v>
      </c>
      <c r="BR75" s="29">
        <f>BQ75</f>
        <v>45884</v>
      </c>
      <c r="BS75" s="21" t="s">
        <v>3095</v>
      </c>
      <c r="BT75" s="21" t="s">
        <v>3411</v>
      </c>
      <c r="BU75" s="21" t="s">
        <v>844</v>
      </c>
      <c r="BV75" s="21" t="s">
        <v>846</v>
      </c>
      <c r="BW75" s="21" t="str" cm="1">
        <f t="array" ref="BW75">_xlfn.TEXTJOIN(", ",TRUE,_xlfn.UNIQUE(_xlfn._xlws.FILTER('T10'!$A$3:$A$1500,'T10'!$V$3:$V$1500=G75,"None")))</f>
        <v>PV-0048</v>
      </c>
      <c r="BX75" s="21" t="s">
        <v>3817</v>
      </c>
      <c r="BY75" s="21" t="s">
        <v>3818</v>
      </c>
    </row>
    <row r="76" spans="1:77" x14ac:dyDescent="0.3">
      <c r="A76" s="21" t="s">
        <v>3489</v>
      </c>
      <c r="B76" s="21" t="s">
        <v>2351</v>
      </c>
      <c r="C76" s="21" t="s">
        <v>3826</v>
      </c>
      <c r="D76" s="35">
        <v>45871.708333333336</v>
      </c>
      <c r="E76" s="21" t="s">
        <v>3347</v>
      </c>
      <c r="F76" s="21" t="str">
        <f ca="1">IF(S76="Paid","Completed","Pending payment")</f>
        <v>Completed</v>
      </c>
      <c r="G76" s="21" t="s">
        <v>3827</v>
      </c>
      <c r="H76" s="21" t="s">
        <v>3428</v>
      </c>
      <c r="I76" s="29">
        <v>45872</v>
      </c>
      <c r="J76" s="29">
        <v>45870</v>
      </c>
      <c r="K76" s="21" t="str">
        <f>TEXT(I76,"mmm-yyyy")</f>
        <v>Aug-2025</v>
      </c>
      <c r="L76" s="21" t="s">
        <v>1797</v>
      </c>
      <c r="M76" s="21">
        <v>1</v>
      </c>
      <c r="N76" s="21" t="s">
        <v>743</v>
      </c>
      <c r="O76" s="21" t="s">
        <v>3350</v>
      </c>
      <c r="P76" s="21" t="s">
        <v>3429</v>
      </c>
      <c r="Q76" s="21" t="s">
        <v>844</v>
      </c>
      <c r="R76" s="21" t="s">
        <v>3828</v>
      </c>
      <c r="S76" s="21" t="str">
        <f ca="1">IF(BN76&lt;1,"Paid",IF(BM76&gt;0,"Partially paid",IF(ISNUMBER(SEARCH("hold",BU76)),"On hold",IF(BQ76&lt;TODAY(),"Overdue","Approved - unpaid"))))</f>
        <v>Paid</v>
      </c>
      <c r="T76" s="21" t="s">
        <v>3431</v>
      </c>
      <c r="U76" s="21" t="s">
        <v>1213</v>
      </c>
      <c r="V76" s="21" t="s">
        <v>1194</v>
      </c>
      <c r="W76" s="21" t="s">
        <v>746</v>
      </c>
      <c r="X76" s="21" t="s">
        <v>846</v>
      </c>
      <c r="Y76" s="21" t="s">
        <v>3493</v>
      </c>
      <c r="Z76" s="21" t="s">
        <v>3494</v>
      </c>
      <c r="AA76" s="21" t="s">
        <v>1051</v>
      </c>
      <c r="AB76" s="37">
        <v>0</v>
      </c>
      <c r="AC76" s="21" t="s">
        <v>844</v>
      </c>
      <c r="AD76" s="21" t="s">
        <v>844</v>
      </c>
      <c r="AE76" s="21" t="s">
        <v>3495</v>
      </c>
      <c r="AF76" s="21">
        <v>1</v>
      </c>
      <c r="AG76" s="21" t="s">
        <v>837</v>
      </c>
      <c r="AH76" s="21" t="s">
        <v>840</v>
      </c>
      <c r="AI76" s="21" t="s">
        <v>842</v>
      </c>
      <c r="AJ76" s="37">
        <f>COUNTIFS('T14'!$AQ$3:$AQ$1500,B76,'T14'!$Z$3:$Z$1500,1,'T14'!$F$3:$F$1500,"Bag")</f>
        <v>9</v>
      </c>
      <c r="AK76" s="37">
        <f>AJ76</f>
        <v>9</v>
      </c>
      <c r="AL76" s="37">
        <v>39700</v>
      </c>
      <c r="AM76" s="37">
        <f>AK76*AL76</f>
        <v>357300</v>
      </c>
      <c r="AN76" s="37">
        <f>AM76</f>
        <v>357300</v>
      </c>
      <c r="AO76" s="23">
        <f>_xlfn.XLOOKUP(AG76,'T13'!$A$3:$A$1500,'T13'!$O$3:$O$1500)</f>
        <v>0.16</v>
      </c>
      <c r="AP76" s="37">
        <v>0</v>
      </c>
      <c r="AQ76" s="37">
        <f>SUMIFS($AN$3:$AN$1500,$G$3:$G$1500,G76)</f>
        <v>357300</v>
      </c>
      <c r="AR76" s="37">
        <f>SUMIFS($AP$3:$AP$1500,$G$3:$G$1500,G76)</f>
        <v>0</v>
      </c>
      <c r="AS76" s="21" t="s">
        <v>3444</v>
      </c>
      <c r="AT76" s="37">
        <f>ROUND(BH76*0.04,0)</f>
        <v>16579</v>
      </c>
      <c r="AU76" s="21" t="s">
        <v>846</v>
      </c>
      <c r="AV76" s="37" cm="1">
        <f t="array" ref="AV76">SUMPRODUCT(($G$3:$G$1500=G76)*$AN$3:$AN$1500*$AO$3:$AO$1500)+AR76</f>
        <v>57168</v>
      </c>
      <c r="AW76" s="37">
        <f>AT76</f>
        <v>16579</v>
      </c>
      <c r="AX76" s="21" t="str">
        <f>TEXT(EOMONTH(I76,0)+15,"dd-mmm-yyyy")&amp;" / "&amp;IF(BM76&gt;0,"CPR-IT-"&amp;TEXT(I76,"yymm")&amp;"-"&amp;RIGHT(G76,4),"Pending payment")</f>
        <v>15-Sep-2025 / CPR-IT-2508-0061</v>
      </c>
      <c r="AY76" s="21" t="str">
        <f>IF(BM76&gt;0,"Issued","Not yet")</f>
        <v>Issued</v>
      </c>
      <c r="AZ76" s="37">
        <v>0</v>
      </c>
      <c r="BA76" s="37">
        <v>0</v>
      </c>
      <c r="BB76" s="37">
        <v>0</v>
      </c>
      <c r="BC76" s="37">
        <v>0</v>
      </c>
      <c r="BD76" s="37">
        <v>0</v>
      </c>
      <c r="BE76" s="37">
        <f>AQ76</f>
        <v>357300</v>
      </c>
      <c r="BF76" s="37">
        <f>AV76</f>
        <v>57168</v>
      </c>
      <c r="BG76" s="37">
        <f>AZ76</f>
        <v>0</v>
      </c>
      <c r="BH76" s="37">
        <f>BE76+BF76+BG76</f>
        <v>414468</v>
      </c>
      <c r="BI76" s="37">
        <f>AW76</f>
        <v>16579</v>
      </c>
      <c r="BJ76" s="37">
        <f>BA76+BB76+BC76+BD76</f>
        <v>0</v>
      </c>
      <c r="BK76" s="37">
        <f>BH76-BI76-BJ76</f>
        <v>397889</v>
      </c>
      <c r="BL76" s="21" t="str">
        <f>"PKR "&amp;TEXT(BK76,"#,##0")&amp;" only"</f>
        <v>PKR 397,889 only</v>
      </c>
      <c r="BM76" s="37">
        <f>SUMIFS('T10'!$AK$3:$AK$1500,'T10'!$V$3:$V$1500,G76)</f>
        <v>397889</v>
      </c>
      <c r="BN76" s="37">
        <f>BK76-BM76</f>
        <v>0</v>
      </c>
      <c r="BO76" s="21" t="str">
        <f>IF(BF76&gt;0,TEXT(I76,"mmm-yyyy")&amp;" sales tax return","N/A")</f>
        <v>Aug-2025 sales tax return</v>
      </c>
      <c r="BP76" s="21" t="s">
        <v>1051</v>
      </c>
      <c r="BQ76" s="29">
        <f>J76+30</f>
        <v>45900</v>
      </c>
      <c r="BR76" s="29">
        <f>BQ76</f>
        <v>45900</v>
      </c>
      <c r="BS76" s="21" t="s">
        <v>3095</v>
      </c>
      <c r="BT76" s="21" t="s">
        <v>3360</v>
      </c>
      <c r="BU76" s="21" t="s">
        <v>844</v>
      </c>
      <c r="BV76" s="21" t="s">
        <v>846</v>
      </c>
      <c r="BW76" s="21" t="str" cm="1">
        <f t="array" ref="BW76">_xlfn.TEXTJOIN(", ",TRUE,_xlfn.UNIQUE(_xlfn._xlws.FILTER('T10'!$A$3:$A$1500,'T10'!$V$3:$V$1500=G76,"None")))</f>
        <v>PV-0015</v>
      </c>
      <c r="BX76" s="21" t="s">
        <v>3829</v>
      </c>
      <c r="BY76" s="21" t="s">
        <v>3830</v>
      </c>
    </row>
    <row r="77" spans="1:77" x14ac:dyDescent="0.3">
      <c r="A77" s="21" t="s">
        <v>3438</v>
      </c>
      <c r="B77" s="21" t="s">
        <v>2361</v>
      </c>
      <c r="C77" s="21" t="s">
        <v>3831</v>
      </c>
      <c r="D77" s="35">
        <v>45871.458333333336</v>
      </c>
      <c r="E77" s="21" t="s">
        <v>3347</v>
      </c>
      <c r="F77" s="21" t="str">
        <f ca="1">IF(S77="Paid","Completed","Pending payment")</f>
        <v>Completed</v>
      </c>
      <c r="G77" s="21" t="s">
        <v>3832</v>
      </c>
      <c r="H77" s="21" t="s">
        <v>3428</v>
      </c>
      <c r="I77" s="29">
        <v>45872</v>
      </c>
      <c r="J77" s="29">
        <v>45870</v>
      </c>
      <c r="K77" s="21" t="str">
        <f>TEXT(I77,"mmm-yyyy")</f>
        <v>Aug-2025</v>
      </c>
      <c r="L77" s="21" t="s">
        <v>1797</v>
      </c>
      <c r="M77" s="21">
        <v>1</v>
      </c>
      <c r="N77" s="21" t="s">
        <v>743</v>
      </c>
      <c r="O77" s="21" t="s">
        <v>3350</v>
      </c>
      <c r="P77" s="21" t="s">
        <v>3429</v>
      </c>
      <c r="Q77" s="21" t="s">
        <v>844</v>
      </c>
      <c r="R77" s="21" t="s">
        <v>3828</v>
      </c>
      <c r="S77" s="21" t="str">
        <f ca="1">IF(BN77&lt;1,"Paid",IF(BM77&gt;0,"Partially paid",IF(ISNUMBER(SEARCH("hold",BU77)),"On hold",IF(BQ77&lt;TODAY(),"Overdue","Approved - unpaid"))))</f>
        <v>Paid</v>
      </c>
      <c r="T77" s="21" t="s">
        <v>3431</v>
      </c>
      <c r="U77" s="21" t="s">
        <v>1278</v>
      </c>
      <c r="V77" s="21" t="s">
        <v>1200</v>
      </c>
      <c r="W77" s="21" t="s">
        <v>746</v>
      </c>
      <c r="X77" s="21" t="s">
        <v>846</v>
      </c>
      <c r="Y77" s="21" t="s">
        <v>3441</v>
      </c>
      <c r="Z77" s="21" t="s">
        <v>3442</v>
      </c>
      <c r="AA77" s="21" t="s">
        <v>1051</v>
      </c>
      <c r="AB77" s="37">
        <v>0</v>
      </c>
      <c r="AC77" s="21" t="s">
        <v>844</v>
      </c>
      <c r="AD77" s="21" t="s">
        <v>844</v>
      </c>
      <c r="AE77" s="21" t="s">
        <v>3443</v>
      </c>
      <c r="AF77" s="21">
        <v>1</v>
      </c>
      <c r="AG77" s="21" t="s">
        <v>837</v>
      </c>
      <c r="AH77" s="21" t="s">
        <v>840</v>
      </c>
      <c r="AI77" s="21" t="s">
        <v>842</v>
      </c>
      <c r="AJ77" s="37">
        <f>COUNTIFS('T14'!$AQ$3:$AQ$1500,B77,'T14'!$Z$3:$Z$1500,1,'T14'!$F$3:$F$1500,"Bag")</f>
        <v>3</v>
      </c>
      <c r="AK77" s="37">
        <f>AJ77</f>
        <v>3</v>
      </c>
      <c r="AL77" s="37">
        <v>39700</v>
      </c>
      <c r="AM77" s="37">
        <f>AK77*AL77</f>
        <v>119100</v>
      </c>
      <c r="AN77" s="37">
        <f>AM77</f>
        <v>119100</v>
      </c>
      <c r="AO77" s="23">
        <f>_xlfn.XLOOKUP(AG77,'T13'!$A$3:$A$1500,'T13'!$O$3:$O$1500)</f>
        <v>0.16</v>
      </c>
      <c r="AP77" s="37">
        <v>0</v>
      </c>
      <c r="AQ77" s="37">
        <f>SUMIFS($AN$3:$AN$1500,$G$3:$G$1500,G77)</f>
        <v>119100</v>
      </c>
      <c r="AR77" s="37">
        <f>SUMIFS($AP$3:$AP$1500,$G$3:$G$1500,G77)</f>
        <v>0</v>
      </c>
      <c r="AS77" s="21" t="s">
        <v>3444</v>
      </c>
      <c r="AT77" s="37">
        <f>ROUND(BH77*0.04,0)</f>
        <v>5526</v>
      </c>
      <c r="AU77" s="21" t="s">
        <v>846</v>
      </c>
      <c r="AV77" s="37" cm="1">
        <f t="array" ref="AV77">SUMPRODUCT(($G$3:$G$1500=G77)*$AN$3:$AN$1500*$AO$3:$AO$1500)+AR77</f>
        <v>19056</v>
      </c>
      <c r="AW77" s="37">
        <f>AT77</f>
        <v>5526</v>
      </c>
      <c r="AX77" s="21" t="str">
        <f>TEXT(EOMONTH(I77,0)+15,"dd-mmm-yyyy")&amp;" / "&amp;IF(BM77&gt;0,"CPR-IT-"&amp;TEXT(I77,"yymm")&amp;"-"&amp;RIGHT(G77,4),"Pending payment")</f>
        <v>15-Sep-2025 / CPR-IT-2508-0062</v>
      </c>
      <c r="AY77" s="21" t="str">
        <f>IF(BM77&gt;0,"Issued","Not yet")</f>
        <v>Issued</v>
      </c>
      <c r="AZ77" s="37">
        <v>0</v>
      </c>
      <c r="BA77" s="37">
        <v>0</v>
      </c>
      <c r="BB77" s="37">
        <v>0</v>
      </c>
      <c r="BC77" s="37">
        <v>0</v>
      </c>
      <c r="BD77" s="37">
        <v>0</v>
      </c>
      <c r="BE77" s="37">
        <f>AQ77</f>
        <v>119100</v>
      </c>
      <c r="BF77" s="37">
        <f>AV77</f>
        <v>19056</v>
      </c>
      <c r="BG77" s="37">
        <f>AZ77</f>
        <v>0</v>
      </c>
      <c r="BH77" s="37">
        <f>BE77+BF77+BG77</f>
        <v>138156</v>
      </c>
      <c r="BI77" s="37">
        <f>AW77</f>
        <v>5526</v>
      </c>
      <c r="BJ77" s="37">
        <f>BA77+BB77+BC77+BD77</f>
        <v>0</v>
      </c>
      <c r="BK77" s="37">
        <f>BH77-BI77-BJ77</f>
        <v>132630</v>
      </c>
      <c r="BL77" s="21" t="str">
        <f>"PKR "&amp;TEXT(BK77,"#,##0")&amp;" only"</f>
        <v>PKR 132,630 only</v>
      </c>
      <c r="BM77" s="37">
        <f>SUMIFS('T10'!$AK$3:$AK$1500,'T10'!$V$3:$V$1500,G77)</f>
        <v>132630</v>
      </c>
      <c r="BN77" s="37">
        <f>BK77-BM77</f>
        <v>0</v>
      </c>
      <c r="BO77" s="21" t="str">
        <f>IF(BF77&gt;0,TEXT(I77,"mmm-yyyy")&amp;" sales tax return","N/A")</f>
        <v>Aug-2025 sales tax return</v>
      </c>
      <c r="BP77" s="21" t="s">
        <v>1051</v>
      </c>
      <c r="BQ77" s="29">
        <f>J77+30</f>
        <v>45900</v>
      </c>
      <c r="BR77" s="29">
        <f>BQ77</f>
        <v>45900</v>
      </c>
      <c r="BS77" s="21" t="s">
        <v>3095</v>
      </c>
      <c r="BT77" s="21" t="s">
        <v>3360</v>
      </c>
      <c r="BU77" s="21" t="s">
        <v>844</v>
      </c>
      <c r="BV77" s="21" t="s">
        <v>846</v>
      </c>
      <c r="BW77" s="21" t="str" cm="1">
        <f t="array" ref="BW77">_xlfn.TEXTJOIN(", ",TRUE,_xlfn.UNIQUE(_xlfn._xlws.FILTER('T10'!$A$3:$A$1500,'T10'!$V$3:$V$1500=G77,"None")))</f>
        <v>PV-0012</v>
      </c>
      <c r="BX77" s="21" t="s">
        <v>3829</v>
      </c>
      <c r="BY77" s="21" t="s">
        <v>3830</v>
      </c>
    </row>
    <row r="78" spans="1:77" x14ac:dyDescent="0.3">
      <c r="A78" s="21" t="s">
        <v>3344</v>
      </c>
      <c r="B78" s="21" t="s">
        <v>3833</v>
      </c>
      <c r="C78" s="21" t="s">
        <v>3834</v>
      </c>
      <c r="D78" s="35">
        <v>45876.666666666664</v>
      </c>
      <c r="E78" s="21" t="s">
        <v>3347</v>
      </c>
      <c r="F78" s="21" t="str">
        <f ca="1">IF(S78="Paid","Completed","Pending payment")</f>
        <v>Completed</v>
      </c>
      <c r="G78" s="21" t="s">
        <v>3835</v>
      </c>
      <c r="H78" s="21" t="s">
        <v>3349</v>
      </c>
      <c r="I78" s="29">
        <v>45876</v>
      </c>
      <c r="J78" s="29">
        <v>45874</v>
      </c>
      <c r="K78" s="21" t="str">
        <f>TEXT(I78,"mmm-yyyy")</f>
        <v>Aug-2025</v>
      </c>
      <c r="L78" s="21" t="s">
        <v>1797</v>
      </c>
      <c r="M78" s="21">
        <v>1</v>
      </c>
      <c r="N78" s="21" t="s">
        <v>743</v>
      </c>
      <c r="O78" s="21" t="s">
        <v>3350</v>
      </c>
      <c r="P78" s="21" t="s">
        <v>3351</v>
      </c>
      <c r="Q78" s="21" t="s">
        <v>844</v>
      </c>
      <c r="R78" s="21" t="s">
        <v>3836</v>
      </c>
      <c r="S78" s="21" t="str">
        <f ca="1">IF(BN78&lt;1,"Paid",IF(BM78&gt;0,"Partially paid",IF(ISNUMBER(SEARCH("hold",BU78)),"On hold",IF(BQ78&lt;TODAY(),"Overdue","Approved - unpaid"))))</f>
        <v>Paid</v>
      </c>
      <c r="T78" s="21" t="s">
        <v>3353</v>
      </c>
      <c r="U78" s="21" t="s">
        <v>3354</v>
      </c>
      <c r="V78" s="21" t="s">
        <v>3355</v>
      </c>
      <c r="W78" s="21" t="s">
        <v>746</v>
      </c>
      <c r="X78" s="21" t="s">
        <v>846</v>
      </c>
      <c r="Y78" s="21" t="s">
        <v>3356</v>
      </c>
      <c r="Z78" s="21" t="s">
        <v>3357</v>
      </c>
      <c r="AA78" s="21" t="s">
        <v>3358</v>
      </c>
      <c r="AB78" s="37">
        <v>0</v>
      </c>
      <c r="AC78" s="21" t="s">
        <v>844</v>
      </c>
      <c r="AD78" s="21" t="s">
        <v>844</v>
      </c>
      <c r="AE78" s="21" t="s">
        <v>844</v>
      </c>
      <c r="AF78" s="21">
        <v>1</v>
      </c>
      <c r="AG78" s="21" t="s">
        <v>911</v>
      </c>
      <c r="AH78" s="21" t="s">
        <v>913</v>
      </c>
      <c r="AI78" s="21" t="s">
        <v>905</v>
      </c>
      <c r="AJ78" s="37">
        <v>1</v>
      </c>
      <c r="AK78" s="37">
        <v>1</v>
      </c>
      <c r="AL78" s="37">
        <v>88400</v>
      </c>
      <c r="AM78" s="37">
        <f>AK78*AL78</f>
        <v>88400</v>
      </c>
      <c r="AN78" s="37">
        <f>AM78</f>
        <v>88400</v>
      </c>
      <c r="AO78" s="23">
        <f>_xlfn.XLOOKUP(AG78,'T13'!$A$3:$A$1500,'T13'!$O$3:$O$1500)</f>
        <v>0.18</v>
      </c>
      <c r="AP78" s="37">
        <v>0</v>
      </c>
      <c r="AQ78" s="37">
        <f>SUMIFS($AN$3:$AN$1500,$G$3:$G$1500,G78)</f>
        <v>88400</v>
      </c>
      <c r="AR78" s="37">
        <f>SUMIFS($AP$3:$AP$1500,$G$3:$G$1500,G78)</f>
        <v>0</v>
      </c>
      <c r="AS78" s="21" t="s">
        <v>3359</v>
      </c>
      <c r="AT78" s="37">
        <f>ROUND(BH78*0,0)</f>
        <v>0</v>
      </c>
      <c r="AU78" s="21" t="s">
        <v>846</v>
      </c>
      <c r="AV78" s="37" cm="1">
        <f t="array" ref="AV78">SUMPRODUCT(($G$3:$G$1500=G78)*$AN$3:$AN$1500*$AO$3:$AO$1500)+AR78</f>
        <v>15912</v>
      </c>
      <c r="AW78" s="37">
        <f>AT78</f>
        <v>0</v>
      </c>
      <c r="AX78" s="21" t="str">
        <f>TEXT(EOMONTH(I78,0)+15,"dd-mmm-yyyy")&amp;" / "&amp;IF(BM78&gt;0,"CPR-IT-"&amp;TEXT(I78,"yymm")&amp;"-"&amp;RIGHT(G78,4),"Pending payment")</f>
        <v>15-Sep-2025 / CPR-IT-2508-0063</v>
      </c>
      <c r="AY78" s="21" t="str">
        <f>IF(BM78&gt;0,"Issued","Not yet")</f>
        <v>Issued</v>
      </c>
      <c r="AZ78" s="37">
        <v>0</v>
      </c>
      <c r="BA78" s="37">
        <v>0</v>
      </c>
      <c r="BB78" s="37">
        <v>0</v>
      </c>
      <c r="BC78" s="37">
        <v>0</v>
      </c>
      <c r="BD78" s="37">
        <v>0</v>
      </c>
      <c r="BE78" s="37">
        <f>AQ78</f>
        <v>88400</v>
      </c>
      <c r="BF78" s="37">
        <f>AV78</f>
        <v>15912</v>
      </c>
      <c r="BG78" s="37">
        <f>AZ78</f>
        <v>0</v>
      </c>
      <c r="BH78" s="37">
        <f>BE78+BF78+BG78</f>
        <v>104312</v>
      </c>
      <c r="BI78" s="37">
        <f>AW78</f>
        <v>0</v>
      </c>
      <c r="BJ78" s="37">
        <f>BA78+BB78+BC78+BD78</f>
        <v>0</v>
      </c>
      <c r="BK78" s="37">
        <f>BH78-BI78-BJ78</f>
        <v>104312</v>
      </c>
      <c r="BL78" s="21" t="str">
        <f>"PKR "&amp;TEXT(BK78,"#,##0")&amp;" only"</f>
        <v>PKR 104,312 only</v>
      </c>
      <c r="BM78" s="37">
        <f>SUMIFS('T10'!$AK$3:$AK$1500,'T10'!$V$3:$V$1500,G78)</f>
        <v>104312</v>
      </c>
      <c r="BN78" s="37">
        <f>BK78-BM78</f>
        <v>0</v>
      </c>
      <c r="BO78" s="21" t="str">
        <f>IF(BF78&gt;0,TEXT(I78,"mmm-yyyy")&amp;" sales tax return","N/A")</f>
        <v>Aug-2025 sales tax return</v>
      </c>
      <c r="BP78" s="21" t="s">
        <v>3358</v>
      </c>
      <c r="BQ78" s="29">
        <f>J78+10</f>
        <v>45884</v>
      </c>
      <c r="BR78" s="29">
        <f>BQ78</f>
        <v>45884</v>
      </c>
      <c r="BS78" s="21" t="s">
        <v>3095</v>
      </c>
      <c r="BT78" s="21" t="s">
        <v>3360</v>
      </c>
      <c r="BU78" s="21" t="s">
        <v>844</v>
      </c>
      <c r="BV78" s="21" t="s">
        <v>846</v>
      </c>
      <c r="BW78" s="21" t="str" cm="1">
        <f t="array" ref="BW78">_xlfn.TEXTJOIN(", ",TRUE,_xlfn.UNIQUE(_xlfn._xlws.FILTER('T10'!$A$3:$A$1500,'T10'!$V$3:$V$1500=G78,"None")))</f>
        <v>PV-0068</v>
      </c>
      <c r="BX78" s="21" t="s">
        <v>3837</v>
      </c>
      <c r="BY78" s="21" t="s">
        <v>3838</v>
      </c>
    </row>
    <row r="79" spans="1:77" x14ac:dyDescent="0.3">
      <c r="A79" s="21" t="s">
        <v>3381</v>
      </c>
      <c r="B79" s="21" t="s">
        <v>3839</v>
      </c>
      <c r="C79" s="21" t="s">
        <v>3840</v>
      </c>
      <c r="D79" s="35">
        <v>45881.583333333336</v>
      </c>
      <c r="E79" s="21" t="s">
        <v>3347</v>
      </c>
      <c r="F79" s="21" t="str">
        <f ca="1">IF(S79="Paid","Completed","Pending payment")</f>
        <v>Completed</v>
      </c>
      <c r="G79" s="21" t="s">
        <v>3841</v>
      </c>
      <c r="H79" s="21" t="s">
        <v>3385</v>
      </c>
      <c r="I79" s="29">
        <v>45882</v>
      </c>
      <c r="J79" s="29">
        <v>45880</v>
      </c>
      <c r="K79" s="21" t="str">
        <f>TEXT(I79,"mmm-yyyy")</f>
        <v>Aug-2025</v>
      </c>
      <c r="L79" s="21" t="s">
        <v>1797</v>
      </c>
      <c r="M79" s="21">
        <v>1</v>
      </c>
      <c r="N79" s="21" t="s">
        <v>743</v>
      </c>
      <c r="O79" s="21" t="s">
        <v>3350</v>
      </c>
      <c r="P79" s="21" t="s">
        <v>3351</v>
      </c>
      <c r="Q79" s="21" t="s">
        <v>844</v>
      </c>
      <c r="R79" s="21" t="s">
        <v>3842</v>
      </c>
      <c r="S79" s="21" t="str">
        <f ca="1">IF(BN79&lt;1,"Paid",IF(BM79&gt;0,"Partially paid",IF(ISNUMBER(SEARCH("hold",BU79)),"On hold",IF(BQ79&lt;TODAY(),"Overdue","Approved - unpaid"))))</f>
        <v>Paid</v>
      </c>
      <c r="T79" s="21" t="s">
        <v>3387</v>
      </c>
      <c r="U79" s="21" t="s">
        <v>3388</v>
      </c>
      <c r="V79" s="21" t="s">
        <v>3389</v>
      </c>
      <c r="W79" s="21" t="s">
        <v>746</v>
      </c>
      <c r="X79" s="21" t="s">
        <v>846</v>
      </c>
      <c r="Y79" s="21" t="s">
        <v>3390</v>
      </c>
      <c r="Z79" s="21" t="s">
        <v>3391</v>
      </c>
      <c r="AA79" s="21" t="s">
        <v>1051</v>
      </c>
      <c r="AB79" s="37">
        <v>0</v>
      </c>
      <c r="AC79" s="21" t="s">
        <v>844</v>
      </c>
      <c r="AD79" s="21" t="s">
        <v>844</v>
      </c>
      <c r="AE79" s="21" t="s">
        <v>844</v>
      </c>
      <c r="AF79" s="21">
        <v>1</v>
      </c>
      <c r="AG79" s="21" t="s">
        <v>959</v>
      </c>
      <c r="AH79" s="21" t="s">
        <v>961</v>
      </c>
      <c r="AI79" s="21" t="s">
        <v>905</v>
      </c>
      <c r="AJ79" s="37">
        <v>1</v>
      </c>
      <c r="AK79" s="37">
        <v>1</v>
      </c>
      <c r="AL79" s="37">
        <v>187200</v>
      </c>
      <c r="AM79" s="37">
        <f>AK79*AL79</f>
        <v>187200</v>
      </c>
      <c r="AN79" s="37">
        <f>AM79</f>
        <v>187200</v>
      </c>
      <c r="AO79" s="23">
        <f>_xlfn.XLOOKUP(AG79,'T13'!$A$3:$A$1500,'T13'!$O$3:$O$1500)</f>
        <v>0.16</v>
      </c>
      <c r="AP79" s="37">
        <v>0</v>
      </c>
      <c r="AQ79" s="37">
        <f>SUMIFS($AN$3:$AN$1500,$G$3:$G$1500,G79)</f>
        <v>187200</v>
      </c>
      <c r="AR79" s="37">
        <f>SUMIFS($AP$3:$AP$1500,$G$3:$G$1500,G79)</f>
        <v>0</v>
      </c>
      <c r="AS79" s="21" t="s">
        <v>3392</v>
      </c>
      <c r="AT79" s="37">
        <f>ROUND(BH79*0.11,0)</f>
        <v>23887</v>
      </c>
      <c r="AU79" s="21" t="s">
        <v>846</v>
      </c>
      <c r="AV79" s="37" cm="1">
        <f t="array" ref="AV79">SUMPRODUCT(($G$3:$G$1500=G79)*$AN$3:$AN$1500*$AO$3:$AO$1500)+AR79</f>
        <v>29952</v>
      </c>
      <c r="AW79" s="37">
        <f>AT79</f>
        <v>23887</v>
      </c>
      <c r="AX79" s="21" t="str">
        <f>TEXT(EOMONTH(I79,0)+15,"dd-mmm-yyyy")&amp;" / "&amp;IF(BM79&gt;0,"CPR-IT-"&amp;TEXT(I79,"yymm")&amp;"-"&amp;RIGHT(G79,4),"Pending payment")</f>
        <v>15-Sep-2025 / CPR-IT-2508-0064</v>
      </c>
      <c r="AY79" s="21" t="str">
        <f>IF(BM79&gt;0,"Issued","Not yet")</f>
        <v>Issued</v>
      </c>
      <c r="AZ79" s="37">
        <v>0</v>
      </c>
      <c r="BA79" s="37">
        <v>0</v>
      </c>
      <c r="BB79" s="37">
        <v>0</v>
      </c>
      <c r="BC79" s="37">
        <v>0</v>
      </c>
      <c r="BD79" s="37">
        <v>0</v>
      </c>
      <c r="BE79" s="37">
        <f>AQ79</f>
        <v>187200</v>
      </c>
      <c r="BF79" s="37">
        <f>AV79</f>
        <v>29952</v>
      </c>
      <c r="BG79" s="37">
        <f>AZ79</f>
        <v>0</v>
      </c>
      <c r="BH79" s="37">
        <f>BE79+BF79+BG79</f>
        <v>217152</v>
      </c>
      <c r="BI79" s="37">
        <f>AW79</f>
        <v>23887</v>
      </c>
      <c r="BJ79" s="37">
        <f>BA79+BB79+BC79+BD79</f>
        <v>0</v>
      </c>
      <c r="BK79" s="37">
        <f>BH79-BI79-BJ79</f>
        <v>193265</v>
      </c>
      <c r="BL79" s="21" t="str">
        <f>"PKR "&amp;TEXT(BK79,"#,##0")&amp;" only"</f>
        <v>PKR 193,265 only</v>
      </c>
      <c r="BM79" s="37">
        <f>SUMIFS('T10'!$AK$3:$AK$1500,'T10'!$V$3:$V$1500,G79)</f>
        <v>193265</v>
      </c>
      <c r="BN79" s="37">
        <f>BK79-BM79</f>
        <v>0</v>
      </c>
      <c r="BO79" s="21" t="str">
        <f>IF(BF79&gt;0,TEXT(I79,"mmm-yyyy")&amp;" sales tax return","N/A")</f>
        <v>Aug-2025 sales tax return</v>
      </c>
      <c r="BP79" s="21" t="s">
        <v>1051</v>
      </c>
      <c r="BQ79" s="29">
        <f>J79+30</f>
        <v>45910</v>
      </c>
      <c r="BR79" s="29">
        <f>BQ79</f>
        <v>45910</v>
      </c>
      <c r="BS79" s="21" t="s">
        <v>3095</v>
      </c>
      <c r="BT79" s="21" t="s">
        <v>3360</v>
      </c>
      <c r="BU79" s="21" t="s">
        <v>844</v>
      </c>
      <c r="BV79" s="21" t="s">
        <v>846</v>
      </c>
      <c r="BW79" s="21" t="str" cm="1">
        <f t="array" ref="BW79">_xlfn.TEXTJOIN(", ",TRUE,_xlfn.UNIQUE(_xlfn._xlws.FILTER('T10'!$A$3:$A$1500,'T10'!$V$3:$V$1500=G79,"None")))</f>
        <v>PV-0052</v>
      </c>
      <c r="BX79" s="21" t="s">
        <v>3843</v>
      </c>
      <c r="BY79" s="21" t="s">
        <v>3844</v>
      </c>
    </row>
    <row r="80" spans="1:77" x14ac:dyDescent="0.3">
      <c r="A80" s="21" t="s">
        <v>3445</v>
      </c>
      <c r="B80" s="21" t="s">
        <v>3845</v>
      </c>
      <c r="C80" s="21" t="s">
        <v>3846</v>
      </c>
      <c r="D80" s="35">
        <v>45884.5</v>
      </c>
      <c r="E80" s="21" t="s">
        <v>3347</v>
      </c>
      <c r="F80" s="21" t="str">
        <f ca="1">IF(S80="Paid","Completed","Pending payment")</f>
        <v>Completed</v>
      </c>
      <c r="G80" s="21" t="s">
        <v>3847</v>
      </c>
      <c r="H80" s="21" t="s">
        <v>3349</v>
      </c>
      <c r="I80" s="29">
        <v>45885</v>
      </c>
      <c r="J80" s="29">
        <v>45883</v>
      </c>
      <c r="K80" s="21" t="str">
        <f>TEXT(I80,"mmm-yyyy")</f>
        <v>Aug-2025</v>
      </c>
      <c r="L80" s="21" t="s">
        <v>1797</v>
      </c>
      <c r="M80" s="21">
        <v>1</v>
      </c>
      <c r="N80" s="21" t="s">
        <v>743</v>
      </c>
      <c r="O80" s="21" t="s">
        <v>3350</v>
      </c>
      <c r="P80" s="21" t="s">
        <v>3351</v>
      </c>
      <c r="Q80" s="21" t="s">
        <v>844</v>
      </c>
      <c r="R80" s="21" t="s">
        <v>3848</v>
      </c>
      <c r="S80" s="21" t="str">
        <f ca="1">IF(BN80&lt;1,"Paid",IF(BM80&gt;0,"Partially paid",IF(ISNUMBER(SEARCH("hold",BU80)),"On hold",IF(BQ80&lt;TODAY(),"Overdue","Approved - unpaid"))))</f>
        <v>Paid</v>
      </c>
      <c r="T80" s="21" t="s">
        <v>3353</v>
      </c>
      <c r="U80" s="21" t="s">
        <v>3450</v>
      </c>
      <c r="V80" s="21" t="s">
        <v>3451</v>
      </c>
      <c r="W80" s="21" t="s">
        <v>746</v>
      </c>
      <c r="X80" s="21" t="s">
        <v>846</v>
      </c>
      <c r="Y80" s="21" t="s">
        <v>3452</v>
      </c>
      <c r="Z80" s="21" t="s">
        <v>3453</v>
      </c>
      <c r="AA80" s="21" t="s">
        <v>1062</v>
      </c>
      <c r="AB80" s="37">
        <v>0</v>
      </c>
      <c r="AC80" s="21" t="s">
        <v>844</v>
      </c>
      <c r="AD80" s="21" t="s">
        <v>844</v>
      </c>
      <c r="AE80" s="21" t="s">
        <v>844</v>
      </c>
      <c r="AF80" s="21">
        <v>1</v>
      </c>
      <c r="AG80" s="21" t="s">
        <v>919</v>
      </c>
      <c r="AH80" s="21" t="s">
        <v>921</v>
      </c>
      <c r="AI80" s="21" t="s">
        <v>905</v>
      </c>
      <c r="AJ80" s="37">
        <v>1</v>
      </c>
      <c r="AK80" s="37">
        <v>1</v>
      </c>
      <c r="AL80" s="37">
        <v>26000</v>
      </c>
      <c r="AM80" s="37">
        <f>AK80*AL80</f>
        <v>26000</v>
      </c>
      <c r="AN80" s="37">
        <f>AM80</f>
        <v>26000</v>
      </c>
      <c r="AO80" s="23">
        <f>_xlfn.XLOOKUP(AG80,'T13'!$A$3:$A$1500,'T13'!$O$3:$O$1500)</f>
        <v>0.16</v>
      </c>
      <c r="AP80" s="37">
        <v>0</v>
      </c>
      <c r="AQ80" s="37">
        <f>SUMIFS($AN$3:$AN$1500,$G$3:$G$1500,G80)</f>
        <v>26000</v>
      </c>
      <c r="AR80" s="37">
        <f>SUMIFS($AP$3:$AP$1500,$G$3:$G$1500,G80)</f>
        <v>0</v>
      </c>
      <c r="AS80" s="21" t="s">
        <v>3359</v>
      </c>
      <c r="AT80" s="37">
        <f>ROUND(BH80*0,0)</f>
        <v>0</v>
      </c>
      <c r="AU80" s="21" t="s">
        <v>846</v>
      </c>
      <c r="AV80" s="37" cm="1">
        <f t="array" ref="AV80">SUMPRODUCT(($G$3:$G$1500=G80)*$AN$3:$AN$1500*$AO$3:$AO$1500)+AR80</f>
        <v>4160</v>
      </c>
      <c r="AW80" s="37">
        <f>AT80</f>
        <v>0</v>
      </c>
      <c r="AX80" s="21" t="str">
        <f>TEXT(EOMONTH(I80,0)+15,"dd-mmm-yyyy")&amp;" / "&amp;IF(BM80&gt;0,"CPR-IT-"&amp;TEXT(I80,"yymm")&amp;"-"&amp;RIGHT(G80,4),"Pending payment")</f>
        <v>15-Sep-2025 / CPR-IT-2508-0065</v>
      </c>
      <c r="AY80" s="21" t="str">
        <f>IF(BM80&gt;0,"Issued","Not yet")</f>
        <v>Issued</v>
      </c>
      <c r="AZ80" s="37">
        <v>0</v>
      </c>
      <c r="BA80" s="37">
        <v>0</v>
      </c>
      <c r="BB80" s="37">
        <v>0</v>
      </c>
      <c r="BC80" s="37">
        <v>0</v>
      </c>
      <c r="BD80" s="37">
        <v>0</v>
      </c>
      <c r="BE80" s="37">
        <f>AQ80</f>
        <v>26000</v>
      </c>
      <c r="BF80" s="37">
        <f>AV80</f>
        <v>4160</v>
      </c>
      <c r="BG80" s="37">
        <f>AZ80</f>
        <v>0</v>
      </c>
      <c r="BH80" s="37">
        <f>BE80+BF80+BG80</f>
        <v>30160</v>
      </c>
      <c r="BI80" s="37">
        <f>AW80</f>
        <v>0</v>
      </c>
      <c r="BJ80" s="37">
        <f>BA80+BB80+BC80+BD80</f>
        <v>0</v>
      </c>
      <c r="BK80" s="37">
        <f>BH80-BI80-BJ80</f>
        <v>30160</v>
      </c>
      <c r="BL80" s="21" t="str">
        <f>"PKR "&amp;TEXT(BK80,"#,##0")&amp;" only"</f>
        <v>PKR 30,160 only</v>
      </c>
      <c r="BM80" s="37">
        <f>SUMIFS('T10'!$AK$3:$AK$1500,'T10'!$V$3:$V$1500,G80)</f>
        <v>30160</v>
      </c>
      <c r="BN80" s="37">
        <f>BK80-BM80</f>
        <v>0</v>
      </c>
      <c r="BO80" s="21" t="str">
        <f>IF(BF80&gt;0,TEXT(I80,"mmm-yyyy")&amp;" sales tax return","N/A")</f>
        <v>Aug-2025 sales tax return</v>
      </c>
      <c r="BP80" s="21" t="s">
        <v>1062</v>
      </c>
      <c r="BQ80" s="29">
        <f>J80+15</f>
        <v>45898</v>
      </c>
      <c r="BR80" s="29">
        <f>BQ80</f>
        <v>45898</v>
      </c>
      <c r="BS80" s="21" t="s">
        <v>3095</v>
      </c>
      <c r="BT80" s="21" t="s">
        <v>3360</v>
      </c>
      <c r="BU80" s="21" t="s">
        <v>844</v>
      </c>
      <c r="BV80" s="21" t="s">
        <v>846</v>
      </c>
      <c r="BW80" s="21" t="str" cm="1">
        <f t="array" ref="BW80">_xlfn.TEXTJOIN(", ",TRUE,_xlfn.UNIQUE(_xlfn._xlws.FILTER('T10'!$A$3:$A$1500,'T10'!$V$3:$V$1500=G80,"None")))</f>
        <v>PV-0045</v>
      </c>
      <c r="BX80" s="21" t="s">
        <v>3849</v>
      </c>
      <c r="BY80" s="21" t="s">
        <v>3850</v>
      </c>
    </row>
    <row r="81" spans="1:77" x14ac:dyDescent="0.3">
      <c r="A81" s="21" t="s">
        <v>3573</v>
      </c>
      <c r="B81" s="21" t="s">
        <v>3851</v>
      </c>
      <c r="C81" s="21" t="s">
        <v>3852</v>
      </c>
      <c r="D81" s="35">
        <v>45902.416666666664</v>
      </c>
      <c r="E81" s="21" t="s">
        <v>3347</v>
      </c>
      <c r="F81" s="21" t="str">
        <f ca="1">IF(S81="Paid","Completed","Pending payment")</f>
        <v>Completed</v>
      </c>
      <c r="G81" s="21" t="s">
        <v>3853</v>
      </c>
      <c r="H81" s="21" t="s">
        <v>3399</v>
      </c>
      <c r="I81" s="29">
        <v>45900</v>
      </c>
      <c r="J81" s="29">
        <v>45900</v>
      </c>
      <c r="K81" s="21" t="str">
        <f>TEXT(I81,"mmm-yyyy")</f>
        <v>Aug-2025</v>
      </c>
      <c r="L81" s="21" t="s">
        <v>1797</v>
      </c>
      <c r="M81" s="21">
        <v>1</v>
      </c>
      <c r="N81" s="21" t="s">
        <v>743</v>
      </c>
      <c r="O81" s="21" t="s">
        <v>3400</v>
      </c>
      <c r="P81" s="21" t="s">
        <v>3401</v>
      </c>
      <c r="Q81" s="21" t="s">
        <v>844</v>
      </c>
      <c r="R81" s="21" t="s">
        <v>3854</v>
      </c>
      <c r="S81" s="21" t="str">
        <f ca="1">IF(BN81&lt;1,"Paid",IF(BM81&gt;0,"Partially paid",IF(ISNUMBER(SEARCH("hold",BU81)),"On hold",IF(BQ81&lt;TODAY(),"Overdue","Approved - unpaid"))))</f>
        <v>Paid</v>
      </c>
      <c r="T81" s="21" t="s">
        <v>3403</v>
      </c>
      <c r="U81" s="21" t="s">
        <v>3578</v>
      </c>
      <c r="V81" s="21" t="s">
        <v>1021</v>
      </c>
      <c r="W81" s="21" t="s">
        <v>746</v>
      </c>
      <c r="X81" s="21" t="s">
        <v>846</v>
      </c>
      <c r="Y81" s="21" t="s">
        <v>3579</v>
      </c>
      <c r="Z81" s="21" t="s">
        <v>3580</v>
      </c>
      <c r="AA81" s="21" t="s">
        <v>1062</v>
      </c>
      <c r="AB81" s="37">
        <v>0</v>
      </c>
      <c r="AC81" s="21" t="s">
        <v>3855</v>
      </c>
      <c r="AD81" s="21" t="s">
        <v>3856</v>
      </c>
      <c r="AE81" s="21" t="s">
        <v>3583</v>
      </c>
      <c r="AF81" s="21">
        <v>1</v>
      </c>
      <c r="AG81" s="21" t="s">
        <v>805</v>
      </c>
      <c r="AH81" s="21" t="s">
        <v>807</v>
      </c>
      <c r="AI81" s="21" t="s">
        <v>1804</v>
      </c>
      <c r="AJ81" s="37">
        <v>200</v>
      </c>
      <c r="AK81" s="37">
        <v>200</v>
      </c>
      <c r="AL81" s="37">
        <v>1470</v>
      </c>
      <c r="AM81" s="37">
        <f>AK81*AL81</f>
        <v>294000</v>
      </c>
      <c r="AN81" s="37">
        <f>AM81</f>
        <v>294000</v>
      </c>
      <c r="AO81" s="23">
        <f>_xlfn.XLOOKUP(AG81,'T13'!$A$3:$A$1500,'T13'!$O$3:$O$1500)</f>
        <v>0.18</v>
      </c>
      <c r="AP81" s="37">
        <f>AK81*IF(AI81="MT",1000,IF(AI81="Jumbo bag (1.5 MT)",1500,IF(AI81="Bag (40 kg)",40,50)))*3</f>
        <v>30000</v>
      </c>
      <c r="AQ81" s="37">
        <f>SUMIFS($AN$3:$AN$1500,$G$3:$G$1500,G81)</f>
        <v>6345500</v>
      </c>
      <c r="AR81" s="37">
        <f>SUMIFS($AP$3:$AP$1500,$G$3:$G$1500,G81)</f>
        <v>324000</v>
      </c>
      <c r="AS81" s="21" t="s">
        <v>3410</v>
      </c>
      <c r="AT81" s="37">
        <f>ROUND(BH81*0.05,0)</f>
        <v>390585</v>
      </c>
      <c r="AU81" s="21" t="s">
        <v>846</v>
      </c>
      <c r="AV81" s="37" cm="1">
        <f t="array" ref="AV81">SUMPRODUCT(($G$3:$G$1500=G81)*$AN$3:$AN$1500*$AO$3:$AO$1500)+AR81</f>
        <v>1466190</v>
      </c>
      <c r="AW81" s="37">
        <f>AT81</f>
        <v>390585</v>
      </c>
      <c r="AX81" s="21" t="str">
        <f>TEXT(EOMONTH(I81,0)+15,"dd-mmm-yyyy")&amp;" / "&amp;IF(BM81&gt;0,"CPR-IT-"&amp;TEXT(I81,"yymm")&amp;"-"&amp;RIGHT(G81,4),"Pending payment")</f>
        <v>15-Sep-2025 / CPR-IT-2508-0066</v>
      </c>
      <c r="AY81" s="21" t="str">
        <f>IF(BM81&gt;0,"Issued","Not yet")</f>
        <v>Issued</v>
      </c>
      <c r="AZ81" s="37">
        <v>0</v>
      </c>
      <c r="BA81" s="37">
        <v>0</v>
      </c>
      <c r="BB81" s="37">
        <v>0</v>
      </c>
      <c r="BC81" s="37">
        <v>0</v>
      </c>
      <c r="BD81" s="37">
        <v>0</v>
      </c>
      <c r="BE81" s="37">
        <f>AQ81</f>
        <v>6345500</v>
      </c>
      <c r="BF81" s="37">
        <f>AV81</f>
        <v>1466190</v>
      </c>
      <c r="BG81" s="37">
        <f>AZ81</f>
        <v>0</v>
      </c>
      <c r="BH81" s="37">
        <f>BE81+BF81+BG81</f>
        <v>7811690</v>
      </c>
      <c r="BI81" s="37">
        <f>AW81</f>
        <v>390585</v>
      </c>
      <c r="BJ81" s="37">
        <f>BA81+BB81+BC81+BD81</f>
        <v>0</v>
      </c>
      <c r="BK81" s="37">
        <f>BH81-BI81-BJ81</f>
        <v>7421105</v>
      </c>
      <c r="BL81" s="21" t="str">
        <f>"PKR "&amp;TEXT(BK81,"#,##0")&amp;" only"</f>
        <v>PKR 7,421,105 only</v>
      </c>
      <c r="BM81" s="37">
        <f>SUMIFS('T10'!$AK$3:$AK$1500,'T10'!$V$3:$V$1500,G81)</f>
        <v>7421105</v>
      </c>
      <c r="BN81" s="37">
        <f>BK81-BM81</f>
        <v>0</v>
      </c>
      <c r="BO81" s="21" t="str">
        <f>IF(BF81&gt;0,TEXT(I81,"mmm-yyyy")&amp;" sales tax return","N/A")</f>
        <v>Aug-2025 sales tax return</v>
      </c>
      <c r="BP81" s="21" t="s">
        <v>1062</v>
      </c>
      <c r="BQ81" s="29">
        <f>J81+15</f>
        <v>45915</v>
      </c>
      <c r="BR81" s="29">
        <f>BQ81</f>
        <v>45915</v>
      </c>
      <c r="BS81" s="21" t="s">
        <v>3095</v>
      </c>
      <c r="BT81" s="21" t="s">
        <v>3411</v>
      </c>
      <c r="BU81" s="21" t="s">
        <v>844</v>
      </c>
      <c r="BV81" s="21" t="s">
        <v>846</v>
      </c>
      <c r="BW81" s="21" t="str" cm="1">
        <f t="array" ref="BW81">_xlfn.TEXTJOIN(", ",TRUE,_xlfn.UNIQUE(_xlfn._xlws.FILTER('T10'!$A$3:$A$1500,'T10'!$V$3:$V$1500=G81,"None")))</f>
        <v>PV-0048</v>
      </c>
      <c r="BX81" s="21" t="s">
        <v>3857</v>
      </c>
      <c r="BY81" s="21" t="s">
        <v>3858</v>
      </c>
    </row>
    <row r="82" spans="1:77" x14ac:dyDescent="0.3">
      <c r="A82" s="21" t="s">
        <v>3573</v>
      </c>
      <c r="B82" s="21" t="s">
        <v>3851</v>
      </c>
      <c r="C82" s="21" t="s">
        <v>3852</v>
      </c>
      <c r="D82" s="35">
        <v>45902.416666666664</v>
      </c>
      <c r="E82" s="21" t="s">
        <v>3347</v>
      </c>
      <c r="F82" s="21" t="str">
        <f ca="1">IF(S82="Paid","Completed","Pending payment")</f>
        <v>Completed</v>
      </c>
      <c r="G82" s="21" t="s">
        <v>3853</v>
      </c>
      <c r="H82" s="21" t="s">
        <v>3399</v>
      </c>
      <c r="I82" s="29">
        <v>45900</v>
      </c>
      <c r="J82" s="29">
        <v>45900</v>
      </c>
      <c r="K82" s="21" t="str">
        <f>TEXT(I82,"mmm-yyyy")</f>
        <v>Aug-2025</v>
      </c>
      <c r="L82" s="21" t="s">
        <v>1797</v>
      </c>
      <c r="M82" s="21">
        <v>1</v>
      </c>
      <c r="N82" s="21" t="s">
        <v>743</v>
      </c>
      <c r="O82" s="21" t="s">
        <v>3400</v>
      </c>
      <c r="P82" s="21" t="s">
        <v>3401</v>
      </c>
      <c r="Q82" s="21" t="s">
        <v>844</v>
      </c>
      <c r="R82" s="21" t="s">
        <v>3854</v>
      </c>
      <c r="S82" s="21" t="str">
        <f ca="1">IF(BN82&lt;1,"Paid",IF(BM82&gt;0,"Partially paid",IF(ISNUMBER(SEARCH("hold",BU82)),"On hold",IF(BQ82&lt;TODAY(),"Overdue","Approved - unpaid"))))</f>
        <v>Paid</v>
      </c>
      <c r="T82" s="21" t="s">
        <v>3403</v>
      </c>
      <c r="U82" s="21" t="s">
        <v>3578</v>
      </c>
      <c r="V82" s="21" t="s">
        <v>1021</v>
      </c>
      <c r="W82" s="21" t="s">
        <v>746</v>
      </c>
      <c r="X82" s="21" t="s">
        <v>846</v>
      </c>
      <c r="Y82" s="21" t="s">
        <v>3579</v>
      </c>
      <c r="Z82" s="21" t="s">
        <v>3580</v>
      </c>
      <c r="AA82" s="21" t="s">
        <v>1062</v>
      </c>
      <c r="AB82" s="37">
        <v>0</v>
      </c>
      <c r="AC82" s="21" t="s">
        <v>3855</v>
      </c>
      <c r="AD82" s="21" t="s">
        <v>3859</v>
      </c>
      <c r="AE82" s="21" t="s">
        <v>3583</v>
      </c>
      <c r="AF82" s="21">
        <v>2</v>
      </c>
      <c r="AG82" s="21" t="s">
        <v>812</v>
      </c>
      <c r="AH82" s="21" t="s">
        <v>814</v>
      </c>
      <c r="AI82" s="21" t="s">
        <v>1841</v>
      </c>
      <c r="AJ82" s="37">
        <v>2450</v>
      </c>
      <c r="AK82" s="37">
        <v>2450</v>
      </c>
      <c r="AL82" s="37">
        <v>2470</v>
      </c>
      <c r="AM82" s="37">
        <f>AK82*AL82</f>
        <v>6051500</v>
      </c>
      <c r="AN82" s="37">
        <f>AM82</f>
        <v>6051500</v>
      </c>
      <c r="AO82" s="23">
        <f>_xlfn.XLOOKUP(AG82,'T13'!$A$3:$A$1500,'T13'!$O$3:$O$1500)</f>
        <v>0.18</v>
      </c>
      <c r="AP82" s="37">
        <f>AK82*IF(AI82="MT",1000,IF(AI82="Jumbo bag (1.5 MT)",1500,IF(AI82="Bag (40 kg)",40,50)))*3</f>
        <v>294000</v>
      </c>
      <c r="AQ82" s="37">
        <f>SUMIFS($AN$3:$AN$1500,$G$3:$G$1500,G82)</f>
        <v>6345500</v>
      </c>
      <c r="AR82" s="37">
        <f>SUMIFS($AP$3:$AP$1500,$G$3:$G$1500,G82)</f>
        <v>324000</v>
      </c>
      <c r="AS82" s="21" t="s">
        <v>3410</v>
      </c>
      <c r="AT82" s="37">
        <f>ROUND(BH82*0.05,0)</f>
        <v>390585</v>
      </c>
      <c r="AU82" s="21" t="s">
        <v>846</v>
      </c>
      <c r="AV82" s="37" cm="1">
        <f t="array" ref="AV82">SUMPRODUCT(($G$3:$G$1500=G82)*$AN$3:$AN$1500*$AO$3:$AO$1500)+AR82</f>
        <v>1466190</v>
      </c>
      <c r="AW82" s="37">
        <f>AT82</f>
        <v>390585</v>
      </c>
      <c r="AX82" s="21" t="str">
        <f>TEXT(EOMONTH(I82,0)+15,"dd-mmm-yyyy")&amp;" / "&amp;IF(BM82&gt;0,"CPR-IT-"&amp;TEXT(I82,"yymm")&amp;"-"&amp;RIGHT(G82,4),"Pending payment")</f>
        <v>15-Sep-2025 / CPR-IT-2508-0066</v>
      </c>
      <c r="AY82" s="21" t="str">
        <f>IF(BM82&gt;0,"Issued","Not yet")</f>
        <v>Issued</v>
      </c>
      <c r="AZ82" s="37">
        <v>0</v>
      </c>
      <c r="BA82" s="37">
        <v>0</v>
      </c>
      <c r="BB82" s="37">
        <v>0</v>
      </c>
      <c r="BC82" s="37">
        <v>0</v>
      </c>
      <c r="BD82" s="37">
        <v>0</v>
      </c>
      <c r="BE82" s="37">
        <f>AQ82</f>
        <v>6345500</v>
      </c>
      <c r="BF82" s="37">
        <f>AV82</f>
        <v>1466190</v>
      </c>
      <c r="BG82" s="37">
        <f>AZ82</f>
        <v>0</v>
      </c>
      <c r="BH82" s="37">
        <f>BE82+BF82+BG82</f>
        <v>7811690</v>
      </c>
      <c r="BI82" s="37">
        <f>AW82</f>
        <v>390585</v>
      </c>
      <c r="BJ82" s="37">
        <f>BA82+BB82+BC82+BD82</f>
        <v>0</v>
      </c>
      <c r="BK82" s="37">
        <f>BH82-BI82-BJ82</f>
        <v>7421105</v>
      </c>
      <c r="BL82" s="21" t="str">
        <f>"PKR "&amp;TEXT(BK82,"#,##0")&amp;" only"</f>
        <v>PKR 7,421,105 only</v>
      </c>
      <c r="BM82" s="37">
        <f>SUMIFS('T10'!$AK$3:$AK$1500,'T10'!$V$3:$V$1500,G82)</f>
        <v>7421105</v>
      </c>
      <c r="BN82" s="37">
        <f>BK82-BM82</f>
        <v>0</v>
      </c>
      <c r="BO82" s="21" t="str">
        <f>IF(BF82&gt;0,TEXT(I82,"mmm-yyyy")&amp;" sales tax return","N/A")</f>
        <v>Aug-2025 sales tax return</v>
      </c>
      <c r="BP82" s="21" t="s">
        <v>1062</v>
      </c>
      <c r="BQ82" s="29">
        <f>J82+15</f>
        <v>45915</v>
      </c>
      <c r="BR82" s="29">
        <f>BQ82</f>
        <v>45915</v>
      </c>
      <c r="BS82" s="21" t="s">
        <v>3095</v>
      </c>
      <c r="BT82" s="21" t="s">
        <v>3411</v>
      </c>
      <c r="BU82" s="21" t="s">
        <v>844</v>
      </c>
      <c r="BV82" s="21" t="s">
        <v>846</v>
      </c>
      <c r="BW82" s="21" t="str" cm="1">
        <f t="array" ref="BW82">_xlfn.TEXTJOIN(", ",TRUE,_xlfn.UNIQUE(_xlfn._xlws.FILTER('T10'!$A$3:$A$1500,'T10'!$V$3:$V$1500=G82,"None")))</f>
        <v>PV-0048</v>
      </c>
      <c r="BX82" s="21" t="s">
        <v>3857</v>
      </c>
      <c r="BY82" s="21" t="s">
        <v>3858</v>
      </c>
    </row>
    <row r="83" spans="1:77" x14ac:dyDescent="0.3">
      <c r="A83" s="21" t="s">
        <v>3415</v>
      </c>
      <c r="B83" s="21" t="s">
        <v>3860</v>
      </c>
      <c r="C83" s="21" t="s">
        <v>3861</v>
      </c>
      <c r="D83" s="35">
        <v>45902.708333333336</v>
      </c>
      <c r="E83" s="21" t="s">
        <v>3347</v>
      </c>
      <c r="F83" s="21" t="str">
        <f ca="1">IF(S83="Paid","Completed","Pending payment")</f>
        <v>Completed</v>
      </c>
      <c r="G83" s="21" t="s">
        <v>3862</v>
      </c>
      <c r="H83" s="21" t="s">
        <v>3399</v>
      </c>
      <c r="I83" s="29">
        <v>45900</v>
      </c>
      <c r="J83" s="29">
        <v>45900</v>
      </c>
      <c r="K83" s="21" t="str">
        <f>TEXT(I83,"mmm-yyyy")</f>
        <v>Aug-2025</v>
      </c>
      <c r="L83" s="21" t="s">
        <v>1797</v>
      </c>
      <c r="M83" s="21">
        <v>1</v>
      </c>
      <c r="N83" s="21" t="s">
        <v>743</v>
      </c>
      <c r="O83" s="21" t="s">
        <v>3400</v>
      </c>
      <c r="P83" s="21" t="s">
        <v>3401</v>
      </c>
      <c r="Q83" s="21" t="s">
        <v>844</v>
      </c>
      <c r="R83" s="21" t="s">
        <v>3854</v>
      </c>
      <c r="S83" s="21" t="str">
        <f ca="1">IF(BN83&lt;1,"Paid",IF(BM83&gt;0,"Partially paid",IF(ISNUMBER(SEARCH("hold",BU83)),"On hold",IF(BQ83&lt;TODAY(),"Overdue","Approved - unpaid"))))</f>
        <v>Paid</v>
      </c>
      <c r="T83" s="21" t="s">
        <v>3403</v>
      </c>
      <c r="U83" s="21" t="s">
        <v>3419</v>
      </c>
      <c r="V83" s="21" t="s">
        <v>999</v>
      </c>
      <c r="W83" s="21" t="s">
        <v>746</v>
      </c>
      <c r="X83" s="21" t="s">
        <v>3812</v>
      </c>
      <c r="Y83" s="21" t="s">
        <v>3420</v>
      </c>
      <c r="Z83" s="21" t="s">
        <v>3421</v>
      </c>
      <c r="AA83" s="21" t="s">
        <v>1062</v>
      </c>
      <c r="AB83" s="37">
        <v>0</v>
      </c>
      <c r="AC83" s="21" t="s">
        <v>3863</v>
      </c>
      <c r="AD83" s="21" t="s">
        <v>3864</v>
      </c>
      <c r="AE83" s="21" t="s">
        <v>3424</v>
      </c>
      <c r="AF83" s="21">
        <v>1</v>
      </c>
      <c r="AG83" s="21" t="s">
        <v>799</v>
      </c>
      <c r="AH83" s="21" t="s">
        <v>801</v>
      </c>
      <c r="AI83" s="21" t="s">
        <v>1804</v>
      </c>
      <c r="AJ83" s="37">
        <v>100</v>
      </c>
      <c r="AK83" s="37">
        <v>100</v>
      </c>
      <c r="AL83" s="37">
        <v>1300</v>
      </c>
      <c r="AM83" s="37">
        <f>AK83*AL83</f>
        <v>130000</v>
      </c>
      <c r="AN83" s="37">
        <f>AM83</f>
        <v>130000</v>
      </c>
      <c r="AO83" s="23">
        <f>_xlfn.XLOOKUP(AG83,'T13'!$A$3:$A$1500,'T13'!$O$3:$O$1500)</f>
        <v>0.18</v>
      </c>
      <c r="AP83" s="37">
        <f>AK83*IF(AI83="MT",1000,IF(AI83="Jumbo bag (1.5 MT)",1500,IF(AI83="Bag (40 kg)",40,50)))*3</f>
        <v>15000</v>
      </c>
      <c r="AQ83" s="37">
        <f>SUMIFS($AN$3:$AN$1500,$G$3:$G$1500,G83)</f>
        <v>2736500</v>
      </c>
      <c r="AR83" s="37">
        <f>SUMIFS($AP$3:$AP$1500,$G$3:$G$1500,G83)</f>
        <v>307500</v>
      </c>
      <c r="AS83" s="21" t="s">
        <v>3815</v>
      </c>
      <c r="AT83" s="37">
        <f>ROUND(BH83*0.01,0)</f>
        <v>35366</v>
      </c>
      <c r="AU83" s="21" t="s">
        <v>3816</v>
      </c>
      <c r="AV83" s="37" cm="1">
        <f t="array" ref="AV83">SUMPRODUCT(($G$3:$G$1500=G83)*$AN$3:$AN$1500*$AO$3:$AO$1500)+AR83</f>
        <v>800070</v>
      </c>
      <c r="AW83" s="37">
        <f>AT83</f>
        <v>35366</v>
      </c>
      <c r="AX83" s="21" t="str">
        <f>TEXT(EOMONTH(I83,0)+15,"dd-mmm-yyyy")&amp;" / "&amp;IF(BM83&gt;0,"CPR-IT-"&amp;TEXT(I83,"yymm")&amp;"-"&amp;RIGHT(G83,4),"Pending payment")</f>
        <v>15-Sep-2025 / CPR-IT-2508-0067</v>
      </c>
      <c r="AY83" s="21" t="str">
        <f>IF(BM83&gt;0,"Issued","Not yet")</f>
        <v>Issued</v>
      </c>
      <c r="AZ83" s="37">
        <v>0</v>
      </c>
      <c r="BA83" s="37">
        <v>0</v>
      </c>
      <c r="BB83" s="37">
        <v>0</v>
      </c>
      <c r="BC83" s="37">
        <v>0</v>
      </c>
      <c r="BD83" s="37">
        <v>0</v>
      </c>
      <c r="BE83" s="37">
        <f>AQ83</f>
        <v>2736500</v>
      </c>
      <c r="BF83" s="37">
        <f>AV83</f>
        <v>800070</v>
      </c>
      <c r="BG83" s="37">
        <f>AZ83</f>
        <v>0</v>
      </c>
      <c r="BH83" s="37">
        <f>BE83+BF83+BG83</f>
        <v>3536570</v>
      </c>
      <c r="BI83" s="37">
        <f>AW83</f>
        <v>35366</v>
      </c>
      <c r="BJ83" s="37">
        <f>BA83+BB83+BC83+BD83</f>
        <v>0</v>
      </c>
      <c r="BK83" s="37">
        <f>BH83-BI83-BJ83</f>
        <v>3501204</v>
      </c>
      <c r="BL83" s="21" t="str">
        <f>"PKR "&amp;TEXT(BK83,"#,##0")&amp;" only"</f>
        <v>PKR 3,501,204 only</v>
      </c>
      <c r="BM83" s="37">
        <f>SUMIFS('T10'!$AK$3:$AK$1500,'T10'!$V$3:$V$1500,G83)</f>
        <v>3501204</v>
      </c>
      <c r="BN83" s="37">
        <f>BK83-BM83</f>
        <v>0</v>
      </c>
      <c r="BO83" s="21" t="str">
        <f>IF(BF83&gt;0,TEXT(I83,"mmm-yyyy")&amp;" sales tax return","N/A")</f>
        <v>Aug-2025 sales tax return</v>
      </c>
      <c r="BP83" s="21" t="s">
        <v>1062</v>
      </c>
      <c r="BQ83" s="29">
        <f>J83+15</f>
        <v>45915</v>
      </c>
      <c r="BR83" s="29">
        <f>BQ83</f>
        <v>45915</v>
      </c>
      <c r="BS83" s="21" t="s">
        <v>3095</v>
      </c>
      <c r="BT83" s="21" t="s">
        <v>3411</v>
      </c>
      <c r="BU83" s="21" t="s">
        <v>844</v>
      </c>
      <c r="BV83" s="21" t="s">
        <v>846</v>
      </c>
      <c r="BW83" s="21" t="str" cm="1">
        <f t="array" ref="BW83">_xlfn.TEXTJOIN(", ",TRUE,_xlfn.UNIQUE(_xlfn._xlws.FILTER('T10'!$A$3:$A$1500,'T10'!$V$3:$V$1500=G83,"None")))</f>
        <v>PV-0013</v>
      </c>
      <c r="BX83" s="21" t="s">
        <v>3857</v>
      </c>
      <c r="BY83" s="21" t="s">
        <v>3858</v>
      </c>
    </row>
    <row r="84" spans="1:77" x14ac:dyDescent="0.3">
      <c r="A84" s="21" t="s">
        <v>3415</v>
      </c>
      <c r="B84" s="21" t="s">
        <v>3860</v>
      </c>
      <c r="C84" s="21" t="s">
        <v>3861</v>
      </c>
      <c r="D84" s="35">
        <v>45902.708333333336</v>
      </c>
      <c r="E84" s="21" t="s">
        <v>3347</v>
      </c>
      <c r="F84" s="21" t="str">
        <f ca="1">IF(S84="Paid","Completed","Pending payment")</f>
        <v>Completed</v>
      </c>
      <c r="G84" s="21" t="s">
        <v>3862</v>
      </c>
      <c r="H84" s="21" t="s">
        <v>3399</v>
      </c>
      <c r="I84" s="29">
        <v>45900</v>
      </c>
      <c r="J84" s="29">
        <v>45900</v>
      </c>
      <c r="K84" s="21" t="str">
        <f>TEXT(I84,"mmm-yyyy")</f>
        <v>Aug-2025</v>
      </c>
      <c r="L84" s="21" t="s">
        <v>1797</v>
      </c>
      <c r="M84" s="21">
        <v>1</v>
      </c>
      <c r="N84" s="21" t="s">
        <v>743</v>
      </c>
      <c r="O84" s="21" t="s">
        <v>3400</v>
      </c>
      <c r="P84" s="21" t="s">
        <v>3401</v>
      </c>
      <c r="Q84" s="21" t="s">
        <v>844</v>
      </c>
      <c r="R84" s="21" t="s">
        <v>3854</v>
      </c>
      <c r="S84" s="21" t="str">
        <f ca="1">IF(BN84&lt;1,"Paid",IF(BM84&gt;0,"Partially paid",IF(ISNUMBER(SEARCH("hold",BU84)),"On hold",IF(BQ84&lt;TODAY(),"Overdue","Approved - unpaid"))))</f>
        <v>Paid</v>
      </c>
      <c r="T84" s="21" t="s">
        <v>3403</v>
      </c>
      <c r="U84" s="21" t="s">
        <v>3419</v>
      </c>
      <c r="V84" s="21" t="s">
        <v>999</v>
      </c>
      <c r="W84" s="21" t="s">
        <v>746</v>
      </c>
      <c r="X84" s="21" t="s">
        <v>3812</v>
      </c>
      <c r="Y84" s="21" t="s">
        <v>3420</v>
      </c>
      <c r="Z84" s="21" t="s">
        <v>3421</v>
      </c>
      <c r="AA84" s="21" t="s">
        <v>1062</v>
      </c>
      <c r="AB84" s="37">
        <v>0</v>
      </c>
      <c r="AC84" s="21" t="s">
        <v>3863</v>
      </c>
      <c r="AD84" s="21" t="s">
        <v>3865</v>
      </c>
      <c r="AE84" s="21" t="s">
        <v>3424</v>
      </c>
      <c r="AF84" s="21">
        <v>2</v>
      </c>
      <c r="AG84" s="21" t="s">
        <v>826</v>
      </c>
      <c r="AH84" s="21" t="s">
        <v>827</v>
      </c>
      <c r="AI84" s="21" t="s">
        <v>1860</v>
      </c>
      <c r="AJ84" s="37">
        <v>65</v>
      </c>
      <c r="AK84" s="37">
        <v>65</v>
      </c>
      <c r="AL84" s="37">
        <v>40100</v>
      </c>
      <c r="AM84" s="37">
        <f>AK84*AL84</f>
        <v>2606500</v>
      </c>
      <c r="AN84" s="37">
        <f>AM84</f>
        <v>2606500</v>
      </c>
      <c r="AO84" s="23">
        <f>_xlfn.XLOOKUP(AG84,'T13'!$A$3:$A$1500,'T13'!$O$3:$O$1500)</f>
        <v>0.18</v>
      </c>
      <c r="AP84" s="37">
        <f>AK84*IF(AI84="MT",1000,IF(AI84="Jumbo bag (1.5 MT)",1500,IF(AI84="Bag (40 kg)",40,50)))*3</f>
        <v>292500</v>
      </c>
      <c r="AQ84" s="37">
        <f>SUMIFS($AN$3:$AN$1500,$G$3:$G$1500,G84)</f>
        <v>2736500</v>
      </c>
      <c r="AR84" s="37">
        <f>SUMIFS($AP$3:$AP$1500,$G$3:$G$1500,G84)</f>
        <v>307500</v>
      </c>
      <c r="AS84" s="21" t="s">
        <v>3815</v>
      </c>
      <c r="AT84" s="37">
        <f>ROUND(BH84*0.01,0)</f>
        <v>35366</v>
      </c>
      <c r="AU84" s="21" t="s">
        <v>3816</v>
      </c>
      <c r="AV84" s="37" cm="1">
        <f t="array" ref="AV84">SUMPRODUCT(($G$3:$G$1500=G84)*$AN$3:$AN$1500*$AO$3:$AO$1500)+AR84</f>
        <v>800070</v>
      </c>
      <c r="AW84" s="37">
        <f>AT84</f>
        <v>35366</v>
      </c>
      <c r="AX84" s="21" t="str">
        <f>TEXT(EOMONTH(I84,0)+15,"dd-mmm-yyyy")&amp;" / "&amp;IF(BM84&gt;0,"CPR-IT-"&amp;TEXT(I84,"yymm")&amp;"-"&amp;RIGHT(G84,4),"Pending payment")</f>
        <v>15-Sep-2025 / CPR-IT-2508-0067</v>
      </c>
      <c r="AY84" s="21" t="str">
        <f>IF(BM84&gt;0,"Issued","Not yet")</f>
        <v>Issued</v>
      </c>
      <c r="AZ84" s="37">
        <v>0</v>
      </c>
      <c r="BA84" s="37">
        <v>0</v>
      </c>
      <c r="BB84" s="37">
        <v>0</v>
      </c>
      <c r="BC84" s="37">
        <v>0</v>
      </c>
      <c r="BD84" s="37">
        <v>0</v>
      </c>
      <c r="BE84" s="37">
        <f>AQ84</f>
        <v>2736500</v>
      </c>
      <c r="BF84" s="37">
        <f>AV84</f>
        <v>800070</v>
      </c>
      <c r="BG84" s="37">
        <f>AZ84</f>
        <v>0</v>
      </c>
      <c r="BH84" s="37">
        <f>BE84+BF84+BG84</f>
        <v>3536570</v>
      </c>
      <c r="BI84" s="37">
        <f>AW84</f>
        <v>35366</v>
      </c>
      <c r="BJ84" s="37">
        <f>BA84+BB84+BC84+BD84</f>
        <v>0</v>
      </c>
      <c r="BK84" s="37">
        <f>BH84-BI84-BJ84</f>
        <v>3501204</v>
      </c>
      <c r="BL84" s="21" t="str">
        <f>"PKR "&amp;TEXT(BK84,"#,##0")&amp;" only"</f>
        <v>PKR 3,501,204 only</v>
      </c>
      <c r="BM84" s="37">
        <f>SUMIFS('T10'!$AK$3:$AK$1500,'T10'!$V$3:$V$1500,G84)</f>
        <v>3501204</v>
      </c>
      <c r="BN84" s="37">
        <f>BK84-BM84</f>
        <v>0</v>
      </c>
      <c r="BO84" s="21" t="str">
        <f>IF(BF84&gt;0,TEXT(I84,"mmm-yyyy")&amp;" sales tax return","N/A")</f>
        <v>Aug-2025 sales tax return</v>
      </c>
      <c r="BP84" s="21" t="s">
        <v>1062</v>
      </c>
      <c r="BQ84" s="29">
        <f>J84+15</f>
        <v>45915</v>
      </c>
      <c r="BR84" s="29">
        <f>BQ84</f>
        <v>45915</v>
      </c>
      <c r="BS84" s="21" t="s">
        <v>3095</v>
      </c>
      <c r="BT84" s="21" t="s">
        <v>3411</v>
      </c>
      <c r="BU84" s="21" t="s">
        <v>844</v>
      </c>
      <c r="BV84" s="21" t="s">
        <v>846</v>
      </c>
      <c r="BW84" s="21" t="str" cm="1">
        <f t="array" ref="BW84">_xlfn.TEXTJOIN(", ",TRUE,_xlfn.UNIQUE(_xlfn._xlws.FILTER('T10'!$A$3:$A$1500,'T10'!$V$3:$V$1500=G84,"None")))</f>
        <v>PV-0013</v>
      </c>
      <c r="BX84" s="21" t="s">
        <v>3857</v>
      </c>
      <c r="BY84" s="21" t="s">
        <v>3858</v>
      </c>
    </row>
    <row r="85" spans="1:77" x14ac:dyDescent="0.3">
      <c r="A85" s="21" t="s">
        <v>3438</v>
      </c>
      <c r="B85" s="21" t="s">
        <v>2406</v>
      </c>
      <c r="C85" s="21" t="s">
        <v>3866</v>
      </c>
      <c r="D85" s="35">
        <v>45902.458333333336</v>
      </c>
      <c r="E85" s="21" t="s">
        <v>3347</v>
      </c>
      <c r="F85" s="21" t="str">
        <f ca="1">IF(S85="Paid","Completed","Pending payment")</f>
        <v>Completed</v>
      </c>
      <c r="G85" s="21" t="s">
        <v>3867</v>
      </c>
      <c r="H85" s="21" t="s">
        <v>3428</v>
      </c>
      <c r="I85" s="29">
        <v>45903</v>
      </c>
      <c r="J85" s="29">
        <v>45901</v>
      </c>
      <c r="K85" s="21" t="str">
        <f>TEXT(I85,"mmm-yyyy")</f>
        <v>Sep-2025</v>
      </c>
      <c r="L85" s="21" t="s">
        <v>1797</v>
      </c>
      <c r="M85" s="21">
        <v>1</v>
      </c>
      <c r="N85" s="21" t="s">
        <v>743</v>
      </c>
      <c r="O85" s="21" t="s">
        <v>3350</v>
      </c>
      <c r="P85" s="21" t="s">
        <v>3429</v>
      </c>
      <c r="Q85" s="21" t="s">
        <v>844</v>
      </c>
      <c r="R85" s="21" t="s">
        <v>3868</v>
      </c>
      <c r="S85" s="21" t="str">
        <f ca="1">IF(BN85&lt;1,"Paid",IF(BM85&gt;0,"Partially paid",IF(ISNUMBER(SEARCH("hold",BU85)),"On hold",IF(BQ85&lt;TODAY(),"Overdue","Approved - unpaid"))))</f>
        <v>Paid</v>
      </c>
      <c r="T85" s="21" t="s">
        <v>3431</v>
      </c>
      <c r="U85" s="21" t="s">
        <v>1278</v>
      </c>
      <c r="V85" s="21" t="s">
        <v>1200</v>
      </c>
      <c r="W85" s="21" t="s">
        <v>746</v>
      </c>
      <c r="X85" s="21" t="s">
        <v>846</v>
      </c>
      <c r="Y85" s="21" t="s">
        <v>3441</v>
      </c>
      <c r="Z85" s="21" t="s">
        <v>3442</v>
      </c>
      <c r="AA85" s="21" t="s">
        <v>1051</v>
      </c>
      <c r="AB85" s="37">
        <v>0</v>
      </c>
      <c r="AC85" s="21" t="s">
        <v>844</v>
      </c>
      <c r="AD85" s="21" t="s">
        <v>844</v>
      </c>
      <c r="AE85" s="21" t="s">
        <v>3443</v>
      </c>
      <c r="AF85" s="21">
        <v>1</v>
      </c>
      <c r="AG85" s="21" t="s">
        <v>837</v>
      </c>
      <c r="AH85" s="21" t="s">
        <v>840</v>
      </c>
      <c r="AI85" s="21" t="s">
        <v>842</v>
      </c>
      <c r="AJ85" s="37">
        <f>COUNTIFS('T14'!$AQ$3:$AQ$1500,B85,'T14'!$Z$3:$Z$1500,1,'T14'!$F$3:$F$1500,"Bag")</f>
        <v>5</v>
      </c>
      <c r="AK85" s="37">
        <f>AJ85</f>
        <v>5</v>
      </c>
      <c r="AL85" s="37">
        <v>39900</v>
      </c>
      <c r="AM85" s="37">
        <f>AK85*AL85</f>
        <v>199500</v>
      </c>
      <c r="AN85" s="37">
        <f>AM85</f>
        <v>199500</v>
      </c>
      <c r="AO85" s="23">
        <f>_xlfn.XLOOKUP(AG85,'T13'!$A$3:$A$1500,'T13'!$O$3:$O$1500)</f>
        <v>0.16</v>
      </c>
      <c r="AP85" s="37">
        <v>0</v>
      </c>
      <c r="AQ85" s="37">
        <f>SUMIFS($AN$3:$AN$1500,$G$3:$G$1500,G85)</f>
        <v>199500</v>
      </c>
      <c r="AR85" s="37">
        <f>SUMIFS($AP$3:$AP$1500,$G$3:$G$1500,G85)</f>
        <v>0</v>
      </c>
      <c r="AS85" s="21" t="s">
        <v>3444</v>
      </c>
      <c r="AT85" s="37">
        <f>ROUND(BH85*0.04,0)</f>
        <v>9617</v>
      </c>
      <c r="AU85" s="21" t="s">
        <v>846</v>
      </c>
      <c r="AV85" s="37" cm="1">
        <f t="array" ref="AV85">SUMPRODUCT(($G$3:$G$1500=G85)*$AN$3:$AN$1500*$AO$3:$AO$1500)+AR85</f>
        <v>31920</v>
      </c>
      <c r="AW85" s="37">
        <f>AT85</f>
        <v>9617</v>
      </c>
      <c r="AX85" s="21" t="str">
        <f>TEXT(EOMONTH(I85,0)+15,"dd-mmm-yyyy")&amp;" / "&amp;IF(BM85&gt;0,"CPR-IT-"&amp;TEXT(I85,"yymm")&amp;"-"&amp;RIGHT(G85,4),"Pending payment")</f>
        <v>15-Oct-2025 / CPR-IT-2509-0068</v>
      </c>
      <c r="AY85" s="21" t="str">
        <f>IF(BM85&gt;0,"Issued","Not yet")</f>
        <v>Issued</v>
      </c>
      <c r="AZ85" s="37">
        <v>9000</v>
      </c>
      <c r="BA85" s="37">
        <v>0</v>
      </c>
      <c r="BB85" s="37">
        <v>0</v>
      </c>
      <c r="BC85" s="37">
        <v>0</v>
      </c>
      <c r="BD85" s="37">
        <v>0</v>
      </c>
      <c r="BE85" s="37">
        <f>AQ85</f>
        <v>199500</v>
      </c>
      <c r="BF85" s="37">
        <f>AV85</f>
        <v>31920</v>
      </c>
      <c r="BG85" s="37">
        <f>AZ85</f>
        <v>9000</v>
      </c>
      <c r="BH85" s="37">
        <f>BE85+BF85+BG85</f>
        <v>240420</v>
      </c>
      <c r="BI85" s="37">
        <f>AW85</f>
        <v>9617</v>
      </c>
      <c r="BJ85" s="37">
        <f>BA85+BB85+BC85+BD85</f>
        <v>0</v>
      </c>
      <c r="BK85" s="37">
        <f>BH85-BI85-BJ85</f>
        <v>230803</v>
      </c>
      <c r="BL85" s="21" t="str">
        <f>"PKR "&amp;TEXT(BK85,"#,##0")&amp;" only"</f>
        <v>PKR 230,803 only</v>
      </c>
      <c r="BM85" s="37">
        <f>SUMIFS('T10'!$AK$3:$AK$1500,'T10'!$V$3:$V$1500,G85)</f>
        <v>230803</v>
      </c>
      <c r="BN85" s="37">
        <f>BK85-BM85</f>
        <v>0</v>
      </c>
      <c r="BO85" s="21" t="str">
        <f>IF(BF85&gt;0,TEXT(I85,"mmm-yyyy")&amp;" sales tax return","N/A")</f>
        <v>Sep-2025 sales tax return</v>
      </c>
      <c r="BP85" s="21" t="s">
        <v>1051</v>
      </c>
      <c r="BQ85" s="29">
        <f>J85+30</f>
        <v>45931</v>
      </c>
      <c r="BR85" s="29">
        <f>BQ85</f>
        <v>45931</v>
      </c>
      <c r="BS85" s="21" t="s">
        <v>3095</v>
      </c>
      <c r="BT85" s="21" t="s">
        <v>3360</v>
      </c>
      <c r="BU85" s="21" t="s">
        <v>844</v>
      </c>
      <c r="BV85" s="21" t="s">
        <v>846</v>
      </c>
      <c r="BW85" s="21" t="str" cm="1">
        <f t="array" ref="BW85">_xlfn.TEXTJOIN(", ",TRUE,_xlfn.UNIQUE(_xlfn._xlws.FILTER('T10'!$A$3:$A$1500,'T10'!$V$3:$V$1500=G85,"None")))</f>
        <v>PV-0014</v>
      </c>
      <c r="BX85" s="21" t="s">
        <v>3869</v>
      </c>
      <c r="BY85" s="21" t="s">
        <v>3870</v>
      </c>
    </row>
    <row r="86" spans="1:77" x14ac:dyDescent="0.3">
      <c r="A86" s="21" t="s">
        <v>3489</v>
      </c>
      <c r="B86" s="21" t="s">
        <v>2412</v>
      </c>
      <c r="C86" s="21" t="s">
        <v>3871</v>
      </c>
      <c r="D86" s="35">
        <v>45902.375</v>
      </c>
      <c r="E86" s="21" t="s">
        <v>3347</v>
      </c>
      <c r="F86" s="21" t="str">
        <f ca="1">IF(S86="Paid","Completed","Pending payment")</f>
        <v>Completed</v>
      </c>
      <c r="G86" s="21" t="s">
        <v>3872</v>
      </c>
      <c r="H86" s="21" t="s">
        <v>3428</v>
      </c>
      <c r="I86" s="29">
        <v>45903</v>
      </c>
      <c r="J86" s="29">
        <v>45901</v>
      </c>
      <c r="K86" s="21" t="str">
        <f>TEXT(I86,"mmm-yyyy")</f>
        <v>Sep-2025</v>
      </c>
      <c r="L86" s="21" t="s">
        <v>1797</v>
      </c>
      <c r="M86" s="21">
        <v>1</v>
      </c>
      <c r="N86" s="21" t="s">
        <v>743</v>
      </c>
      <c r="O86" s="21" t="s">
        <v>3350</v>
      </c>
      <c r="P86" s="21" t="s">
        <v>3429</v>
      </c>
      <c r="Q86" s="21" t="s">
        <v>844</v>
      </c>
      <c r="R86" s="21" t="s">
        <v>3868</v>
      </c>
      <c r="S86" s="21" t="str">
        <f ca="1">IF(BN86&lt;1,"Paid",IF(BM86&gt;0,"Partially paid",IF(ISNUMBER(SEARCH("hold",BU86)),"On hold",IF(BQ86&lt;TODAY(),"Overdue","Approved - unpaid"))))</f>
        <v>Paid</v>
      </c>
      <c r="T86" s="21" t="s">
        <v>3431</v>
      </c>
      <c r="U86" s="21" t="s">
        <v>1213</v>
      </c>
      <c r="V86" s="21" t="s">
        <v>1194</v>
      </c>
      <c r="W86" s="21" t="s">
        <v>746</v>
      </c>
      <c r="X86" s="21" t="s">
        <v>846</v>
      </c>
      <c r="Y86" s="21" t="s">
        <v>3493</v>
      </c>
      <c r="Z86" s="21" t="s">
        <v>3494</v>
      </c>
      <c r="AA86" s="21" t="s">
        <v>1051</v>
      </c>
      <c r="AB86" s="37">
        <v>0</v>
      </c>
      <c r="AC86" s="21" t="s">
        <v>844</v>
      </c>
      <c r="AD86" s="21" t="s">
        <v>844</v>
      </c>
      <c r="AE86" s="21" t="s">
        <v>3495</v>
      </c>
      <c r="AF86" s="21">
        <v>1</v>
      </c>
      <c r="AG86" s="21" t="s">
        <v>837</v>
      </c>
      <c r="AH86" s="21" t="s">
        <v>840</v>
      </c>
      <c r="AI86" s="21" t="s">
        <v>842</v>
      </c>
      <c r="AJ86" s="37">
        <f>COUNTIFS('T14'!$AQ$3:$AQ$1500,B86,'T14'!$Z$3:$Z$1500,1,'T14'!$F$3:$F$1500,"Bag")</f>
        <v>6</v>
      </c>
      <c r="AK86" s="37">
        <f>AJ86</f>
        <v>6</v>
      </c>
      <c r="AL86" s="37">
        <v>39900</v>
      </c>
      <c r="AM86" s="37">
        <f>AK86*AL86</f>
        <v>239400</v>
      </c>
      <c r="AN86" s="37">
        <f>AM86</f>
        <v>239400</v>
      </c>
      <c r="AO86" s="23">
        <f>_xlfn.XLOOKUP(AG86,'T13'!$A$3:$A$1500,'T13'!$O$3:$O$1500)</f>
        <v>0.16</v>
      </c>
      <c r="AP86" s="37">
        <v>0</v>
      </c>
      <c r="AQ86" s="37">
        <f>SUMIFS($AN$3:$AN$1500,$G$3:$G$1500,G86)</f>
        <v>239400</v>
      </c>
      <c r="AR86" s="37">
        <f>SUMIFS($AP$3:$AP$1500,$G$3:$G$1500,G86)</f>
        <v>0</v>
      </c>
      <c r="AS86" s="21" t="s">
        <v>3444</v>
      </c>
      <c r="AT86" s="37">
        <f>ROUND(BH86*0.04,0)</f>
        <v>11108</v>
      </c>
      <c r="AU86" s="21" t="s">
        <v>846</v>
      </c>
      <c r="AV86" s="37" cm="1">
        <f t="array" ref="AV86">SUMPRODUCT(($G$3:$G$1500=G86)*$AN$3:$AN$1500*$AO$3:$AO$1500)+AR86</f>
        <v>38304</v>
      </c>
      <c r="AW86" s="37">
        <f>AT86</f>
        <v>11108</v>
      </c>
      <c r="AX86" s="21" t="str">
        <f>TEXT(EOMONTH(I86,0)+15,"dd-mmm-yyyy")&amp;" / "&amp;IF(BM86&gt;0,"CPR-IT-"&amp;TEXT(I86,"yymm")&amp;"-"&amp;RIGHT(G86,4),"Pending payment")</f>
        <v>15-Oct-2025 / CPR-IT-2509-0069</v>
      </c>
      <c r="AY86" s="21" t="str">
        <f>IF(BM86&gt;0,"Issued","Not yet")</f>
        <v>Issued</v>
      </c>
      <c r="AZ86" s="37">
        <v>0</v>
      </c>
      <c r="BA86" s="37">
        <v>0</v>
      </c>
      <c r="BB86" s="37">
        <v>0</v>
      </c>
      <c r="BC86" s="37">
        <v>0</v>
      </c>
      <c r="BD86" s="37">
        <v>0</v>
      </c>
      <c r="BE86" s="37">
        <f>AQ86</f>
        <v>239400</v>
      </c>
      <c r="BF86" s="37">
        <f>AV86</f>
        <v>38304</v>
      </c>
      <c r="BG86" s="37">
        <f>AZ86</f>
        <v>0</v>
      </c>
      <c r="BH86" s="37">
        <f>BE86+BF86+BG86</f>
        <v>277704</v>
      </c>
      <c r="BI86" s="37">
        <f>AW86</f>
        <v>11108</v>
      </c>
      <c r="BJ86" s="37">
        <f>BA86+BB86+BC86+BD86</f>
        <v>0</v>
      </c>
      <c r="BK86" s="37">
        <f>BH86-BI86-BJ86</f>
        <v>266596</v>
      </c>
      <c r="BL86" s="21" t="str">
        <f>"PKR "&amp;TEXT(BK86,"#,##0")&amp;" only"</f>
        <v>PKR 266,596 only</v>
      </c>
      <c r="BM86" s="37">
        <f>SUMIFS('T10'!$AK$3:$AK$1500,'T10'!$V$3:$V$1500,G86)</f>
        <v>266596</v>
      </c>
      <c r="BN86" s="37">
        <f>BK86-BM86</f>
        <v>0</v>
      </c>
      <c r="BO86" s="21" t="str">
        <f>IF(BF86&gt;0,TEXT(I86,"mmm-yyyy")&amp;" sales tax return","N/A")</f>
        <v>Sep-2025 sales tax return</v>
      </c>
      <c r="BP86" s="21" t="s">
        <v>1051</v>
      </c>
      <c r="BQ86" s="29">
        <f>J86+30</f>
        <v>45931</v>
      </c>
      <c r="BR86" s="29">
        <f>BQ86</f>
        <v>45931</v>
      </c>
      <c r="BS86" s="21" t="s">
        <v>3095</v>
      </c>
      <c r="BT86" s="21" t="s">
        <v>3360</v>
      </c>
      <c r="BU86" s="21" t="s">
        <v>844</v>
      </c>
      <c r="BV86" s="21" t="s">
        <v>846</v>
      </c>
      <c r="BW86" s="21" t="str" cm="1">
        <f t="array" ref="BW86">_xlfn.TEXTJOIN(", ",TRUE,_xlfn.UNIQUE(_xlfn._xlws.FILTER('T10'!$A$3:$A$1500,'T10'!$V$3:$V$1500=G86,"None")))</f>
        <v>PV-0015</v>
      </c>
      <c r="BX86" s="21" t="s">
        <v>3869</v>
      </c>
      <c r="BY86" s="21" t="s">
        <v>3870</v>
      </c>
    </row>
    <row r="87" spans="1:77" x14ac:dyDescent="0.3">
      <c r="A87" s="21" t="s">
        <v>3456</v>
      </c>
      <c r="B87" s="21" t="s">
        <v>3873</v>
      </c>
      <c r="C87" s="21" t="s">
        <v>3874</v>
      </c>
      <c r="D87" s="35">
        <v>45905.375</v>
      </c>
      <c r="E87" s="21" t="s">
        <v>3347</v>
      </c>
      <c r="F87" s="21" t="str">
        <f ca="1">IF(S87="Paid","Completed","Pending payment")</f>
        <v>Completed</v>
      </c>
      <c r="G87" s="21" t="s">
        <v>3875</v>
      </c>
      <c r="H87" s="21" t="s">
        <v>3460</v>
      </c>
      <c r="I87" s="29">
        <v>45906</v>
      </c>
      <c r="J87" s="29">
        <v>45904</v>
      </c>
      <c r="K87" s="21" t="str">
        <f>TEXT(I87,"mmm-yyyy")</f>
        <v>Sep-2025</v>
      </c>
      <c r="L87" s="21" t="s">
        <v>1797</v>
      </c>
      <c r="M87" s="21">
        <v>1</v>
      </c>
      <c r="N87" s="21" t="s">
        <v>743</v>
      </c>
      <c r="O87" s="21" t="s">
        <v>3368</v>
      </c>
      <c r="P87" s="21" t="s">
        <v>3429</v>
      </c>
      <c r="Q87" s="21" t="s">
        <v>844</v>
      </c>
      <c r="R87" s="21" t="s">
        <v>3876</v>
      </c>
      <c r="S87" s="21" t="str">
        <f ca="1">IF(BN87&lt;1,"Paid",IF(BM87&gt;0,"Partially paid",IF(ISNUMBER(SEARCH("hold",BU87)),"On hold",IF(BQ87&lt;TODAY(),"Overdue","Approved - unpaid"))))</f>
        <v>Paid</v>
      </c>
      <c r="T87" s="21" t="s">
        <v>3462</v>
      </c>
      <c r="U87" s="21" t="s">
        <v>3463</v>
      </c>
      <c r="V87" s="21" t="s">
        <v>3464</v>
      </c>
      <c r="W87" s="21" t="s">
        <v>746</v>
      </c>
      <c r="X87" s="21" t="s">
        <v>846</v>
      </c>
      <c r="Y87" s="21" t="s">
        <v>3465</v>
      </c>
      <c r="Z87" s="21" t="s">
        <v>3466</v>
      </c>
      <c r="AA87" s="21" t="s">
        <v>1062</v>
      </c>
      <c r="AB87" s="37">
        <v>0</v>
      </c>
      <c r="AC87" s="21" t="s">
        <v>844</v>
      </c>
      <c r="AD87" s="21" t="s">
        <v>844</v>
      </c>
      <c r="AE87" s="21" t="s">
        <v>844</v>
      </c>
      <c r="AF87" s="21">
        <v>1</v>
      </c>
      <c r="AG87" s="21" t="s">
        <v>866</v>
      </c>
      <c r="AH87" s="21" t="s">
        <v>869</v>
      </c>
      <c r="AI87" s="21" t="s">
        <v>870</v>
      </c>
      <c r="AJ87" s="37">
        <v>700</v>
      </c>
      <c r="AK87" s="37">
        <v>700</v>
      </c>
      <c r="AL87" s="37">
        <v>280</v>
      </c>
      <c r="AM87" s="37">
        <f>AK87*AL87</f>
        <v>196000</v>
      </c>
      <c r="AN87" s="37">
        <f>AM87</f>
        <v>196000</v>
      </c>
      <c r="AO87" s="23">
        <f>_xlfn.XLOOKUP(AG87,'T13'!$A$3:$A$1500,'T13'!$O$3:$O$1500)</f>
        <v>0.18</v>
      </c>
      <c r="AP87" s="37">
        <v>0</v>
      </c>
      <c r="AQ87" s="37">
        <f>SUMIFS($AN$3:$AN$1500,$G$3:$G$1500,G87)</f>
        <v>196000</v>
      </c>
      <c r="AR87" s="37">
        <f>SUMIFS($AP$3:$AP$1500,$G$3:$G$1500,G87)</f>
        <v>0</v>
      </c>
      <c r="AS87" s="21" t="s">
        <v>3467</v>
      </c>
      <c r="AT87" s="37">
        <f>ROUND(BH87*0,0)</f>
        <v>0</v>
      </c>
      <c r="AU87" s="21" t="s">
        <v>846</v>
      </c>
      <c r="AV87" s="37" cm="1">
        <f t="array" ref="AV87">SUMPRODUCT(($G$3:$G$1500=G87)*$AN$3:$AN$1500*$AO$3:$AO$1500)+AR87</f>
        <v>35280</v>
      </c>
      <c r="AW87" s="37">
        <f>AT87</f>
        <v>0</v>
      </c>
      <c r="AX87" s="21" t="str">
        <f>TEXT(EOMONTH(I87,0)+15,"dd-mmm-yyyy")&amp;" / "&amp;IF(BM87&gt;0,"CPR-IT-"&amp;TEXT(I87,"yymm")&amp;"-"&amp;RIGHT(G87,4),"Pending payment")</f>
        <v>15-Oct-2025 / CPR-IT-2509-0070</v>
      </c>
      <c r="AY87" s="21" t="str">
        <f>IF(BM87&gt;0,"Issued","Not yet")</f>
        <v>Issued</v>
      </c>
      <c r="AZ87" s="37">
        <v>0</v>
      </c>
      <c r="BA87" s="37">
        <v>0</v>
      </c>
      <c r="BB87" s="37">
        <v>0</v>
      </c>
      <c r="BC87" s="37">
        <v>0</v>
      </c>
      <c r="BD87" s="37">
        <v>0</v>
      </c>
      <c r="BE87" s="37">
        <f>AQ87</f>
        <v>196000</v>
      </c>
      <c r="BF87" s="37">
        <f>AV87</f>
        <v>35280</v>
      </c>
      <c r="BG87" s="37">
        <f>AZ87</f>
        <v>0</v>
      </c>
      <c r="BH87" s="37">
        <f>BE87+BF87+BG87</f>
        <v>231280</v>
      </c>
      <c r="BI87" s="37">
        <f>AW87</f>
        <v>0</v>
      </c>
      <c r="BJ87" s="37">
        <f>BA87+BB87+BC87+BD87</f>
        <v>0</v>
      </c>
      <c r="BK87" s="37">
        <f>BH87-BI87-BJ87</f>
        <v>231280</v>
      </c>
      <c r="BL87" s="21" t="str">
        <f>"PKR "&amp;TEXT(BK87,"#,##0")&amp;" only"</f>
        <v>PKR 231,280 only</v>
      </c>
      <c r="BM87" s="37">
        <f>SUMIFS('T10'!$AK$3:$AK$1500,'T10'!$V$3:$V$1500,G87)</f>
        <v>231280</v>
      </c>
      <c r="BN87" s="37">
        <f>BK87-BM87</f>
        <v>0</v>
      </c>
      <c r="BO87" s="21" t="str">
        <f>IF(BF87&gt;0,TEXT(I87,"mmm-yyyy")&amp;" sales tax return","N/A")</f>
        <v>Sep-2025 sales tax return</v>
      </c>
      <c r="BP87" s="21" t="s">
        <v>1062</v>
      </c>
      <c r="BQ87" s="29">
        <f>J87+15</f>
        <v>45919</v>
      </c>
      <c r="BR87" s="29">
        <f>BQ87</f>
        <v>45919</v>
      </c>
      <c r="BS87" s="21" t="s">
        <v>3095</v>
      </c>
      <c r="BT87" s="21" t="s">
        <v>3360</v>
      </c>
      <c r="BU87" s="21" t="s">
        <v>844</v>
      </c>
      <c r="BV87" s="21" t="s">
        <v>846</v>
      </c>
      <c r="BW87" s="21" t="str" cm="1">
        <f t="array" ref="BW87">_xlfn.TEXTJOIN(", ",TRUE,_xlfn.UNIQUE(_xlfn._xlws.FILTER('T10'!$A$3:$A$1500,'T10'!$V$3:$V$1500=G87,"None")))</f>
        <v>PV-0034</v>
      </c>
      <c r="BX87" s="21" t="s">
        <v>3877</v>
      </c>
      <c r="BY87" s="21" t="s">
        <v>3878</v>
      </c>
    </row>
    <row r="88" spans="1:77" x14ac:dyDescent="0.3">
      <c r="A88" s="21" t="s">
        <v>3511</v>
      </c>
      <c r="B88" s="21" t="s">
        <v>3879</v>
      </c>
      <c r="C88" s="21" t="s">
        <v>3880</v>
      </c>
      <c r="D88" s="35">
        <v>45907.458333333336</v>
      </c>
      <c r="E88" s="21" t="s">
        <v>3347</v>
      </c>
      <c r="F88" s="21" t="str">
        <f ca="1">IF(S88="Paid","Completed","Pending payment")</f>
        <v>Completed</v>
      </c>
      <c r="G88" s="21" t="s">
        <v>3881</v>
      </c>
      <c r="H88" s="21" t="s">
        <v>3515</v>
      </c>
      <c r="I88" s="29">
        <v>45908</v>
      </c>
      <c r="J88" s="29">
        <v>45906</v>
      </c>
      <c r="K88" s="21" t="str">
        <f>TEXT(I88,"mmm-yyyy")</f>
        <v>Sep-2025</v>
      </c>
      <c r="L88" s="21" t="s">
        <v>1797</v>
      </c>
      <c r="M88" s="21">
        <v>1</v>
      </c>
      <c r="N88" s="21" t="s">
        <v>743</v>
      </c>
      <c r="O88" s="21" t="s">
        <v>3350</v>
      </c>
      <c r="P88" s="21" t="s">
        <v>3429</v>
      </c>
      <c r="Q88" s="21" t="s">
        <v>844</v>
      </c>
      <c r="R88" s="21" t="s">
        <v>3882</v>
      </c>
      <c r="S88" s="21" t="str">
        <f ca="1">IF(BN88&lt;1,"Paid",IF(BM88&gt;0,"Partially paid",IF(ISNUMBER(SEARCH("hold",BU88)),"On hold",IF(BQ88&lt;TODAY(),"Overdue","Approved - unpaid"))))</f>
        <v>Paid</v>
      </c>
      <c r="T88" s="21" t="s">
        <v>3517</v>
      </c>
      <c r="U88" s="21" t="s">
        <v>3518</v>
      </c>
      <c r="V88" s="21" t="s">
        <v>3519</v>
      </c>
      <c r="W88" s="21" t="s">
        <v>746</v>
      </c>
      <c r="X88" s="21" t="s">
        <v>846</v>
      </c>
      <c r="Y88" s="21" t="s">
        <v>3520</v>
      </c>
      <c r="Z88" s="21" t="s">
        <v>3521</v>
      </c>
      <c r="AA88" s="21" t="s">
        <v>1051</v>
      </c>
      <c r="AB88" s="37">
        <v>0</v>
      </c>
      <c r="AC88" s="21" t="s">
        <v>3883</v>
      </c>
      <c r="AD88" s="21" t="s">
        <v>3884</v>
      </c>
      <c r="AE88" s="21" t="s">
        <v>844</v>
      </c>
      <c r="AF88" s="21">
        <v>1</v>
      </c>
      <c r="AG88" s="21" t="s">
        <v>925</v>
      </c>
      <c r="AH88" s="21" t="s">
        <v>928</v>
      </c>
      <c r="AI88" s="21" t="s">
        <v>882</v>
      </c>
      <c r="AJ88" s="37">
        <v>7</v>
      </c>
      <c r="AK88" s="37">
        <v>7</v>
      </c>
      <c r="AL88" s="37">
        <v>70990</v>
      </c>
      <c r="AM88" s="37">
        <f>AK88*AL88</f>
        <v>496930</v>
      </c>
      <c r="AN88" s="37">
        <f>AM88</f>
        <v>496930</v>
      </c>
      <c r="AO88" s="23">
        <f>_xlfn.XLOOKUP(AG88,'T13'!$A$3:$A$1500,'T13'!$O$3:$O$1500)</f>
        <v>0.18</v>
      </c>
      <c r="AP88" s="37">
        <v>0</v>
      </c>
      <c r="AQ88" s="37">
        <f>SUMIFS($AN$3:$AN$1500,$G$3:$G$1500,G88)</f>
        <v>548620</v>
      </c>
      <c r="AR88" s="37">
        <f>SUMIFS($AP$3:$AP$1500,$G$3:$G$1500,G88)</f>
        <v>0</v>
      </c>
      <c r="AS88" s="21" t="s">
        <v>3410</v>
      </c>
      <c r="AT88" s="37">
        <f>ROUND(BH88*0.05,0)</f>
        <v>32369</v>
      </c>
      <c r="AU88" s="21" t="s">
        <v>846</v>
      </c>
      <c r="AV88" s="37" cm="1">
        <f t="array" ref="AV88">SUMPRODUCT(($G$3:$G$1500=G88)*$AN$3:$AN$1500*$AO$3:$AO$1500)+AR88</f>
        <v>98751.599999999991</v>
      </c>
      <c r="AW88" s="37">
        <f>AT88</f>
        <v>32369</v>
      </c>
      <c r="AX88" s="21" t="str">
        <f>TEXT(EOMONTH(I88,0)+15,"dd-mmm-yyyy")&amp;" / "&amp;IF(BM88&gt;0,"CPR-IT-"&amp;TEXT(I88,"yymm")&amp;"-"&amp;RIGHT(G88,4),"Pending payment")</f>
        <v>15-Oct-2025 / CPR-IT-2509-0071</v>
      </c>
      <c r="AY88" s="21" t="str">
        <f>IF(BM88&gt;0,"Issued","Not yet")</f>
        <v>Issued</v>
      </c>
      <c r="AZ88" s="37">
        <v>0</v>
      </c>
      <c r="BA88" s="37">
        <v>0</v>
      </c>
      <c r="BB88" s="37">
        <v>0</v>
      </c>
      <c r="BC88" s="37">
        <v>0</v>
      </c>
      <c r="BD88" s="37">
        <v>0</v>
      </c>
      <c r="BE88" s="37">
        <f>AQ88</f>
        <v>548620</v>
      </c>
      <c r="BF88" s="37">
        <f>AV88</f>
        <v>98751.599999999991</v>
      </c>
      <c r="BG88" s="37">
        <f>AZ88</f>
        <v>0</v>
      </c>
      <c r="BH88" s="37">
        <f>BE88+BF88+BG88</f>
        <v>647371.6</v>
      </c>
      <c r="BI88" s="37">
        <f>AW88</f>
        <v>32369</v>
      </c>
      <c r="BJ88" s="37">
        <f>BA88+BB88+BC88+BD88</f>
        <v>0</v>
      </c>
      <c r="BK88" s="37">
        <f>BH88-BI88-BJ88</f>
        <v>615002.6</v>
      </c>
      <c r="BL88" s="21" t="str">
        <f>"PKR "&amp;TEXT(BK88,"#,##0")&amp;" only"</f>
        <v>PKR 615,003 only</v>
      </c>
      <c r="BM88" s="37">
        <f>SUMIFS('T10'!$AK$3:$AK$1500,'T10'!$V$3:$V$1500,G88)</f>
        <v>615002.6</v>
      </c>
      <c r="BN88" s="37">
        <f>BK88-BM88</f>
        <v>0</v>
      </c>
      <c r="BO88" s="21" t="str">
        <f>IF(BF88&gt;0,TEXT(I88,"mmm-yyyy")&amp;" sales tax return","N/A")</f>
        <v>Sep-2025 sales tax return</v>
      </c>
      <c r="BP88" s="21" t="s">
        <v>1051</v>
      </c>
      <c r="BQ88" s="29">
        <f>J88+30</f>
        <v>45936</v>
      </c>
      <c r="BR88" s="29">
        <f>BQ88</f>
        <v>45936</v>
      </c>
      <c r="BS88" s="21" t="s">
        <v>3095</v>
      </c>
      <c r="BT88" s="21" t="s">
        <v>3360</v>
      </c>
      <c r="BU88" s="21" t="s">
        <v>844</v>
      </c>
      <c r="BV88" s="21" t="s">
        <v>846</v>
      </c>
      <c r="BW88" s="21" t="str" cm="1">
        <f t="array" ref="BW88">_xlfn.TEXTJOIN(", ",TRUE,_xlfn.UNIQUE(_xlfn._xlws.FILTER('T10'!$A$3:$A$1500,'T10'!$V$3:$V$1500=G88,"None")))</f>
        <v>PV-0039</v>
      </c>
      <c r="BX88" s="21" t="s">
        <v>3885</v>
      </c>
      <c r="BY88" s="21" t="s">
        <v>3886</v>
      </c>
    </row>
    <row r="89" spans="1:77" x14ac:dyDescent="0.3">
      <c r="A89" s="21" t="s">
        <v>3511</v>
      </c>
      <c r="B89" s="21" t="s">
        <v>3879</v>
      </c>
      <c r="C89" s="21" t="s">
        <v>3880</v>
      </c>
      <c r="D89" s="35">
        <v>45907.458333333336</v>
      </c>
      <c r="E89" s="21" t="s">
        <v>3347</v>
      </c>
      <c r="F89" s="21" t="str">
        <f ca="1">IF(S89="Paid","Completed","Pending payment")</f>
        <v>Completed</v>
      </c>
      <c r="G89" s="21" t="s">
        <v>3881</v>
      </c>
      <c r="H89" s="21" t="s">
        <v>3515</v>
      </c>
      <c r="I89" s="29">
        <v>45908</v>
      </c>
      <c r="J89" s="29">
        <v>45906</v>
      </c>
      <c r="K89" s="21" t="str">
        <f>TEXT(I89,"mmm-yyyy")</f>
        <v>Sep-2025</v>
      </c>
      <c r="L89" s="21" t="s">
        <v>1797</v>
      </c>
      <c r="M89" s="21">
        <v>1</v>
      </c>
      <c r="N89" s="21" t="s">
        <v>743</v>
      </c>
      <c r="O89" s="21" t="s">
        <v>3350</v>
      </c>
      <c r="P89" s="21" t="s">
        <v>3429</v>
      </c>
      <c r="Q89" s="21" t="s">
        <v>844</v>
      </c>
      <c r="R89" s="21" t="s">
        <v>3882</v>
      </c>
      <c r="S89" s="21" t="str">
        <f ca="1">IF(BN89&lt;1,"Paid",IF(BM89&gt;0,"Partially paid",IF(ISNUMBER(SEARCH("hold",BU89)),"On hold",IF(BQ89&lt;TODAY(),"Overdue","Approved - unpaid"))))</f>
        <v>Paid</v>
      </c>
      <c r="T89" s="21" t="s">
        <v>3517</v>
      </c>
      <c r="U89" s="21" t="s">
        <v>3518</v>
      </c>
      <c r="V89" s="21" t="s">
        <v>3519</v>
      </c>
      <c r="W89" s="21" t="s">
        <v>746</v>
      </c>
      <c r="X89" s="21" t="s">
        <v>846</v>
      </c>
      <c r="Y89" s="21" t="s">
        <v>3520</v>
      </c>
      <c r="Z89" s="21" t="s">
        <v>3521</v>
      </c>
      <c r="AA89" s="21" t="s">
        <v>1051</v>
      </c>
      <c r="AB89" s="37">
        <v>0</v>
      </c>
      <c r="AC89" s="21" t="s">
        <v>3883</v>
      </c>
      <c r="AD89" s="21" t="s">
        <v>3887</v>
      </c>
      <c r="AE89" s="21" t="s">
        <v>844</v>
      </c>
      <c r="AF89" s="21">
        <v>2</v>
      </c>
      <c r="AG89" s="21" t="s">
        <v>934</v>
      </c>
      <c r="AH89" s="21" t="s">
        <v>936</v>
      </c>
      <c r="AI89" s="21" t="s">
        <v>937</v>
      </c>
      <c r="AJ89" s="37">
        <v>3</v>
      </c>
      <c r="AK89" s="37">
        <v>3</v>
      </c>
      <c r="AL89" s="37">
        <v>17230</v>
      </c>
      <c r="AM89" s="37">
        <f>AK89*AL89</f>
        <v>51690</v>
      </c>
      <c r="AN89" s="37">
        <f>AM89</f>
        <v>51690</v>
      </c>
      <c r="AO89" s="23">
        <f>_xlfn.XLOOKUP(AG89,'T13'!$A$3:$A$1500,'T13'!$O$3:$O$1500)</f>
        <v>0.18</v>
      </c>
      <c r="AP89" s="37">
        <v>0</v>
      </c>
      <c r="AQ89" s="37">
        <f>SUMIFS($AN$3:$AN$1500,$G$3:$G$1500,G89)</f>
        <v>548620</v>
      </c>
      <c r="AR89" s="37">
        <f>SUMIFS($AP$3:$AP$1500,$G$3:$G$1500,G89)</f>
        <v>0</v>
      </c>
      <c r="AS89" s="21" t="s">
        <v>3410</v>
      </c>
      <c r="AT89" s="37">
        <f>ROUND(BH89*0.05,0)</f>
        <v>32369</v>
      </c>
      <c r="AU89" s="21" t="s">
        <v>846</v>
      </c>
      <c r="AV89" s="37" cm="1">
        <f t="array" ref="AV89">SUMPRODUCT(($G$3:$G$1500=G89)*$AN$3:$AN$1500*$AO$3:$AO$1500)+AR89</f>
        <v>98751.599999999991</v>
      </c>
      <c r="AW89" s="37">
        <f>AT89</f>
        <v>32369</v>
      </c>
      <c r="AX89" s="21" t="str">
        <f>TEXT(EOMONTH(I89,0)+15,"dd-mmm-yyyy")&amp;" / "&amp;IF(BM89&gt;0,"CPR-IT-"&amp;TEXT(I89,"yymm")&amp;"-"&amp;RIGHT(G89,4),"Pending payment")</f>
        <v>15-Oct-2025 / CPR-IT-2509-0071</v>
      </c>
      <c r="AY89" s="21" t="str">
        <f>IF(BM89&gt;0,"Issued","Not yet")</f>
        <v>Issued</v>
      </c>
      <c r="AZ89" s="37">
        <v>0</v>
      </c>
      <c r="BA89" s="37">
        <v>0</v>
      </c>
      <c r="BB89" s="37">
        <v>0</v>
      </c>
      <c r="BC89" s="37">
        <v>0</v>
      </c>
      <c r="BD89" s="37">
        <v>0</v>
      </c>
      <c r="BE89" s="37">
        <f>AQ89</f>
        <v>548620</v>
      </c>
      <c r="BF89" s="37">
        <f>AV89</f>
        <v>98751.599999999991</v>
      </c>
      <c r="BG89" s="37">
        <f>AZ89</f>
        <v>0</v>
      </c>
      <c r="BH89" s="37">
        <f>BE89+BF89+BG89</f>
        <v>647371.6</v>
      </c>
      <c r="BI89" s="37">
        <f>AW89</f>
        <v>32369</v>
      </c>
      <c r="BJ89" s="37">
        <f>BA89+BB89+BC89+BD89</f>
        <v>0</v>
      </c>
      <c r="BK89" s="37">
        <f>BH89-BI89-BJ89</f>
        <v>615002.6</v>
      </c>
      <c r="BL89" s="21" t="str">
        <f>"PKR "&amp;TEXT(BK89,"#,##0")&amp;" only"</f>
        <v>PKR 615,003 only</v>
      </c>
      <c r="BM89" s="37">
        <f>SUMIFS('T10'!$AK$3:$AK$1500,'T10'!$V$3:$V$1500,G89)</f>
        <v>615002.6</v>
      </c>
      <c r="BN89" s="37">
        <f>BK89-BM89</f>
        <v>0</v>
      </c>
      <c r="BO89" s="21" t="str">
        <f>IF(BF89&gt;0,TEXT(I89,"mmm-yyyy")&amp;" sales tax return","N/A")</f>
        <v>Sep-2025 sales tax return</v>
      </c>
      <c r="BP89" s="21" t="s">
        <v>1051</v>
      </c>
      <c r="BQ89" s="29">
        <f>J89+30</f>
        <v>45936</v>
      </c>
      <c r="BR89" s="29">
        <f>BQ89</f>
        <v>45936</v>
      </c>
      <c r="BS89" s="21" t="s">
        <v>3095</v>
      </c>
      <c r="BT89" s="21" t="s">
        <v>3360</v>
      </c>
      <c r="BU89" s="21" t="s">
        <v>844</v>
      </c>
      <c r="BV89" s="21" t="s">
        <v>846</v>
      </c>
      <c r="BW89" s="21" t="str" cm="1">
        <f t="array" ref="BW89">_xlfn.TEXTJOIN(", ",TRUE,_xlfn.UNIQUE(_xlfn._xlws.FILTER('T10'!$A$3:$A$1500,'T10'!$V$3:$V$1500=G89,"None")))</f>
        <v>PV-0039</v>
      </c>
      <c r="BX89" s="21" t="s">
        <v>3885</v>
      </c>
      <c r="BY89" s="21" t="s">
        <v>3886</v>
      </c>
    </row>
    <row r="90" spans="1:77" x14ac:dyDescent="0.3">
      <c r="A90" s="21" t="s">
        <v>3395</v>
      </c>
      <c r="B90" s="21" t="s">
        <v>3888</v>
      </c>
      <c r="C90" s="21" t="s">
        <v>3889</v>
      </c>
      <c r="D90" s="35">
        <v>45932.5</v>
      </c>
      <c r="E90" s="21" t="s">
        <v>3347</v>
      </c>
      <c r="F90" s="21" t="str">
        <f ca="1">IF(S90="Paid","Completed","Pending payment")</f>
        <v>Completed</v>
      </c>
      <c r="G90" s="21" t="s">
        <v>3890</v>
      </c>
      <c r="H90" s="21" t="s">
        <v>3399</v>
      </c>
      <c r="I90" s="29">
        <v>45930</v>
      </c>
      <c r="J90" s="29">
        <v>45930</v>
      </c>
      <c r="K90" s="21" t="str">
        <f>TEXT(I90,"mmm-yyyy")</f>
        <v>Sep-2025</v>
      </c>
      <c r="L90" s="21" t="s">
        <v>1797</v>
      </c>
      <c r="M90" s="21">
        <v>1</v>
      </c>
      <c r="N90" s="21" t="s">
        <v>743</v>
      </c>
      <c r="O90" s="21" t="s">
        <v>3400</v>
      </c>
      <c r="P90" s="21" t="s">
        <v>3401</v>
      </c>
      <c r="Q90" s="21" t="s">
        <v>844</v>
      </c>
      <c r="R90" s="21" t="s">
        <v>3891</v>
      </c>
      <c r="S90" s="21" t="str">
        <f ca="1">IF(BN90&lt;1,"Paid",IF(BM90&gt;0,"Partially paid",IF(ISNUMBER(SEARCH("hold",BU90)),"On hold",IF(BQ90&lt;TODAY(),"Overdue","Approved - unpaid"))))</f>
        <v>Paid</v>
      </c>
      <c r="T90" s="21" t="s">
        <v>3403</v>
      </c>
      <c r="U90" s="21" t="s">
        <v>3404</v>
      </c>
      <c r="V90" s="21" t="s">
        <v>967</v>
      </c>
      <c r="W90" s="21" t="s">
        <v>746</v>
      </c>
      <c r="X90" s="21" t="s">
        <v>846</v>
      </c>
      <c r="Y90" s="21" t="s">
        <v>3405</v>
      </c>
      <c r="Z90" s="21" t="s">
        <v>3406</v>
      </c>
      <c r="AA90" s="21" t="s">
        <v>1062</v>
      </c>
      <c r="AB90" s="37">
        <v>0</v>
      </c>
      <c r="AC90" s="21" t="s">
        <v>3892</v>
      </c>
      <c r="AD90" s="21" t="s">
        <v>3893</v>
      </c>
      <c r="AE90" s="21" t="s">
        <v>3409</v>
      </c>
      <c r="AF90" s="21">
        <v>1</v>
      </c>
      <c r="AG90" s="21" t="s">
        <v>763</v>
      </c>
      <c r="AH90" s="21" t="s">
        <v>766</v>
      </c>
      <c r="AI90" s="21" t="s">
        <v>1804</v>
      </c>
      <c r="AJ90" s="37">
        <v>2850</v>
      </c>
      <c r="AK90" s="37">
        <v>2850</v>
      </c>
      <c r="AL90" s="37">
        <v>1360</v>
      </c>
      <c r="AM90" s="37">
        <f>AK90*AL90</f>
        <v>3876000</v>
      </c>
      <c r="AN90" s="37">
        <f>AM90</f>
        <v>3876000</v>
      </c>
      <c r="AO90" s="23">
        <f>_xlfn.XLOOKUP(AG90,'T13'!$A$3:$A$1500,'T13'!$O$3:$O$1500)</f>
        <v>0.18</v>
      </c>
      <c r="AP90" s="37">
        <f>AK90*IF(AI90="MT",1000,IF(AI90="Jumbo bag (1.5 MT)",1500,IF(AI90="Bag (40 kg)",40,50)))*3</f>
        <v>427500</v>
      </c>
      <c r="AQ90" s="37">
        <f>SUMIFS($AN$3:$AN$1500,$G$3:$G$1500,G90)</f>
        <v>5741500</v>
      </c>
      <c r="AR90" s="37">
        <f>SUMIFS($AP$3:$AP$1500,$G$3:$G$1500,G90)</f>
        <v>622500</v>
      </c>
      <c r="AS90" s="21" t="s">
        <v>3410</v>
      </c>
      <c r="AT90" s="37">
        <f>ROUND(BH90*0.05,0)</f>
        <v>369874</v>
      </c>
      <c r="AU90" s="21" t="s">
        <v>846</v>
      </c>
      <c r="AV90" s="37" cm="1">
        <f t="array" ref="AV90">SUMPRODUCT(($G$3:$G$1500=G90)*$AN$3:$AN$1500*$AO$3:$AO$1500)+AR90</f>
        <v>1655970</v>
      </c>
      <c r="AW90" s="37">
        <f>AT90</f>
        <v>369874</v>
      </c>
      <c r="AX90" s="21" t="str">
        <f>TEXT(EOMONTH(I90,0)+15,"dd-mmm-yyyy")&amp;" / "&amp;IF(BM90&gt;0,"CPR-IT-"&amp;TEXT(I90,"yymm")&amp;"-"&amp;RIGHT(G90,4),"Pending payment")</f>
        <v>15-Oct-2025 / CPR-IT-2509-0072</v>
      </c>
      <c r="AY90" s="21" t="str">
        <f>IF(BM90&gt;0,"Issued","Not yet")</f>
        <v>Issued</v>
      </c>
      <c r="AZ90" s="37">
        <v>0</v>
      </c>
      <c r="BA90" s="37">
        <v>0</v>
      </c>
      <c r="BB90" s="37">
        <v>0</v>
      </c>
      <c r="BC90" s="37">
        <v>0</v>
      </c>
      <c r="BD90" s="37">
        <v>0</v>
      </c>
      <c r="BE90" s="37">
        <f>AQ90</f>
        <v>5741500</v>
      </c>
      <c r="BF90" s="37">
        <f>AV90</f>
        <v>1655970</v>
      </c>
      <c r="BG90" s="37">
        <f>AZ90</f>
        <v>0</v>
      </c>
      <c r="BH90" s="37">
        <f>BE90+BF90+BG90</f>
        <v>7397470</v>
      </c>
      <c r="BI90" s="37">
        <f>AW90</f>
        <v>369874</v>
      </c>
      <c r="BJ90" s="37">
        <f>BA90+BB90+BC90+BD90</f>
        <v>0</v>
      </c>
      <c r="BK90" s="37">
        <f>BH90-BI90-BJ90</f>
        <v>7027596</v>
      </c>
      <c r="BL90" s="21" t="str">
        <f>"PKR "&amp;TEXT(BK90,"#,##0")&amp;" only"</f>
        <v>PKR 7,027,596 only</v>
      </c>
      <c r="BM90" s="37">
        <f>SUMIFS('T10'!$AK$3:$AK$1500,'T10'!$V$3:$V$1500,G90)</f>
        <v>7027596</v>
      </c>
      <c r="BN90" s="37">
        <f>BK90-BM90</f>
        <v>0</v>
      </c>
      <c r="BO90" s="21" t="str">
        <f>IF(BF90&gt;0,TEXT(I90,"mmm-yyyy")&amp;" sales tax return","N/A")</f>
        <v>Sep-2025 sales tax return</v>
      </c>
      <c r="BP90" s="21" t="s">
        <v>1062</v>
      </c>
      <c r="BQ90" s="29">
        <f>J90+15</f>
        <v>45945</v>
      </c>
      <c r="BR90" s="29">
        <f>BQ90</f>
        <v>45945</v>
      </c>
      <c r="BS90" s="21" t="s">
        <v>3095</v>
      </c>
      <c r="BT90" s="21" t="s">
        <v>3411</v>
      </c>
      <c r="BU90" s="21" t="s">
        <v>844</v>
      </c>
      <c r="BV90" s="21" t="s">
        <v>846</v>
      </c>
      <c r="BW90" s="21" t="str" cm="1">
        <f t="array" ref="BW90">_xlfn.TEXTJOIN(", ",TRUE,_xlfn.UNIQUE(_xlfn._xlws.FILTER('T10'!$A$3:$A$1500,'T10'!$V$3:$V$1500=G90,"None")))</f>
        <v>PV-0016</v>
      </c>
      <c r="BX90" s="21" t="s">
        <v>3894</v>
      </c>
      <c r="BY90" s="21" t="s">
        <v>3895</v>
      </c>
    </row>
    <row r="91" spans="1:77" x14ac:dyDescent="0.3">
      <c r="A91" s="21" t="s">
        <v>3395</v>
      </c>
      <c r="B91" s="21" t="s">
        <v>3888</v>
      </c>
      <c r="C91" s="21" t="s">
        <v>3889</v>
      </c>
      <c r="D91" s="35">
        <v>45932.5</v>
      </c>
      <c r="E91" s="21" t="s">
        <v>3347</v>
      </c>
      <c r="F91" s="21" t="str">
        <f ca="1">IF(S91="Paid","Completed","Pending payment")</f>
        <v>Completed</v>
      </c>
      <c r="G91" s="21" t="s">
        <v>3890</v>
      </c>
      <c r="H91" s="21" t="s">
        <v>3399</v>
      </c>
      <c r="I91" s="29">
        <v>45930</v>
      </c>
      <c r="J91" s="29">
        <v>45930</v>
      </c>
      <c r="K91" s="21" t="str">
        <f>TEXT(I91,"mmm-yyyy")</f>
        <v>Sep-2025</v>
      </c>
      <c r="L91" s="21" t="s">
        <v>1797</v>
      </c>
      <c r="M91" s="21">
        <v>1</v>
      </c>
      <c r="N91" s="21" t="s">
        <v>743</v>
      </c>
      <c r="O91" s="21" t="s">
        <v>3400</v>
      </c>
      <c r="P91" s="21" t="s">
        <v>3401</v>
      </c>
      <c r="Q91" s="21" t="s">
        <v>844</v>
      </c>
      <c r="R91" s="21" t="s">
        <v>3891</v>
      </c>
      <c r="S91" s="21" t="str">
        <f ca="1">IF(BN91&lt;1,"Paid",IF(BM91&gt;0,"Partially paid",IF(ISNUMBER(SEARCH("hold",BU91)),"On hold",IF(BQ91&lt;TODAY(),"Overdue","Approved - unpaid"))))</f>
        <v>Paid</v>
      </c>
      <c r="T91" s="21" t="s">
        <v>3403</v>
      </c>
      <c r="U91" s="21" t="s">
        <v>3404</v>
      </c>
      <c r="V91" s="21" t="s">
        <v>967</v>
      </c>
      <c r="W91" s="21" t="s">
        <v>746</v>
      </c>
      <c r="X91" s="21" t="s">
        <v>846</v>
      </c>
      <c r="Y91" s="21" t="s">
        <v>3405</v>
      </c>
      <c r="Z91" s="21" t="s">
        <v>3406</v>
      </c>
      <c r="AA91" s="21" t="s">
        <v>1062</v>
      </c>
      <c r="AB91" s="37">
        <v>0</v>
      </c>
      <c r="AC91" s="21" t="s">
        <v>3892</v>
      </c>
      <c r="AD91" s="21" t="s">
        <v>3896</v>
      </c>
      <c r="AE91" s="21" t="s">
        <v>3409</v>
      </c>
      <c r="AF91" s="21">
        <v>2</v>
      </c>
      <c r="AG91" s="21" t="s">
        <v>788</v>
      </c>
      <c r="AH91" s="21" t="s">
        <v>790</v>
      </c>
      <c r="AI91" s="21" t="s">
        <v>1804</v>
      </c>
      <c r="AJ91" s="37">
        <v>1300</v>
      </c>
      <c r="AK91" s="37">
        <v>1300</v>
      </c>
      <c r="AL91" s="37">
        <v>1435</v>
      </c>
      <c r="AM91" s="37">
        <f>AK91*AL91</f>
        <v>1865500</v>
      </c>
      <c r="AN91" s="37">
        <f>AM91</f>
        <v>1865500</v>
      </c>
      <c r="AO91" s="23">
        <f>_xlfn.XLOOKUP(AG91,'T13'!$A$3:$A$1500,'T13'!$O$3:$O$1500)</f>
        <v>0.18</v>
      </c>
      <c r="AP91" s="37">
        <f>AK91*IF(AI91="MT",1000,IF(AI91="Jumbo bag (1.5 MT)",1500,IF(AI91="Bag (40 kg)",40,50)))*3</f>
        <v>195000</v>
      </c>
      <c r="AQ91" s="37">
        <f>SUMIFS($AN$3:$AN$1500,$G$3:$G$1500,G91)</f>
        <v>5741500</v>
      </c>
      <c r="AR91" s="37">
        <f>SUMIFS($AP$3:$AP$1500,$G$3:$G$1500,G91)</f>
        <v>622500</v>
      </c>
      <c r="AS91" s="21" t="s">
        <v>3410</v>
      </c>
      <c r="AT91" s="37">
        <f>ROUND(BH91*0.05,0)</f>
        <v>369874</v>
      </c>
      <c r="AU91" s="21" t="s">
        <v>846</v>
      </c>
      <c r="AV91" s="37" cm="1">
        <f t="array" ref="AV91">SUMPRODUCT(($G$3:$G$1500=G91)*$AN$3:$AN$1500*$AO$3:$AO$1500)+AR91</f>
        <v>1655970</v>
      </c>
      <c r="AW91" s="37">
        <f>AT91</f>
        <v>369874</v>
      </c>
      <c r="AX91" s="21" t="str">
        <f>TEXT(EOMONTH(I91,0)+15,"dd-mmm-yyyy")&amp;" / "&amp;IF(BM91&gt;0,"CPR-IT-"&amp;TEXT(I91,"yymm")&amp;"-"&amp;RIGHT(G91,4),"Pending payment")</f>
        <v>15-Oct-2025 / CPR-IT-2509-0072</v>
      </c>
      <c r="AY91" s="21" t="str">
        <f>IF(BM91&gt;0,"Issued","Not yet")</f>
        <v>Issued</v>
      </c>
      <c r="AZ91" s="37">
        <v>0</v>
      </c>
      <c r="BA91" s="37">
        <v>0</v>
      </c>
      <c r="BB91" s="37">
        <v>0</v>
      </c>
      <c r="BC91" s="37">
        <v>0</v>
      </c>
      <c r="BD91" s="37">
        <v>0</v>
      </c>
      <c r="BE91" s="37">
        <f>AQ91</f>
        <v>5741500</v>
      </c>
      <c r="BF91" s="37">
        <f>AV91</f>
        <v>1655970</v>
      </c>
      <c r="BG91" s="37">
        <f>AZ91</f>
        <v>0</v>
      </c>
      <c r="BH91" s="37">
        <f>BE91+BF91+BG91</f>
        <v>7397470</v>
      </c>
      <c r="BI91" s="37">
        <f>AW91</f>
        <v>369874</v>
      </c>
      <c r="BJ91" s="37">
        <f>BA91+BB91+BC91+BD91</f>
        <v>0</v>
      </c>
      <c r="BK91" s="37">
        <f>BH91-BI91-BJ91</f>
        <v>7027596</v>
      </c>
      <c r="BL91" s="21" t="str">
        <f>"PKR "&amp;TEXT(BK91,"#,##0")&amp;" only"</f>
        <v>PKR 7,027,596 only</v>
      </c>
      <c r="BM91" s="37">
        <f>SUMIFS('T10'!$AK$3:$AK$1500,'T10'!$V$3:$V$1500,G91)</f>
        <v>7027596</v>
      </c>
      <c r="BN91" s="37">
        <f>BK91-BM91</f>
        <v>0</v>
      </c>
      <c r="BO91" s="21" t="str">
        <f>IF(BF91&gt;0,TEXT(I91,"mmm-yyyy")&amp;" sales tax return","N/A")</f>
        <v>Sep-2025 sales tax return</v>
      </c>
      <c r="BP91" s="21" t="s">
        <v>1062</v>
      </c>
      <c r="BQ91" s="29">
        <f>J91+15</f>
        <v>45945</v>
      </c>
      <c r="BR91" s="29">
        <f>BQ91</f>
        <v>45945</v>
      </c>
      <c r="BS91" s="21" t="s">
        <v>3095</v>
      </c>
      <c r="BT91" s="21" t="s">
        <v>3411</v>
      </c>
      <c r="BU91" s="21" t="s">
        <v>844</v>
      </c>
      <c r="BV91" s="21" t="s">
        <v>846</v>
      </c>
      <c r="BW91" s="21" t="str" cm="1">
        <f t="array" ref="BW91">_xlfn.TEXTJOIN(", ",TRUE,_xlfn.UNIQUE(_xlfn._xlws.FILTER('T10'!$A$3:$A$1500,'T10'!$V$3:$V$1500=G91,"None")))</f>
        <v>PV-0016</v>
      </c>
      <c r="BX91" s="21" t="s">
        <v>3894</v>
      </c>
      <c r="BY91" s="21" t="s">
        <v>3895</v>
      </c>
    </row>
    <row r="92" spans="1:77" x14ac:dyDescent="0.3">
      <c r="A92" s="21" t="s">
        <v>3438</v>
      </c>
      <c r="B92" s="21" t="s">
        <v>2452</v>
      </c>
      <c r="C92" s="21" t="s">
        <v>3897</v>
      </c>
      <c r="D92" s="35">
        <v>45933.625</v>
      </c>
      <c r="E92" s="21" t="s">
        <v>3347</v>
      </c>
      <c r="F92" s="21" t="str">
        <f ca="1">IF(S92="Paid","Completed","Pending payment")</f>
        <v>Completed</v>
      </c>
      <c r="G92" s="21" t="s">
        <v>3898</v>
      </c>
      <c r="H92" s="21" t="s">
        <v>3428</v>
      </c>
      <c r="I92" s="29">
        <v>45933</v>
      </c>
      <c r="J92" s="29">
        <v>45931</v>
      </c>
      <c r="K92" s="21" t="str">
        <f>TEXT(I92,"mmm-yyyy")</f>
        <v>Oct-2025</v>
      </c>
      <c r="L92" s="21" t="s">
        <v>1797</v>
      </c>
      <c r="M92" s="21">
        <v>1</v>
      </c>
      <c r="N92" s="21" t="s">
        <v>743</v>
      </c>
      <c r="O92" s="21" t="s">
        <v>3350</v>
      </c>
      <c r="P92" s="21" t="s">
        <v>3429</v>
      </c>
      <c r="Q92" s="21" t="s">
        <v>844</v>
      </c>
      <c r="R92" s="21" t="s">
        <v>3899</v>
      </c>
      <c r="S92" s="21" t="str">
        <f ca="1">IF(BN92&lt;1,"Paid",IF(BM92&gt;0,"Partially paid",IF(ISNUMBER(SEARCH("hold",BU92)),"On hold",IF(BQ92&lt;TODAY(),"Overdue","Approved - unpaid"))))</f>
        <v>Paid</v>
      </c>
      <c r="T92" s="21" t="s">
        <v>3431</v>
      </c>
      <c r="U92" s="21" t="s">
        <v>1278</v>
      </c>
      <c r="V92" s="21" t="s">
        <v>1200</v>
      </c>
      <c r="W92" s="21" t="s">
        <v>746</v>
      </c>
      <c r="X92" s="21" t="s">
        <v>846</v>
      </c>
      <c r="Y92" s="21" t="s">
        <v>3441</v>
      </c>
      <c r="Z92" s="21" t="s">
        <v>3442</v>
      </c>
      <c r="AA92" s="21" t="s">
        <v>1051</v>
      </c>
      <c r="AB92" s="37">
        <v>0</v>
      </c>
      <c r="AC92" s="21" t="s">
        <v>844</v>
      </c>
      <c r="AD92" s="21" t="s">
        <v>844</v>
      </c>
      <c r="AE92" s="21" t="s">
        <v>3443</v>
      </c>
      <c r="AF92" s="21">
        <v>1</v>
      </c>
      <c r="AG92" s="21" t="s">
        <v>837</v>
      </c>
      <c r="AH92" s="21" t="s">
        <v>840</v>
      </c>
      <c r="AI92" s="21" t="s">
        <v>842</v>
      </c>
      <c r="AJ92" s="37">
        <f>COUNTIFS('T14'!$AQ$3:$AQ$1500,B92,'T14'!$Z$3:$Z$1500,1,'T14'!$F$3:$F$1500,"Bag")</f>
        <v>3</v>
      </c>
      <c r="AK92" s="37">
        <f>AJ92</f>
        <v>3</v>
      </c>
      <c r="AL92" s="37">
        <v>40100</v>
      </c>
      <c r="AM92" s="37">
        <f>AK92*AL92</f>
        <v>120300</v>
      </c>
      <c r="AN92" s="37">
        <f>AM92</f>
        <v>120300</v>
      </c>
      <c r="AO92" s="23">
        <f>_xlfn.XLOOKUP(AG92,'T13'!$A$3:$A$1500,'T13'!$O$3:$O$1500)</f>
        <v>0.16</v>
      </c>
      <c r="AP92" s="37">
        <v>0</v>
      </c>
      <c r="AQ92" s="37">
        <f>SUMIFS($AN$3:$AN$1500,$G$3:$G$1500,G92)</f>
        <v>120300</v>
      </c>
      <c r="AR92" s="37">
        <f>SUMIFS($AP$3:$AP$1500,$G$3:$G$1500,G92)</f>
        <v>0</v>
      </c>
      <c r="AS92" s="21" t="s">
        <v>3444</v>
      </c>
      <c r="AT92" s="37">
        <f>ROUND(BH92*0.04,0)</f>
        <v>5582</v>
      </c>
      <c r="AU92" s="21" t="s">
        <v>846</v>
      </c>
      <c r="AV92" s="37" cm="1">
        <f t="array" ref="AV92">SUMPRODUCT(($G$3:$G$1500=G92)*$AN$3:$AN$1500*$AO$3:$AO$1500)+AR92</f>
        <v>19248</v>
      </c>
      <c r="AW92" s="37">
        <f>AT92</f>
        <v>5582</v>
      </c>
      <c r="AX92" s="21" t="str">
        <f>TEXT(EOMONTH(I92,0)+15,"dd-mmm-yyyy")&amp;" / "&amp;IF(BM92&gt;0,"CPR-IT-"&amp;TEXT(I92,"yymm")&amp;"-"&amp;RIGHT(G92,4),"Pending payment")</f>
        <v>15-Nov-2025 / CPR-IT-2510-0073</v>
      </c>
      <c r="AY92" s="21" t="str">
        <f>IF(BM92&gt;0,"Issued","Not yet")</f>
        <v>Issued</v>
      </c>
      <c r="AZ92" s="37">
        <v>0</v>
      </c>
      <c r="BA92" s="37">
        <v>0</v>
      </c>
      <c r="BB92" s="37">
        <v>0</v>
      </c>
      <c r="BC92" s="37">
        <v>0</v>
      </c>
      <c r="BD92" s="37">
        <v>0</v>
      </c>
      <c r="BE92" s="37">
        <f>AQ92</f>
        <v>120300</v>
      </c>
      <c r="BF92" s="37">
        <f>AV92</f>
        <v>19248</v>
      </c>
      <c r="BG92" s="37">
        <f>AZ92</f>
        <v>0</v>
      </c>
      <c r="BH92" s="37">
        <f>BE92+BF92+BG92</f>
        <v>139548</v>
      </c>
      <c r="BI92" s="37">
        <f>AW92</f>
        <v>5582</v>
      </c>
      <c r="BJ92" s="37">
        <f>BA92+BB92+BC92+BD92</f>
        <v>0</v>
      </c>
      <c r="BK92" s="37">
        <f>BH92-BI92-BJ92</f>
        <v>133966</v>
      </c>
      <c r="BL92" s="21" t="str">
        <f>"PKR "&amp;TEXT(BK92,"#,##0")&amp;" only"</f>
        <v>PKR 133,966 only</v>
      </c>
      <c r="BM92" s="37">
        <f>SUMIFS('T10'!$AK$3:$AK$1500,'T10'!$V$3:$V$1500,G92)</f>
        <v>133966</v>
      </c>
      <c r="BN92" s="37">
        <f>BK92-BM92</f>
        <v>0</v>
      </c>
      <c r="BO92" s="21" t="str">
        <f>IF(BF92&gt;0,TEXT(I92,"mmm-yyyy")&amp;" sales tax return","N/A")</f>
        <v>Oct-2025 sales tax return</v>
      </c>
      <c r="BP92" s="21" t="s">
        <v>1051</v>
      </c>
      <c r="BQ92" s="29">
        <f>J92+30</f>
        <v>45961</v>
      </c>
      <c r="BR92" s="29">
        <f>BQ92</f>
        <v>45961</v>
      </c>
      <c r="BS92" s="21" t="s">
        <v>3095</v>
      </c>
      <c r="BT92" s="21" t="s">
        <v>3360</v>
      </c>
      <c r="BU92" s="21" t="s">
        <v>844</v>
      </c>
      <c r="BV92" s="21" t="s">
        <v>846</v>
      </c>
      <c r="BW92" s="21" t="str" cm="1">
        <f t="array" ref="BW92">_xlfn.TEXTJOIN(", ",TRUE,_xlfn.UNIQUE(_xlfn._xlws.FILTER('T10'!$A$3:$A$1500,'T10'!$V$3:$V$1500=G92,"None")))</f>
        <v>PV-0017</v>
      </c>
      <c r="BX92" s="21" t="s">
        <v>3900</v>
      </c>
      <c r="BY92" s="21" t="s">
        <v>3901</v>
      </c>
    </row>
    <row r="93" spans="1:77" x14ac:dyDescent="0.3">
      <c r="A93" s="21" t="s">
        <v>3489</v>
      </c>
      <c r="B93" s="21" t="s">
        <v>2459</v>
      </c>
      <c r="C93" s="21" t="s">
        <v>3902</v>
      </c>
      <c r="D93" s="35">
        <v>45932.666666666664</v>
      </c>
      <c r="E93" s="21" t="s">
        <v>3347</v>
      </c>
      <c r="F93" s="21" t="str">
        <f ca="1">IF(S93="Paid","Completed","Pending payment")</f>
        <v>Completed</v>
      </c>
      <c r="G93" s="21" t="s">
        <v>3903</v>
      </c>
      <c r="H93" s="21" t="s">
        <v>3428</v>
      </c>
      <c r="I93" s="29">
        <v>45933</v>
      </c>
      <c r="J93" s="29">
        <v>45931</v>
      </c>
      <c r="K93" s="21" t="str">
        <f>TEXT(I93,"mmm-yyyy")</f>
        <v>Oct-2025</v>
      </c>
      <c r="L93" s="21" t="s">
        <v>1797</v>
      </c>
      <c r="M93" s="21">
        <v>1</v>
      </c>
      <c r="N93" s="21" t="s">
        <v>743</v>
      </c>
      <c r="O93" s="21" t="s">
        <v>3350</v>
      </c>
      <c r="P93" s="21" t="s">
        <v>3429</v>
      </c>
      <c r="Q93" s="21" t="s">
        <v>844</v>
      </c>
      <c r="R93" s="21" t="s">
        <v>3904</v>
      </c>
      <c r="S93" s="21" t="str">
        <f ca="1">IF(BN93&lt;1,"Paid",IF(BM93&gt;0,"Partially paid",IF(ISNUMBER(SEARCH("hold",BU93)),"On hold",IF(BQ93&lt;TODAY(),"Overdue","Approved - unpaid"))))</f>
        <v>Paid</v>
      </c>
      <c r="T93" s="21" t="s">
        <v>3431</v>
      </c>
      <c r="U93" s="21" t="s">
        <v>1213</v>
      </c>
      <c r="V93" s="21" t="s">
        <v>1194</v>
      </c>
      <c r="W93" s="21" t="s">
        <v>746</v>
      </c>
      <c r="X93" s="21" t="s">
        <v>846</v>
      </c>
      <c r="Y93" s="21" t="s">
        <v>3493</v>
      </c>
      <c r="Z93" s="21" t="s">
        <v>3494</v>
      </c>
      <c r="AA93" s="21" t="s">
        <v>1051</v>
      </c>
      <c r="AB93" s="37">
        <v>0</v>
      </c>
      <c r="AC93" s="21" t="s">
        <v>844</v>
      </c>
      <c r="AD93" s="21" t="s">
        <v>844</v>
      </c>
      <c r="AE93" s="21" t="s">
        <v>3495</v>
      </c>
      <c r="AF93" s="21">
        <v>1</v>
      </c>
      <c r="AG93" s="21" t="s">
        <v>837</v>
      </c>
      <c r="AH93" s="21" t="s">
        <v>840</v>
      </c>
      <c r="AI93" s="21" t="s">
        <v>842</v>
      </c>
      <c r="AJ93" s="37">
        <f>COUNTIFS('T14'!$AQ$3:$AQ$1500,B93,'T14'!$Z$3:$Z$1500,1,'T14'!$F$3:$F$1500,"Bag")</f>
        <v>3</v>
      </c>
      <c r="AK93" s="37">
        <f>AJ93</f>
        <v>3</v>
      </c>
      <c r="AL93" s="37">
        <v>40100</v>
      </c>
      <c r="AM93" s="37">
        <f>AK93*AL93</f>
        <v>120300</v>
      </c>
      <c r="AN93" s="37">
        <f>AM93</f>
        <v>120300</v>
      </c>
      <c r="AO93" s="23">
        <f>_xlfn.XLOOKUP(AG93,'T13'!$A$3:$A$1500,'T13'!$O$3:$O$1500)</f>
        <v>0.16</v>
      </c>
      <c r="AP93" s="37">
        <v>0</v>
      </c>
      <c r="AQ93" s="37">
        <f>SUMIFS($AN$3:$AN$1500,$G$3:$G$1500,G93)</f>
        <v>120300</v>
      </c>
      <c r="AR93" s="37">
        <f>SUMIFS($AP$3:$AP$1500,$G$3:$G$1500,G93)</f>
        <v>0</v>
      </c>
      <c r="AS93" s="21" t="s">
        <v>3444</v>
      </c>
      <c r="AT93" s="37">
        <f>ROUND(BH93*0.04,0)</f>
        <v>5582</v>
      </c>
      <c r="AU93" s="21" t="s">
        <v>846</v>
      </c>
      <c r="AV93" s="37" cm="1">
        <f t="array" ref="AV93">SUMPRODUCT(($G$3:$G$1500=G93)*$AN$3:$AN$1500*$AO$3:$AO$1500)+AR93</f>
        <v>19248</v>
      </c>
      <c r="AW93" s="37">
        <f>AT93</f>
        <v>5582</v>
      </c>
      <c r="AX93" s="21" t="str">
        <f>TEXT(EOMONTH(I93,0)+15,"dd-mmm-yyyy")&amp;" / "&amp;IF(BM93&gt;0,"CPR-IT-"&amp;TEXT(I93,"yymm")&amp;"-"&amp;RIGHT(G93,4),"Pending payment")</f>
        <v>15-Nov-2025 / CPR-IT-2510-0074</v>
      </c>
      <c r="AY93" s="21" t="str">
        <f>IF(BM93&gt;0,"Issued","Not yet")</f>
        <v>Issued</v>
      </c>
      <c r="AZ93" s="37">
        <v>0</v>
      </c>
      <c r="BA93" s="37">
        <v>0</v>
      </c>
      <c r="BB93" s="37">
        <v>0</v>
      </c>
      <c r="BC93" s="37">
        <v>0</v>
      </c>
      <c r="BD93" s="37">
        <v>0</v>
      </c>
      <c r="BE93" s="37">
        <f>AQ93</f>
        <v>120300</v>
      </c>
      <c r="BF93" s="37">
        <f>AV93</f>
        <v>19248</v>
      </c>
      <c r="BG93" s="37">
        <f>AZ93</f>
        <v>0</v>
      </c>
      <c r="BH93" s="37">
        <f>BE93+BF93+BG93</f>
        <v>139548</v>
      </c>
      <c r="BI93" s="37">
        <f>AW93</f>
        <v>5582</v>
      </c>
      <c r="BJ93" s="37">
        <f>BA93+BB93+BC93+BD93</f>
        <v>0</v>
      </c>
      <c r="BK93" s="37">
        <f>BH93-BI93-BJ93</f>
        <v>133966</v>
      </c>
      <c r="BL93" s="21" t="str">
        <f>"PKR "&amp;TEXT(BK93,"#,##0")&amp;" only"</f>
        <v>PKR 133,966 only</v>
      </c>
      <c r="BM93" s="37">
        <f>SUMIFS('T10'!$AK$3:$AK$1500,'T10'!$V$3:$V$1500,G93)</f>
        <v>133966</v>
      </c>
      <c r="BN93" s="37">
        <f>BK93-BM93</f>
        <v>0</v>
      </c>
      <c r="BO93" s="21" t="str">
        <f>IF(BF93&gt;0,TEXT(I93,"mmm-yyyy")&amp;" sales tax return","N/A")</f>
        <v>Oct-2025 sales tax return</v>
      </c>
      <c r="BP93" s="21" t="s">
        <v>1051</v>
      </c>
      <c r="BQ93" s="29">
        <f>J93+30</f>
        <v>45961</v>
      </c>
      <c r="BR93" s="29">
        <f>BQ93</f>
        <v>45961</v>
      </c>
      <c r="BS93" s="21" t="s">
        <v>3095</v>
      </c>
      <c r="BT93" s="21" t="s">
        <v>3360</v>
      </c>
      <c r="BU93" s="21" t="s">
        <v>844</v>
      </c>
      <c r="BV93" s="21" t="s">
        <v>846</v>
      </c>
      <c r="BW93" s="21" t="str" cm="1">
        <f t="array" ref="BW93">_xlfn.TEXTJOIN(", ",TRUE,_xlfn.UNIQUE(_xlfn._xlws.FILTER('T10'!$A$3:$A$1500,'T10'!$V$3:$V$1500=G93,"None")))</f>
        <v>PV-0018</v>
      </c>
      <c r="BX93" s="21" t="s">
        <v>3900</v>
      </c>
      <c r="BY93" s="21" t="s">
        <v>3901</v>
      </c>
    </row>
    <row r="94" spans="1:77" x14ac:dyDescent="0.3">
      <c r="A94" s="21" t="s">
        <v>3562</v>
      </c>
      <c r="B94" s="21" t="s">
        <v>3905</v>
      </c>
      <c r="C94" s="21" t="s">
        <v>3906</v>
      </c>
      <c r="D94" s="35">
        <v>45935.666666666664</v>
      </c>
      <c r="E94" s="21" t="s">
        <v>3347</v>
      </c>
      <c r="F94" s="21" t="str">
        <f ca="1">IF(S94="Paid","Completed","Pending payment")</f>
        <v>Completed</v>
      </c>
      <c r="G94" s="21" t="s">
        <v>3907</v>
      </c>
      <c r="H94" s="21" t="s">
        <v>3385</v>
      </c>
      <c r="I94" s="29">
        <v>45936</v>
      </c>
      <c r="J94" s="29">
        <v>45934</v>
      </c>
      <c r="K94" s="21" t="str">
        <f>TEXT(I94,"mmm-yyyy")</f>
        <v>Oct-2025</v>
      </c>
      <c r="L94" s="21" t="s">
        <v>1797</v>
      </c>
      <c r="M94" s="21">
        <v>1</v>
      </c>
      <c r="N94" s="21" t="s">
        <v>743</v>
      </c>
      <c r="O94" s="21" t="s">
        <v>3350</v>
      </c>
      <c r="P94" s="21" t="s">
        <v>3429</v>
      </c>
      <c r="Q94" s="21" t="s">
        <v>844</v>
      </c>
      <c r="R94" s="21" t="s">
        <v>3908</v>
      </c>
      <c r="S94" s="21" t="str">
        <f ca="1">IF(BN94&lt;1,"Paid",IF(BM94&gt;0,"Partially paid",IF(ISNUMBER(SEARCH("hold",BU94)),"On hold",IF(BQ94&lt;TODAY(),"Overdue","Approved - unpaid"))))</f>
        <v>Paid</v>
      </c>
      <c r="T94" s="21" t="s">
        <v>3387</v>
      </c>
      <c r="U94" s="21" t="s">
        <v>3567</v>
      </c>
      <c r="V94" s="21" t="s">
        <v>3568</v>
      </c>
      <c r="W94" s="21" t="s">
        <v>746</v>
      </c>
      <c r="X94" s="21" t="s">
        <v>846</v>
      </c>
      <c r="Y94" s="21" t="s">
        <v>3569</v>
      </c>
      <c r="Z94" s="21" t="s">
        <v>3570</v>
      </c>
      <c r="AA94" s="21" t="s">
        <v>1051</v>
      </c>
      <c r="AB94" s="37">
        <v>0</v>
      </c>
      <c r="AC94" s="21" t="s">
        <v>844</v>
      </c>
      <c r="AD94" s="21" t="s">
        <v>844</v>
      </c>
      <c r="AE94" s="21" t="s">
        <v>844</v>
      </c>
      <c r="AF94" s="21">
        <v>1</v>
      </c>
      <c r="AG94" s="21" t="s">
        <v>943</v>
      </c>
      <c r="AH94" s="21" t="s">
        <v>945</v>
      </c>
      <c r="AI94" s="21" t="s">
        <v>946</v>
      </c>
      <c r="AJ94" s="37">
        <v>1</v>
      </c>
      <c r="AK94" s="37">
        <v>1</v>
      </c>
      <c r="AL94" s="37">
        <v>36680</v>
      </c>
      <c r="AM94" s="37">
        <f>AK94*AL94</f>
        <v>36680</v>
      </c>
      <c r="AN94" s="37">
        <f>AM94</f>
        <v>36680</v>
      </c>
      <c r="AO94" s="23">
        <f>_xlfn.XLOOKUP(AG94,'T13'!$A$3:$A$1500,'T13'!$O$3:$O$1500)</f>
        <v>0.16</v>
      </c>
      <c r="AP94" s="37">
        <v>0</v>
      </c>
      <c r="AQ94" s="37">
        <f>SUMIFS($AN$3:$AN$1500,$G$3:$G$1500,G94)</f>
        <v>36680</v>
      </c>
      <c r="AR94" s="37">
        <f>SUMIFS($AP$3:$AP$1500,$G$3:$G$1500,G94)</f>
        <v>0</v>
      </c>
      <c r="AS94" s="21" t="s">
        <v>3392</v>
      </c>
      <c r="AT94" s="37">
        <f>ROUND(BH94*0.11,0)</f>
        <v>4680</v>
      </c>
      <c r="AU94" s="21" t="s">
        <v>846</v>
      </c>
      <c r="AV94" s="37" cm="1">
        <f t="array" ref="AV94">SUMPRODUCT(($G$3:$G$1500=G94)*$AN$3:$AN$1500*$AO$3:$AO$1500)+AR94</f>
        <v>5868.8</v>
      </c>
      <c r="AW94" s="37">
        <f>AT94</f>
        <v>4680</v>
      </c>
      <c r="AX94" s="21" t="str">
        <f>TEXT(EOMONTH(I94,0)+15,"dd-mmm-yyyy")&amp;" / "&amp;IF(BM94&gt;0,"CPR-IT-"&amp;TEXT(I94,"yymm")&amp;"-"&amp;RIGHT(G94,4),"Pending payment")</f>
        <v>15-Nov-2025 / CPR-IT-2510-0075</v>
      </c>
      <c r="AY94" s="21" t="str">
        <f>IF(BM94&gt;0,"Issued","Not yet")</f>
        <v>Issued</v>
      </c>
      <c r="AZ94" s="37">
        <v>0</v>
      </c>
      <c r="BA94" s="37">
        <v>0</v>
      </c>
      <c r="BB94" s="37">
        <v>0</v>
      </c>
      <c r="BC94" s="37">
        <v>0</v>
      </c>
      <c r="BD94" s="37">
        <v>0</v>
      </c>
      <c r="BE94" s="37">
        <f>AQ94</f>
        <v>36680</v>
      </c>
      <c r="BF94" s="37">
        <f>AV94</f>
        <v>5868.8</v>
      </c>
      <c r="BG94" s="37">
        <f>AZ94</f>
        <v>0</v>
      </c>
      <c r="BH94" s="37">
        <f>BE94+BF94+BG94</f>
        <v>42548.800000000003</v>
      </c>
      <c r="BI94" s="37">
        <f>AW94</f>
        <v>4680</v>
      </c>
      <c r="BJ94" s="37">
        <f>BA94+BB94+BC94+BD94</f>
        <v>0</v>
      </c>
      <c r="BK94" s="37">
        <f>BH94-BI94-BJ94</f>
        <v>37868.800000000003</v>
      </c>
      <c r="BL94" s="21" t="str">
        <f>"PKR "&amp;TEXT(BK94,"#,##0")&amp;" only"</f>
        <v>PKR 37,869 only</v>
      </c>
      <c r="BM94" s="37">
        <f>SUMIFS('T10'!$AK$3:$AK$1500,'T10'!$V$3:$V$1500,G94)</f>
        <v>37868.800000000003</v>
      </c>
      <c r="BN94" s="37">
        <f>BK94-BM94</f>
        <v>0</v>
      </c>
      <c r="BO94" s="21" t="str">
        <f>IF(BF94&gt;0,TEXT(I94,"mmm-yyyy")&amp;" sales tax return","N/A")</f>
        <v>Oct-2025 sales tax return</v>
      </c>
      <c r="BP94" s="21" t="s">
        <v>1051</v>
      </c>
      <c r="BQ94" s="29">
        <f>J94+30</f>
        <v>45964</v>
      </c>
      <c r="BR94" s="29">
        <f>BQ94</f>
        <v>45964</v>
      </c>
      <c r="BS94" s="21" t="s">
        <v>3095</v>
      </c>
      <c r="BT94" s="21" t="s">
        <v>3360</v>
      </c>
      <c r="BU94" s="21" t="s">
        <v>844</v>
      </c>
      <c r="BV94" s="21" t="s">
        <v>846</v>
      </c>
      <c r="BW94" s="21" t="str" cm="1">
        <f t="array" ref="BW94">_xlfn.TEXTJOIN(", ",TRUE,_xlfn.UNIQUE(_xlfn._xlws.FILTER('T10'!$A$3:$A$1500,'T10'!$V$3:$V$1500=G94,"None")))</f>
        <v>PV-0071</v>
      </c>
      <c r="BX94" s="21" t="s">
        <v>3909</v>
      </c>
      <c r="BY94" s="21" t="s">
        <v>3910</v>
      </c>
    </row>
    <row r="95" spans="1:77" x14ac:dyDescent="0.3">
      <c r="A95" s="21" t="s">
        <v>3527</v>
      </c>
      <c r="B95" s="21" t="s">
        <v>3911</v>
      </c>
      <c r="C95" s="21" t="s">
        <v>3912</v>
      </c>
      <c r="D95" s="35">
        <v>45940.458333333336</v>
      </c>
      <c r="E95" s="21" t="s">
        <v>3347</v>
      </c>
      <c r="F95" s="21" t="str">
        <f ca="1">IF(S95="Paid","Completed","Pending payment")</f>
        <v>Completed</v>
      </c>
      <c r="G95" s="21" t="s">
        <v>3913</v>
      </c>
      <c r="H95" s="21" t="s">
        <v>3531</v>
      </c>
      <c r="I95" s="29">
        <v>45940</v>
      </c>
      <c r="J95" s="29">
        <v>45938</v>
      </c>
      <c r="K95" s="21" t="str">
        <f>TEXT(I95,"mmm-yyyy")</f>
        <v>Oct-2025</v>
      </c>
      <c r="L95" s="21" t="s">
        <v>1797</v>
      </c>
      <c r="M95" s="21">
        <v>1</v>
      </c>
      <c r="N95" s="21" t="s">
        <v>743</v>
      </c>
      <c r="O95" s="21" t="s">
        <v>3368</v>
      </c>
      <c r="P95" s="21" t="s">
        <v>3369</v>
      </c>
      <c r="Q95" s="21" t="s">
        <v>844</v>
      </c>
      <c r="R95" s="21" t="s">
        <v>3914</v>
      </c>
      <c r="S95" s="21" t="str">
        <f ca="1">IF(BN95&lt;1,"Paid",IF(BM95&gt;0,"Partially paid",IF(ISNUMBER(SEARCH("hold",BU95)),"On hold",IF(BQ95&lt;TODAY(),"Overdue","Approved - unpaid"))))</f>
        <v>Paid</v>
      </c>
      <c r="T95" s="21" t="s">
        <v>3533</v>
      </c>
      <c r="U95" s="21" t="s">
        <v>3534</v>
      </c>
      <c r="V95" s="21" t="s">
        <v>3535</v>
      </c>
      <c r="W95" s="21" t="s">
        <v>746</v>
      </c>
      <c r="X95" s="21" t="s">
        <v>846</v>
      </c>
      <c r="Y95" s="21" t="s">
        <v>3536</v>
      </c>
      <c r="Z95" s="21" t="s">
        <v>3537</v>
      </c>
      <c r="AA95" s="21" t="s">
        <v>1051</v>
      </c>
      <c r="AB95" s="37">
        <v>0</v>
      </c>
      <c r="AC95" s="21" t="s">
        <v>3915</v>
      </c>
      <c r="AD95" s="21" t="s">
        <v>3916</v>
      </c>
      <c r="AE95" s="21" t="s">
        <v>844</v>
      </c>
      <c r="AF95" s="21">
        <v>1</v>
      </c>
      <c r="AG95" s="21" t="s">
        <v>879</v>
      </c>
      <c r="AH95" s="21" t="s">
        <v>881</v>
      </c>
      <c r="AI95" s="21" t="s">
        <v>882</v>
      </c>
      <c r="AJ95" s="37">
        <v>79</v>
      </c>
      <c r="AK95" s="37">
        <v>79</v>
      </c>
      <c r="AL95" s="37">
        <v>2930</v>
      </c>
      <c r="AM95" s="37">
        <f>AK95*AL95</f>
        <v>231470</v>
      </c>
      <c r="AN95" s="37">
        <f>AM95</f>
        <v>231470</v>
      </c>
      <c r="AO95" s="23">
        <f>_xlfn.XLOOKUP(AG95,'T13'!$A$3:$A$1500,'T13'!$O$3:$O$1500)</f>
        <v>0.18</v>
      </c>
      <c r="AP95" s="37">
        <v>0</v>
      </c>
      <c r="AQ95" s="37">
        <f>SUMIFS($AN$3:$AN$1500,$G$3:$G$1500,G95)</f>
        <v>249470</v>
      </c>
      <c r="AR95" s="37">
        <f>SUMIFS($AP$3:$AP$1500,$G$3:$G$1500,G95)</f>
        <v>0</v>
      </c>
      <c r="AS95" s="21" t="s">
        <v>3410</v>
      </c>
      <c r="AT95" s="37">
        <f>ROUND(BH95*0.05,0)</f>
        <v>14719</v>
      </c>
      <c r="AU95" s="21" t="s">
        <v>846</v>
      </c>
      <c r="AV95" s="37" cm="1">
        <f t="array" ref="AV95">SUMPRODUCT(($G$3:$G$1500=G95)*$AN$3:$AN$1500*$AO$3:$AO$1500)+AR95</f>
        <v>44904.6</v>
      </c>
      <c r="AW95" s="37">
        <f>AT95</f>
        <v>14719</v>
      </c>
      <c r="AX95" s="21" t="str">
        <f>TEXT(EOMONTH(I95,0)+15,"dd-mmm-yyyy")&amp;" / "&amp;IF(BM95&gt;0,"CPR-IT-"&amp;TEXT(I95,"yymm")&amp;"-"&amp;RIGHT(G95,4),"Pending payment")</f>
        <v>15-Nov-2025 / CPR-IT-2510-0076</v>
      </c>
      <c r="AY95" s="21" t="str">
        <f>IF(BM95&gt;0,"Issued","Not yet")</f>
        <v>Issued</v>
      </c>
      <c r="AZ95" s="37">
        <v>0</v>
      </c>
      <c r="BA95" s="37">
        <v>0</v>
      </c>
      <c r="BB95" s="37">
        <v>0</v>
      </c>
      <c r="BC95" s="37">
        <v>0</v>
      </c>
      <c r="BD95" s="37">
        <v>0</v>
      </c>
      <c r="BE95" s="37">
        <f>AQ95</f>
        <v>249470</v>
      </c>
      <c r="BF95" s="37">
        <f>AV95</f>
        <v>44904.6</v>
      </c>
      <c r="BG95" s="37">
        <f>AZ95</f>
        <v>0</v>
      </c>
      <c r="BH95" s="37">
        <f>BE95+BF95+BG95</f>
        <v>294374.59999999998</v>
      </c>
      <c r="BI95" s="37">
        <f>AW95</f>
        <v>14719</v>
      </c>
      <c r="BJ95" s="37">
        <f>BA95+BB95+BC95+BD95</f>
        <v>0</v>
      </c>
      <c r="BK95" s="37">
        <f>BH95-BI95-BJ95</f>
        <v>279655.59999999998</v>
      </c>
      <c r="BL95" s="21" t="str">
        <f>"PKR "&amp;TEXT(BK95,"#,##0")&amp;" only"</f>
        <v>PKR 279,656 only</v>
      </c>
      <c r="BM95" s="37">
        <f>SUMIFS('T10'!$AK$3:$AK$1500,'T10'!$V$3:$V$1500,G95)</f>
        <v>279655.59999999998</v>
      </c>
      <c r="BN95" s="37">
        <f>BK95-BM95</f>
        <v>0</v>
      </c>
      <c r="BO95" s="21" t="str">
        <f>IF(BF95&gt;0,TEXT(I95,"mmm-yyyy")&amp;" sales tax return","N/A")</f>
        <v>Oct-2025 sales tax return</v>
      </c>
      <c r="BP95" s="21" t="s">
        <v>1051</v>
      </c>
      <c r="BQ95" s="29">
        <f>J95+30</f>
        <v>45968</v>
      </c>
      <c r="BR95" s="29">
        <f>BQ95</f>
        <v>45968</v>
      </c>
      <c r="BS95" s="21" t="s">
        <v>3095</v>
      </c>
      <c r="BT95" s="21" t="s">
        <v>3360</v>
      </c>
      <c r="BU95" s="21" t="s">
        <v>844</v>
      </c>
      <c r="BV95" s="21" t="s">
        <v>846</v>
      </c>
      <c r="BW95" s="21" t="str" cm="1">
        <f t="array" ref="BW95">_xlfn.TEXTJOIN(", ",TRUE,_xlfn.UNIQUE(_xlfn._xlws.FILTER('T10'!$A$3:$A$1500,'T10'!$V$3:$V$1500=G95,"None")))</f>
        <v>PV-0044</v>
      </c>
      <c r="BX95" s="21" t="s">
        <v>3917</v>
      </c>
      <c r="BY95" s="21" t="s">
        <v>3918</v>
      </c>
    </row>
    <row r="96" spans="1:77" x14ac:dyDescent="0.3">
      <c r="A96" s="21" t="s">
        <v>3527</v>
      </c>
      <c r="B96" s="21" t="s">
        <v>3911</v>
      </c>
      <c r="C96" s="21" t="s">
        <v>3912</v>
      </c>
      <c r="D96" s="35">
        <v>45940.458333333336</v>
      </c>
      <c r="E96" s="21" t="s">
        <v>3347</v>
      </c>
      <c r="F96" s="21" t="str">
        <f ca="1">IF(S96="Paid","Completed","Pending payment")</f>
        <v>Completed</v>
      </c>
      <c r="G96" s="21" t="s">
        <v>3913</v>
      </c>
      <c r="H96" s="21" t="s">
        <v>3531</v>
      </c>
      <c r="I96" s="29">
        <v>45940</v>
      </c>
      <c r="J96" s="29">
        <v>45938</v>
      </c>
      <c r="K96" s="21" t="str">
        <f>TEXT(I96,"mmm-yyyy")</f>
        <v>Oct-2025</v>
      </c>
      <c r="L96" s="21" t="s">
        <v>1797</v>
      </c>
      <c r="M96" s="21">
        <v>1</v>
      </c>
      <c r="N96" s="21" t="s">
        <v>743</v>
      </c>
      <c r="O96" s="21" t="s">
        <v>3368</v>
      </c>
      <c r="P96" s="21" t="s">
        <v>3369</v>
      </c>
      <c r="Q96" s="21" t="s">
        <v>844</v>
      </c>
      <c r="R96" s="21" t="s">
        <v>3914</v>
      </c>
      <c r="S96" s="21" t="str">
        <f ca="1">IF(BN96&lt;1,"Paid",IF(BM96&gt;0,"Partially paid",IF(ISNUMBER(SEARCH("hold",BU96)),"On hold",IF(BQ96&lt;TODAY(),"Overdue","Approved - unpaid"))))</f>
        <v>Paid</v>
      </c>
      <c r="T96" s="21" t="s">
        <v>3533</v>
      </c>
      <c r="U96" s="21" t="s">
        <v>3534</v>
      </c>
      <c r="V96" s="21" t="s">
        <v>3535</v>
      </c>
      <c r="W96" s="21" t="s">
        <v>746</v>
      </c>
      <c r="X96" s="21" t="s">
        <v>846</v>
      </c>
      <c r="Y96" s="21" t="s">
        <v>3536</v>
      </c>
      <c r="Z96" s="21" t="s">
        <v>3537</v>
      </c>
      <c r="AA96" s="21" t="s">
        <v>1051</v>
      </c>
      <c r="AB96" s="37">
        <v>0</v>
      </c>
      <c r="AC96" s="21" t="s">
        <v>3915</v>
      </c>
      <c r="AD96" s="21" t="s">
        <v>3919</v>
      </c>
      <c r="AE96" s="21" t="s">
        <v>844</v>
      </c>
      <c r="AF96" s="21">
        <v>2</v>
      </c>
      <c r="AG96" s="21" t="s">
        <v>888</v>
      </c>
      <c r="AH96" s="21" t="s">
        <v>890</v>
      </c>
      <c r="AI96" s="21" t="s">
        <v>882</v>
      </c>
      <c r="AJ96" s="37">
        <v>4</v>
      </c>
      <c r="AK96" s="37">
        <v>4</v>
      </c>
      <c r="AL96" s="37">
        <v>4500</v>
      </c>
      <c r="AM96" s="37">
        <f>AK96*AL96</f>
        <v>18000</v>
      </c>
      <c r="AN96" s="37">
        <f>AM96</f>
        <v>18000</v>
      </c>
      <c r="AO96" s="23">
        <f>_xlfn.XLOOKUP(AG96,'T13'!$A$3:$A$1500,'T13'!$O$3:$O$1500)</f>
        <v>0.18</v>
      </c>
      <c r="AP96" s="37">
        <v>0</v>
      </c>
      <c r="AQ96" s="37">
        <f>SUMIFS($AN$3:$AN$1500,$G$3:$G$1500,G96)</f>
        <v>249470</v>
      </c>
      <c r="AR96" s="37">
        <f>SUMIFS($AP$3:$AP$1500,$G$3:$G$1500,G96)</f>
        <v>0</v>
      </c>
      <c r="AS96" s="21" t="s">
        <v>3410</v>
      </c>
      <c r="AT96" s="37">
        <f>ROUND(BH96*0.05,0)</f>
        <v>14719</v>
      </c>
      <c r="AU96" s="21" t="s">
        <v>846</v>
      </c>
      <c r="AV96" s="37" cm="1">
        <f t="array" ref="AV96">SUMPRODUCT(($G$3:$G$1500=G96)*$AN$3:$AN$1500*$AO$3:$AO$1500)+AR96</f>
        <v>44904.6</v>
      </c>
      <c r="AW96" s="37">
        <f>AT96</f>
        <v>14719</v>
      </c>
      <c r="AX96" s="21" t="str">
        <f>TEXT(EOMONTH(I96,0)+15,"dd-mmm-yyyy")&amp;" / "&amp;IF(BM96&gt;0,"CPR-IT-"&amp;TEXT(I96,"yymm")&amp;"-"&amp;RIGHT(G96,4),"Pending payment")</f>
        <v>15-Nov-2025 / CPR-IT-2510-0076</v>
      </c>
      <c r="AY96" s="21" t="str">
        <f>IF(BM96&gt;0,"Issued","Not yet")</f>
        <v>Issued</v>
      </c>
      <c r="AZ96" s="37">
        <v>0</v>
      </c>
      <c r="BA96" s="37">
        <v>0</v>
      </c>
      <c r="BB96" s="37">
        <v>0</v>
      </c>
      <c r="BC96" s="37">
        <v>0</v>
      </c>
      <c r="BD96" s="37">
        <v>0</v>
      </c>
      <c r="BE96" s="37">
        <f>AQ96</f>
        <v>249470</v>
      </c>
      <c r="BF96" s="37">
        <f>AV96</f>
        <v>44904.6</v>
      </c>
      <c r="BG96" s="37">
        <f>AZ96</f>
        <v>0</v>
      </c>
      <c r="BH96" s="37">
        <f>BE96+BF96+BG96</f>
        <v>294374.59999999998</v>
      </c>
      <c r="BI96" s="37">
        <f>AW96</f>
        <v>14719</v>
      </c>
      <c r="BJ96" s="37">
        <f>BA96+BB96+BC96+BD96</f>
        <v>0</v>
      </c>
      <c r="BK96" s="37">
        <f>BH96-BI96-BJ96</f>
        <v>279655.59999999998</v>
      </c>
      <c r="BL96" s="21" t="str">
        <f>"PKR "&amp;TEXT(BK96,"#,##0")&amp;" only"</f>
        <v>PKR 279,656 only</v>
      </c>
      <c r="BM96" s="37">
        <f>SUMIFS('T10'!$AK$3:$AK$1500,'T10'!$V$3:$V$1500,G96)</f>
        <v>279655.59999999998</v>
      </c>
      <c r="BN96" s="37">
        <f>BK96-BM96</f>
        <v>0</v>
      </c>
      <c r="BO96" s="21" t="str">
        <f>IF(BF96&gt;0,TEXT(I96,"mmm-yyyy")&amp;" sales tax return","N/A")</f>
        <v>Oct-2025 sales tax return</v>
      </c>
      <c r="BP96" s="21" t="s">
        <v>1051</v>
      </c>
      <c r="BQ96" s="29">
        <f>J96+30</f>
        <v>45968</v>
      </c>
      <c r="BR96" s="29">
        <f>BQ96</f>
        <v>45968</v>
      </c>
      <c r="BS96" s="21" t="s">
        <v>3095</v>
      </c>
      <c r="BT96" s="21" t="s">
        <v>3360</v>
      </c>
      <c r="BU96" s="21" t="s">
        <v>844</v>
      </c>
      <c r="BV96" s="21" t="s">
        <v>846</v>
      </c>
      <c r="BW96" s="21" t="str" cm="1">
        <f t="array" ref="BW96">_xlfn.TEXTJOIN(", ",TRUE,_xlfn.UNIQUE(_xlfn._xlws.FILTER('T10'!$A$3:$A$1500,'T10'!$V$3:$V$1500=G96,"None")))</f>
        <v>PV-0044</v>
      </c>
      <c r="BX96" s="21" t="s">
        <v>3917</v>
      </c>
      <c r="BY96" s="21" t="s">
        <v>3918</v>
      </c>
    </row>
    <row r="97" spans="1:77" x14ac:dyDescent="0.3">
      <c r="A97" s="21" t="s">
        <v>3496</v>
      </c>
      <c r="B97" s="21" t="s">
        <v>3920</v>
      </c>
      <c r="C97" s="21" t="s">
        <v>3921</v>
      </c>
      <c r="D97" s="35">
        <v>45950.708333333336</v>
      </c>
      <c r="E97" s="21" t="s">
        <v>3347</v>
      </c>
      <c r="F97" s="21" t="str">
        <f ca="1">IF(S97="Paid","Completed","Pending payment")</f>
        <v>Completed</v>
      </c>
      <c r="G97" s="21" t="s">
        <v>3922</v>
      </c>
      <c r="H97" s="21" t="s">
        <v>3500</v>
      </c>
      <c r="I97" s="29">
        <v>45951</v>
      </c>
      <c r="J97" s="29">
        <v>45949</v>
      </c>
      <c r="K97" s="21" t="str">
        <f>TEXT(I97,"mmm-yyyy")</f>
        <v>Oct-2025</v>
      </c>
      <c r="L97" s="21" t="s">
        <v>1797</v>
      </c>
      <c r="M97" s="21">
        <v>1</v>
      </c>
      <c r="N97" s="21" t="s">
        <v>743</v>
      </c>
      <c r="O97" s="21" t="s">
        <v>3350</v>
      </c>
      <c r="P97" s="21" t="s">
        <v>3351</v>
      </c>
      <c r="Q97" s="21" t="s">
        <v>844</v>
      </c>
      <c r="R97" s="21" t="s">
        <v>3923</v>
      </c>
      <c r="S97" s="21" t="str">
        <f ca="1">IF(BN97&lt;1,"Paid",IF(BM97&gt;0,"Partially paid",IF(ISNUMBER(SEARCH("hold",BU97)),"On hold",IF(BQ97&lt;TODAY(),"Overdue","Approved - unpaid"))))</f>
        <v>Paid</v>
      </c>
      <c r="T97" s="21" t="s">
        <v>3502</v>
      </c>
      <c r="U97" s="21" t="s">
        <v>3503</v>
      </c>
      <c r="V97" s="21" t="s">
        <v>3504</v>
      </c>
      <c r="W97" s="21" t="s">
        <v>746</v>
      </c>
      <c r="X97" s="21" t="s">
        <v>846</v>
      </c>
      <c r="Y97" s="21" t="s">
        <v>3505</v>
      </c>
      <c r="Z97" s="21" t="s">
        <v>3506</v>
      </c>
      <c r="AA97" s="21" t="s">
        <v>1051</v>
      </c>
      <c r="AB97" s="37">
        <v>0</v>
      </c>
      <c r="AC97" s="21" t="s">
        <v>3924</v>
      </c>
      <c r="AD97" s="21" t="s">
        <v>3925</v>
      </c>
      <c r="AE97" s="21" t="s">
        <v>844</v>
      </c>
      <c r="AF97" s="21">
        <v>1</v>
      </c>
      <c r="AG97" s="21" t="s">
        <v>894</v>
      </c>
      <c r="AH97" s="21" t="s">
        <v>896</v>
      </c>
      <c r="AI97" s="21" t="s">
        <v>897</v>
      </c>
      <c r="AJ97" s="37">
        <v>1</v>
      </c>
      <c r="AK97" s="37">
        <v>1</v>
      </c>
      <c r="AL97" s="37">
        <v>15720</v>
      </c>
      <c r="AM97" s="37">
        <f>AK97*AL97</f>
        <v>15720</v>
      </c>
      <c r="AN97" s="37">
        <f>AM97</f>
        <v>15720</v>
      </c>
      <c r="AO97" s="23">
        <f>_xlfn.XLOOKUP(AG97,'T13'!$A$3:$A$1500,'T13'!$O$3:$O$1500)</f>
        <v>0.18</v>
      </c>
      <c r="AP97" s="37">
        <v>0</v>
      </c>
      <c r="AQ97" s="37">
        <f>SUMIFS($AN$3:$AN$1500,$G$3:$G$1500,G97)</f>
        <v>15720</v>
      </c>
      <c r="AR97" s="37">
        <f>SUMIFS($AP$3:$AP$1500,$G$3:$G$1500,G97)</f>
        <v>0</v>
      </c>
      <c r="AS97" s="21" t="s">
        <v>3410</v>
      </c>
      <c r="AT97" s="37">
        <f>ROUND(BH97*0.05,0)</f>
        <v>927</v>
      </c>
      <c r="AU97" s="21" t="s">
        <v>846</v>
      </c>
      <c r="AV97" s="37" cm="1">
        <f t="array" ref="AV97">SUMPRODUCT(($G$3:$G$1500=G97)*$AN$3:$AN$1500*$AO$3:$AO$1500)+AR97</f>
        <v>2829.6</v>
      </c>
      <c r="AW97" s="37">
        <f>AT97</f>
        <v>927</v>
      </c>
      <c r="AX97" s="21" t="str">
        <f>TEXT(EOMONTH(I97,0)+15,"dd-mmm-yyyy")&amp;" / "&amp;IF(BM97&gt;0,"CPR-IT-"&amp;TEXT(I97,"yymm")&amp;"-"&amp;RIGHT(G97,4),"Pending payment")</f>
        <v>15-Nov-2025 / CPR-IT-2510-0077</v>
      </c>
      <c r="AY97" s="21" t="str">
        <f>IF(BM97&gt;0,"Issued","Not yet")</f>
        <v>Issued</v>
      </c>
      <c r="AZ97" s="37">
        <v>0</v>
      </c>
      <c r="BA97" s="37">
        <v>0</v>
      </c>
      <c r="BB97" s="37">
        <v>0</v>
      </c>
      <c r="BC97" s="37">
        <v>0</v>
      </c>
      <c r="BD97" s="37">
        <v>0</v>
      </c>
      <c r="BE97" s="37">
        <f>AQ97</f>
        <v>15720</v>
      </c>
      <c r="BF97" s="37">
        <f>AV97</f>
        <v>2829.6</v>
      </c>
      <c r="BG97" s="37">
        <f>AZ97</f>
        <v>0</v>
      </c>
      <c r="BH97" s="37">
        <f>BE97+BF97+BG97</f>
        <v>18549.599999999999</v>
      </c>
      <c r="BI97" s="37">
        <f>AW97</f>
        <v>927</v>
      </c>
      <c r="BJ97" s="37">
        <f>BA97+BB97+BC97+BD97</f>
        <v>0</v>
      </c>
      <c r="BK97" s="37">
        <f>BH97-BI97-BJ97</f>
        <v>17622.599999999999</v>
      </c>
      <c r="BL97" s="21" t="str">
        <f>"PKR "&amp;TEXT(BK97,"#,##0")&amp;" only"</f>
        <v>PKR 17,623 only</v>
      </c>
      <c r="BM97" s="37">
        <f>SUMIFS('T10'!$AK$3:$AK$1500,'T10'!$V$3:$V$1500,G97)</f>
        <v>17622.599999999999</v>
      </c>
      <c r="BN97" s="37">
        <f>BK97-BM97</f>
        <v>0</v>
      </c>
      <c r="BO97" s="21" t="str">
        <f>IF(BF97&gt;0,TEXT(I97,"mmm-yyyy")&amp;" sales tax return","N/A")</f>
        <v>Oct-2025 sales tax return</v>
      </c>
      <c r="BP97" s="21" t="s">
        <v>1051</v>
      </c>
      <c r="BQ97" s="29">
        <f>J97+30</f>
        <v>45979</v>
      </c>
      <c r="BR97" s="29">
        <f>BQ97</f>
        <v>45979</v>
      </c>
      <c r="BS97" s="21" t="s">
        <v>3095</v>
      </c>
      <c r="BT97" s="21" t="s">
        <v>3360</v>
      </c>
      <c r="BU97" s="21" t="s">
        <v>844</v>
      </c>
      <c r="BV97" s="21" t="s">
        <v>846</v>
      </c>
      <c r="BW97" s="21" t="str" cm="1">
        <f t="array" ref="BW97">_xlfn.TEXTJOIN(", ",TRUE,_xlfn.UNIQUE(_xlfn._xlws.FILTER('T10'!$A$3:$A$1500,'T10'!$V$3:$V$1500=G97,"None")))</f>
        <v>PV-0038</v>
      </c>
      <c r="BX97" s="21" t="s">
        <v>3926</v>
      </c>
      <c r="BY97" s="21" t="s">
        <v>3927</v>
      </c>
    </row>
    <row r="98" spans="1:77" x14ac:dyDescent="0.3">
      <c r="A98" s="21" t="s">
        <v>3395</v>
      </c>
      <c r="B98" s="21" t="s">
        <v>3928</v>
      </c>
      <c r="C98" s="21" t="s">
        <v>3929</v>
      </c>
      <c r="D98" s="35">
        <v>45963.708333333336</v>
      </c>
      <c r="E98" s="21" t="s">
        <v>3347</v>
      </c>
      <c r="F98" s="21" t="str">
        <f ca="1">IF(S98="Paid","Completed","Pending payment")</f>
        <v>Completed</v>
      </c>
      <c r="G98" s="21" t="s">
        <v>3930</v>
      </c>
      <c r="H98" s="21" t="s">
        <v>3399</v>
      </c>
      <c r="I98" s="29">
        <v>45961</v>
      </c>
      <c r="J98" s="29">
        <v>45961</v>
      </c>
      <c r="K98" s="21" t="str">
        <f>TEXT(I98,"mmm-yyyy")</f>
        <v>Oct-2025</v>
      </c>
      <c r="L98" s="21" t="s">
        <v>1797</v>
      </c>
      <c r="M98" s="21">
        <v>1</v>
      </c>
      <c r="N98" s="21" t="s">
        <v>743</v>
      </c>
      <c r="O98" s="21" t="s">
        <v>3400</v>
      </c>
      <c r="P98" s="21" t="s">
        <v>3401</v>
      </c>
      <c r="Q98" s="21" t="s">
        <v>844</v>
      </c>
      <c r="R98" s="21" t="s">
        <v>3931</v>
      </c>
      <c r="S98" s="21" t="str">
        <f ca="1">IF(BN98&lt;1,"Paid",IF(BM98&gt;0,"Partially paid",IF(ISNUMBER(SEARCH("hold",BU98)),"On hold",IF(BQ98&lt;TODAY(),"Overdue","Approved - unpaid"))))</f>
        <v>Paid</v>
      </c>
      <c r="T98" s="21" t="s">
        <v>3403</v>
      </c>
      <c r="U98" s="21" t="s">
        <v>3404</v>
      </c>
      <c r="V98" s="21" t="s">
        <v>967</v>
      </c>
      <c r="W98" s="21" t="s">
        <v>746</v>
      </c>
      <c r="X98" s="21" t="s">
        <v>846</v>
      </c>
      <c r="Y98" s="21" t="s">
        <v>3405</v>
      </c>
      <c r="Z98" s="21" t="s">
        <v>3406</v>
      </c>
      <c r="AA98" s="21" t="s">
        <v>1062</v>
      </c>
      <c r="AB98" s="37">
        <v>0</v>
      </c>
      <c r="AC98" s="21" t="s">
        <v>3932</v>
      </c>
      <c r="AD98" s="21" t="s">
        <v>3933</v>
      </c>
      <c r="AE98" s="21" t="s">
        <v>3409</v>
      </c>
      <c r="AF98" s="21">
        <v>1</v>
      </c>
      <c r="AG98" s="21" t="s">
        <v>788</v>
      </c>
      <c r="AH98" s="21" t="s">
        <v>790</v>
      </c>
      <c r="AI98" s="21" t="s">
        <v>1804</v>
      </c>
      <c r="AJ98" s="37">
        <v>3000</v>
      </c>
      <c r="AK98" s="37">
        <v>3000</v>
      </c>
      <c r="AL98" s="37">
        <v>1440</v>
      </c>
      <c r="AM98" s="37">
        <f>AK98*AL98</f>
        <v>4320000</v>
      </c>
      <c r="AN98" s="37">
        <f>AM98</f>
        <v>4320000</v>
      </c>
      <c r="AO98" s="23">
        <f>_xlfn.XLOOKUP(AG98,'T13'!$A$3:$A$1500,'T13'!$O$3:$O$1500)</f>
        <v>0.18</v>
      </c>
      <c r="AP98" s="37">
        <f>AK98*IF(AI98="MT",1000,IF(AI98="Jumbo bag (1.5 MT)",1500,IF(AI98="Bag (40 kg)",40,50)))*3</f>
        <v>450000</v>
      </c>
      <c r="AQ98" s="37">
        <f>SUMIFS($AN$3:$AN$1500,$G$3:$G$1500,G98)</f>
        <v>10841250</v>
      </c>
      <c r="AR98" s="37">
        <f>SUMIFS($AP$3:$AP$1500,$G$3:$G$1500,G98)</f>
        <v>1155000</v>
      </c>
      <c r="AS98" s="21" t="s">
        <v>3410</v>
      </c>
      <c r="AT98" s="37">
        <f>ROUND(BH98*0.05,0)</f>
        <v>697384</v>
      </c>
      <c r="AU98" s="21" t="s">
        <v>846</v>
      </c>
      <c r="AV98" s="37" cm="1">
        <f t="array" ref="AV98">SUMPRODUCT(($G$3:$G$1500=G98)*$AN$3:$AN$1500*$AO$3:$AO$1500)+AR98</f>
        <v>3106425</v>
      </c>
      <c r="AW98" s="37">
        <f>AT98</f>
        <v>697384</v>
      </c>
      <c r="AX98" s="21" t="str">
        <f>TEXT(EOMONTH(I98,0)+15,"dd-mmm-yyyy")&amp;" / "&amp;IF(BM98&gt;0,"CPR-IT-"&amp;TEXT(I98,"yymm")&amp;"-"&amp;RIGHT(G98,4),"Pending payment")</f>
        <v>15-Nov-2025 / CPR-IT-2510-0078</v>
      </c>
      <c r="AY98" s="21" t="str">
        <f>IF(BM98&gt;0,"Issued","Not yet")</f>
        <v>Issued</v>
      </c>
      <c r="AZ98" s="37">
        <v>0</v>
      </c>
      <c r="BA98" s="37">
        <v>0</v>
      </c>
      <c r="BB98" s="37">
        <v>0</v>
      </c>
      <c r="BC98" s="37">
        <v>0</v>
      </c>
      <c r="BD98" s="37">
        <v>0</v>
      </c>
      <c r="BE98" s="37">
        <f>AQ98</f>
        <v>10841250</v>
      </c>
      <c r="BF98" s="37">
        <f>AV98</f>
        <v>3106425</v>
      </c>
      <c r="BG98" s="37">
        <f>AZ98</f>
        <v>0</v>
      </c>
      <c r="BH98" s="37">
        <f>BE98+BF98+BG98</f>
        <v>13947675</v>
      </c>
      <c r="BI98" s="37">
        <f>AW98</f>
        <v>697384</v>
      </c>
      <c r="BJ98" s="37">
        <f>BA98+BB98+BC98+BD98</f>
        <v>0</v>
      </c>
      <c r="BK98" s="37">
        <f>BH98-BI98-BJ98</f>
        <v>13250291</v>
      </c>
      <c r="BL98" s="21" t="str">
        <f>"PKR "&amp;TEXT(BK98,"#,##0")&amp;" only"</f>
        <v>PKR 13,250,291 only</v>
      </c>
      <c r="BM98" s="37">
        <f>SUMIFS('T10'!$AK$3:$AK$1500,'T10'!$V$3:$V$1500,G98)</f>
        <v>13250291</v>
      </c>
      <c r="BN98" s="37">
        <f>BK98-BM98</f>
        <v>0</v>
      </c>
      <c r="BO98" s="21" t="str">
        <f>IF(BF98&gt;0,TEXT(I98,"mmm-yyyy")&amp;" sales tax return","N/A")</f>
        <v>Oct-2025 sales tax return</v>
      </c>
      <c r="BP98" s="21" t="s">
        <v>1062</v>
      </c>
      <c r="BQ98" s="29">
        <f>J98+15</f>
        <v>45976</v>
      </c>
      <c r="BR98" s="29">
        <f>BQ98</f>
        <v>45976</v>
      </c>
      <c r="BS98" s="21" t="s">
        <v>3095</v>
      </c>
      <c r="BT98" s="21" t="s">
        <v>3411</v>
      </c>
      <c r="BU98" s="21" t="s">
        <v>844</v>
      </c>
      <c r="BV98" s="21" t="s">
        <v>846</v>
      </c>
      <c r="BW98" s="21" t="str" cm="1">
        <f t="array" ref="BW98">_xlfn.TEXTJOIN(", ",TRUE,_xlfn.UNIQUE(_xlfn._xlws.FILTER('T10'!$A$3:$A$1500,'T10'!$V$3:$V$1500=G98,"None")))</f>
        <v>PV-0019</v>
      </c>
      <c r="BX98" s="21" t="s">
        <v>3934</v>
      </c>
      <c r="BY98" s="21" t="s">
        <v>3935</v>
      </c>
    </row>
    <row r="99" spans="1:77" x14ac:dyDescent="0.3">
      <c r="A99" s="21" t="s">
        <v>3395</v>
      </c>
      <c r="B99" s="21" t="s">
        <v>3928</v>
      </c>
      <c r="C99" s="21" t="s">
        <v>3929</v>
      </c>
      <c r="D99" s="35">
        <v>45963.708333333336</v>
      </c>
      <c r="E99" s="21" t="s">
        <v>3347</v>
      </c>
      <c r="F99" s="21" t="str">
        <f ca="1">IF(S99="Paid","Completed","Pending payment")</f>
        <v>Completed</v>
      </c>
      <c r="G99" s="21" t="s">
        <v>3930</v>
      </c>
      <c r="H99" s="21" t="s">
        <v>3399</v>
      </c>
      <c r="I99" s="29">
        <v>45961</v>
      </c>
      <c r="J99" s="29">
        <v>45961</v>
      </c>
      <c r="K99" s="21" t="str">
        <f>TEXT(I99,"mmm-yyyy")</f>
        <v>Oct-2025</v>
      </c>
      <c r="L99" s="21" t="s">
        <v>1797</v>
      </c>
      <c r="M99" s="21">
        <v>1</v>
      </c>
      <c r="N99" s="21" t="s">
        <v>743</v>
      </c>
      <c r="O99" s="21" t="s">
        <v>3400</v>
      </c>
      <c r="P99" s="21" t="s">
        <v>3401</v>
      </c>
      <c r="Q99" s="21" t="s">
        <v>844</v>
      </c>
      <c r="R99" s="21" t="s">
        <v>3931</v>
      </c>
      <c r="S99" s="21" t="str">
        <f ca="1">IF(BN99&lt;1,"Paid",IF(BM99&gt;0,"Partially paid",IF(ISNUMBER(SEARCH("hold",BU99)),"On hold",IF(BQ99&lt;TODAY(),"Overdue","Approved - unpaid"))))</f>
        <v>Paid</v>
      </c>
      <c r="T99" s="21" t="s">
        <v>3403</v>
      </c>
      <c r="U99" s="21" t="s">
        <v>3404</v>
      </c>
      <c r="V99" s="21" t="s">
        <v>967</v>
      </c>
      <c r="W99" s="21" t="s">
        <v>746</v>
      </c>
      <c r="X99" s="21" t="s">
        <v>846</v>
      </c>
      <c r="Y99" s="21" t="s">
        <v>3405</v>
      </c>
      <c r="Z99" s="21" t="s">
        <v>3406</v>
      </c>
      <c r="AA99" s="21" t="s">
        <v>1062</v>
      </c>
      <c r="AB99" s="37">
        <v>0</v>
      </c>
      <c r="AC99" s="21" t="s">
        <v>3932</v>
      </c>
      <c r="AD99" s="21" t="s">
        <v>3936</v>
      </c>
      <c r="AE99" s="21" t="s">
        <v>3409</v>
      </c>
      <c r="AF99" s="21">
        <v>2</v>
      </c>
      <c r="AG99" s="21" t="s">
        <v>794</v>
      </c>
      <c r="AH99" s="21" t="s">
        <v>795</v>
      </c>
      <c r="AI99" s="21" t="s">
        <v>783</v>
      </c>
      <c r="AJ99" s="37">
        <v>235</v>
      </c>
      <c r="AK99" s="37">
        <v>235</v>
      </c>
      <c r="AL99" s="37">
        <v>27750</v>
      </c>
      <c r="AM99" s="37">
        <f>AK99*AL99</f>
        <v>6521250</v>
      </c>
      <c r="AN99" s="37">
        <f>AM99</f>
        <v>6521250</v>
      </c>
      <c r="AO99" s="23">
        <f>_xlfn.XLOOKUP(AG99,'T13'!$A$3:$A$1500,'T13'!$O$3:$O$1500)</f>
        <v>0.18</v>
      </c>
      <c r="AP99" s="37">
        <f>AK99*IF(AI99="MT",1000,IF(AI99="Jumbo bag (1.5 MT)",1500,IF(AI99="Bag (40 kg)",40,50)))*3</f>
        <v>705000</v>
      </c>
      <c r="AQ99" s="37">
        <f>SUMIFS($AN$3:$AN$1500,$G$3:$G$1500,G99)</f>
        <v>10841250</v>
      </c>
      <c r="AR99" s="37">
        <f>SUMIFS($AP$3:$AP$1500,$G$3:$G$1500,G99)</f>
        <v>1155000</v>
      </c>
      <c r="AS99" s="21" t="s">
        <v>3410</v>
      </c>
      <c r="AT99" s="37">
        <f>ROUND(BH99*0.05,0)</f>
        <v>697384</v>
      </c>
      <c r="AU99" s="21" t="s">
        <v>846</v>
      </c>
      <c r="AV99" s="37" cm="1">
        <f t="array" ref="AV99">SUMPRODUCT(($G$3:$G$1500=G99)*$AN$3:$AN$1500*$AO$3:$AO$1500)+AR99</f>
        <v>3106425</v>
      </c>
      <c r="AW99" s="37">
        <f>AT99</f>
        <v>697384</v>
      </c>
      <c r="AX99" s="21" t="str">
        <f>TEXT(EOMONTH(I99,0)+15,"dd-mmm-yyyy")&amp;" / "&amp;IF(BM99&gt;0,"CPR-IT-"&amp;TEXT(I99,"yymm")&amp;"-"&amp;RIGHT(G99,4),"Pending payment")</f>
        <v>15-Nov-2025 / CPR-IT-2510-0078</v>
      </c>
      <c r="AY99" s="21" t="str">
        <f>IF(BM99&gt;0,"Issued","Not yet")</f>
        <v>Issued</v>
      </c>
      <c r="AZ99" s="37">
        <v>0</v>
      </c>
      <c r="BA99" s="37">
        <v>0</v>
      </c>
      <c r="BB99" s="37">
        <v>0</v>
      </c>
      <c r="BC99" s="37">
        <v>0</v>
      </c>
      <c r="BD99" s="37">
        <v>0</v>
      </c>
      <c r="BE99" s="37">
        <f>AQ99</f>
        <v>10841250</v>
      </c>
      <c r="BF99" s="37">
        <f>AV99</f>
        <v>3106425</v>
      </c>
      <c r="BG99" s="37">
        <f>AZ99</f>
        <v>0</v>
      </c>
      <c r="BH99" s="37">
        <f>BE99+BF99+BG99</f>
        <v>13947675</v>
      </c>
      <c r="BI99" s="37">
        <f>AW99</f>
        <v>697384</v>
      </c>
      <c r="BJ99" s="37">
        <f>BA99+BB99+BC99+BD99</f>
        <v>0</v>
      </c>
      <c r="BK99" s="37">
        <f>BH99-BI99-BJ99</f>
        <v>13250291</v>
      </c>
      <c r="BL99" s="21" t="str">
        <f>"PKR "&amp;TEXT(BK99,"#,##0")&amp;" only"</f>
        <v>PKR 13,250,291 only</v>
      </c>
      <c r="BM99" s="37">
        <f>SUMIFS('T10'!$AK$3:$AK$1500,'T10'!$V$3:$V$1500,G99)</f>
        <v>13250291</v>
      </c>
      <c r="BN99" s="37">
        <f>BK99-BM99</f>
        <v>0</v>
      </c>
      <c r="BO99" s="21" t="str">
        <f>IF(BF99&gt;0,TEXT(I99,"mmm-yyyy")&amp;" sales tax return","N/A")</f>
        <v>Oct-2025 sales tax return</v>
      </c>
      <c r="BP99" s="21" t="s">
        <v>1062</v>
      </c>
      <c r="BQ99" s="29">
        <f>J99+15</f>
        <v>45976</v>
      </c>
      <c r="BR99" s="29">
        <f>BQ99</f>
        <v>45976</v>
      </c>
      <c r="BS99" s="21" t="s">
        <v>3095</v>
      </c>
      <c r="BT99" s="21" t="s">
        <v>3411</v>
      </c>
      <c r="BU99" s="21" t="s">
        <v>844</v>
      </c>
      <c r="BV99" s="21" t="s">
        <v>846</v>
      </c>
      <c r="BW99" s="21" t="str" cm="1">
        <f t="array" ref="BW99">_xlfn.TEXTJOIN(", ",TRUE,_xlfn.UNIQUE(_xlfn._xlws.FILTER('T10'!$A$3:$A$1500,'T10'!$V$3:$V$1500=G99,"None")))</f>
        <v>PV-0019</v>
      </c>
      <c r="BX99" s="21" t="s">
        <v>3934</v>
      </c>
      <c r="BY99" s="21" t="s">
        <v>3935</v>
      </c>
    </row>
    <row r="100" spans="1:77" x14ac:dyDescent="0.3">
      <c r="A100" s="21" t="s">
        <v>3489</v>
      </c>
      <c r="B100" s="21" t="s">
        <v>2476</v>
      </c>
      <c r="C100" s="21" t="s">
        <v>3937</v>
      </c>
      <c r="D100" s="35">
        <v>45963.666666666664</v>
      </c>
      <c r="E100" s="21" t="s">
        <v>3347</v>
      </c>
      <c r="F100" s="21" t="str">
        <f ca="1">IF(S100="Paid","Completed","Pending payment")</f>
        <v>Completed</v>
      </c>
      <c r="G100" s="21" t="s">
        <v>3938</v>
      </c>
      <c r="H100" s="21" t="s">
        <v>3428</v>
      </c>
      <c r="I100" s="29">
        <v>45964</v>
      </c>
      <c r="J100" s="29">
        <v>45962</v>
      </c>
      <c r="K100" s="21" t="str">
        <f>TEXT(I100,"mmm-yyyy")</f>
        <v>Nov-2025</v>
      </c>
      <c r="L100" s="21" t="s">
        <v>1797</v>
      </c>
      <c r="M100" s="21">
        <v>1</v>
      </c>
      <c r="N100" s="21" t="s">
        <v>743</v>
      </c>
      <c r="O100" s="21" t="s">
        <v>3350</v>
      </c>
      <c r="P100" s="21" t="s">
        <v>3429</v>
      </c>
      <c r="Q100" s="21" t="s">
        <v>844</v>
      </c>
      <c r="R100" s="21" t="s">
        <v>3939</v>
      </c>
      <c r="S100" s="21" t="str">
        <f ca="1">IF(BN100&lt;1,"Paid",IF(BM100&gt;0,"Partially paid",IF(ISNUMBER(SEARCH("hold",BU100)),"On hold",IF(BQ100&lt;TODAY(),"Overdue","Approved - unpaid"))))</f>
        <v>Paid</v>
      </c>
      <c r="T100" s="21" t="s">
        <v>3431</v>
      </c>
      <c r="U100" s="21" t="s">
        <v>1213</v>
      </c>
      <c r="V100" s="21" t="s">
        <v>1194</v>
      </c>
      <c r="W100" s="21" t="s">
        <v>746</v>
      </c>
      <c r="X100" s="21" t="s">
        <v>846</v>
      </c>
      <c r="Y100" s="21" t="s">
        <v>3493</v>
      </c>
      <c r="Z100" s="21" t="s">
        <v>3494</v>
      </c>
      <c r="AA100" s="21" t="s">
        <v>1051</v>
      </c>
      <c r="AB100" s="37">
        <v>0</v>
      </c>
      <c r="AC100" s="21" t="s">
        <v>844</v>
      </c>
      <c r="AD100" s="21" t="s">
        <v>844</v>
      </c>
      <c r="AE100" s="21" t="s">
        <v>3495</v>
      </c>
      <c r="AF100" s="21">
        <v>1</v>
      </c>
      <c r="AG100" s="21" t="s">
        <v>837</v>
      </c>
      <c r="AH100" s="21" t="s">
        <v>840</v>
      </c>
      <c r="AI100" s="21" t="s">
        <v>842</v>
      </c>
      <c r="AJ100" s="37">
        <f>COUNTIFS('T14'!$AQ$3:$AQ$1500,B100,'T14'!$Z$3:$Z$1500,1,'T14'!$F$3:$F$1500,"Bag")</f>
        <v>4</v>
      </c>
      <c r="AK100" s="37">
        <f>AJ100</f>
        <v>4</v>
      </c>
      <c r="AL100" s="37">
        <v>40300</v>
      </c>
      <c r="AM100" s="37">
        <f>AK100*AL100</f>
        <v>161200</v>
      </c>
      <c r="AN100" s="37">
        <f>AM100</f>
        <v>161200</v>
      </c>
      <c r="AO100" s="23">
        <f>_xlfn.XLOOKUP(AG100,'T13'!$A$3:$A$1500,'T13'!$O$3:$O$1500)</f>
        <v>0.16</v>
      </c>
      <c r="AP100" s="37">
        <v>0</v>
      </c>
      <c r="AQ100" s="37">
        <f>SUMIFS($AN$3:$AN$1500,$G$3:$G$1500,G100)</f>
        <v>161200</v>
      </c>
      <c r="AR100" s="37">
        <f>SUMIFS($AP$3:$AP$1500,$G$3:$G$1500,G100)</f>
        <v>0</v>
      </c>
      <c r="AS100" s="21" t="s">
        <v>3444</v>
      </c>
      <c r="AT100" s="37">
        <f>ROUND(BH100*0.04,0)</f>
        <v>7480</v>
      </c>
      <c r="AU100" s="21" t="s">
        <v>846</v>
      </c>
      <c r="AV100" s="37" cm="1">
        <f t="array" ref="AV100">SUMPRODUCT(($G$3:$G$1500=G100)*$AN$3:$AN$1500*$AO$3:$AO$1500)+AR100</f>
        <v>25792</v>
      </c>
      <c r="AW100" s="37">
        <f>AT100</f>
        <v>7480</v>
      </c>
      <c r="AX100" s="21" t="str">
        <f>TEXT(EOMONTH(I100,0)+15,"dd-mmm-yyyy")&amp;" / "&amp;IF(BM100&gt;0,"CPR-IT-"&amp;TEXT(I100,"yymm")&amp;"-"&amp;RIGHT(G100,4),"Pending payment")</f>
        <v>15-Dec-2025 / CPR-IT-2511-0079</v>
      </c>
      <c r="AY100" s="21" t="str">
        <f>IF(BM100&gt;0,"Issued","Not yet")</f>
        <v>Issued</v>
      </c>
      <c r="AZ100" s="37">
        <v>0</v>
      </c>
      <c r="BA100" s="37">
        <v>5000</v>
      </c>
      <c r="BB100" s="37">
        <v>0</v>
      </c>
      <c r="BC100" s="37">
        <v>0</v>
      </c>
      <c r="BD100" s="37">
        <v>0</v>
      </c>
      <c r="BE100" s="37">
        <f>AQ100</f>
        <v>161200</v>
      </c>
      <c r="BF100" s="37">
        <f>AV100</f>
        <v>25792</v>
      </c>
      <c r="BG100" s="37">
        <f>AZ100</f>
        <v>0</v>
      </c>
      <c r="BH100" s="37">
        <f>BE100+BF100+BG100</f>
        <v>186992</v>
      </c>
      <c r="BI100" s="37">
        <f>AW100</f>
        <v>7480</v>
      </c>
      <c r="BJ100" s="37">
        <f>BA100+BB100+BC100+BD100</f>
        <v>5000</v>
      </c>
      <c r="BK100" s="37">
        <f>BH100-BI100-BJ100</f>
        <v>174512</v>
      </c>
      <c r="BL100" s="21" t="str">
        <f>"PKR "&amp;TEXT(BK100,"#,##0")&amp;" only"</f>
        <v>PKR 174,512 only</v>
      </c>
      <c r="BM100" s="37">
        <f>SUMIFS('T10'!$AK$3:$AK$1500,'T10'!$V$3:$V$1500,G100)</f>
        <v>174512</v>
      </c>
      <c r="BN100" s="37">
        <f>BK100-BM100</f>
        <v>0</v>
      </c>
      <c r="BO100" s="21" t="str">
        <f>IF(BF100&gt;0,TEXT(I100,"mmm-yyyy")&amp;" sales tax return","N/A")</f>
        <v>Nov-2025 sales tax return</v>
      </c>
      <c r="BP100" s="21" t="s">
        <v>1051</v>
      </c>
      <c r="BQ100" s="29">
        <f>J100+30</f>
        <v>45992</v>
      </c>
      <c r="BR100" s="29">
        <f>BQ100</f>
        <v>45992</v>
      </c>
      <c r="BS100" s="21" t="s">
        <v>3095</v>
      </c>
      <c r="BT100" s="21" t="s">
        <v>3360</v>
      </c>
      <c r="BU100" s="21" t="s">
        <v>844</v>
      </c>
      <c r="BV100" s="21" t="s">
        <v>846</v>
      </c>
      <c r="BW100" s="21" t="str" cm="1">
        <f t="array" ref="BW100">_xlfn.TEXTJOIN(", ",TRUE,_xlfn.UNIQUE(_xlfn._xlws.FILTER('T10'!$A$3:$A$1500,'T10'!$V$3:$V$1500=G100,"None")))</f>
        <v>PV-0020</v>
      </c>
      <c r="BX100" s="21" t="s">
        <v>3940</v>
      </c>
      <c r="BY100" s="21" t="s">
        <v>3941</v>
      </c>
    </row>
    <row r="101" spans="1:77" x14ac:dyDescent="0.3">
      <c r="A101" s="21" t="s">
        <v>3425</v>
      </c>
      <c r="B101" s="21" t="s">
        <v>2482</v>
      </c>
      <c r="C101" s="21" t="s">
        <v>3942</v>
      </c>
      <c r="D101" s="35">
        <v>45964.708333333336</v>
      </c>
      <c r="E101" s="21" t="s">
        <v>3347</v>
      </c>
      <c r="F101" s="21" t="str">
        <f ca="1">IF(S101="Paid","Completed","Pending payment")</f>
        <v>Completed</v>
      </c>
      <c r="G101" s="21" t="s">
        <v>3943</v>
      </c>
      <c r="H101" s="21" t="s">
        <v>3428</v>
      </c>
      <c r="I101" s="29">
        <v>45964</v>
      </c>
      <c r="J101" s="29">
        <v>45962</v>
      </c>
      <c r="K101" s="21" t="str">
        <f>TEXT(I101,"mmm-yyyy")</f>
        <v>Nov-2025</v>
      </c>
      <c r="L101" s="21" t="s">
        <v>1797</v>
      </c>
      <c r="M101" s="21">
        <v>1</v>
      </c>
      <c r="N101" s="21" t="s">
        <v>743</v>
      </c>
      <c r="O101" s="21" t="s">
        <v>3350</v>
      </c>
      <c r="P101" s="21" t="s">
        <v>3429</v>
      </c>
      <c r="Q101" s="21" t="s">
        <v>844</v>
      </c>
      <c r="R101" s="21" t="s">
        <v>3944</v>
      </c>
      <c r="S101" s="21" t="str">
        <f ca="1">IF(BN101&lt;1,"Paid",IF(BM101&gt;0,"Partially paid",IF(ISNUMBER(SEARCH("hold",BU101)),"On hold",IF(BQ101&lt;TODAY(),"Overdue","Approved - unpaid"))))</f>
        <v>Paid</v>
      </c>
      <c r="T101" s="21" t="s">
        <v>3431</v>
      </c>
      <c r="U101" s="21" t="s">
        <v>1339</v>
      </c>
      <c r="V101" s="21" t="s">
        <v>1207</v>
      </c>
      <c r="W101" s="21" t="s">
        <v>1066</v>
      </c>
      <c r="X101" s="21" t="s">
        <v>846</v>
      </c>
      <c r="Y101" s="21" t="s">
        <v>3432</v>
      </c>
      <c r="Z101" s="21" t="s">
        <v>3433</v>
      </c>
      <c r="AA101" s="21" t="s">
        <v>1051</v>
      </c>
      <c r="AB101" s="37">
        <v>0</v>
      </c>
      <c r="AC101" s="21" t="s">
        <v>844</v>
      </c>
      <c r="AD101" s="21" t="s">
        <v>844</v>
      </c>
      <c r="AE101" s="21" t="s">
        <v>3434</v>
      </c>
      <c r="AF101" s="21">
        <v>1</v>
      </c>
      <c r="AG101" s="21" t="s">
        <v>853</v>
      </c>
      <c r="AH101" s="21" t="s">
        <v>855</v>
      </c>
      <c r="AI101" s="21" t="s">
        <v>842</v>
      </c>
      <c r="AJ101" s="37">
        <f>COUNTIFS('T14'!$AQ$3:$AQ$1500,B101,'T14'!$Z$3:$Z$1500,1,'T14'!$F$3:$F$1500,"Bulker")</f>
        <v>7</v>
      </c>
      <c r="AK101" s="37">
        <f>AJ101</f>
        <v>7</v>
      </c>
      <c r="AL101" s="37">
        <v>58300</v>
      </c>
      <c r="AM101" s="37">
        <f>AK101*AL101</f>
        <v>408100</v>
      </c>
      <c r="AN101" s="37">
        <f>AM101</f>
        <v>408100</v>
      </c>
      <c r="AO101" s="23">
        <f>_xlfn.XLOOKUP(AG101,'T13'!$A$3:$A$1500,'T13'!$O$3:$O$1500)</f>
        <v>0.16</v>
      </c>
      <c r="AP101" s="37">
        <v>0</v>
      </c>
      <c r="AQ101" s="37">
        <f>SUMIFS($AN$3:$AN$1500,$G$3:$G$1500,G101)</f>
        <v>408100</v>
      </c>
      <c r="AR101" s="37">
        <f>SUMIFS($AP$3:$AP$1500,$G$3:$G$1500,G101)</f>
        <v>0</v>
      </c>
      <c r="AS101" s="21" t="s">
        <v>3435</v>
      </c>
      <c r="AT101" s="37">
        <f>ROUND(BH101*0.08,0)</f>
        <v>38232</v>
      </c>
      <c r="AU101" s="21" t="s">
        <v>846</v>
      </c>
      <c r="AV101" s="37" cm="1">
        <f t="array" ref="AV101">SUMPRODUCT(($G$3:$G$1500=G101)*$AN$3:$AN$1500*$AO$3:$AO$1500)+AR101</f>
        <v>65296</v>
      </c>
      <c r="AW101" s="37">
        <f>AT101</f>
        <v>38232</v>
      </c>
      <c r="AX101" s="21" t="str">
        <f>TEXT(EOMONTH(I101,0)+15,"dd-mmm-yyyy")&amp;" / "&amp;IF(BM101&gt;0,"CPR-IT-"&amp;TEXT(I101,"yymm")&amp;"-"&amp;RIGHT(G101,4),"Pending payment")</f>
        <v>15-Dec-2025 / CPR-IT-2511-0080</v>
      </c>
      <c r="AY101" s="21" t="str">
        <f>IF(BM101&gt;0,"Issued","Not yet")</f>
        <v>Issued</v>
      </c>
      <c r="AZ101" s="37">
        <v>4500</v>
      </c>
      <c r="BA101" s="37">
        <v>10000</v>
      </c>
      <c r="BB101" s="37">
        <v>0</v>
      </c>
      <c r="BC101" s="37">
        <v>0</v>
      </c>
      <c r="BD101" s="37">
        <v>0</v>
      </c>
      <c r="BE101" s="37">
        <f>AQ101</f>
        <v>408100</v>
      </c>
      <c r="BF101" s="37">
        <f>AV101</f>
        <v>65296</v>
      </c>
      <c r="BG101" s="37">
        <f>AZ101</f>
        <v>4500</v>
      </c>
      <c r="BH101" s="37">
        <f>BE101+BF101+BG101</f>
        <v>477896</v>
      </c>
      <c r="BI101" s="37">
        <f>AW101</f>
        <v>38232</v>
      </c>
      <c r="BJ101" s="37">
        <f>BA101+BB101+BC101+BD101</f>
        <v>10000</v>
      </c>
      <c r="BK101" s="37">
        <f>BH101-BI101-BJ101</f>
        <v>429664</v>
      </c>
      <c r="BL101" s="21" t="str">
        <f>"PKR "&amp;TEXT(BK101,"#,##0")&amp;" only"</f>
        <v>PKR 429,664 only</v>
      </c>
      <c r="BM101" s="37">
        <f>SUMIFS('T10'!$AK$3:$AK$1500,'T10'!$V$3:$V$1500,G101)</f>
        <v>429664</v>
      </c>
      <c r="BN101" s="37">
        <f>BK101-BM101</f>
        <v>0</v>
      </c>
      <c r="BO101" s="21" t="str">
        <f>IF(BF101&gt;0,TEXT(I101,"mmm-yyyy")&amp;" sales tax return","N/A")</f>
        <v>Nov-2025 sales tax return</v>
      </c>
      <c r="BP101" s="21" t="s">
        <v>1051</v>
      </c>
      <c r="BQ101" s="29">
        <f>J101+30</f>
        <v>45992</v>
      </c>
      <c r="BR101" s="29">
        <f>BQ101</f>
        <v>45992</v>
      </c>
      <c r="BS101" s="21" t="s">
        <v>3095</v>
      </c>
      <c r="BT101" s="21" t="s">
        <v>3360</v>
      </c>
      <c r="BU101" s="21" t="s">
        <v>844</v>
      </c>
      <c r="BV101" s="21" t="s">
        <v>846</v>
      </c>
      <c r="BW101" s="21" t="str" cm="1">
        <f t="array" ref="BW101">_xlfn.TEXTJOIN(", ",TRUE,_xlfn.UNIQUE(_xlfn._xlws.FILTER('T10'!$A$3:$A$1500,'T10'!$V$3:$V$1500=G101,"None")))</f>
        <v>PV-0022</v>
      </c>
      <c r="BX101" s="21" t="s">
        <v>3940</v>
      </c>
      <c r="BY101" s="21" t="s">
        <v>3941</v>
      </c>
    </row>
    <row r="102" spans="1:77" x14ac:dyDescent="0.3">
      <c r="A102" s="21" t="s">
        <v>3438</v>
      </c>
      <c r="B102" s="21" t="s">
        <v>2486</v>
      </c>
      <c r="C102" s="21" t="s">
        <v>3945</v>
      </c>
      <c r="D102" s="35">
        <v>45964.5</v>
      </c>
      <c r="E102" s="21" t="s">
        <v>3347</v>
      </c>
      <c r="F102" s="21" t="str">
        <f ca="1">IF(S102="Paid","Completed","Pending payment")</f>
        <v>Completed</v>
      </c>
      <c r="G102" s="21" t="s">
        <v>3946</v>
      </c>
      <c r="H102" s="21" t="s">
        <v>3428</v>
      </c>
      <c r="I102" s="29">
        <v>45964</v>
      </c>
      <c r="J102" s="29">
        <v>45962</v>
      </c>
      <c r="K102" s="21" t="str">
        <f>TEXT(I102,"mmm-yyyy")</f>
        <v>Nov-2025</v>
      </c>
      <c r="L102" s="21" t="s">
        <v>1797</v>
      </c>
      <c r="M102" s="21">
        <v>1</v>
      </c>
      <c r="N102" s="21" t="s">
        <v>743</v>
      </c>
      <c r="O102" s="21" t="s">
        <v>3350</v>
      </c>
      <c r="P102" s="21" t="s">
        <v>3429</v>
      </c>
      <c r="Q102" s="21" t="s">
        <v>844</v>
      </c>
      <c r="R102" s="21" t="s">
        <v>3944</v>
      </c>
      <c r="S102" s="21" t="str">
        <f ca="1">IF(BN102&lt;1,"Paid",IF(BM102&gt;0,"Partially paid",IF(ISNUMBER(SEARCH("hold",BU102)),"On hold",IF(BQ102&lt;TODAY(),"Overdue","Approved - unpaid"))))</f>
        <v>Paid</v>
      </c>
      <c r="T102" s="21" t="s">
        <v>3431</v>
      </c>
      <c r="U102" s="21" t="s">
        <v>1278</v>
      </c>
      <c r="V102" s="21" t="s">
        <v>1200</v>
      </c>
      <c r="W102" s="21" t="s">
        <v>746</v>
      </c>
      <c r="X102" s="21" t="s">
        <v>846</v>
      </c>
      <c r="Y102" s="21" t="s">
        <v>3441</v>
      </c>
      <c r="Z102" s="21" t="s">
        <v>3442</v>
      </c>
      <c r="AA102" s="21" t="s">
        <v>1051</v>
      </c>
      <c r="AB102" s="37">
        <v>0</v>
      </c>
      <c r="AC102" s="21" t="s">
        <v>844</v>
      </c>
      <c r="AD102" s="21" t="s">
        <v>844</v>
      </c>
      <c r="AE102" s="21" t="s">
        <v>3443</v>
      </c>
      <c r="AF102" s="21">
        <v>1</v>
      </c>
      <c r="AG102" s="21" t="s">
        <v>837</v>
      </c>
      <c r="AH102" s="21" t="s">
        <v>840</v>
      </c>
      <c r="AI102" s="21" t="s">
        <v>842</v>
      </c>
      <c r="AJ102" s="37">
        <f>COUNTIFS('T14'!$AQ$3:$AQ$1500,B102,'T14'!$Z$3:$Z$1500,1,'T14'!$F$3:$F$1500,"Bag")</f>
        <v>2</v>
      </c>
      <c r="AK102" s="37">
        <f>AJ102</f>
        <v>2</v>
      </c>
      <c r="AL102" s="37">
        <v>40300</v>
      </c>
      <c r="AM102" s="37">
        <f>AK102*AL102</f>
        <v>80600</v>
      </c>
      <c r="AN102" s="37">
        <f>AM102</f>
        <v>80600</v>
      </c>
      <c r="AO102" s="23">
        <f>_xlfn.XLOOKUP(AG102,'T13'!$A$3:$A$1500,'T13'!$O$3:$O$1500)</f>
        <v>0.16</v>
      </c>
      <c r="AP102" s="37">
        <v>0</v>
      </c>
      <c r="AQ102" s="37">
        <f>SUMIFS($AN$3:$AN$1500,$G$3:$G$1500,G102)</f>
        <v>80600</v>
      </c>
      <c r="AR102" s="37">
        <f>SUMIFS($AP$3:$AP$1500,$G$3:$G$1500,G102)</f>
        <v>0</v>
      </c>
      <c r="AS102" s="21" t="s">
        <v>3444</v>
      </c>
      <c r="AT102" s="37">
        <f>ROUND(BH102*0.04,0)</f>
        <v>3740</v>
      </c>
      <c r="AU102" s="21" t="s">
        <v>846</v>
      </c>
      <c r="AV102" s="37" cm="1">
        <f t="array" ref="AV102">SUMPRODUCT(($G$3:$G$1500=G102)*$AN$3:$AN$1500*$AO$3:$AO$1500)+AR102</f>
        <v>12896</v>
      </c>
      <c r="AW102" s="37">
        <f>AT102</f>
        <v>3740</v>
      </c>
      <c r="AX102" s="21" t="str">
        <f>TEXT(EOMONTH(I102,0)+15,"dd-mmm-yyyy")&amp;" / "&amp;IF(BM102&gt;0,"CPR-IT-"&amp;TEXT(I102,"yymm")&amp;"-"&amp;RIGHT(G102,4),"Pending payment")</f>
        <v>15-Dec-2025 / CPR-IT-2511-0081</v>
      </c>
      <c r="AY102" s="21" t="str">
        <f>IF(BM102&gt;0,"Issued","Not yet")</f>
        <v>Issued</v>
      </c>
      <c r="AZ102" s="37">
        <v>0</v>
      </c>
      <c r="BA102" s="37">
        <v>0</v>
      </c>
      <c r="BB102" s="37">
        <v>0</v>
      </c>
      <c r="BC102" s="37">
        <v>0</v>
      </c>
      <c r="BD102" s="37">
        <v>0</v>
      </c>
      <c r="BE102" s="37">
        <f>AQ102</f>
        <v>80600</v>
      </c>
      <c r="BF102" s="37">
        <f>AV102</f>
        <v>12896</v>
      </c>
      <c r="BG102" s="37">
        <f>AZ102</f>
        <v>0</v>
      </c>
      <c r="BH102" s="37">
        <f>BE102+BF102+BG102</f>
        <v>93496</v>
      </c>
      <c r="BI102" s="37">
        <f>AW102</f>
        <v>3740</v>
      </c>
      <c r="BJ102" s="37">
        <f>BA102+BB102+BC102+BD102</f>
        <v>0</v>
      </c>
      <c r="BK102" s="37">
        <f>BH102-BI102-BJ102</f>
        <v>89756</v>
      </c>
      <c r="BL102" s="21" t="str">
        <f>"PKR "&amp;TEXT(BK102,"#,##0")&amp;" only"</f>
        <v>PKR 89,756 only</v>
      </c>
      <c r="BM102" s="37">
        <f>SUMIFS('T10'!$AK$3:$AK$1500,'T10'!$V$3:$V$1500,G102)</f>
        <v>89756</v>
      </c>
      <c r="BN102" s="37">
        <f>BK102-BM102</f>
        <v>0</v>
      </c>
      <c r="BO102" s="21" t="str">
        <f>IF(BF102&gt;0,TEXT(I102,"mmm-yyyy")&amp;" sales tax return","N/A")</f>
        <v>Nov-2025 sales tax return</v>
      </c>
      <c r="BP102" s="21" t="s">
        <v>1051</v>
      </c>
      <c r="BQ102" s="29">
        <f>J102+30</f>
        <v>45992</v>
      </c>
      <c r="BR102" s="29">
        <f>BQ102</f>
        <v>45992</v>
      </c>
      <c r="BS102" s="21" t="s">
        <v>3095</v>
      </c>
      <c r="BT102" s="21" t="s">
        <v>3360</v>
      </c>
      <c r="BU102" s="21" t="s">
        <v>844</v>
      </c>
      <c r="BV102" s="21" t="s">
        <v>846</v>
      </c>
      <c r="BW102" s="21" t="str" cm="1">
        <f t="array" ref="BW102">_xlfn.TEXTJOIN(", ",TRUE,_xlfn.UNIQUE(_xlfn._xlws.FILTER('T10'!$A$3:$A$1500,'T10'!$V$3:$V$1500=G102,"None")))</f>
        <v>PV-0021</v>
      </c>
      <c r="BX102" s="21" t="s">
        <v>3940</v>
      </c>
      <c r="BY102" s="21" t="s">
        <v>3941</v>
      </c>
    </row>
    <row r="103" spans="1:77" x14ac:dyDescent="0.3">
      <c r="A103" s="21" t="s">
        <v>3344</v>
      </c>
      <c r="B103" s="21" t="s">
        <v>3947</v>
      </c>
      <c r="C103" s="21" t="s">
        <v>3948</v>
      </c>
      <c r="D103" s="35">
        <v>45965.666666666664</v>
      </c>
      <c r="E103" s="21" t="s">
        <v>3347</v>
      </c>
      <c r="F103" s="21" t="str">
        <f ca="1">IF(S103="Paid","Completed","Pending payment")</f>
        <v>Completed</v>
      </c>
      <c r="G103" s="21" t="s">
        <v>3949</v>
      </c>
      <c r="H103" s="21" t="s">
        <v>3349</v>
      </c>
      <c r="I103" s="29">
        <v>45966</v>
      </c>
      <c r="J103" s="29">
        <v>45964</v>
      </c>
      <c r="K103" s="21" t="str">
        <f>TEXT(I103,"mmm-yyyy")</f>
        <v>Nov-2025</v>
      </c>
      <c r="L103" s="21" t="s">
        <v>1797</v>
      </c>
      <c r="M103" s="21">
        <v>1</v>
      </c>
      <c r="N103" s="21" t="s">
        <v>743</v>
      </c>
      <c r="O103" s="21" t="s">
        <v>3350</v>
      </c>
      <c r="P103" s="21" t="s">
        <v>3351</v>
      </c>
      <c r="Q103" s="21" t="s">
        <v>844</v>
      </c>
      <c r="R103" s="21" t="s">
        <v>3950</v>
      </c>
      <c r="S103" s="21" t="str">
        <f ca="1">IF(BN103&lt;1,"Paid",IF(BM103&gt;0,"Partially paid",IF(ISNUMBER(SEARCH("hold",BU103)),"On hold",IF(BQ103&lt;TODAY(),"Overdue","Approved - unpaid"))))</f>
        <v>Paid</v>
      </c>
      <c r="T103" s="21" t="s">
        <v>3353</v>
      </c>
      <c r="U103" s="21" t="s">
        <v>3354</v>
      </c>
      <c r="V103" s="21" t="s">
        <v>3355</v>
      </c>
      <c r="W103" s="21" t="s">
        <v>746</v>
      </c>
      <c r="X103" s="21" t="s">
        <v>846</v>
      </c>
      <c r="Y103" s="21" t="s">
        <v>3356</v>
      </c>
      <c r="Z103" s="21" t="s">
        <v>3357</v>
      </c>
      <c r="AA103" s="21" t="s">
        <v>3358</v>
      </c>
      <c r="AB103" s="37">
        <v>0</v>
      </c>
      <c r="AC103" s="21" t="s">
        <v>844</v>
      </c>
      <c r="AD103" s="21" t="s">
        <v>844</v>
      </c>
      <c r="AE103" s="21" t="s">
        <v>844</v>
      </c>
      <c r="AF103" s="21">
        <v>1</v>
      </c>
      <c r="AG103" s="21" t="s">
        <v>911</v>
      </c>
      <c r="AH103" s="21" t="s">
        <v>913</v>
      </c>
      <c r="AI103" s="21" t="s">
        <v>905</v>
      </c>
      <c r="AJ103" s="37">
        <v>1</v>
      </c>
      <c r="AK103" s="37">
        <v>1</v>
      </c>
      <c r="AL103" s="37">
        <v>89420</v>
      </c>
      <c r="AM103" s="37">
        <f>AK103*AL103</f>
        <v>89420</v>
      </c>
      <c r="AN103" s="37">
        <f>AM103</f>
        <v>89420</v>
      </c>
      <c r="AO103" s="23">
        <f>_xlfn.XLOOKUP(AG103,'T13'!$A$3:$A$1500,'T13'!$O$3:$O$1500)</f>
        <v>0.18</v>
      </c>
      <c r="AP103" s="37">
        <v>0</v>
      </c>
      <c r="AQ103" s="37">
        <f>SUMIFS($AN$3:$AN$1500,$G$3:$G$1500,G103)</f>
        <v>89420</v>
      </c>
      <c r="AR103" s="37">
        <f>SUMIFS($AP$3:$AP$1500,$G$3:$G$1500,G103)</f>
        <v>0</v>
      </c>
      <c r="AS103" s="21" t="s">
        <v>3359</v>
      </c>
      <c r="AT103" s="37">
        <f>ROUND(BH103*0,0)</f>
        <v>0</v>
      </c>
      <c r="AU103" s="21" t="s">
        <v>846</v>
      </c>
      <c r="AV103" s="37" cm="1">
        <f t="array" ref="AV103">SUMPRODUCT(($G$3:$G$1500=G103)*$AN$3:$AN$1500*$AO$3:$AO$1500)+AR103</f>
        <v>16095.599999999999</v>
      </c>
      <c r="AW103" s="37">
        <f>AT103</f>
        <v>0</v>
      </c>
      <c r="AX103" s="21" t="str">
        <f>TEXT(EOMONTH(I103,0)+15,"dd-mmm-yyyy")&amp;" / "&amp;IF(BM103&gt;0,"CPR-IT-"&amp;TEXT(I103,"yymm")&amp;"-"&amp;RIGHT(G103,4),"Pending payment")</f>
        <v>15-Dec-2025 / CPR-IT-2511-0082</v>
      </c>
      <c r="AY103" s="21" t="str">
        <f>IF(BM103&gt;0,"Issued","Not yet")</f>
        <v>Issued</v>
      </c>
      <c r="AZ103" s="37">
        <v>0</v>
      </c>
      <c r="BA103" s="37">
        <v>0</v>
      </c>
      <c r="BB103" s="37">
        <v>0</v>
      </c>
      <c r="BC103" s="37">
        <v>0</v>
      </c>
      <c r="BD103" s="37">
        <v>0</v>
      </c>
      <c r="BE103" s="37">
        <f>AQ103</f>
        <v>89420</v>
      </c>
      <c r="BF103" s="37">
        <f>AV103</f>
        <v>16095.599999999999</v>
      </c>
      <c r="BG103" s="37">
        <f>AZ103</f>
        <v>0</v>
      </c>
      <c r="BH103" s="37">
        <f>BE103+BF103+BG103</f>
        <v>105515.6</v>
      </c>
      <c r="BI103" s="37">
        <f>AW103</f>
        <v>0</v>
      </c>
      <c r="BJ103" s="37">
        <f>BA103+BB103+BC103+BD103</f>
        <v>0</v>
      </c>
      <c r="BK103" s="37">
        <f>BH103-BI103-BJ103</f>
        <v>105515.6</v>
      </c>
      <c r="BL103" s="21" t="str">
        <f>"PKR "&amp;TEXT(BK103,"#,##0")&amp;" only"</f>
        <v>PKR 105,516 only</v>
      </c>
      <c r="BM103" s="37">
        <f>SUMIFS('T10'!$AK$3:$AK$1500,'T10'!$V$3:$V$1500,G103)</f>
        <v>105515.6</v>
      </c>
      <c r="BN103" s="37">
        <f>BK103-BM103</f>
        <v>0</v>
      </c>
      <c r="BO103" s="21" t="str">
        <f>IF(BF103&gt;0,TEXT(I103,"mmm-yyyy")&amp;" sales tax return","N/A")</f>
        <v>Nov-2025 sales tax return</v>
      </c>
      <c r="BP103" s="21" t="s">
        <v>3358</v>
      </c>
      <c r="BQ103" s="29">
        <f>J103+10</f>
        <v>45974</v>
      </c>
      <c r="BR103" s="29">
        <f>BQ103</f>
        <v>45974</v>
      </c>
      <c r="BS103" s="21" t="s">
        <v>3095</v>
      </c>
      <c r="BT103" s="21" t="s">
        <v>3360</v>
      </c>
      <c r="BU103" s="21" t="s">
        <v>844</v>
      </c>
      <c r="BV103" s="21" t="s">
        <v>846</v>
      </c>
      <c r="BW103" s="21" t="str" cm="1">
        <f t="array" ref="BW103">_xlfn.TEXTJOIN(", ",TRUE,_xlfn.UNIQUE(_xlfn._xlws.FILTER('T10'!$A$3:$A$1500,'T10'!$V$3:$V$1500=G103,"None")))</f>
        <v>PV-0068</v>
      </c>
      <c r="BX103" s="21" t="s">
        <v>3951</v>
      </c>
      <c r="BY103" s="21" t="s">
        <v>3952</v>
      </c>
    </row>
    <row r="104" spans="1:77" x14ac:dyDescent="0.3">
      <c r="A104" s="21" t="s">
        <v>3381</v>
      </c>
      <c r="B104" s="21" t="s">
        <v>3953</v>
      </c>
      <c r="C104" s="21" t="s">
        <v>3954</v>
      </c>
      <c r="D104" s="35">
        <v>45975.583333333336</v>
      </c>
      <c r="E104" s="21" t="s">
        <v>3347</v>
      </c>
      <c r="F104" s="21" t="str">
        <f ca="1">IF(S104="Paid","Completed","Pending payment")</f>
        <v>Completed</v>
      </c>
      <c r="G104" s="21" t="s">
        <v>3955</v>
      </c>
      <c r="H104" s="21" t="s">
        <v>3385</v>
      </c>
      <c r="I104" s="29">
        <v>45976</v>
      </c>
      <c r="J104" s="29">
        <v>45974</v>
      </c>
      <c r="K104" s="21" t="str">
        <f>TEXT(I104,"mmm-yyyy")</f>
        <v>Nov-2025</v>
      </c>
      <c r="L104" s="21" t="s">
        <v>1797</v>
      </c>
      <c r="M104" s="21">
        <v>1</v>
      </c>
      <c r="N104" s="21" t="s">
        <v>743</v>
      </c>
      <c r="O104" s="21" t="s">
        <v>3350</v>
      </c>
      <c r="P104" s="21" t="s">
        <v>3351</v>
      </c>
      <c r="Q104" s="21" t="s">
        <v>844</v>
      </c>
      <c r="R104" s="21" t="s">
        <v>3956</v>
      </c>
      <c r="S104" s="21" t="str">
        <f ca="1">IF(BN104&lt;1,"Paid",IF(BM104&gt;0,"Partially paid",IF(ISNUMBER(SEARCH("hold",BU104)),"On hold",IF(BQ104&lt;TODAY(),"Overdue","Approved - unpaid"))))</f>
        <v>Paid</v>
      </c>
      <c r="T104" s="21" t="s">
        <v>3387</v>
      </c>
      <c r="U104" s="21" t="s">
        <v>3388</v>
      </c>
      <c r="V104" s="21" t="s">
        <v>3389</v>
      </c>
      <c r="W104" s="21" t="s">
        <v>746</v>
      </c>
      <c r="X104" s="21" t="s">
        <v>846</v>
      </c>
      <c r="Y104" s="21" t="s">
        <v>3390</v>
      </c>
      <c r="Z104" s="21" t="s">
        <v>3391</v>
      </c>
      <c r="AA104" s="21" t="s">
        <v>1051</v>
      </c>
      <c r="AB104" s="37">
        <v>0</v>
      </c>
      <c r="AC104" s="21" t="s">
        <v>844</v>
      </c>
      <c r="AD104" s="21" t="s">
        <v>844</v>
      </c>
      <c r="AE104" s="21" t="s">
        <v>844</v>
      </c>
      <c r="AF104" s="21">
        <v>1</v>
      </c>
      <c r="AG104" s="21" t="s">
        <v>959</v>
      </c>
      <c r="AH104" s="21" t="s">
        <v>961</v>
      </c>
      <c r="AI104" s="21" t="s">
        <v>905</v>
      </c>
      <c r="AJ104" s="37">
        <v>1</v>
      </c>
      <c r="AK104" s="37">
        <v>1</v>
      </c>
      <c r="AL104" s="37">
        <v>189360</v>
      </c>
      <c r="AM104" s="37">
        <f>AK104*AL104</f>
        <v>189360</v>
      </c>
      <c r="AN104" s="37">
        <f>AM104</f>
        <v>189360</v>
      </c>
      <c r="AO104" s="23">
        <f>_xlfn.XLOOKUP(AG104,'T13'!$A$3:$A$1500,'T13'!$O$3:$O$1500)</f>
        <v>0.16</v>
      </c>
      <c r="AP104" s="37">
        <v>0</v>
      </c>
      <c r="AQ104" s="37">
        <f>SUMIFS($AN$3:$AN$1500,$G$3:$G$1500,G104)</f>
        <v>189360</v>
      </c>
      <c r="AR104" s="37">
        <f>SUMIFS($AP$3:$AP$1500,$G$3:$G$1500,G104)</f>
        <v>0</v>
      </c>
      <c r="AS104" s="21" t="s">
        <v>3392</v>
      </c>
      <c r="AT104" s="37">
        <f>ROUND(BH104*0.11,0)</f>
        <v>24162</v>
      </c>
      <c r="AU104" s="21" t="s">
        <v>846</v>
      </c>
      <c r="AV104" s="37" cm="1">
        <f t="array" ref="AV104">SUMPRODUCT(($G$3:$G$1500=G104)*$AN$3:$AN$1500*$AO$3:$AO$1500)+AR104</f>
        <v>30297.600000000002</v>
      </c>
      <c r="AW104" s="37">
        <f>AT104</f>
        <v>24162</v>
      </c>
      <c r="AX104" s="21" t="str">
        <f>TEXT(EOMONTH(I104,0)+15,"dd-mmm-yyyy")&amp;" / "&amp;IF(BM104&gt;0,"CPR-IT-"&amp;TEXT(I104,"yymm")&amp;"-"&amp;RIGHT(G104,4),"Pending payment")</f>
        <v>15-Dec-2025 / CPR-IT-2511-0083</v>
      </c>
      <c r="AY104" s="21" t="str">
        <f>IF(BM104&gt;0,"Issued","Not yet")</f>
        <v>Issued</v>
      </c>
      <c r="AZ104" s="37">
        <v>0</v>
      </c>
      <c r="BA104" s="37">
        <v>0</v>
      </c>
      <c r="BB104" s="37">
        <v>0</v>
      </c>
      <c r="BC104" s="37">
        <v>0</v>
      </c>
      <c r="BD104" s="37">
        <v>0</v>
      </c>
      <c r="BE104" s="37">
        <f>AQ104</f>
        <v>189360</v>
      </c>
      <c r="BF104" s="37">
        <f>AV104</f>
        <v>30297.600000000002</v>
      </c>
      <c r="BG104" s="37">
        <f>AZ104</f>
        <v>0</v>
      </c>
      <c r="BH104" s="37">
        <f>BE104+BF104+BG104</f>
        <v>219657.60000000001</v>
      </c>
      <c r="BI104" s="37">
        <f>AW104</f>
        <v>24162</v>
      </c>
      <c r="BJ104" s="37">
        <f>BA104+BB104+BC104+BD104</f>
        <v>0</v>
      </c>
      <c r="BK104" s="37">
        <f>BH104-BI104-BJ104</f>
        <v>195495.6</v>
      </c>
      <c r="BL104" s="21" t="str">
        <f>"PKR "&amp;TEXT(BK104,"#,##0")&amp;" only"</f>
        <v>PKR 195,496 only</v>
      </c>
      <c r="BM104" s="37">
        <f>SUMIFS('T10'!$AK$3:$AK$1500,'T10'!$V$3:$V$1500,G104)</f>
        <v>195495.6</v>
      </c>
      <c r="BN104" s="37">
        <f>BK104-BM104</f>
        <v>0</v>
      </c>
      <c r="BO104" s="21" t="str">
        <f>IF(BF104&gt;0,TEXT(I104,"mmm-yyyy")&amp;" sales tax return","N/A")</f>
        <v>Nov-2025 sales tax return</v>
      </c>
      <c r="BP104" s="21" t="s">
        <v>1051</v>
      </c>
      <c r="BQ104" s="29">
        <f>J104+30</f>
        <v>46004</v>
      </c>
      <c r="BR104" s="29">
        <f>BQ104</f>
        <v>46004</v>
      </c>
      <c r="BS104" s="21" t="s">
        <v>3095</v>
      </c>
      <c r="BT104" s="21" t="s">
        <v>3360</v>
      </c>
      <c r="BU104" s="21" t="s">
        <v>844</v>
      </c>
      <c r="BV104" s="21" t="s">
        <v>846</v>
      </c>
      <c r="BW104" s="21" t="str" cm="1">
        <f t="array" ref="BW104">_xlfn.TEXTJOIN(", ",TRUE,_xlfn.UNIQUE(_xlfn._xlws.FILTER('T10'!$A$3:$A$1500,'T10'!$V$3:$V$1500=G104,"None")))</f>
        <v>PV-0052</v>
      </c>
      <c r="BX104" s="21" t="s">
        <v>3957</v>
      </c>
      <c r="BY104" s="21" t="s">
        <v>3958</v>
      </c>
    </row>
    <row r="105" spans="1:77" x14ac:dyDescent="0.3">
      <c r="A105" s="21" t="s">
        <v>3395</v>
      </c>
      <c r="B105" s="21" t="s">
        <v>3959</v>
      </c>
      <c r="C105" s="21" t="s">
        <v>3960</v>
      </c>
      <c r="D105" s="35">
        <v>45992.375</v>
      </c>
      <c r="E105" s="21" t="s">
        <v>3347</v>
      </c>
      <c r="F105" s="21" t="str">
        <f ca="1">IF(S105="Paid","Completed","Pending payment")</f>
        <v>Completed</v>
      </c>
      <c r="G105" s="21" t="s">
        <v>3961</v>
      </c>
      <c r="H105" s="21" t="s">
        <v>3399</v>
      </c>
      <c r="I105" s="29">
        <v>45991</v>
      </c>
      <c r="J105" s="29">
        <v>45991</v>
      </c>
      <c r="K105" s="21" t="str">
        <f>TEXT(I105,"mmm-yyyy")</f>
        <v>Nov-2025</v>
      </c>
      <c r="L105" s="21" t="s">
        <v>1797</v>
      </c>
      <c r="M105" s="21">
        <v>1</v>
      </c>
      <c r="N105" s="21" t="s">
        <v>743</v>
      </c>
      <c r="O105" s="21" t="s">
        <v>3400</v>
      </c>
      <c r="P105" s="21" t="s">
        <v>3401</v>
      </c>
      <c r="Q105" s="21" t="s">
        <v>844</v>
      </c>
      <c r="R105" s="21" t="s">
        <v>3962</v>
      </c>
      <c r="S105" s="21" t="str">
        <f ca="1">IF(BN105&lt;1,"Paid",IF(BM105&gt;0,"Partially paid",IF(ISNUMBER(SEARCH("hold",BU105)),"On hold",IF(BQ105&lt;TODAY(),"Overdue","Approved - unpaid"))))</f>
        <v>Paid</v>
      </c>
      <c r="T105" s="21" t="s">
        <v>3403</v>
      </c>
      <c r="U105" s="21" t="s">
        <v>3404</v>
      </c>
      <c r="V105" s="21" t="s">
        <v>967</v>
      </c>
      <c r="W105" s="21" t="s">
        <v>746</v>
      </c>
      <c r="X105" s="21" t="s">
        <v>846</v>
      </c>
      <c r="Y105" s="21" t="s">
        <v>3405</v>
      </c>
      <c r="Z105" s="21" t="s">
        <v>3406</v>
      </c>
      <c r="AA105" s="21" t="s">
        <v>1062</v>
      </c>
      <c r="AB105" s="37">
        <v>0</v>
      </c>
      <c r="AC105" s="21" t="s">
        <v>3963</v>
      </c>
      <c r="AD105" s="21" t="s">
        <v>3964</v>
      </c>
      <c r="AE105" s="21" t="s">
        <v>3409</v>
      </c>
      <c r="AF105" s="21">
        <v>1</v>
      </c>
      <c r="AG105" s="21" t="s">
        <v>763</v>
      </c>
      <c r="AH105" s="21" t="s">
        <v>766</v>
      </c>
      <c r="AI105" s="21" t="s">
        <v>1804</v>
      </c>
      <c r="AJ105" s="37">
        <v>1200</v>
      </c>
      <c r="AK105" s="37">
        <v>1200</v>
      </c>
      <c r="AL105" s="37">
        <v>1375</v>
      </c>
      <c r="AM105" s="37">
        <f>AK105*AL105</f>
        <v>1650000</v>
      </c>
      <c r="AN105" s="37">
        <f>AM105</f>
        <v>1650000</v>
      </c>
      <c r="AO105" s="23">
        <f>_xlfn.XLOOKUP(AG105,'T13'!$A$3:$A$1500,'T13'!$O$3:$O$1500)</f>
        <v>0.18</v>
      </c>
      <c r="AP105" s="37">
        <f>AK105*IF(AI105="MT",1000,IF(AI105="Jumbo bag (1.5 MT)",1500,IF(AI105="Bag (40 kg)",40,50)))*3</f>
        <v>180000</v>
      </c>
      <c r="AQ105" s="37">
        <f>SUMIFS($AN$3:$AN$1500,$G$3:$G$1500,G105)</f>
        <v>8406000</v>
      </c>
      <c r="AR105" s="37">
        <f>SUMIFS($AP$3:$AP$1500,$G$3:$G$1500,G105)</f>
        <v>930000</v>
      </c>
      <c r="AS105" s="21" t="s">
        <v>3410</v>
      </c>
      <c r="AT105" s="37">
        <f>ROUND(BH105*0.05,0)</f>
        <v>542454</v>
      </c>
      <c r="AU105" s="21" t="s">
        <v>846</v>
      </c>
      <c r="AV105" s="37" cm="1">
        <f t="array" ref="AV105">SUMPRODUCT(($G$3:$G$1500=G105)*$AN$3:$AN$1500*$AO$3:$AO$1500)+AR105</f>
        <v>2443080</v>
      </c>
      <c r="AW105" s="37">
        <f>AT105</f>
        <v>542454</v>
      </c>
      <c r="AX105" s="21" t="str">
        <f>TEXT(EOMONTH(I105,0)+15,"dd-mmm-yyyy")&amp;" / "&amp;IF(BM105&gt;0,"CPR-IT-"&amp;TEXT(I105,"yymm")&amp;"-"&amp;RIGHT(G105,4),"Pending payment")</f>
        <v>15-Dec-2025 / CPR-IT-2511-0084</v>
      </c>
      <c r="AY105" s="21" t="str">
        <f>IF(BM105&gt;0,"Issued","Not yet")</f>
        <v>Issued</v>
      </c>
      <c r="AZ105" s="37">
        <v>0</v>
      </c>
      <c r="BA105" s="37">
        <v>0</v>
      </c>
      <c r="BB105" s="37">
        <v>0</v>
      </c>
      <c r="BC105" s="37">
        <v>0</v>
      </c>
      <c r="BD105" s="37">
        <v>0</v>
      </c>
      <c r="BE105" s="37">
        <f>AQ105</f>
        <v>8406000</v>
      </c>
      <c r="BF105" s="37">
        <f>AV105</f>
        <v>2443080</v>
      </c>
      <c r="BG105" s="37">
        <f>AZ105</f>
        <v>0</v>
      </c>
      <c r="BH105" s="37">
        <f>BE105+BF105+BG105</f>
        <v>10849080</v>
      </c>
      <c r="BI105" s="37">
        <f>AW105</f>
        <v>542454</v>
      </c>
      <c r="BJ105" s="37">
        <f>BA105+BB105+BC105+BD105</f>
        <v>0</v>
      </c>
      <c r="BK105" s="37">
        <f>BH105-BI105-BJ105</f>
        <v>10306626</v>
      </c>
      <c r="BL105" s="21" t="str">
        <f>"PKR "&amp;TEXT(BK105,"#,##0")&amp;" only"</f>
        <v>PKR 10,306,626 only</v>
      </c>
      <c r="BM105" s="37">
        <f>SUMIFS('T10'!$AK$3:$AK$1500,'T10'!$V$3:$V$1500,G105)</f>
        <v>10306626</v>
      </c>
      <c r="BN105" s="37">
        <f>BK105-BM105</f>
        <v>0</v>
      </c>
      <c r="BO105" s="21" t="str">
        <f>IF(BF105&gt;0,TEXT(I105,"mmm-yyyy")&amp;" sales tax return","N/A")</f>
        <v>Nov-2025 sales tax return</v>
      </c>
      <c r="BP105" s="21" t="s">
        <v>1062</v>
      </c>
      <c r="BQ105" s="29">
        <f>J105+15</f>
        <v>46006</v>
      </c>
      <c r="BR105" s="29">
        <f>BQ105</f>
        <v>46006</v>
      </c>
      <c r="BS105" s="21" t="s">
        <v>3095</v>
      </c>
      <c r="BT105" s="21" t="s">
        <v>3411</v>
      </c>
      <c r="BU105" s="21" t="s">
        <v>844</v>
      </c>
      <c r="BV105" s="21" t="s">
        <v>846</v>
      </c>
      <c r="BW105" s="21" t="str" cm="1">
        <f t="array" ref="BW105">_xlfn.TEXTJOIN(", ",TRUE,_xlfn.UNIQUE(_xlfn._xlws.FILTER('T10'!$A$3:$A$1500,'T10'!$V$3:$V$1500=G105,"None")))</f>
        <v>PV-0024</v>
      </c>
      <c r="BX105" s="21" t="s">
        <v>3965</v>
      </c>
      <c r="BY105" s="21" t="s">
        <v>3966</v>
      </c>
    </row>
    <row r="106" spans="1:77" x14ac:dyDescent="0.3">
      <c r="A106" s="21" t="s">
        <v>3395</v>
      </c>
      <c r="B106" s="21" t="s">
        <v>3959</v>
      </c>
      <c r="C106" s="21" t="s">
        <v>3960</v>
      </c>
      <c r="D106" s="35">
        <v>45992.375</v>
      </c>
      <c r="E106" s="21" t="s">
        <v>3347</v>
      </c>
      <c r="F106" s="21" t="str">
        <f ca="1">IF(S106="Paid","Completed","Pending payment")</f>
        <v>Completed</v>
      </c>
      <c r="G106" s="21" t="s">
        <v>3961</v>
      </c>
      <c r="H106" s="21" t="s">
        <v>3399</v>
      </c>
      <c r="I106" s="29">
        <v>45991</v>
      </c>
      <c r="J106" s="29">
        <v>45991</v>
      </c>
      <c r="K106" s="21" t="str">
        <f>TEXT(I106,"mmm-yyyy")</f>
        <v>Nov-2025</v>
      </c>
      <c r="L106" s="21" t="s">
        <v>1797</v>
      </c>
      <c r="M106" s="21">
        <v>1</v>
      </c>
      <c r="N106" s="21" t="s">
        <v>743</v>
      </c>
      <c r="O106" s="21" t="s">
        <v>3400</v>
      </c>
      <c r="P106" s="21" t="s">
        <v>3401</v>
      </c>
      <c r="Q106" s="21" t="s">
        <v>844</v>
      </c>
      <c r="R106" s="21" t="s">
        <v>3962</v>
      </c>
      <c r="S106" s="21" t="str">
        <f ca="1">IF(BN106&lt;1,"Paid",IF(BM106&gt;0,"Partially paid",IF(ISNUMBER(SEARCH("hold",BU106)),"On hold",IF(BQ106&lt;TODAY(),"Overdue","Approved - unpaid"))))</f>
        <v>Paid</v>
      </c>
      <c r="T106" s="21" t="s">
        <v>3403</v>
      </c>
      <c r="U106" s="21" t="s">
        <v>3404</v>
      </c>
      <c r="V106" s="21" t="s">
        <v>967</v>
      </c>
      <c r="W106" s="21" t="s">
        <v>746</v>
      </c>
      <c r="X106" s="21" t="s">
        <v>846</v>
      </c>
      <c r="Y106" s="21" t="s">
        <v>3405</v>
      </c>
      <c r="Z106" s="21" t="s">
        <v>3406</v>
      </c>
      <c r="AA106" s="21" t="s">
        <v>1062</v>
      </c>
      <c r="AB106" s="37">
        <v>0</v>
      </c>
      <c r="AC106" s="21" t="s">
        <v>3963</v>
      </c>
      <c r="AD106" s="21" t="s">
        <v>3967</v>
      </c>
      <c r="AE106" s="21" t="s">
        <v>3409</v>
      </c>
      <c r="AF106" s="21">
        <v>2</v>
      </c>
      <c r="AG106" s="21" t="s">
        <v>781</v>
      </c>
      <c r="AH106" s="21" t="s">
        <v>782</v>
      </c>
      <c r="AI106" s="21" t="s">
        <v>783</v>
      </c>
      <c r="AJ106" s="37">
        <v>190</v>
      </c>
      <c r="AK106" s="37">
        <v>190</v>
      </c>
      <c r="AL106" s="37">
        <v>26400</v>
      </c>
      <c r="AM106" s="37">
        <f>AK106*AL106</f>
        <v>5016000</v>
      </c>
      <c r="AN106" s="37">
        <f>AM106</f>
        <v>5016000</v>
      </c>
      <c r="AO106" s="23">
        <f>_xlfn.XLOOKUP(AG106,'T13'!$A$3:$A$1500,'T13'!$O$3:$O$1500)</f>
        <v>0.18</v>
      </c>
      <c r="AP106" s="37">
        <f>AK106*IF(AI106="MT",1000,IF(AI106="Jumbo bag (1.5 MT)",1500,IF(AI106="Bag (40 kg)",40,50)))*3</f>
        <v>570000</v>
      </c>
      <c r="AQ106" s="37">
        <f>SUMIFS($AN$3:$AN$1500,$G$3:$G$1500,G106)</f>
        <v>8406000</v>
      </c>
      <c r="AR106" s="37">
        <f>SUMIFS($AP$3:$AP$1500,$G$3:$G$1500,G106)</f>
        <v>930000</v>
      </c>
      <c r="AS106" s="21" t="s">
        <v>3410</v>
      </c>
      <c r="AT106" s="37">
        <f>ROUND(BH106*0.05,0)</f>
        <v>542454</v>
      </c>
      <c r="AU106" s="21" t="s">
        <v>846</v>
      </c>
      <c r="AV106" s="37" cm="1">
        <f t="array" ref="AV106">SUMPRODUCT(($G$3:$G$1500=G106)*$AN$3:$AN$1500*$AO$3:$AO$1500)+AR106</f>
        <v>2443080</v>
      </c>
      <c r="AW106" s="37">
        <f>AT106</f>
        <v>542454</v>
      </c>
      <c r="AX106" s="21" t="str">
        <f>TEXT(EOMONTH(I106,0)+15,"dd-mmm-yyyy")&amp;" / "&amp;IF(BM106&gt;0,"CPR-IT-"&amp;TEXT(I106,"yymm")&amp;"-"&amp;RIGHT(G106,4),"Pending payment")</f>
        <v>15-Dec-2025 / CPR-IT-2511-0084</v>
      </c>
      <c r="AY106" s="21" t="str">
        <f>IF(BM106&gt;0,"Issued","Not yet")</f>
        <v>Issued</v>
      </c>
      <c r="AZ106" s="37">
        <v>0</v>
      </c>
      <c r="BA106" s="37">
        <v>0</v>
      </c>
      <c r="BB106" s="37">
        <v>0</v>
      </c>
      <c r="BC106" s="37">
        <v>0</v>
      </c>
      <c r="BD106" s="37">
        <v>0</v>
      </c>
      <c r="BE106" s="37">
        <f>AQ106</f>
        <v>8406000</v>
      </c>
      <c r="BF106" s="37">
        <f>AV106</f>
        <v>2443080</v>
      </c>
      <c r="BG106" s="37">
        <f>AZ106</f>
        <v>0</v>
      </c>
      <c r="BH106" s="37">
        <f>BE106+BF106+BG106</f>
        <v>10849080</v>
      </c>
      <c r="BI106" s="37">
        <f>AW106</f>
        <v>542454</v>
      </c>
      <c r="BJ106" s="37">
        <f>BA106+BB106+BC106+BD106</f>
        <v>0</v>
      </c>
      <c r="BK106" s="37">
        <f>BH106-BI106-BJ106</f>
        <v>10306626</v>
      </c>
      <c r="BL106" s="21" t="str">
        <f>"PKR "&amp;TEXT(BK106,"#,##0")&amp;" only"</f>
        <v>PKR 10,306,626 only</v>
      </c>
      <c r="BM106" s="37">
        <f>SUMIFS('T10'!$AK$3:$AK$1500,'T10'!$V$3:$V$1500,G106)</f>
        <v>10306626</v>
      </c>
      <c r="BN106" s="37">
        <f>BK106-BM106</f>
        <v>0</v>
      </c>
      <c r="BO106" s="21" t="str">
        <f>IF(BF106&gt;0,TEXT(I106,"mmm-yyyy")&amp;" sales tax return","N/A")</f>
        <v>Nov-2025 sales tax return</v>
      </c>
      <c r="BP106" s="21" t="s">
        <v>1062</v>
      </c>
      <c r="BQ106" s="29">
        <f>J106+15</f>
        <v>46006</v>
      </c>
      <c r="BR106" s="29">
        <f>BQ106</f>
        <v>46006</v>
      </c>
      <c r="BS106" s="21" t="s">
        <v>3095</v>
      </c>
      <c r="BT106" s="21" t="s">
        <v>3411</v>
      </c>
      <c r="BU106" s="21" t="s">
        <v>844</v>
      </c>
      <c r="BV106" s="21" t="s">
        <v>846</v>
      </c>
      <c r="BW106" s="21" t="str" cm="1">
        <f t="array" ref="BW106">_xlfn.TEXTJOIN(", ",TRUE,_xlfn.UNIQUE(_xlfn._xlws.FILTER('T10'!$A$3:$A$1500,'T10'!$V$3:$V$1500=G106,"None")))</f>
        <v>PV-0024</v>
      </c>
      <c r="BX106" s="21" t="s">
        <v>3965</v>
      </c>
      <c r="BY106" s="21" t="s">
        <v>3966</v>
      </c>
    </row>
    <row r="107" spans="1:77" x14ac:dyDescent="0.3">
      <c r="A107" s="21" t="s">
        <v>3395</v>
      </c>
      <c r="B107" s="21" t="s">
        <v>3959</v>
      </c>
      <c r="C107" s="21" t="s">
        <v>3960</v>
      </c>
      <c r="D107" s="35">
        <v>45992.375</v>
      </c>
      <c r="E107" s="21" t="s">
        <v>3347</v>
      </c>
      <c r="F107" s="21" t="str">
        <f ca="1">IF(S107="Paid","Completed","Pending payment")</f>
        <v>Completed</v>
      </c>
      <c r="G107" s="21" t="s">
        <v>3961</v>
      </c>
      <c r="H107" s="21" t="s">
        <v>3399</v>
      </c>
      <c r="I107" s="29">
        <v>45991</v>
      </c>
      <c r="J107" s="29">
        <v>45991</v>
      </c>
      <c r="K107" s="21" t="str">
        <f>TEXT(I107,"mmm-yyyy")</f>
        <v>Nov-2025</v>
      </c>
      <c r="L107" s="21" t="s">
        <v>1797</v>
      </c>
      <c r="M107" s="21">
        <v>1</v>
      </c>
      <c r="N107" s="21" t="s">
        <v>743</v>
      </c>
      <c r="O107" s="21" t="s">
        <v>3400</v>
      </c>
      <c r="P107" s="21" t="s">
        <v>3401</v>
      </c>
      <c r="Q107" s="21" t="s">
        <v>844</v>
      </c>
      <c r="R107" s="21" t="s">
        <v>3962</v>
      </c>
      <c r="S107" s="21" t="str">
        <f ca="1">IF(BN107&lt;1,"Paid",IF(BM107&gt;0,"Partially paid",IF(ISNUMBER(SEARCH("hold",BU107)),"On hold",IF(BQ107&lt;TODAY(),"Overdue","Approved - unpaid"))))</f>
        <v>Paid</v>
      </c>
      <c r="T107" s="21" t="s">
        <v>3403</v>
      </c>
      <c r="U107" s="21" t="s">
        <v>3404</v>
      </c>
      <c r="V107" s="21" t="s">
        <v>967</v>
      </c>
      <c r="W107" s="21" t="s">
        <v>746</v>
      </c>
      <c r="X107" s="21" t="s">
        <v>846</v>
      </c>
      <c r="Y107" s="21" t="s">
        <v>3405</v>
      </c>
      <c r="Z107" s="21" t="s">
        <v>3406</v>
      </c>
      <c r="AA107" s="21" t="s">
        <v>1062</v>
      </c>
      <c r="AB107" s="37">
        <v>0</v>
      </c>
      <c r="AC107" s="21" t="s">
        <v>3963</v>
      </c>
      <c r="AD107" s="21" t="s">
        <v>3968</v>
      </c>
      <c r="AE107" s="21" t="s">
        <v>3409</v>
      </c>
      <c r="AF107" s="21">
        <v>3</v>
      </c>
      <c r="AG107" s="21" t="s">
        <v>788</v>
      </c>
      <c r="AH107" s="21" t="s">
        <v>790</v>
      </c>
      <c r="AI107" s="21" t="s">
        <v>1804</v>
      </c>
      <c r="AJ107" s="37">
        <v>1200</v>
      </c>
      <c r="AK107" s="37">
        <v>1200</v>
      </c>
      <c r="AL107" s="37">
        <v>1450</v>
      </c>
      <c r="AM107" s="37">
        <f>AK107*AL107</f>
        <v>1740000</v>
      </c>
      <c r="AN107" s="37">
        <f>AM107</f>
        <v>1740000</v>
      </c>
      <c r="AO107" s="23">
        <f>_xlfn.XLOOKUP(AG107,'T13'!$A$3:$A$1500,'T13'!$O$3:$O$1500)</f>
        <v>0.18</v>
      </c>
      <c r="AP107" s="37">
        <f>AK107*IF(AI107="MT",1000,IF(AI107="Jumbo bag (1.5 MT)",1500,IF(AI107="Bag (40 kg)",40,50)))*3</f>
        <v>180000</v>
      </c>
      <c r="AQ107" s="37">
        <f>SUMIFS($AN$3:$AN$1500,$G$3:$G$1500,G107)</f>
        <v>8406000</v>
      </c>
      <c r="AR107" s="37">
        <f>SUMIFS($AP$3:$AP$1500,$G$3:$G$1500,G107)</f>
        <v>930000</v>
      </c>
      <c r="AS107" s="21" t="s">
        <v>3410</v>
      </c>
      <c r="AT107" s="37">
        <f>ROUND(BH107*0.05,0)</f>
        <v>542454</v>
      </c>
      <c r="AU107" s="21" t="s">
        <v>846</v>
      </c>
      <c r="AV107" s="37" cm="1">
        <f t="array" ref="AV107">SUMPRODUCT(($G$3:$G$1500=G107)*$AN$3:$AN$1500*$AO$3:$AO$1500)+AR107</f>
        <v>2443080</v>
      </c>
      <c r="AW107" s="37">
        <f>AT107</f>
        <v>542454</v>
      </c>
      <c r="AX107" s="21" t="str">
        <f>TEXT(EOMONTH(I107,0)+15,"dd-mmm-yyyy")&amp;" / "&amp;IF(BM107&gt;0,"CPR-IT-"&amp;TEXT(I107,"yymm")&amp;"-"&amp;RIGHT(G107,4),"Pending payment")</f>
        <v>15-Dec-2025 / CPR-IT-2511-0084</v>
      </c>
      <c r="AY107" s="21" t="str">
        <f>IF(BM107&gt;0,"Issued","Not yet")</f>
        <v>Issued</v>
      </c>
      <c r="AZ107" s="37">
        <v>0</v>
      </c>
      <c r="BA107" s="37">
        <v>0</v>
      </c>
      <c r="BB107" s="37">
        <v>0</v>
      </c>
      <c r="BC107" s="37">
        <v>0</v>
      </c>
      <c r="BD107" s="37">
        <v>0</v>
      </c>
      <c r="BE107" s="37">
        <f>AQ107</f>
        <v>8406000</v>
      </c>
      <c r="BF107" s="37">
        <f>AV107</f>
        <v>2443080</v>
      </c>
      <c r="BG107" s="37">
        <f>AZ107</f>
        <v>0</v>
      </c>
      <c r="BH107" s="37">
        <f>BE107+BF107+BG107</f>
        <v>10849080</v>
      </c>
      <c r="BI107" s="37">
        <f>AW107</f>
        <v>542454</v>
      </c>
      <c r="BJ107" s="37">
        <f>BA107+BB107+BC107+BD107</f>
        <v>0</v>
      </c>
      <c r="BK107" s="37">
        <f>BH107-BI107-BJ107</f>
        <v>10306626</v>
      </c>
      <c r="BL107" s="21" t="str">
        <f>"PKR "&amp;TEXT(BK107,"#,##0")&amp;" only"</f>
        <v>PKR 10,306,626 only</v>
      </c>
      <c r="BM107" s="37">
        <f>SUMIFS('T10'!$AK$3:$AK$1500,'T10'!$V$3:$V$1500,G107)</f>
        <v>10306626</v>
      </c>
      <c r="BN107" s="37">
        <f>BK107-BM107</f>
        <v>0</v>
      </c>
      <c r="BO107" s="21" t="str">
        <f>IF(BF107&gt;0,TEXT(I107,"mmm-yyyy")&amp;" sales tax return","N/A")</f>
        <v>Nov-2025 sales tax return</v>
      </c>
      <c r="BP107" s="21" t="s">
        <v>1062</v>
      </c>
      <c r="BQ107" s="29">
        <f>J107+15</f>
        <v>46006</v>
      </c>
      <c r="BR107" s="29">
        <f>BQ107</f>
        <v>46006</v>
      </c>
      <c r="BS107" s="21" t="s">
        <v>3095</v>
      </c>
      <c r="BT107" s="21" t="s">
        <v>3411</v>
      </c>
      <c r="BU107" s="21" t="s">
        <v>844</v>
      </c>
      <c r="BV107" s="21" t="s">
        <v>846</v>
      </c>
      <c r="BW107" s="21" t="str" cm="1">
        <f t="array" ref="BW107">_xlfn.TEXTJOIN(", ",TRUE,_xlfn.UNIQUE(_xlfn._xlws.FILTER('T10'!$A$3:$A$1500,'T10'!$V$3:$V$1500=G107,"None")))</f>
        <v>PV-0024</v>
      </c>
      <c r="BX107" s="21" t="s">
        <v>3965</v>
      </c>
      <c r="BY107" s="21" t="s">
        <v>3966</v>
      </c>
    </row>
    <row r="108" spans="1:77" x14ac:dyDescent="0.3">
      <c r="A108" s="21" t="s">
        <v>3415</v>
      </c>
      <c r="B108" s="21" t="s">
        <v>3969</v>
      </c>
      <c r="C108" s="21" t="s">
        <v>3970</v>
      </c>
      <c r="D108" s="35">
        <v>45993.708333333336</v>
      </c>
      <c r="E108" s="21" t="s">
        <v>3347</v>
      </c>
      <c r="F108" s="21" t="str">
        <f ca="1">IF(S108="Paid","Completed","Pending payment")</f>
        <v>Completed</v>
      </c>
      <c r="G108" s="21" t="s">
        <v>3971</v>
      </c>
      <c r="H108" s="21" t="s">
        <v>3399</v>
      </c>
      <c r="I108" s="29">
        <v>45991</v>
      </c>
      <c r="J108" s="29">
        <v>45991</v>
      </c>
      <c r="K108" s="21" t="str">
        <f>TEXT(I108,"mmm-yyyy")</f>
        <v>Nov-2025</v>
      </c>
      <c r="L108" s="21" t="s">
        <v>1797</v>
      </c>
      <c r="M108" s="21">
        <v>1</v>
      </c>
      <c r="N108" s="21" t="s">
        <v>743</v>
      </c>
      <c r="O108" s="21" t="s">
        <v>3400</v>
      </c>
      <c r="P108" s="21" t="s">
        <v>3401</v>
      </c>
      <c r="Q108" s="21" t="s">
        <v>844</v>
      </c>
      <c r="R108" s="21" t="s">
        <v>3972</v>
      </c>
      <c r="S108" s="21" t="str">
        <f ca="1">IF(BN108&lt;1,"Paid",IF(BM108&gt;0,"Partially paid",IF(ISNUMBER(SEARCH("hold",BU108)),"On hold",IF(BQ108&lt;TODAY(),"Overdue","Approved - unpaid"))))</f>
        <v>Paid</v>
      </c>
      <c r="T108" s="21" t="s">
        <v>3403</v>
      </c>
      <c r="U108" s="21" t="s">
        <v>3419</v>
      </c>
      <c r="V108" s="21" t="s">
        <v>999</v>
      </c>
      <c r="W108" s="21" t="s">
        <v>746</v>
      </c>
      <c r="X108" s="21" t="s">
        <v>3812</v>
      </c>
      <c r="Y108" s="21" t="s">
        <v>3420</v>
      </c>
      <c r="Z108" s="21" t="s">
        <v>3421</v>
      </c>
      <c r="AA108" s="21" t="s">
        <v>1062</v>
      </c>
      <c r="AB108" s="37">
        <v>0</v>
      </c>
      <c r="AC108" s="21" t="s">
        <v>3973</v>
      </c>
      <c r="AD108" s="21" t="s">
        <v>3974</v>
      </c>
      <c r="AE108" s="21" t="s">
        <v>3424</v>
      </c>
      <c r="AF108" s="21">
        <v>1</v>
      </c>
      <c r="AG108" s="21" t="s">
        <v>831</v>
      </c>
      <c r="AH108" s="21" t="s">
        <v>833</v>
      </c>
      <c r="AI108" s="21" t="s">
        <v>1804</v>
      </c>
      <c r="AJ108" s="37">
        <v>600</v>
      </c>
      <c r="AK108" s="37">
        <v>600</v>
      </c>
      <c r="AL108" s="37">
        <v>1510</v>
      </c>
      <c r="AM108" s="37">
        <f>AK108*AL108</f>
        <v>906000</v>
      </c>
      <c r="AN108" s="37">
        <f>AM108</f>
        <v>906000</v>
      </c>
      <c r="AO108" s="23">
        <f>_xlfn.XLOOKUP(AG108,'T13'!$A$3:$A$1500,'T13'!$O$3:$O$1500)</f>
        <v>0.18</v>
      </c>
      <c r="AP108" s="37">
        <f>AK108*IF(AI108="MT",1000,IF(AI108="Jumbo bag (1.5 MT)",1500,IF(AI108="Bag (40 kg)",40,50)))*3</f>
        <v>90000</v>
      </c>
      <c r="AQ108" s="37">
        <f>SUMIFS($AN$3:$AN$1500,$G$3:$G$1500,G108)</f>
        <v>906000</v>
      </c>
      <c r="AR108" s="37">
        <f>SUMIFS($AP$3:$AP$1500,$G$3:$G$1500,G108)</f>
        <v>90000</v>
      </c>
      <c r="AS108" s="21" t="s">
        <v>3815</v>
      </c>
      <c r="AT108" s="37">
        <f>ROUND(BH108*0.01,0)</f>
        <v>11591</v>
      </c>
      <c r="AU108" s="21" t="s">
        <v>3816</v>
      </c>
      <c r="AV108" s="37" cm="1">
        <f t="array" ref="AV108">SUMPRODUCT(($G$3:$G$1500=G108)*$AN$3:$AN$1500*$AO$3:$AO$1500)+AR108</f>
        <v>253080</v>
      </c>
      <c r="AW108" s="37">
        <f>AT108</f>
        <v>11591</v>
      </c>
      <c r="AX108" s="21" t="str">
        <f>TEXT(EOMONTH(I108,0)+15,"dd-mmm-yyyy")&amp;" / "&amp;IF(BM108&gt;0,"CPR-IT-"&amp;TEXT(I108,"yymm")&amp;"-"&amp;RIGHT(G108,4),"Pending payment")</f>
        <v>15-Dec-2025 / CPR-IT-2511-0085</v>
      </c>
      <c r="AY108" s="21" t="str">
        <f>IF(BM108&gt;0,"Issued","Not yet")</f>
        <v>Issued</v>
      </c>
      <c r="AZ108" s="37">
        <v>0</v>
      </c>
      <c r="BA108" s="37">
        <v>0</v>
      </c>
      <c r="BB108" s="37">
        <v>0</v>
      </c>
      <c r="BC108" s="37">
        <v>0</v>
      </c>
      <c r="BD108" s="37">
        <v>0</v>
      </c>
      <c r="BE108" s="37">
        <f>AQ108</f>
        <v>906000</v>
      </c>
      <c r="BF108" s="37">
        <f>AV108</f>
        <v>253080</v>
      </c>
      <c r="BG108" s="37">
        <f>AZ108</f>
        <v>0</v>
      </c>
      <c r="BH108" s="37">
        <f>BE108+BF108+BG108</f>
        <v>1159080</v>
      </c>
      <c r="BI108" s="37">
        <f>AW108</f>
        <v>11591</v>
      </c>
      <c r="BJ108" s="37">
        <f>BA108+BB108+BC108+BD108</f>
        <v>0</v>
      </c>
      <c r="BK108" s="37">
        <f>BH108-BI108-BJ108</f>
        <v>1147489</v>
      </c>
      <c r="BL108" s="21" t="str">
        <f>"PKR "&amp;TEXT(BK108,"#,##0")&amp;" only"</f>
        <v>PKR 1,147,489 only</v>
      </c>
      <c r="BM108" s="37">
        <f>SUMIFS('T10'!$AK$3:$AK$1500,'T10'!$V$3:$V$1500,G108)</f>
        <v>1147489</v>
      </c>
      <c r="BN108" s="37">
        <f>BK108-BM108</f>
        <v>0</v>
      </c>
      <c r="BO108" s="21" t="str">
        <f>IF(BF108&gt;0,TEXT(I108,"mmm-yyyy")&amp;" sales tax return","N/A")</f>
        <v>Nov-2025 sales tax return</v>
      </c>
      <c r="BP108" s="21" t="s">
        <v>1062</v>
      </c>
      <c r="BQ108" s="29">
        <f>J108+15</f>
        <v>46006</v>
      </c>
      <c r="BR108" s="29">
        <f>BQ108</f>
        <v>46006</v>
      </c>
      <c r="BS108" s="21" t="s">
        <v>3095</v>
      </c>
      <c r="BT108" s="21" t="s">
        <v>3411</v>
      </c>
      <c r="BU108" s="21" t="s">
        <v>844</v>
      </c>
      <c r="BV108" s="21" t="s">
        <v>846</v>
      </c>
      <c r="BW108" s="21" t="str" cm="1">
        <f t="array" ref="BW108">_xlfn.TEXTJOIN(", ",TRUE,_xlfn.UNIQUE(_xlfn._xlws.FILTER('T10'!$A$3:$A$1500,'T10'!$V$3:$V$1500=G108,"None")))</f>
        <v>PV-0023</v>
      </c>
      <c r="BX108" s="21" t="s">
        <v>3965</v>
      </c>
      <c r="BY108" s="21" t="s">
        <v>3966</v>
      </c>
    </row>
    <row r="109" spans="1:77" x14ac:dyDescent="0.3">
      <c r="A109" s="21" t="s">
        <v>3425</v>
      </c>
      <c r="B109" s="21" t="s">
        <v>2522</v>
      </c>
      <c r="C109" s="21" t="s">
        <v>3975</v>
      </c>
      <c r="D109" s="35">
        <v>45993.458333333336</v>
      </c>
      <c r="E109" s="21" t="s">
        <v>3347</v>
      </c>
      <c r="F109" s="21" t="str">
        <f ca="1">IF(S109="Paid","Completed","Pending payment")</f>
        <v>Completed</v>
      </c>
      <c r="G109" s="21" t="s">
        <v>3976</v>
      </c>
      <c r="H109" s="21" t="s">
        <v>3428</v>
      </c>
      <c r="I109" s="29">
        <v>45994</v>
      </c>
      <c r="J109" s="29">
        <v>45992</v>
      </c>
      <c r="K109" s="21" t="str">
        <f>TEXT(I109,"mmm-yyyy")</f>
        <v>Dec-2025</v>
      </c>
      <c r="L109" s="21" t="s">
        <v>1797</v>
      </c>
      <c r="M109" s="21">
        <v>1</v>
      </c>
      <c r="N109" s="21" t="s">
        <v>743</v>
      </c>
      <c r="O109" s="21" t="s">
        <v>3350</v>
      </c>
      <c r="P109" s="21" t="s">
        <v>3429</v>
      </c>
      <c r="Q109" s="21" t="s">
        <v>844</v>
      </c>
      <c r="R109" s="21" t="s">
        <v>3977</v>
      </c>
      <c r="S109" s="21" t="str">
        <f ca="1">IF(BN109&lt;1,"Paid",IF(BM109&gt;0,"Partially paid",IF(ISNUMBER(SEARCH("hold",BU109)),"On hold",IF(BQ109&lt;TODAY(),"Overdue","Approved - unpaid"))))</f>
        <v>Paid</v>
      </c>
      <c r="T109" s="21" t="s">
        <v>3431</v>
      </c>
      <c r="U109" s="21" t="s">
        <v>1339</v>
      </c>
      <c r="V109" s="21" t="s">
        <v>1207</v>
      </c>
      <c r="W109" s="21" t="s">
        <v>1066</v>
      </c>
      <c r="X109" s="21" t="s">
        <v>846</v>
      </c>
      <c r="Y109" s="21" t="s">
        <v>3432</v>
      </c>
      <c r="Z109" s="21" t="s">
        <v>3433</v>
      </c>
      <c r="AA109" s="21" t="s">
        <v>1051</v>
      </c>
      <c r="AB109" s="37">
        <v>0</v>
      </c>
      <c r="AC109" s="21" t="s">
        <v>844</v>
      </c>
      <c r="AD109" s="21" t="s">
        <v>844</v>
      </c>
      <c r="AE109" s="21" t="s">
        <v>3434</v>
      </c>
      <c r="AF109" s="21">
        <v>1</v>
      </c>
      <c r="AG109" s="21" t="s">
        <v>853</v>
      </c>
      <c r="AH109" s="21" t="s">
        <v>855</v>
      </c>
      <c r="AI109" s="21" t="s">
        <v>842</v>
      </c>
      <c r="AJ109" s="37">
        <f>COUNTIFS('T14'!$AQ$3:$AQ$1500,B109,'T14'!$Z$3:$Z$1500,1,'T14'!$F$3:$F$1500,"Bulker")</f>
        <v>5</v>
      </c>
      <c r="AK109" s="37">
        <f>AJ109</f>
        <v>5</v>
      </c>
      <c r="AL109" s="37">
        <v>58600</v>
      </c>
      <c r="AM109" s="37">
        <f>AK109*AL109</f>
        <v>293000</v>
      </c>
      <c r="AN109" s="37">
        <f>AM109</f>
        <v>293000</v>
      </c>
      <c r="AO109" s="23">
        <f>_xlfn.XLOOKUP(AG109,'T13'!$A$3:$A$1500,'T13'!$O$3:$O$1500)</f>
        <v>0.16</v>
      </c>
      <c r="AP109" s="37">
        <v>0</v>
      </c>
      <c r="AQ109" s="37">
        <f>SUMIFS($AN$3:$AN$1500,$G$3:$G$1500,G109)</f>
        <v>293000</v>
      </c>
      <c r="AR109" s="37">
        <f>SUMIFS($AP$3:$AP$1500,$G$3:$G$1500,G109)</f>
        <v>0</v>
      </c>
      <c r="AS109" s="21" t="s">
        <v>3435</v>
      </c>
      <c r="AT109" s="37">
        <f>ROUND(BH109*0.08,0)</f>
        <v>27190</v>
      </c>
      <c r="AU109" s="21" t="s">
        <v>846</v>
      </c>
      <c r="AV109" s="37" cm="1">
        <f t="array" ref="AV109">SUMPRODUCT(($G$3:$G$1500=G109)*$AN$3:$AN$1500*$AO$3:$AO$1500)+AR109</f>
        <v>46880</v>
      </c>
      <c r="AW109" s="37">
        <f>AT109</f>
        <v>27190</v>
      </c>
      <c r="AX109" s="21" t="str">
        <f>TEXT(EOMONTH(I109,0)+15,"dd-mmm-yyyy")&amp;" / "&amp;IF(BM109&gt;0,"CPR-IT-"&amp;TEXT(I109,"yymm")&amp;"-"&amp;RIGHT(G109,4),"Pending payment")</f>
        <v>15-Jan-2026 / CPR-IT-2512-0086</v>
      </c>
      <c r="AY109" s="21" t="str">
        <f>IF(BM109&gt;0,"Issued","Not yet")</f>
        <v>Issued</v>
      </c>
      <c r="AZ109" s="37">
        <v>0</v>
      </c>
      <c r="BA109" s="37">
        <v>0</v>
      </c>
      <c r="BB109" s="37">
        <v>0</v>
      </c>
      <c r="BC109" s="37">
        <v>0</v>
      </c>
      <c r="BD109" s="37">
        <v>0</v>
      </c>
      <c r="BE109" s="37">
        <f>AQ109</f>
        <v>293000</v>
      </c>
      <c r="BF109" s="37">
        <f>AV109</f>
        <v>46880</v>
      </c>
      <c r="BG109" s="37">
        <f>AZ109</f>
        <v>0</v>
      </c>
      <c r="BH109" s="37">
        <f>BE109+BF109+BG109</f>
        <v>339880</v>
      </c>
      <c r="BI109" s="37">
        <f>AW109</f>
        <v>27190</v>
      </c>
      <c r="BJ109" s="37">
        <f>BA109+BB109+BC109+BD109</f>
        <v>0</v>
      </c>
      <c r="BK109" s="37">
        <f>BH109-BI109-BJ109</f>
        <v>312690</v>
      </c>
      <c r="BL109" s="21" t="str">
        <f>"PKR "&amp;TEXT(BK109,"#,##0")&amp;" only"</f>
        <v>PKR 312,690 only</v>
      </c>
      <c r="BM109" s="37">
        <f>SUMIFS('T10'!$AK$3:$AK$1500,'T10'!$V$3:$V$1500,G109)</f>
        <v>312690</v>
      </c>
      <c r="BN109" s="37">
        <f>BK109-BM109</f>
        <v>0</v>
      </c>
      <c r="BO109" s="21" t="str">
        <f>IF(BF109&gt;0,TEXT(I109,"mmm-yyyy")&amp;" sales tax return","N/A")</f>
        <v>Dec-2025 sales tax return</v>
      </c>
      <c r="BP109" s="21" t="s">
        <v>1051</v>
      </c>
      <c r="BQ109" s="29">
        <f>J109+30</f>
        <v>46022</v>
      </c>
      <c r="BR109" s="29">
        <f>BQ109</f>
        <v>46022</v>
      </c>
      <c r="BS109" s="21" t="s">
        <v>3095</v>
      </c>
      <c r="BT109" s="21" t="s">
        <v>3360</v>
      </c>
      <c r="BU109" s="21" t="s">
        <v>844</v>
      </c>
      <c r="BV109" s="21" t="s">
        <v>846</v>
      </c>
      <c r="BW109" s="21" t="str" cm="1">
        <f t="array" ref="BW109">_xlfn.TEXTJOIN(", ",TRUE,_xlfn.UNIQUE(_xlfn._xlws.FILTER('T10'!$A$3:$A$1500,'T10'!$V$3:$V$1500=G109,"None")))</f>
        <v>PV-0027</v>
      </c>
      <c r="BX109" s="21" t="s">
        <v>3978</v>
      </c>
      <c r="BY109" s="21" t="s">
        <v>3979</v>
      </c>
    </row>
    <row r="110" spans="1:77" x14ac:dyDescent="0.3">
      <c r="A110" s="21" t="s">
        <v>3489</v>
      </c>
      <c r="B110" s="21" t="s">
        <v>2528</v>
      </c>
      <c r="C110" s="21" t="s">
        <v>3980</v>
      </c>
      <c r="D110" s="35">
        <v>45993.708333333336</v>
      </c>
      <c r="E110" s="21" t="s">
        <v>3347</v>
      </c>
      <c r="F110" s="21" t="str">
        <f ca="1">IF(S110="Paid","Completed","Pending payment")</f>
        <v>Completed</v>
      </c>
      <c r="G110" s="21" t="s">
        <v>3981</v>
      </c>
      <c r="H110" s="21" t="s">
        <v>3428</v>
      </c>
      <c r="I110" s="29">
        <v>45994</v>
      </c>
      <c r="J110" s="29">
        <v>45992</v>
      </c>
      <c r="K110" s="21" t="str">
        <f>TEXT(I110,"mmm-yyyy")</f>
        <v>Dec-2025</v>
      </c>
      <c r="L110" s="21" t="s">
        <v>1797</v>
      </c>
      <c r="M110" s="21">
        <v>1</v>
      </c>
      <c r="N110" s="21" t="s">
        <v>743</v>
      </c>
      <c r="O110" s="21" t="s">
        <v>3350</v>
      </c>
      <c r="P110" s="21" t="s">
        <v>3429</v>
      </c>
      <c r="Q110" s="21" t="s">
        <v>844</v>
      </c>
      <c r="R110" s="21" t="s">
        <v>3977</v>
      </c>
      <c r="S110" s="21" t="str">
        <f ca="1">IF(BN110&lt;1,"Paid",IF(BM110&gt;0,"Partially paid",IF(ISNUMBER(SEARCH("hold",BU110)),"On hold",IF(BQ110&lt;TODAY(),"Overdue","Approved - unpaid"))))</f>
        <v>Paid</v>
      </c>
      <c r="T110" s="21" t="s">
        <v>3431</v>
      </c>
      <c r="U110" s="21" t="s">
        <v>1213</v>
      </c>
      <c r="V110" s="21" t="s">
        <v>1194</v>
      </c>
      <c r="W110" s="21" t="s">
        <v>746</v>
      </c>
      <c r="X110" s="21" t="s">
        <v>846</v>
      </c>
      <c r="Y110" s="21" t="s">
        <v>3493</v>
      </c>
      <c r="Z110" s="21" t="s">
        <v>3494</v>
      </c>
      <c r="AA110" s="21" t="s">
        <v>1051</v>
      </c>
      <c r="AB110" s="37">
        <v>0</v>
      </c>
      <c r="AC110" s="21" t="s">
        <v>844</v>
      </c>
      <c r="AD110" s="21" t="s">
        <v>844</v>
      </c>
      <c r="AE110" s="21" t="s">
        <v>3495</v>
      </c>
      <c r="AF110" s="21">
        <v>1</v>
      </c>
      <c r="AG110" s="21" t="s">
        <v>837</v>
      </c>
      <c r="AH110" s="21" t="s">
        <v>840</v>
      </c>
      <c r="AI110" s="21" t="s">
        <v>842</v>
      </c>
      <c r="AJ110" s="37">
        <f>COUNTIFS('T14'!$AQ$3:$AQ$1500,B110,'T14'!$Z$3:$Z$1500,1,'T14'!$F$3:$F$1500,"Bag")</f>
        <v>4</v>
      </c>
      <c r="AK110" s="37">
        <f>AJ110</f>
        <v>4</v>
      </c>
      <c r="AL110" s="37">
        <v>40500</v>
      </c>
      <c r="AM110" s="37">
        <f>AK110*AL110</f>
        <v>162000</v>
      </c>
      <c r="AN110" s="37">
        <f>AM110</f>
        <v>162000</v>
      </c>
      <c r="AO110" s="23">
        <f>_xlfn.XLOOKUP(AG110,'T13'!$A$3:$A$1500,'T13'!$O$3:$O$1500)</f>
        <v>0.16</v>
      </c>
      <c r="AP110" s="37">
        <v>0</v>
      </c>
      <c r="AQ110" s="37">
        <f>SUMIFS($AN$3:$AN$1500,$G$3:$G$1500,G110)</f>
        <v>162000</v>
      </c>
      <c r="AR110" s="37">
        <f>SUMIFS($AP$3:$AP$1500,$G$3:$G$1500,G110)</f>
        <v>0</v>
      </c>
      <c r="AS110" s="21" t="s">
        <v>3444</v>
      </c>
      <c r="AT110" s="37">
        <f>ROUND(BH110*0.04,0)</f>
        <v>7877</v>
      </c>
      <c r="AU110" s="21" t="s">
        <v>846</v>
      </c>
      <c r="AV110" s="37" cm="1">
        <f t="array" ref="AV110">SUMPRODUCT(($G$3:$G$1500=G110)*$AN$3:$AN$1500*$AO$3:$AO$1500)+AR110</f>
        <v>25920</v>
      </c>
      <c r="AW110" s="37">
        <f>AT110</f>
        <v>7877</v>
      </c>
      <c r="AX110" s="21" t="str">
        <f>TEXT(EOMONTH(I110,0)+15,"dd-mmm-yyyy")&amp;" / "&amp;IF(BM110&gt;0,"CPR-IT-"&amp;TEXT(I110,"yymm")&amp;"-"&amp;RIGHT(G110,4),"Pending payment")</f>
        <v>15-Jan-2026 / CPR-IT-2512-0087</v>
      </c>
      <c r="AY110" s="21" t="str">
        <f>IF(BM110&gt;0,"Issued","Not yet")</f>
        <v>Issued</v>
      </c>
      <c r="AZ110" s="37">
        <v>9000</v>
      </c>
      <c r="BA110" s="37">
        <v>0</v>
      </c>
      <c r="BB110" s="37">
        <v>0</v>
      </c>
      <c r="BC110" s="37">
        <v>0</v>
      </c>
      <c r="BD110" s="37">
        <v>0</v>
      </c>
      <c r="BE110" s="37">
        <f>AQ110</f>
        <v>162000</v>
      </c>
      <c r="BF110" s="37">
        <f>AV110</f>
        <v>25920</v>
      </c>
      <c r="BG110" s="37">
        <f>AZ110</f>
        <v>9000</v>
      </c>
      <c r="BH110" s="37">
        <f>BE110+BF110+BG110</f>
        <v>196920</v>
      </c>
      <c r="BI110" s="37">
        <f>AW110</f>
        <v>7877</v>
      </c>
      <c r="BJ110" s="37">
        <f>BA110+BB110+BC110+BD110</f>
        <v>0</v>
      </c>
      <c r="BK110" s="37">
        <f>BH110-BI110-BJ110</f>
        <v>189043</v>
      </c>
      <c r="BL110" s="21" t="str">
        <f>"PKR "&amp;TEXT(BK110,"#,##0")&amp;" only"</f>
        <v>PKR 189,043 only</v>
      </c>
      <c r="BM110" s="37">
        <f>SUMIFS('T10'!$AK$3:$AK$1500,'T10'!$V$3:$V$1500,G110)</f>
        <v>189043</v>
      </c>
      <c r="BN110" s="37">
        <f>BK110-BM110</f>
        <v>0</v>
      </c>
      <c r="BO110" s="21" t="str">
        <f>IF(BF110&gt;0,TEXT(I110,"mmm-yyyy")&amp;" sales tax return","N/A")</f>
        <v>Dec-2025 sales tax return</v>
      </c>
      <c r="BP110" s="21" t="s">
        <v>1051</v>
      </c>
      <c r="BQ110" s="29">
        <f>J110+30</f>
        <v>46022</v>
      </c>
      <c r="BR110" s="29">
        <f>BQ110</f>
        <v>46022</v>
      </c>
      <c r="BS110" s="21" t="s">
        <v>3095</v>
      </c>
      <c r="BT110" s="21" t="s">
        <v>3360</v>
      </c>
      <c r="BU110" s="21" t="s">
        <v>844</v>
      </c>
      <c r="BV110" s="21" t="s">
        <v>846</v>
      </c>
      <c r="BW110" s="21" t="str" cm="1">
        <f t="array" ref="BW110">_xlfn.TEXTJOIN(", ",TRUE,_xlfn.UNIQUE(_xlfn._xlws.FILTER('T10'!$A$3:$A$1500,'T10'!$V$3:$V$1500=G110,"None")))</f>
        <v>PV-0026</v>
      </c>
      <c r="BX110" s="21" t="s">
        <v>3978</v>
      </c>
      <c r="BY110" s="21" t="s">
        <v>3979</v>
      </c>
    </row>
    <row r="111" spans="1:77" x14ac:dyDescent="0.3">
      <c r="A111" s="21" t="s">
        <v>3438</v>
      </c>
      <c r="B111" s="21" t="s">
        <v>2551</v>
      </c>
      <c r="C111" s="21" t="s">
        <v>3982</v>
      </c>
      <c r="D111" s="35">
        <v>45994.666666666664</v>
      </c>
      <c r="E111" s="21" t="s">
        <v>3347</v>
      </c>
      <c r="F111" s="21" t="str">
        <f ca="1">IF(S111="Paid","Completed","Pending payment")</f>
        <v>Completed</v>
      </c>
      <c r="G111" s="21" t="s">
        <v>3983</v>
      </c>
      <c r="H111" s="21" t="s">
        <v>3428</v>
      </c>
      <c r="I111" s="29">
        <v>45994</v>
      </c>
      <c r="J111" s="29">
        <v>45992</v>
      </c>
      <c r="K111" s="21" t="str">
        <f>TEXT(I111,"mmm-yyyy")</f>
        <v>Dec-2025</v>
      </c>
      <c r="L111" s="21" t="s">
        <v>1797</v>
      </c>
      <c r="M111" s="21">
        <v>1</v>
      </c>
      <c r="N111" s="21" t="s">
        <v>743</v>
      </c>
      <c r="O111" s="21" t="s">
        <v>3350</v>
      </c>
      <c r="P111" s="21" t="s">
        <v>3429</v>
      </c>
      <c r="Q111" s="21" t="s">
        <v>844</v>
      </c>
      <c r="R111" s="21" t="s">
        <v>3984</v>
      </c>
      <c r="S111" s="21" t="str">
        <f ca="1">IF(BN111&lt;1,"Paid",IF(BM111&gt;0,"Partially paid",IF(ISNUMBER(SEARCH("hold",BU111)),"On hold",IF(BQ111&lt;TODAY(),"Overdue","Approved - unpaid"))))</f>
        <v>Paid</v>
      </c>
      <c r="T111" s="21" t="s">
        <v>3431</v>
      </c>
      <c r="U111" s="21" t="s">
        <v>1278</v>
      </c>
      <c r="V111" s="21" t="s">
        <v>1200</v>
      </c>
      <c r="W111" s="21" t="s">
        <v>746</v>
      </c>
      <c r="X111" s="21" t="s">
        <v>846</v>
      </c>
      <c r="Y111" s="21" t="s">
        <v>3441</v>
      </c>
      <c r="Z111" s="21" t="s">
        <v>3442</v>
      </c>
      <c r="AA111" s="21" t="s">
        <v>1051</v>
      </c>
      <c r="AB111" s="37">
        <v>0</v>
      </c>
      <c r="AC111" s="21" t="s">
        <v>844</v>
      </c>
      <c r="AD111" s="21" t="s">
        <v>844</v>
      </c>
      <c r="AE111" s="21" t="s">
        <v>3443</v>
      </c>
      <c r="AF111" s="21">
        <v>1</v>
      </c>
      <c r="AG111" s="21" t="s">
        <v>837</v>
      </c>
      <c r="AH111" s="21" t="s">
        <v>840</v>
      </c>
      <c r="AI111" s="21" t="s">
        <v>842</v>
      </c>
      <c r="AJ111" s="37">
        <f>COUNTIFS('T14'!$AQ$3:$AQ$1500,B111,'T14'!$Z$3:$Z$1500,1,'T14'!$F$3:$F$1500,"Bag")</f>
        <v>2</v>
      </c>
      <c r="AK111" s="37">
        <f>AJ111</f>
        <v>2</v>
      </c>
      <c r="AL111" s="37">
        <v>40500</v>
      </c>
      <c r="AM111" s="37">
        <f>AK111*AL111</f>
        <v>81000</v>
      </c>
      <c r="AN111" s="37">
        <f>AM111</f>
        <v>81000</v>
      </c>
      <c r="AO111" s="23">
        <f>_xlfn.XLOOKUP(AG111,'T13'!$A$3:$A$1500,'T13'!$O$3:$O$1500)</f>
        <v>0.16</v>
      </c>
      <c r="AP111" s="37">
        <v>0</v>
      </c>
      <c r="AQ111" s="37">
        <f>SUMIFS($AN$3:$AN$1500,$G$3:$G$1500,G111)</f>
        <v>81000</v>
      </c>
      <c r="AR111" s="37">
        <f>SUMIFS($AP$3:$AP$1500,$G$3:$G$1500,G111)</f>
        <v>0</v>
      </c>
      <c r="AS111" s="21" t="s">
        <v>3444</v>
      </c>
      <c r="AT111" s="37">
        <f>ROUND(BH111*0.04,0)</f>
        <v>3758</v>
      </c>
      <c r="AU111" s="21" t="s">
        <v>846</v>
      </c>
      <c r="AV111" s="37" cm="1">
        <f t="array" ref="AV111">SUMPRODUCT(($G$3:$G$1500=G111)*$AN$3:$AN$1500*$AO$3:$AO$1500)+AR111</f>
        <v>12960</v>
      </c>
      <c r="AW111" s="37">
        <f>AT111</f>
        <v>3758</v>
      </c>
      <c r="AX111" s="21" t="str">
        <f>TEXT(EOMONTH(I111,0)+15,"dd-mmm-yyyy")&amp;" / "&amp;IF(BM111&gt;0,"CPR-IT-"&amp;TEXT(I111,"yymm")&amp;"-"&amp;RIGHT(G111,4),"Pending payment")</f>
        <v>15-Jan-2026 / CPR-IT-2512-0088</v>
      </c>
      <c r="AY111" s="21" t="str">
        <f>IF(BM111&gt;0,"Issued","Not yet")</f>
        <v>Issued</v>
      </c>
      <c r="AZ111" s="37">
        <v>0</v>
      </c>
      <c r="BA111" s="37">
        <v>0</v>
      </c>
      <c r="BB111" s="37">
        <v>0</v>
      </c>
      <c r="BC111" s="37">
        <v>0</v>
      </c>
      <c r="BD111" s="37">
        <v>0</v>
      </c>
      <c r="BE111" s="37">
        <f>AQ111</f>
        <v>81000</v>
      </c>
      <c r="BF111" s="37">
        <f>AV111</f>
        <v>12960</v>
      </c>
      <c r="BG111" s="37">
        <f>AZ111</f>
        <v>0</v>
      </c>
      <c r="BH111" s="37">
        <f>BE111+BF111+BG111</f>
        <v>93960</v>
      </c>
      <c r="BI111" s="37">
        <f>AW111</f>
        <v>3758</v>
      </c>
      <c r="BJ111" s="37">
        <f>BA111+BB111+BC111+BD111</f>
        <v>0</v>
      </c>
      <c r="BK111" s="37">
        <f>BH111-BI111-BJ111</f>
        <v>90202</v>
      </c>
      <c r="BL111" s="21" t="str">
        <f>"PKR "&amp;TEXT(BK111,"#,##0")&amp;" only"</f>
        <v>PKR 90,202 only</v>
      </c>
      <c r="BM111" s="37">
        <f>SUMIFS('T10'!$AK$3:$AK$1500,'T10'!$V$3:$V$1500,G111)</f>
        <v>90202</v>
      </c>
      <c r="BN111" s="37">
        <f>BK111-BM111</f>
        <v>0</v>
      </c>
      <c r="BO111" s="21" t="str">
        <f>IF(BF111&gt;0,TEXT(I111,"mmm-yyyy")&amp;" sales tax return","N/A")</f>
        <v>Dec-2025 sales tax return</v>
      </c>
      <c r="BP111" s="21" t="s">
        <v>1051</v>
      </c>
      <c r="BQ111" s="29">
        <f>J111+30</f>
        <v>46022</v>
      </c>
      <c r="BR111" s="29">
        <f>BQ111</f>
        <v>46022</v>
      </c>
      <c r="BS111" s="21" t="s">
        <v>3095</v>
      </c>
      <c r="BT111" s="21" t="s">
        <v>3360</v>
      </c>
      <c r="BU111" s="21" t="s">
        <v>844</v>
      </c>
      <c r="BV111" s="21" t="s">
        <v>846</v>
      </c>
      <c r="BW111" s="21" t="str" cm="1">
        <f t="array" ref="BW111">_xlfn.TEXTJOIN(", ",TRUE,_xlfn.UNIQUE(_xlfn._xlws.FILTER('T10'!$A$3:$A$1500,'T10'!$V$3:$V$1500=G111,"None")))</f>
        <v>PV-0028</v>
      </c>
      <c r="BX111" s="21" t="s">
        <v>3978</v>
      </c>
      <c r="BY111" s="21" t="s">
        <v>3979</v>
      </c>
    </row>
    <row r="112" spans="1:77" x14ac:dyDescent="0.3">
      <c r="A112" s="21" t="s">
        <v>3344</v>
      </c>
      <c r="B112" s="21" t="s">
        <v>3985</v>
      </c>
      <c r="C112" s="21" t="s">
        <v>3986</v>
      </c>
      <c r="D112" s="35">
        <v>46006.708333333336</v>
      </c>
      <c r="E112" s="21" t="s">
        <v>3347</v>
      </c>
      <c r="F112" s="21" t="str">
        <f ca="1">IF(S112="Paid","Completed","Pending payment")</f>
        <v>Completed</v>
      </c>
      <c r="G112" s="21" t="s">
        <v>3987</v>
      </c>
      <c r="H112" s="21" t="s">
        <v>3349</v>
      </c>
      <c r="I112" s="29">
        <v>46007</v>
      </c>
      <c r="J112" s="29">
        <v>46005</v>
      </c>
      <c r="K112" s="21" t="str">
        <f>TEXT(I112,"mmm-yyyy")</f>
        <v>Dec-2025</v>
      </c>
      <c r="L112" s="21" t="s">
        <v>1797</v>
      </c>
      <c r="M112" s="21">
        <v>1</v>
      </c>
      <c r="N112" s="21" t="s">
        <v>743</v>
      </c>
      <c r="O112" s="21" t="s">
        <v>3350</v>
      </c>
      <c r="P112" s="21" t="s">
        <v>3351</v>
      </c>
      <c r="Q112" s="21" t="s">
        <v>844</v>
      </c>
      <c r="R112" s="21" t="s">
        <v>3988</v>
      </c>
      <c r="S112" s="21" t="str">
        <f ca="1">IF(BN112&lt;1,"Paid",IF(BM112&gt;0,"Partially paid",IF(ISNUMBER(SEARCH("hold",BU112)),"On hold",IF(BQ112&lt;TODAY(),"Overdue","Approved - unpaid"))))</f>
        <v>Paid</v>
      </c>
      <c r="T112" s="21" t="s">
        <v>3353</v>
      </c>
      <c r="U112" s="21" t="s">
        <v>3354</v>
      </c>
      <c r="V112" s="21" t="s">
        <v>3355</v>
      </c>
      <c r="W112" s="21" t="s">
        <v>746</v>
      </c>
      <c r="X112" s="21" t="s">
        <v>846</v>
      </c>
      <c r="Y112" s="21" t="s">
        <v>3356</v>
      </c>
      <c r="Z112" s="21" t="s">
        <v>3357</v>
      </c>
      <c r="AA112" s="21" t="s">
        <v>3358</v>
      </c>
      <c r="AB112" s="37">
        <v>0</v>
      </c>
      <c r="AC112" s="21" t="s">
        <v>844</v>
      </c>
      <c r="AD112" s="21" t="s">
        <v>844</v>
      </c>
      <c r="AE112" s="21" t="s">
        <v>844</v>
      </c>
      <c r="AF112" s="21">
        <v>1</v>
      </c>
      <c r="AG112" s="21" t="s">
        <v>911</v>
      </c>
      <c r="AH112" s="21" t="s">
        <v>913</v>
      </c>
      <c r="AI112" s="21" t="s">
        <v>905</v>
      </c>
      <c r="AJ112" s="37">
        <v>1</v>
      </c>
      <c r="AK112" s="37">
        <v>1</v>
      </c>
      <c r="AL112" s="37">
        <v>89760</v>
      </c>
      <c r="AM112" s="37">
        <f>AK112*AL112</f>
        <v>89760</v>
      </c>
      <c r="AN112" s="37">
        <f>AM112</f>
        <v>89760</v>
      </c>
      <c r="AO112" s="23">
        <f>_xlfn.XLOOKUP(AG112,'T13'!$A$3:$A$1500,'T13'!$O$3:$O$1500)</f>
        <v>0.18</v>
      </c>
      <c r="AP112" s="37">
        <v>0</v>
      </c>
      <c r="AQ112" s="37">
        <f>SUMIFS($AN$3:$AN$1500,$G$3:$G$1500,G112)</f>
        <v>89760</v>
      </c>
      <c r="AR112" s="37">
        <f>SUMIFS($AP$3:$AP$1500,$G$3:$G$1500,G112)</f>
        <v>0</v>
      </c>
      <c r="AS112" s="21" t="s">
        <v>3359</v>
      </c>
      <c r="AT112" s="37">
        <f>ROUND(BH112*0,0)</f>
        <v>0</v>
      </c>
      <c r="AU112" s="21" t="s">
        <v>846</v>
      </c>
      <c r="AV112" s="37" cm="1">
        <f t="array" ref="AV112">SUMPRODUCT(($G$3:$G$1500=G112)*$AN$3:$AN$1500*$AO$3:$AO$1500)+AR112</f>
        <v>16156.8</v>
      </c>
      <c r="AW112" s="37">
        <f>AT112</f>
        <v>0</v>
      </c>
      <c r="AX112" s="21" t="str">
        <f>TEXT(EOMONTH(I112,0)+15,"dd-mmm-yyyy")&amp;" / "&amp;IF(BM112&gt;0,"CPR-IT-"&amp;TEXT(I112,"yymm")&amp;"-"&amp;RIGHT(G112,4),"Pending payment")</f>
        <v>15-Jan-2026 / CPR-IT-2512-0089</v>
      </c>
      <c r="AY112" s="21" t="str">
        <f>IF(BM112&gt;0,"Issued","Not yet")</f>
        <v>Issued</v>
      </c>
      <c r="AZ112" s="37">
        <v>0</v>
      </c>
      <c r="BA112" s="37">
        <v>0</v>
      </c>
      <c r="BB112" s="37">
        <v>0</v>
      </c>
      <c r="BC112" s="37">
        <v>0</v>
      </c>
      <c r="BD112" s="37">
        <v>0</v>
      </c>
      <c r="BE112" s="37">
        <f>AQ112</f>
        <v>89760</v>
      </c>
      <c r="BF112" s="37">
        <f>AV112</f>
        <v>16156.8</v>
      </c>
      <c r="BG112" s="37">
        <f>AZ112</f>
        <v>0</v>
      </c>
      <c r="BH112" s="37">
        <f>BE112+BF112+BG112</f>
        <v>105916.8</v>
      </c>
      <c r="BI112" s="37">
        <f>AW112</f>
        <v>0</v>
      </c>
      <c r="BJ112" s="37">
        <f>BA112+BB112+BC112+BD112</f>
        <v>0</v>
      </c>
      <c r="BK112" s="37">
        <f>BH112-BI112-BJ112</f>
        <v>105916.8</v>
      </c>
      <c r="BL112" s="21" t="str">
        <f>"PKR "&amp;TEXT(BK112,"#,##0")&amp;" only"</f>
        <v>PKR 105,917 only</v>
      </c>
      <c r="BM112" s="37">
        <f>SUMIFS('T10'!$AK$3:$AK$1500,'T10'!$V$3:$V$1500,G112)</f>
        <v>105916.8</v>
      </c>
      <c r="BN112" s="37">
        <f>BK112-BM112</f>
        <v>0</v>
      </c>
      <c r="BO112" s="21" t="str">
        <f>IF(BF112&gt;0,TEXT(I112,"mmm-yyyy")&amp;" sales tax return","N/A")</f>
        <v>Dec-2025 sales tax return</v>
      </c>
      <c r="BP112" s="21" t="s">
        <v>3358</v>
      </c>
      <c r="BQ112" s="29">
        <f>J112+10</f>
        <v>46015</v>
      </c>
      <c r="BR112" s="29">
        <f>BQ112</f>
        <v>46015</v>
      </c>
      <c r="BS112" s="21" t="s">
        <v>3095</v>
      </c>
      <c r="BT112" s="21" t="s">
        <v>3360</v>
      </c>
      <c r="BU112" s="21" t="s">
        <v>844</v>
      </c>
      <c r="BV112" s="21" t="s">
        <v>846</v>
      </c>
      <c r="BW112" s="21" t="str" cm="1">
        <f t="array" ref="BW112">_xlfn.TEXTJOIN(", ",TRUE,_xlfn.UNIQUE(_xlfn._xlws.FILTER('T10'!$A$3:$A$1500,'T10'!$V$3:$V$1500=G112,"None")))</f>
        <v>PV-0068</v>
      </c>
      <c r="BX112" s="21" t="s">
        <v>3989</v>
      </c>
      <c r="BY112" s="21" t="s">
        <v>3990</v>
      </c>
    </row>
    <row r="113" spans="1:77" x14ac:dyDescent="0.3">
      <c r="A113" s="21" t="s">
        <v>3445</v>
      </c>
      <c r="B113" s="21" t="s">
        <v>3991</v>
      </c>
      <c r="C113" s="21" t="s">
        <v>3992</v>
      </c>
      <c r="D113" s="35">
        <v>46010.666666666664</v>
      </c>
      <c r="E113" s="21" t="s">
        <v>3347</v>
      </c>
      <c r="F113" s="21" t="str">
        <f ca="1">IF(S113="Paid","Completed","Pending payment")</f>
        <v>Completed</v>
      </c>
      <c r="G113" s="21" t="s">
        <v>3993</v>
      </c>
      <c r="H113" s="21" t="s">
        <v>3349</v>
      </c>
      <c r="I113" s="29">
        <v>46011</v>
      </c>
      <c r="J113" s="29">
        <v>46009</v>
      </c>
      <c r="K113" s="21" t="str">
        <f>TEXT(I113,"mmm-yyyy")</f>
        <v>Dec-2025</v>
      </c>
      <c r="L113" s="21" t="s">
        <v>1797</v>
      </c>
      <c r="M113" s="21">
        <v>1</v>
      </c>
      <c r="N113" s="21" t="s">
        <v>743</v>
      </c>
      <c r="O113" s="21" t="s">
        <v>3350</v>
      </c>
      <c r="P113" s="21" t="s">
        <v>3351</v>
      </c>
      <c r="Q113" s="21" t="s">
        <v>844</v>
      </c>
      <c r="R113" s="21" t="s">
        <v>3994</v>
      </c>
      <c r="S113" s="21" t="str">
        <f ca="1">IF(BN113&lt;1,"Paid",IF(BM113&gt;0,"Partially paid",IF(ISNUMBER(SEARCH("hold",BU113)),"On hold",IF(BQ113&lt;TODAY(),"Overdue","Approved - unpaid"))))</f>
        <v>Paid</v>
      </c>
      <c r="T113" s="21" t="s">
        <v>3353</v>
      </c>
      <c r="U113" s="21" t="s">
        <v>3450</v>
      </c>
      <c r="V113" s="21" t="s">
        <v>3451</v>
      </c>
      <c r="W113" s="21" t="s">
        <v>746</v>
      </c>
      <c r="X113" s="21" t="s">
        <v>846</v>
      </c>
      <c r="Y113" s="21" t="s">
        <v>3452</v>
      </c>
      <c r="Z113" s="21" t="s">
        <v>3453</v>
      </c>
      <c r="AA113" s="21" t="s">
        <v>1062</v>
      </c>
      <c r="AB113" s="37">
        <v>0</v>
      </c>
      <c r="AC113" s="21" t="s">
        <v>844</v>
      </c>
      <c r="AD113" s="21" t="s">
        <v>844</v>
      </c>
      <c r="AE113" s="21" t="s">
        <v>844</v>
      </c>
      <c r="AF113" s="21">
        <v>1</v>
      </c>
      <c r="AG113" s="21" t="s">
        <v>919</v>
      </c>
      <c r="AH113" s="21" t="s">
        <v>921</v>
      </c>
      <c r="AI113" s="21" t="s">
        <v>905</v>
      </c>
      <c r="AJ113" s="37">
        <v>1</v>
      </c>
      <c r="AK113" s="37">
        <v>1</v>
      </c>
      <c r="AL113" s="37">
        <v>26400</v>
      </c>
      <c r="AM113" s="37">
        <f>AK113*AL113</f>
        <v>26400</v>
      </c>
      <c r="AN113" s="37">
        <f>AM113</f>
        <v>26400</v>
      </c>
      <c r="AO113" s="23">
        <f>_xlfn.XLOOKUP(AG113,'T13'!$A$3:$A$1500,'T13'!$O$3:$O$1500)</f>
        <v>0.16</v>
      </c>
      <c r="AP113" s="37">
        <v>0</v>
      </c>
      <c r="AQ113" s="37">
        <f>SUMIFS($AN$3:$AN$1500,$G$3:$G$1500,G113)</f>
        <v>26400</v>
      </c>
      <c r="AR113" s="37">
        <f>SUMIFS($AP$3:$AP$1500,$G$3:$G$1500,G113)</f>
        <v>0</v>
      </c>
      <c r="AS113" s="21" t="s">
        <v>3359</v>
      </c>
      <c r="AT113" s="37">
        <f>ROUND(BH113*0,0)</f>
        <v>0</v>
      </c>
      <c r="AU113" s="21" t="s">
        <v>846</v>
      </c>
      <c r="AV113" s="37" cm="1">
        <f t="array" ref="AV113">SUMPRODUCT(($G$3:$G$1500=G113)*$AN$3:$AN$1500*$AO$3:$AO$1500)+AR113</f>
        <v>4224</v>
      </c>
      <c r="AW113" s="37">
        <f>AT113</f>
        <v>0</v>
      </c>
      <c r="AX113" s="21" t="str">
        <f>TEXT(EOMONTH(I113,0)+15,"dd-mmm-yyyy")&amp;" / "&amp;IF(BM113&gt;0,"CPR-IT-"&amp;TEXT(I113,"yymm")&amp;"-"&amp;RIGHT(G113,4),"Pending payment")</f>
        <v>15-Jan-2026 / CPR-IT-2512-0090</v>
      </c>
      <c r="AY113" s="21" t="str">
        <f>IF(BM113&gt;0,"Issued","Not yet")</f>
        <v>Issued</v>
      </c>
      <c r="AZ113" s="37">
        <v>0</v>
      </c>
      <c r="BA113" s="37">
        <v>0</v>
      </c>
      <c r="BB113" s="37">
        <v>0</v>
      </c>
      <c r="BC113" s="37">
        <v>0</v>
      </c>
      <c r="BD113" s="37">
        <v>0</v>
      </c>
      <c r="BE113" s="37">
        <f>AQ113</f>
        <v>26400</v>
      </c>
      <c r="BF113" s="37">
        <f>AV113</f>
        <v>4224</v>
      </c>
      <c r="BG113" s="37">
        <f>AZ113</f>
        <v>0</v>
      </c>
      <c r="BH113" s="37">
        <f>BE113+BF113+BG113</f>
        <v>30624</v>
      </c>
      <c r="BI113" s="37">
        <f>AW113</f>
        <v>0</v>
      </c>
      <c r="BJ113" s="37">
        <f>BA113+BB113+BC113+BD113</f>
        <v>0</v>
      </c>
      <c r="BK113" s="37">
        <f>BH113-BI113-BJ113</f>
        <v>30624</v>
      </c>
      <c r="BL113" s="21" t="str">
        <f>"PKR "&amp;TEXT(BK113,"#,##0")&amp;" only"</f>
        <v>PKR 30,624 only</v>
      </c>
      <c r="BM113" s="37">
        <f>SUMIFS('T10'!$AK$3:$AK$1500,'T10'!$V$3:$V$1500,G113)</f>
        <v>30624</v>
      </c>
      <c r="BN113" s="37">
        <f>BK113-BM113</f>
        <v>0</v>
      </c>
      <c r="BO113" s="21" t="str">
        <f>IF(BF113&gt;0,TEXT(I113,"mmm-yyyy")&amp;" sales tax return","N/A")</f>
        <v>Dec-2025 sales tax return</v>
      </c>
      <c r="BP113" s="21" t="s">
        <v>1062</v>
      </c>
      <c r="BQ113" s="29">
        <f>J113+15</f>
        <v>46024</v>
      </c>
      <c r="BR113" s="29">
        <f>BQ113</f>
        <v>46024</v>
      </c>
      <c r="BS113" s="21" t="s">
        <v>3095</v>
      </c>
      <c r="BT113" s="21" t="s">
        <v>3360</v>
      </c>
      <c r="BU113" s="21" t="s">
        <v>844</v>
      </c>
      <c r="BV113" s="21" t="s">
        <v>846</v>
      </c>
      <c r="BW113" s="21" t="str" cm="1">
        <f t="array" ref="BW113">_xlfn.TEXTJOIN(", ",TRUE,_xlfn.UNIQUE(_xlfn._xlws.FILTER('T10'!$A$3:$A$1500,'T10'!$V$3:$V$1500=G113,"None")))</f>
        <v>PV-0045</v>
      </c>
      <c r="BX113" s="21" t="s">
        <v>3995</v>
      </c>
      <c r="BY113" s="21" t="s">
        <v>3996</v>
      </c>
    </row>
    <row r="114" spans="1:77" x14ac:dyDescent="0.3">
      <c r="A114" s="21" t="s">
        <v>3363</v>
      </c>
      <c r="B114" s="21" t="s">
        <v>3997</v>
      </c>
      <c r="C114" s="21" t="s">
        <v>3998</v>
      </c>
      <c r="D114" s="35">
        <v>46014.458333333336</v>
      </c>
      <c r="E114" s="21" t="s">
        <v>3347</v>
      </c>
      <c r="F114" s="21" t="str">
        <f ca="1">IF(S114="Paid","Completed","Pending payment")</f>
        <v>Completed</v>
      </c>
      <c r="G114" s="21" t="s">
        <v>3999</v>
      </c>
      <c r="H114" s="21" t="s">
        <v>3367</v>
      </c>
      <c r="I114" s="29">
        <v>46014</v>
      </c>
      <c r="J114" s="29">
        <v>46012</v>
      </c>
      <c r="K114" s="21" t="str">
        <f>TEXT(I114,"mmm-yyyy")</f>
        <v>Dec-2025</v>
      </c>
      <c r="L114" s="21" t="s">
        <v>1797</v>
      </c>
      <c r="M114" s="21">
        <v>1</v>
      </c>
      <c r="N114" s="21" t="s">
        <v>743</v>
      </c>
      <c r="O114" s="21" t="s">
        <v>3368</v>
      </c>
      <c r="P114" s="21" t="s">
        <v>3369</v>
      </c>
      <c r="Q114" s="21" t="s">
        <v>844</v>
      </c>
      <c r="R114" s="21" t="s">
        <v>4000</v>
      </c>
      <c r="S114" s="21" t="str">
        <f ca="1">IF(BN114&lt;1,"Paid",IF(BM114&gt;0,"Partially paid",IF(ISNUMBER(SEARCH("hold",BU114)),"On hold",IF(BQ114&lt;TODAY(),"Overdue","Approved - unpaid"))))</f>
        <v>Paid</v>
      </c>
      <c r="T114" s="21" t="s">
        <v>3371</v>
      </c>
      <c r="U114" s="21" t="s">
        <v>3372</v>
      </c>
      <c r="V114" s="21" t="s">
        <v>3373</v>
      </c>
      <c r="W114" s="21" t="s">
        <v>746</v>
      </c>
      <c r="X114" s="21" t="s">
        <v>846</v>
      </c>
      <c r="Y114" s="21" t="s">
        <v>3374</v>
      </c>
      <c r="Z114" s="21" t="s">
        <v>3375</v>
      </c>
      <c r="AA114" s="21" t="s">
        <v>3376</v>
      </c>
      <c r="AB114" s="37">
        <v>0</v>
      </c>
      <c r="AC114" s="21" t="s">
        <v>844</v>
      </c>
      <c r="AD114" s="21" t="s">
        <v>844</v>
      </c>
      <c r="AE114" s="21" t="s">
        <v>3377</v>
      </c>
      <c r="AF114" s="21">
        <v>1</v>
      </c>
      <c r="AG114" s="21" t="s">
        <v>902</v>
      </c>
      <c r="AH114" s="21" t="s">
        <v>904</v>
      </c>
      <c r="AI114" s="21" t="s">
        <v>905</v>
      </c>
      <c r="AJ114" s="37">
        <v>3</v>
      </c>
      <c r="AK114" s="37">
        <v>3</v>
      </c>
      <c r="AL114" s="37">
        <v>369600</v>
      </c>
      <c r="AM114" s="37">
        <f>AK114*AL114</f>
        <v>1108800</v>
      </c>
      <c r="AN114" s="37">
        <f>AM114</f>
        <v>1108800</v>
      </c>
      <c r="AO114" s="23">
        <f>_xlfn.XLOOKUP(AG114,'T13'!$A$3:$A$1500,'T13'!$O$3:$O$1500)</f>
        <v>0</v>
      </c>
      <c r="AP114" s="37">
        <v>0</v>
      </c>
      <c r="AQ114" s="37">
        <f>SUMIFS($AN$3:$AN$1500,$G$3:$G$1500,G114)</f>
        <v>1108800</v>
      </c>
      <c r="AR114" s="37">
        <f>SUMIFS($AP$3:$AP$1500,$G$3:$G$1500,G114)</f>
        <v>0</v>
      </c>
      <c r="AS114" s="21" t="s">
        <v>3378</v>
      </c>
      <c r="AT114" s="37">
        <f>ROUND(BH114*0.15,0)</f>
        <v>166320</v>
      </c>
      <c r="AU114" s="21" t="s">
        <v>846</v>
      </c>
      <c r="AV114" s="37" cm="1">
        <f t="array" ref="AV114">SUMPRODUCT(($G$3:$G$1500=G114)*$AN$3:$AN$1500*$AO$3:$AO$1500)+AR114</f>
        <v>0</v>
      </c>
      <c r="AW114" s="37">
        <f>AT114</f>
        <v>166320</v>
      </c>
      <c r="AX114" s="21" t="str">
        <f>TEXT(EOMONTH(I114,0)+15,"dd-mmm-yyyy")&amp;" / "&amp;IF(BM114&gt;0,"CPR-IT-"&amp;TEXT(I114,"yymm")&amp;"-"&amp;RIGHT(G114,4),"Pending payment")</f>
        <v>15-Jan-2026 / CPR-IT-2512-0091</v>
      </c>
      <c r="AY114" s="21" t="str">
        <f>IF(BM114&gt;0,"Issued","Not yet")</f>
        <v>Issued</v>
      </c>
      <c r="AZ114" s="37">
        <v>0</v>
      </c>
      <c r="BA114" s="37">
        <v>0</v>
      </c>
      <c r="BB114" s="37">
        <v>0</v>
      </c>
      <c r="BC114" s="37">
        <v>0</v>
      </c>
      <c r="BD114" s="37">
        <v>0</v>
      </c>
      <c r="BE114" s="37">
        <f>AQ114</f>
        <v>1108800</v>
      </c>
      <c r="BF114" s="37">
        <f>AV114</f>
        <v>0</v>
      </c>
      <c r="BG114" s="37">
        <f>AZ114</f>
        <v>0</v>
      </c>
      <c r="BH114" s="37">
        <f>BE114+BF114+BG114</f>
        <v>1108800</v>
      </c>
      <c r="BI114" s="37">
        <f>AW114</f>
        <v>166320</v>
      </c>
      <c r="BJ114" s="37">
        <f>BA114+BB114+BC114+BD114</f>
        <v>0</v>
      </c>
      <c r="BK114" s="37">
        <f>BH114-BI114-BJ114</f>
        <v>942480</v>
      </c>
      <c r="BL114" s="21" t="str">
        <f>"PKR "&amp;TEXT(BK114,"#,##0")&amp;" only"</f>
        <v>PKR 942,480 only</v>
      </c>
      <c r="BM114" s="37">
        <f>SUMIFS('T10'!$AK$3:$AK$1500,'T10'!$V$3:$V$1500,G114)</f>
        <v>942480</v>
      </c>
      <c r="BN114" s="37">
        <f>BK114-BM114</f>
        <v>0</v>
      </c>
      <c r="BO114" s="21" t="str">
        <f>IF(BF114&gt;0,TEXT(I114,"mmm-yyyy")&amp;" sales tax return","N/A")</f>
        <v>N/A</v>
      </c>
      <c r="BP114" s="21" t="s">
        <v>3376</v>
      </c>
      <c r="BQ114" s="29">
        <f>J114+7</f>
        <v>46019</v>
      </c>
      <c r="BR114" s="29">
        <f>BQ114</f>
        <v>46019</v>
      </c>
      <c r="BS114" s="21" t="s">
        <v>3095</v>
      </c>
      <c r="BT114" s="21" t="s">
        <v>3360</v>
      </c>
      <c r="BU114" s="21" t="s">
        <v>844</v>
      </c>
      <c r="BV114" s="21" t="s">
        <v>846</v>
      </c>
      <c r="BW114" s="21" t="str" cm="1">
        <f t="array" ref="BW114">_xlfn.TEXTJOIN(", ",TRUE,_xlfn.UNIQUE(_xlfn._xlws.FILTER('T10'!$A$3:$A$1500,'T10'!$V$3:$V$1500=G114,"None")))</f>
        <v>PV-0025</v>
      </c>
      <c r="BX114" s="21" t="s">
        <v>4001</v>
      </c>
      <c r="BY114" s="21" t="s">
        <v>4002</v>
      </c>
    </row>
    <row r="115" spans="1:77" x14ac:dyDescent="0.3">
      <c r="A115" s="21" t="s">
        <v>3395</v>
      </c>
      <c r="B115" s="21" t="s">
        <v>4003</v>
      </c>
      <c r="C115" s="21" t="s">
        <v>4004</v>
      </c>
      <c r="D115" s="35">
        <v>46023.458333333336</v>
      </c>
      <c r="E115" s="21" t="s">
        <v>3347</v>
      </c>
      <c r="F115" s="21" t="str">
        <f ca="1">IF(S115="Paid","Completed","Pending payment")</f>
        <v>Completed</v>
      </c>
      <c r="G115" s="21" t="s">
        <v>4005</v>
      </c>
      <c r="H115" s="21" t="s">
        <v>3399</v>
      </c>
      <c r="I115" s="29">
        <v>46022</v>
      </c>
      <c r="J115" s="29">
        <v>46022</v>
      </c>
      <c r="K115" s="21" t="str">
        <f>TEXT(I115,"mmm-yyyy")</f>
        <v>Dec-2025</v>
      </c>
      <c r="L115" s="21" t="s">
        <v>1797</v>
      </c>
      <c r="M115" s="21">
        <v>1</v>
      </c>
      <c r="N115" s="21" t="s">
        <v>743</v>
      </c>
      <c r="O115" s="21" t="s">
        <v>3400</v>
      </c>
      <c r="P115" s="21" t="s">
        <v>3401</v>
      </c>
      <c r="Q115" s="21" t="s">
        <v>844</v>
      </c>
      <c r="R115" s="21" t="s">
        <v>4006</v>
      </c>
      <c r="S115" s="21" t="str">
        <f ca="1">IF(BN115&lt;1,"Paid",IF(BM115&gt;0,"Partially paid",IF(ISNUMBER(SEARCH("hold",BU115)),"On hold",IF(BQ115&lt;TODAY(),"Overdue","Approved - unpaid"))))</f>
        <v>Paid</v>
      </c>
      <c r="T115" s="21" t="s">
        <v>3403</v>
      </c>
      <c r="U115" s="21" t="s">
        <v>3404</v>
      </c>
      <c r="V115" s="21" t="s">
        <v>967</v>
      </c>
      <c r="W115" s="21" t="s">
        <v>746</v>
      </c>
      <c r="X115" s="21" t="s">
        <v>846</v>
      </c>
      <c r="Y115" s="21" t="s">
        <v>3405</v>
      </c>
      <c r="Z115" s="21" t="s">
        <v>3406</v>
      </c>
      <c r="AA115" s="21" t="s">
        <v>1062</v>
      </c>
      <c r="AB115" s="37">
        <v>0</v>
      </c>
      <c r="AC115" s="21" t="s">
        <v>4007</v>
      </c>
      <c r="AD115" s="21" t="s">
        <v>4008</v>
      </c>
      <c r="AE115" s="21" t="s">
        <v>3409</v>
      </c>
      <c r="AF115" s="21">
        <v>1</v>
      </c>
      <c r="AG115" s="21" t="s">
        <v>794</v>
      </c>
      <c r="AH115" s="21" t="s">
        <v>795</v>
      </c>
      <c r="AI115" s="21" t="s">
        <v>783</v>
      </c>
      <c r="AJ115" s="37">
        <v>180</v>
      </c>
      <c r="AK115" s="37">
        <v>180</v>
      </c>
      <c r="AL115" s="37">
        <v>28050</v>
      </c>
      <c r="AM115" s="37">
        <f>AK115*AL115</f>
        <v>5049000</v>
      </c>
      <c r="AN115" s="37">
        <f>AM115</f>
        <v>5049000</v>
      </c>
      <c r="AO115" s="23">
        <f>_xlfn.XLOOKUP(AG115,'T13'!$A$3:$A$1500,'T13'!$O$3:$O$1500)</f>
        <v>0.18</v>
      </c>
      <c r="AP115" s="37">
        <f>AK115*IF(AI115="MT",1000,IF(AI115="Jumbo bag (1.5 MT)",1500,IF(AI115="Bag (40 kg)",40,50)))*3</f>
        <v>540000</v>
      </c>
      <c r="AQ115" s="37">
        <f>SUMIFS($AN$3:$AN$1500,$G$3:$G$1500,G115)</f>
        <v>5049000</v>
      </c>
      <c r="AR115" s="37">
        <f>SUMIFS($AP$3:$AP$1500,$G$3:$G$1500,G115)</f>
        <v>540000</v>
      </c>
      <c r="AS115" s="21" t="s">
        <v>3410</v>
      </c>
      <c r="AT115" s="37">
        <f>ROUND(BH115*0.05,0)</f>
        <v>324891</v>
      </c>
      <c r="AU115" s="21" t="s">
        <v>846</v>
      </c>
      <c r="AV115" s="37" cm="1">
        <f t="array" ref="AV115">SUMPRODUCT(($G$3:$G$1500=G115)*$AN$3:$AN$1500*$AO$3:$AO$1500)+AR115</f>
        <v>1448820</v>
      </c>
      <c r="AW115" s="37">
        <f>AT115</f>
        <v>324891</v>
      </c>
      <c r="AX115" s="21" t="str">
        <f>TEXT(EOMONTH(I115,0)+15,"dd-mmm-yyyy")&amp;" / "&amp;IF(BM115&gt;0,"CPR-IT-"&amp;TEXT(I115,"yymm")&amp;"-"&amp;RIGHT(G115,4),"Pending payment")</f>
        <v>15-Jan-2026 / CPR-IT-2512-0092</v>
      </c>
      <c r="AY115" s="21" t="str">
        <f>IF(BM115&gt;0,"Issued","Not yet")</f>
        <v>Issued</v>
      </c>
      <c r="AZ115" s="37">
        <v>0</v>
      </c>
      <c r="BA115" s="37">
        <v>0</v>
      </c>
      <c r="BB115" s="37">
        <v>0</v>
      </c>
      <c r="BC115" s="37">
        <v>0</v>
      </c>
      <c r="BD115" s="37">
        <v>0</v>
      </c>
      <c r="BE115" s="37">
        <f>AQ115</f>
        <v>5049000</v>
      </c>
      <c r="BF115" s="37">
        <f>AV115</f>
        <v>1448820</v>
      </c>
      <c r="BG115" s="37">
        <f>AZ115</f>
        <v>0</v>
      </c>
      <c r="BH115" s="37">
        <f>BE115+BF115+BG115</f>
        <v>6497820</v>
      </c>
      <c r="BI115" s="37">
        <f>AW115</f>
        <v>324891</v>
      </c>
      <c r="BJ115" s="37">
        <f>BA115+BB115+BC115+BD115</f>
        <v>0</v>
      </c>
      <c r="BK115" s="37">
        <f>BH115-BI115-BJ115</f>
        <v>6172929</v>
      </c>
      <c r="BL115" s="21" t="str">
        <f>"PKR "&amp;TEXT(BK115,"#,##0")&amp;" only"</f>
        <v>PKR 6,172,929 only</v>
      </c>
      <c r="BM115" s="37">
        <f>SUMIFS('T10'!$AK$3:$AK$1500,'T10'!$V$3:$V$1500,G115)</f>
        <v>6172929</v>
      </c>
      <c r="BN115" s="37">
        <f>BK115-BM115</f>
        <v>0</v>
      </c>
      <c r="BO115" s="21" t="str">
        <f>IF(BF115&gt;0,TEXT(I115,"mmm-yyyy")&amp;" sales tax return","N/A")</f>
        <v>Dec-2025 sales tax return</v>
      </c>
      <c r="BP115" s="21" t="s">
        <v>1062</v>
      </c>
      <c r="BQ115" s="29">
        <f>J115+15</f>
        <v>46037</v>
      </c>
      <c r="BR115" s="29">
        <f>BQ115</f>
        <v>46037</v>
      </c>
      <c r="BS115" s="21" t="s">
        <v>3095</v>
      </c>
      <c r="BT115" s="21" t="s">
        <v>3411</v>
      </c>
      <c r="BU115" s="21" t="s">
        <v>844</v>
      </c>
      <c r="BV115" s="21" t="s">
        <v>846</v>
      </c>
      <c r="BW115" s="21" t="str" cm="1">
        <f t="array" ref="BW115">_xlfn.TEXTJOIN(", ",TRUE,_xlfn.UNIQUE(_xlfn._xlws.FILTER('T10'!$A$3:$A$1500,'T10'!$V$3:$V$1500=G115,"None")))</f>
        <v>PV-0029</v>
      </c>
      <c r="BX115" s="21" t="s">
        <v>4009</v>
      </c>
      <c r="BY115" s="21" t="s">
        <v>4010</v>
      </c>
    </row>
    <row r="116" spans="1:77" x14ac:dyDescent="0.3">
      <c r="A116" s="21" t="s">
        <v>3425</v>
      </c>
      <c r="B116" s="21" t="s">
        <v>2571</v>
      </c>
      <c r="C116" s="21" t="s">
        <v>4011</v>
      </c>
      <c r="D116" s="35">
        <v>46025.5</v>
      </c>
      <c r="E116" s="21" t="s">
        <v>3347</v>
      </c>
      <c r="F116" s="21" t="str">
        <f ca="1">IF(S116="Paid","Completed","Pending payment")</f>
        <v>Completed</v>
      </c>
      <c r="G116" s="21" t="s">
        <v>4012</v>
      </c>
      <c r="H116" s="21" t="s">
        <v>3428</v>
      </c>
      <c r="I116" s="29">
        <v>46025</v>
      </c>
      <c r="J116" s="29">
        <v>46023</v>
      </c>
      <c r="K116" s="21" t="str">
        <f>TEXT(I116,"mmm-yyyy")</f>
        <v>Jan-2026</v>
      </c>
      <c r="L116" s="21" t="s">
        <v>1797</v>
      </c>
      <c r="M116" s="21">
        <v>1</v>
      </c>
      <c r="N116" s="21" t="s">
        <v>743</v>
      </c>
      <c r="O116" s="21" t="s">
        <v>3350</v>
      </c>
      <c r="P116" s="21" t="s">
        <v>3429</v>
      </c>
      <c r="Q116" s="21" t="s">
        <v>844</v>
      </c>
      <c r="R116" s="21" t="s">
        <v>4013</v>
      </c>
      <c r="S116" s="21" t="str">
        <f ca="1">IF(BN116&lt;1,"Paid",IF(BM116&gt;0,"Partially paid",IF(ISNUMBER(SEARCH("hold",BU116)),"On hold",IF(BQ116&lt;TODAY(),"Overdue","Approved - unpaid"))))</f>
        <v>Paid</v>
      </c>
      <c r="T116" s="21" t="s">
        <v>3431</v>
      </c>
      <c r="U116" s="21" t="s">
        <v>1339</v>
      </c>
      <c r="V116" s="21" t="s">
        <v>1207</v>
      </c>
      <c r="W116" s="21" t="s">
        <v>1066</v>
      </c>
      <c r="X116" s="21" t="s">
        <v>846</v>
      </c>
      <c r="Y116" s="21" t="s">
        <v>3432</v>
      </c>
      <c r="Z116" s="21" t="s">
        <v>3433</v>
      </c>
      <c r="AA116" s="21" t="s">
        <v>1051</v>
      </c>
      <c r="AB116" s="37">
        <v>0</v>
      </c>
      <c r="AC116" s="21" t="s">
        <v>844</v>
      </c>
      <c r="AD116" s="21" t="s">
        <v>844</v>
      </c>
      <c r="AE116" s="21" t="s">
        <v>3434</v>
      </c>
      <c r="AF116" s="21">
        <v>1</v>
      </c>
      <c r="AG116" s="21" t="s">
        <v>853</v>
      </c>
      <c r="AH116" s="21" t="s">
        <v>855</v>
      </c>
      <c r="AI116" s="21" t="s">
        <v>842</v>
      </c>
      <c r="AJ116" s="37">
        <f>COUNTIFS('T14'!$AQ$3:$AQ$1500,B116,'T14'!$Z$3:$Z$1500,1,'T14'!$F$3:$F$1500,"Bulker")</f>
        <v>6</v>
      </c>
      <c r="AK116" s="37">
        <f>AJ116</f>
        <v>6</v>
      </c>
      <c r="AL116" s="37">
        <v>58900</v>
      </c>
      <c r="AM116" s="37">
        <f>AK116*AL116</f>
        <v>353400</v>
      </c>
      <c r="AN116" s="37">
        <f>AM116</f>
        <v>353400</v>
      </c>
      <c r="AO116" s="23">
        <f>_xlfn.XLOOKUP(AG116,'T13'!$A$3:$A$1500,'T13'!$O$3:$O$1500)</f>
        <v>0.16</v>
      </c>
      <c r="AP116" s="37">
        <v>0</v>
      </c>
      <c r="AQ116" s="37">
        <f>SUMIFS($AN$3:$AN$1500,$G$3:$G$1500,G116)</f>
        <v>353400</v>
      </c>
      <c r="AR116" s="37">
        <f>SUMIFS($AP$3:$AP$1500,$G$3:$G$1500,G116)</f>
        <v>0</v>
      </c>
      <c r="AS116" s="21" t="s">
        <v>3435</v>
      </c>
      <c r="AT116" s="37">
        <f>ROUND(BH116*0.08,0)</f>
        <v>32796</v>
      </c>
      <c r="AU116" s="21" t="s">
        <v>846</v>
      </c>
      <c r="AV116" s="37" cm="1">
        <f t="array" ref="AV116">SUMPRODUCT(($G$3:$G$1500=G116)*$AN$3:$AN$1500*$AO$3:$AO$1500)+AR116</f>
        <v>56544</v>
      </c>
      <c r="AW116" s="37">
        <f>AT116</f>
        <v>32796</v>
      </c>
      <c r="AX116" s="21" t="str">
        <f>TEXT(EOMONTH(I116,0)+15,"dd-mmm-yyyy")&amp;" / "&amp;IF(BM116&gt;0,"CPR-IT-"&amp;TEXT(I116,"yymm")&amp;"-"&amp;RIGHT(G116,4),"Pending payment")</f>
        <v>15-Feb-2026 / CPR-IT-2601-0093</v>
      </c>
      <c r="AY116" s="21" t="str">
        <f>IF(BM116&gt;0,"Issued","Not yet")</f>
        <v>Issued</v>
      </c>
      <c r="AZ116" s="37">
        <v>0</v>
      </c>
      <c r="BA116" s="37">
        <v>0</v>
      </c>
      <c r="BB116" s="37">
        <v>0</v>
      </c>
      <c r="BC116" s="37">
        <v>0</v>
      </c>
      <c r="BD116" s="37">
        <v>0</v>
      </c>
      <c r="BE116" s="37">
        <f>AQ116</f>
        <v>353400</v>
      </c>
      <c r="BF116" s="37">
        <f>AV116</f>
        <v>56544</v>
      </c>
      <c r="BG116" s="37">
        <f>AZ116</f>
        <v>0</v>
      </c>
      <c r="BH116" s="37">
        <f>BE116+BF116+BG116</f>
        <v>409944</v>
      </c>
      <c r="BI116" s="37">
        <f>AW116</f>
        <v>32796</v>
      </c>
      <c r="BJ116" s="37">
        <f>BA116+BB116+BC116+BD116</f>
        <v>0</v>
      </c>
      <c r="BK116" s="37">
        <f>BH116-BI116-BJ116</f>
        <v>377148</v>
      </c>
      <c r="BL116" s="21" t="str">
        <f>"PKR "&amp;TEXT(BK116,"#,##0")&amp;" only"</f>
        <v>PKR 377,148 only</v>
      </c>
      <c r="BM116" s="37">
        <f>SUMIFS('T10'!$AK$3:$AK$1500,'T10'!$V$3:$V$1500,G116)</f>
        <v>377148</v>
      </c>
      <c r="BN116" s="37">
        <f>BK116-BM116</f>
        <v>0</v>
      </c>
      <c r="BO116" s="21" t="str">
        <f>IF(BF116&gt;0,TEXT(I116,"mmm-yyyy")&amp;" sales tax return","N/A")</f>
        <v>Jan-2026 sales tax return</v>
      </c>
      <c r="BP116" s="21" t="s">
        <v>1051</v>
      </c>
      <c r="BQ116" s="29">
        <f>J116+30</f>
        <v>46053</v>
      </c>
      <c r="BR116" s="29">
        <f>BQ116</f>
        <v>46053</v>
      </c>
      <c r="BS116" s="21" t="s">
        <v>3095</v>
      </c>
      <c r="BT116" s="21" t="s">
        <v>3360</v>
      </c>
      <c r="BU116" s="21" t="s">
        <v>844</v>
      </c>
      <c r="BV116" s="21" t="s">
        <v>846</v>
      </c>
      <c r="BW116" s="21" t="str" cm="1">
        <f t="array" ref="BW116">_xlfn.TEXTJOIN(", ",TRUE,_xlfn.UNIQUE(_xlfn._xlws.FILTER('T10'!$A$3:$A$1500,'T10'!$V$3:$V$1500=G116,"None")))</f>
        <v>PV-0031</v>
      </c>
      <c r="BX116" s="21" t="s">
        <v>4014</v>
      </c>
      <c r="BY116" s="21" t="s">
        <v>4015</v>
      </c>
    </row>
    <row r="117" spans="1:77" x14ac:dyDescent="0.3">
      <c r="A117" s="21" t="s">
        <v>3445</v>
      </c>
      <c r="B117" s="21" t="s">
        <v>4016</v>
      </c>
      <c r="C117" s="21" t="s">
        <v>4017</v>
      </c>
      <c r="D117" s="35">
        <v>46028.708333333336</v>
      </c>
      <c r="E117" s="21" t="s">
        <v>3347</v>
      </c>
      <c r="F117" s="21" t="str">
        <f ca="1">IF(S117="Paid","Completed","Pending payment")</f>
        <v>Completed</v>
      </c>
      <c r="G117" s="21" t="s">
        <v>4018</v>
      </c>
      <c r="H117" s="21" t="s">
        <v>3349</v>
      </c>
      <c r="I117" s="29">
        <v>46029</v>
      </c>
      <c r="J117" s="29">
        <v>46027</v>
      </c>
      <c r="K117" s="21" t="str">
        <f>TEXT(I117,"mmm-yyyy")</f>
        <v>Jan-2026</v>
      </c>
      <c r="L117" s="21" t="s">
        <v>1797</v>
      </c>
      <c r="M117" s="21">
        <v>1</v>
      </c>
      <c r="N117" s="21" t="s">
        <v>743</v>
      </c>
      <c r="O117" s="21" t="s">
        <v>3350</v>
      </c>
      <c r="P117" s="21" t="s">
        <v>3351</v>
      </c>
      <c r="Q117" s="21" t="s">
        <v>844</v>
      </c>
      <c r="R117" s="21" t="s">
        <v>4019</v>
      </c>
      <c r="S117" s="21" t="str">
        <f ca="1">IF(BN117&lt;1,"Paid",IF(BM117&gt;0,"Partially paid",IF(ISNUMBER(SEARCH("hold",BU117)),"On hold",IF(BQ117&lt;TODAY(),"Overdue","Approved - unpaid"))))</f>
        <v>Paid</v>
      </c>
      <c r="T117" s="21" t="s">
        <v>3353</v>
      </c>
      <c r="U117" s="21" t="s">
        <v>3450</v>
      </c>
      <c r="V117" s="21" t="s">
        <v>3451</v>
      </c>
      <c r="W117" s="21" t="s">
        <v>746</v>
      </c>
      <c r="X117" s="21" t="s">
        <v>846</v>
      </c>
      <c r="Y117" s="21" t="s">
        <v>3452</v>
      </c>
      <c r="Z117" s="21" t="s">
        <v>3453</v>
      </c>
      <c r="AA117" s="21" t="s">
        <v>1062</v>
      </c>
      <c r="AB117" s="37">
        <v>0</v>
      </c>
      <c r="AC117" s="21" t="s">
        <v>844</v>
      </c>
      <c r="AD117" s="21" t="s">
        <v>844</v>
      </c>
      <c r="AE117" s="21" t="s">
        <v>844</v>
      </c>
      <c r="AF117" s="21">
        <v>1</v>
      </c>
      <c r="AG117" s="21" t="s">
        <v>919</v>
      </c>
      <c r="AH117" s="21" t="s">
        <v>921</v>
      </c>
      <c r="AI117" s="21" t="s">
        <v>905</v>
      </c>
      <c r="AJ117" s="37">
        <v>1</v>
      </c>
      <c r="AK117" s="37">
        <v>1</v>
      </c>
      <c r="AL117" s="37">
        <v>26500</v>
      </c>
      <c r="AM117" s="37">
        <f>AK117*AL117</f>
        <v>26500</v>
      </c>
      <c r="AN117" s="37">
        <f>AM117</f>
        <v>26500</v>
      </c>
      <c r="AO117" s="23">
        <f>_xlfn.XLOOKUP(AG117,'T13'!$A$3:$A$1500,'T13'!$O$3:$O$1500)</f>
        <v>0.16</v>
      </c>
      <c r="AP117" s="37">
        <v>0</v>
      </c>
      <c r="AQ117" s="37">
        <f>SUMIFS($AN$3:$AN$1500,$G$3:$G$1500,G117)</f>
        <v>26500</v>
      </c>
      <c r="AR117" s="37">
        <f>SUMIFS($AP$3:$AP$1500,$G$3:$G$1500,G117)</f>
        <v>0</v>
      </c>
      <c r="AS117" s="21" t="s">
        <v>3359</v>
      </c>
      <c r="AT117" s="37">
        <f>ROUND(BH117*0,0)</f>
        <v>0</v>
      </c>
      <c r="AU117" s="21" t="s">
        <v>846</v>
      </c>
      <c r="AV117" s="37" cm="1">
        <f t="array" ref="AV117">SUMPRODUCT(($G$3:$G$1500=G117)*$AN$3:$AN$1500*$AO$3:$AO$1500)+AR117</f>
        <v>4240</v>
      </c>
      <c r="AW117" s="37">
        <f>AT117</f>
        <v>0</v>
      </c>
      <c r="AX117" s="21" t="str">
        <f>TEXT(EOMONTH(I117,0)+15,"dd-mmm-yyyy")&amp;" / "&amp;IF(BM117&gt;0,"CPR-IT-"&amp;TEXT(I117,"yymm")&amp;"-"&amp;RIGHT(G117,4),"Pending payment")</f>
        <v>15-Feb-2026 / CPR-IT-2601-0094</v>
      </c>
      <c r="AY117" s="21" t="str">
        <f>IF(BM117&gt;0,"Issued","Not yet")</f>
        <v>Issued</v>
      </c>
      <c r="AZ117" s="37">
        <v>0</v>
      </c>
      <c r="BA117" s="37">
        <v>0</v>
      </c>
      <c r="BB117" s="37">
        <v>0</v>
      </c>
      <c r="BC117" s="37">
        <v>0</v>
      </c>
      <c r="BD117" s="37">
        <v>0</v>
      </c>
      <c r="BE117" s="37">
        <f>AQ117</f>
        <v>26500</v>
      </c>
      <c r="BF117" s="37">
        <f>AV117</f>
        <v>4240</v>
      </c>
      <c r="BG117" s="37">
        <f>AZ117</f>
        <v>0</v>
      </c>
      <c r="BH117" s="37">
        <f>BE117+BF117+BG117</f>
        <v>30740</v>
      </c>
      <c r="BI117" s="37">
        <f>AW117</f>
        <v>0</v>
      </c>
      <c r="BJ117" s="37">
        <f>BA117+BB117+BC117+BD117</f>
        <v>0</v>
      </c>
      <c r="BK117" s="37">
        <f>BH117-BI117-BJ117</f>
        <v>30740</v>
      </c>
      <c r="BL117" s="21" t="str">
        <f>"PKR "&amp;TEXT(BK117,"#,##0")&amp;" only"</f>
        <v>PKR 30,740 only</v>
      </c>
      <c r="BM117" s="37">
        <f>SUMIFS('T10'!$AK$3:$AK$1500,'T10'!$V$3:$V$1500,G117)</f>
        <v>30740</v>
      </c>
      <c r="BN117" s="37">
        <f>BK117-BM117</f>
        <v>0</v>
      </c>
      <c r="BO117" s="21" t="str">
        <f>IF(BF117&gt;0,TEXT(I117,"mmm-yyyy")&amp;" sales tax return","N/A")</f>
        <v>Jan-2026 sales tax return</v>
      </c>
      <c r="BP117" s="21" t="s">
        <v>1062</v>
      </c>
      <c r="BQ117" s="29">
        <f>J117+15</f>
        <v>46042</v>
      </c>
      <c r="BR117" s="29">
        <f>BQ117</f>
        <v>46042</v>
      </c>
      <c r="BS117" s="21" t="s">
        <v>3095</v>
      </c>
      <c r="BT117" s="21" t="s">
        <v>3360</v>
      </c>
      <c r="BU117" s="21" t="s">
        <v>844</v>
      </c>
      <c r="BV117" s="21" t="s">
        <v>846</v>
      </c>
      <c r="BW117" s="21" t="str" cm="1">
        <f t="array" ref="BW117">_xlfn.TEXTJOIN(", ",TRUE,_xlfn.UNIQUE(_xlfn._xlws.FILTER('T10'!$A$3:$A$1500,'T10'!$V$3:$V$1500=G117,"None")))</f>
        <v>PV-0045</v>
      </c>
      <c r="BX117" s="21" t="s">
        <v>4020</v>
      </c>
      <c r="BY117" s="21" t="s">
        <v>4021</v>
      </c>
    </row>
    <row r="118" spans="1:77" x14ac:dyDescent="0.3">
      <c r="A118" s="21" t="s">
        <v>3381</v>
      </c>
      <c r="B118" s="21" t="s">
        <v>4022</v>
      </c>
      <c r="C118" s="21" t="s">
        <v>4023</v>
      </c>
      <c r="D118" s="35">
        <v>46043.458333333336</v>
      </c>
      <c r="E118" s="21" t="s">
        <v>3347</v>
      </c>
      <c r="F118" s="21" t="str">
        <f ca="1">IF(S118="Paid","Completed","Pending payment")</f>
        <v>Completed</v>
      </c>
      <c r="G118" s="21" t="s">
        <v>4024</v>
      </c>
      <c r="H118" s="21" t="s">
        <v>3385</v>
      </c>
      <c r="I118" s="29">
        <v>46044</v>
      </c>
      <c r="J118" s="29">
        <v>46042</v>
      </c>
      <c r="K118" s="21" t="str">
        <f>TEXT(I118,"mmm-yyyy")</f>
        <v>Jan-2026</v>
      </c>
      <c r="L118" s="21" t="s">
        <v>1797</v>
      </c>
      <c r="M118" s="21">
        <v>1</v>
      </c>
      <c r="N118" s="21" t="s">
        <v>743</v>
      </c>
      <c r="O118" s="21" t="s">
        <v>3350</v>
      </c>
      <c r="P118" s="21" t="s">
        <v>3351</v>
      </c>
      <c r="Q118" s="21" t="s">
        <v>844</v>
      </c>
      <c r="R118" s="21" t="s">
        <v>4025</v>
      </c>
      <c r="S118" s="21" t="str">
        <f ca="1">IF(BN118&lt;1,"Paid",IF(BM118&gt;0,"Partially paid",IF(ISNUMBER(SEARCH("hold",BU118)),"On hold",IF(BQ118&lt;TODAY(),"Overdue","Approved - unpaid"))))</f>
        <v>Paid</v>
      </c>
      <c r="T118" s="21" t="s">
        <v>3387</v>
      </c>
      <c r="U118" s="21" t="s">
        <v>3388</v>
      </c>
      <c r="V118" s="21" t="s">
        <v>3389</v>
      </c>
      <c r="W118" s="21" t="s">
        <v>746</v>
      </c>
      <c r="X118" s="21" t="s">
        <v>846</v>
      </c>
      <c r="Y118" s="21" t="s">
        <v>3390</v>
      </c>
      <c r="Z118" s="21" t="s">
        <v>3391</v>
      </c>
      <c r="AA118" s="21" t="s">
        <v>1051</v>
      </c>
      <c r="AB118" s="37">
        <v>0</v>
      </c>
      <c r="AC118" s="21" t="s">
        <v>844</v>
      </c>
      <c r="AD118" s="21" t="s">
        <v>844</v>
      </c>
      <c r="AE118" s="21" t="s">
        <v>844</v>
      </c>
      <c r="AF118" s="21">
        <v>1</v>
      </c>
      <c r="AG118" s="21" t="s">
        <v>959</v>
      </c>
      <c r="AH118" s="21" t="s">
        <v>961</v>
      </c>
      <c r="AI118" s="21" t="s">
        <v>905</v>
      </c>
      <c r="AJ118" s="37">
        <v>1</v>
      </c>
      <c r="AK118" s="37">
        <v>1</v>
      </c>
      <c r="AL118" s="37">
        <v>190800</v>
      </c>
      <c r="AM118" s="37">
        <f>AK118*AL118</f>
        <v>190800</v>
      </c>
      <c r="AN118" s="37">
        <f>AM118</f>
        <v>190800</v>
      </c>
      <c r="AO118" s="23">
        <f>_xlfn.XLOOKUP(AG118,'T13'!$A$3:$A$1500,'T13'!$O$3:$O$1500)</f>
        <v>0.16</v>
      </c>
      <c r="AP118" s="37">
        <v>0</v>
      </c>
      <c r="AQ118" s="37">
        <f>SUMIFS($AN$3:$AN$1500,$G$3:$G$1500,G118)</f>
        <v>190800</v>
      </c>
      <c r="AR118" s="37">
        <f>SUMIFS($AP$3:$AP$1500,$G$3:$G$1500,G118)</f>
        <v>0</v>
      </c>
      <c r="AS118" s="21" t="s">
        <v>3392</v>
      </c>
      <c r="AT118" s="37">
        <f>ROUND(BH118*0.11,0)</f>
        <v>24346</v>
      </c>
      <c r="AU118" s="21" t="s">
        <v>846</v>
      </c>
      <c r="AV118" s="37" cm="1">
        <f t="array" ref="AV118">SUMPRODUCT(($G$3:$G$1500=G118)*$AN$3:$AN$1500*$AO$3:$AO$1500)+AR118</f>
        <v>30528</v>
      </c>
      <c r="AW118" s="37">
        <f>AT118</f>
        <v>24346</v>
      </c>
      <c r="AX118" s="21" t="str">
        <f>TEXT(EOMONTH(I118,0)+15,"dd-mmm-yyyy")&amp;" / "&amp;IF(BM118&gt;0,"CPR-IT-"&amp;TEXT(I118,"yymm")&amp;"-"&amp;RIGHT(G118,4),"Pending payment")</f>
        <v>15-Feb-2026 / CPR-IT-2601-0095</v>
      </c>
      <c r="AY118" s="21" t="str">
        <f>IF(BM118&gt;0,"Issued","Not yet")</f>
        <v>Issued</v>
      </c>
      <c r="AZ118" s="37">
        <v>0</v>
      </c>
      <c r="BA118" s="37">
        <v>0</v>
      </c>
      <c r="BB118" s="37">
        <v>0</v>
      </c>
      <c r="BC118" s="37">
        <v>0</v>
      </c>
      <c r="BD118" s="37">
        <v>0</v>
      </c>
      <c r="BE118" s="37">
        <f>AQ118</f>
        <v>190800</v>
      </c>
      <c r="BF118" s="37">
        <f>AV118</f>
        <v>30528</v>
      </c>
      <c r="BG118" s="37">
        <f>AZ118</f>
        <v>0</v>
      </c>
      <c r="BH118" s="37">
        <f>BE118+BF118+BG118</f>
        <v>221328</v>
      </c>
      <c r="BI118" s="37">
        <f>AW118</f>
        <v>24346</v>
      </c>
      <c r="BJ118" s="37">
        <f>BA118+BB118+BC118+BD118</f>
        <v>0</v>
      </c>
      <c r="BK118" s="37">
        <f>BH118-BI118-BJ118</f>
        <v>196982</v>
      </c>
      <c r="BL118" s="21" t="str">
        <f>"PKR "&amp;TEXT(BK118,"#,##0")&amp;" only"</f>
        <v>PKR 196,982 only</v>
      </c>
      <c r="BM118" s="37">
        <f>SUMIFS('T10'!$AK$3:$AK$1500,'T10'!$V$3:$V$1500,G118)</f>
        <v>196982</v>
      </c>
      <c r="BN118" s="37">
        <f>BK118-BM118</f>
        <v>0</v>
      </c>
      <c r="BO118" s="21" t="str">
        <f>IF(BF118&gt;0,TEXT(I118,"mmm-yyyy")&amp;" sales tax return","N/A")</f>
        <v>Jan-2026 sales tax return</v>
      </c>
      <c r="BP118" s="21" t="s">
        <v>1051</v>
      </c>
      <c r="BQ118" s="29">
        <f>J118+30</f>
        <v>46072</v>
      </c>
      <c r="BR118" s="29">
        <f>BQ118</f>
        <v>46072</v>
      </c>
      <c r="BS118" s="21" t="s">
        <v>3095</v>
      </c>
      <c r="BT118" s="21" t="s">
        <v>3360</v>
      </c>
      <c r="BU118" s="21" t="s">
        <v>844</v>
      </c>
      <c r="BV118" s="21" t="s">
        <v>846</v>
      </c>
      <c r="BW118" s="21" t="str" cm="1">
        <f t="array" ref="BW118">_xlfn.TEXTJOIN(", ",TRUE,_xlfn.UNIQUE(_xlfn._xlws.FILTER('T10'!$A$3:$A$1500,'T10'!$V$3:$V$1500=G118,"None")))</f>
        <v>PV-0052</v>
      </c>
      <c r="BX118" s="21" t="s">
        <v>4026</v>
      </c>
      <c r="BY118" s="21" t="s">
        <v>4027</v>
      </c>
    </row>
    <row r="119" spans="1:77" x14ac:dyDescent="0.3">
      <c r="A119" s="21" t="s">
        <v>3395</v>
      </c>
      <c r="B119" s="21" t="s">
        <v>4028</v>
      </c>
      <c r="C119" s="21" t="s">
        <v>4029</v>
      </c>
      <c r="D119" s="35">
        <v>46054.625</v>
      </c>
      <c r="E119" s="21" t="s">
        <v>3347</v>
      </c>
      <c r="F119" s="21" t="str">
        <f ca="1">IF(S119="Paid","Completed","Pending payment")</f>
        <v>Completed</v>
      </c>
      <c r="G119" s="21" t="s">
        <v>4030</v>
      </c>
      <c r="H119" s="21" t="s">
        <v>3399</v>
      </c>
      <c r="I119" s="29">
        <v>46053</v>
      </c>
      <c r="J119" s="29">
        <v>46053</v>
      </c>
      <c r="K119" s="21" t="str">
        <f>TEXT(I119,"mmm-yyyy")</f>
        <v>Jan-2026</v>
      </c>
      <c r="L119" s="21" t="s">
        <v>1797</v>
      </c>
      <c r="M119" s="21">
        <v>1</v>
      </c>
      <c r="N119" s="21" t="s">
        <v>743</v>
      </c>
      <c r="O119" s="21" t="s">
        <v>3400</v>
      </c>
      <c r="P119" s="21" t="s">
        <v>3401</v>
      </c>
      <c r="Q119" s="21" t="s">
        <v>844</v>
      </c>
      <c r="R119" s="21" t="s">
        <v>4031</v>
      </c>
      <c r="S119" s="21" t="str">
        <f ca="1">IF(BN119&lt;1,"Paid",IF(BM119&gt;0,"Partially paid",IF(ISNUMBER(SEARCH("hold",BU119)),"On hold",IF(BQ119&lt;TODAY(),"Overdue","Approved - unpaid"))))</f>
        <v>Paid</v>
      </c>
      <c r="T119" s="21" t="s">
        <v>3403</v>
      </c>
      <c r="U119" s="21" t="s">
        <v>3404</v>
      </c>
      <c r="V119" s="21" t="s">
        <v>967</v>
      </c>
      <c r="W119" s="21" t="s">
        <v>746</v>
      </c>
      <c r="X119" s="21" t="s">
        <v>846</v>
      </c>
      <c r="Y119" s="21" t="s">
        <v>3405</v>
      </c>
      <c r="Z119" s="21" t="s">
        <v>3406</v>
      </c>
      <c r="AA119" s="21" t="s">
        <v>1062</v>
      </c>
      <c r="AB119" s="37">
        <v>2300000</v>
      </c>
      <c r="AC119" s="21" t="s">
        <v>4032</v>
      </c>
      <c r="AD119" s="21" t="s">
        <v>4033</v>
      </c>
      <c r="AE119" s="21" t="s">
        <v>4034</v>
      </c>
      <c r="AF119" s="21">
        <v>1</v>
      </c>
      <c r="AG119" s="21" t="s">
        <v>794</v>
      </c>
      <c r="AH119" s="21" t="s">
        <v>795</v>
      </c>
      <c r="AI119" s="21" t="s">
        <v>783</v>
      </c>
      <c r="AJ119" s="37">
        <v>220</v>
      </c>
      <c r="AK119" s="37">
        <v>220</v>
      </c>
      <c r="AL119" s="37">
        <v>28150</v>
      </c>
      <c r="AM119" s="37">
        <f>AK119*AL119</f>
        <v>6193000</v>
      </c>
      <c r="AN119" s="37">
        <f>AM119</f>
        <v>6193000</v>
      </c>
      <c r="AO119" s="23">
        <f>_xlfn.XLOOKUP(AG119,'T13'!$A$3:$A$1500,'T13'!$O$3:$O$1500)</f>
        <v>0.18</v>
      </c>
      <c r="AP119" s="37">
        <f>AK119*IF(AI119="MT",1000,IF(AI119="Jumbo bag (1.5 MT)",1500,IF(AI119="Bag (40 kg)",40,50)))*3</f>
        <v>660000</v>
      </c>
      <c r="AQ119" s="37">
        <f>SUMIFS($AN$3:$AN$1500,$G$3:$G$1500,G119)</f>
        <v>6193000</v>
      </c>
      <c r="AR119" s="37">
        <f>SUMIFS($AP$3:$AP$1500,$G$3:$G$1500,G119)</f>
        <v>660000</v>
      </c>
      <c r="AS119" s="21" t="s">
        <v>3410</v>
      </c>
      <c r="AT119" s="37">
        <f>ROUND(BH119*0.05,0)</f>
        <v>398387</v>
      </c>
      <c r="AU119" s="21" t="s">
        <v>846</v>
      </c>
      <c r="AV119" s="37" cm="1">
        <f t="array" ref="AV119">SUMPRODUCT(($G$3:$G$1500=G119)*$AN$3:$AN$1500*$AO$3:$AO$1500)+AR119</f>
        <v>1774740</v>
      </c>
      <c r="AW119" s="37">
        <f>AT119</f>
        <v>398387</v>
      </c>
      <c r="AX119" s="21" t="str">
        <f>TEXT(EOMONTH(I119,0)+15,"dd-mmm-yyyy")&amp;" / "&amp;IF(BM119&gt;0,"CPR-IT-"&amp;TEXT(I119,"yymm")&amp;"-"&amp;RIGHT(G119,4),"Pending payment")</f>
        <v>15-Feb-2026 / CPR-IT-2601-0096</v>
      </c>
      <c r="AY119" s="21" t="str">
        <f>IF(BM119&gt;0,"Issued","Not yet")</f>
        <v>Issued</v>
      </c>
      <c r="AZ119" s="37">
        <v>0</v>
      </c>
      <c r="BA119" s="37">
        <v>0</v>
      </c>
      <c r="BB119" s="37">
        <v>2300000</v>
      </c>
      <c r="BC119" s="37">
        <v>0</v>
      </c>
      <c r="BD119" s="37">
        <v>0</v>
      </c>
      <c r="BE119" s="37">
        <f>AQ119</f>
        <v>6193000</v>
      </c>
      <c r="BF119" s="37">
        <f>AV119</f>
        <v>1774740</v>
      </c>
      <c r="BG119" s="37">
        <f>AZ119</f>
        <v>0</v>
      </c>
      <c r="BH119" s="37">
        <f>BE119+BF119+BG119</f>
        <v>7967740</v>
      </c>
      <c r="BI119" s="37">
        <f>AW119</f>
        <v>398387</v>
      </c>
      <c r="BJ119" s="37">
        <f>BA119+BB119+BC119+BD119</f>
        <v>2300000</v>
      </c>
      <c r="BK119" s="37">
        <f>BH119-BI119-BJ119</f>
        <v>5269353</v>
      </c>
      <c r="BL119" s="21" t="str">
        <f>"PKR "&amp;TEXT(BK119,"#,##0")&amp;" only"</f>
        <v>PKR 5,269,353 only</v>
      </c>
      <c r="BM119" s="37">
        <f>SUMIFS('T10'!$AK$3:$AK$1500,'T10'!$V$3:$V$1500,G119)</f>
        <v>5269353</v>
      </c>
      <c r="BN119" s="37">
        <f>BK119-BM119</f>
        <v>0</v>
      </c>
      <c r="BO119" s="21" t="str">
        <f>IF(BF119&gt;0,TEXT(I119,"mmm-yyyy")&amp;" sales tax return","N/A")</f>
        <v>Jan-2026 sales tax return</v>
      </c>
      <c r="BP119" s="21" t="s">
        <v>1062</v>
      </c>
      <c r="BQ119" s="29">
        <f>J119+15</f>
        <v>46068</v>
      </c>
      <c r="BR119" s="29">
        <f>BQ119</f>
        <v>46068</v>
      </c>
      <c r="BS119" s="21" t="s">
        <v>3095</v>
      </c>
      <c r="BT119" s="21" t="s">
        <v>3411</v>
      </c>
      <c r="BU119" s="21" t="s">
        <v>844</v>
      </c>
      <c r="BV119" s="21" t="s">
        <v>846</v>
      </c>
      <c r="BW119" s="21" t="str" cm="1">
        <f t="array" ref="BW119">_xlfn.TEXTJOIN(", ",TRUE,_xlfn.UNIQUE(_xlfn._xlws.FILTER('T10'!$A$3:$A$1500,'T10'!$V$3:$V$1500=G119,"None")))</f>
        <v>PV-0033</v>
      </c>
      <c r="BX119" s="21" t="s">
        <v>4035</v>
      </c>
      <c r="BY119" s="21" t="s">
        <v>4036</v>
      </c>
    </row>
    <row r="120" spans="1:77" x14ac:dyDescent="0.3">
      <c r="A120" s="21" t="s">
        <v>3573</v>
      </c>
      <c r="B120" s="21" t="s">
        <v>4037</v>
      </c>
      <c r="C120" s="21" t="s">
        <v>4038</v>
      </c>
      <c r="D120" s="35">
        <v>46055.666666666664</v>
      </c>
      <c r="E120" s="21" t="s">
        <v>3347</v>
      </c>
      <c r="F120" s="21" t="str">
        <f ca="1">IF(S120="Paid","Completed","Pending payment")</f>
        <v>Completed</v>
      </c>
      <c r="G120" s="21" t="s">
        <v>4039</v>
      </c>
      <c r="H120" s="21" t="s">
        <v>3399</v>
      </c>
      <c r="I120" s="29">
        <v>46053</v>
      </c>
      <c r="J120" s="29">
        <v>46053</v>
      </c>
      <c r="K120" s="21" t="str">
        <f>TEXT(I120,"mmm-yyyy")</f>
        <v>Jan-2026</v>
      </c>
      <c r="L120" s="21" t="s">
        <v>1797</v>
      </c>
      <c r="M120" s="21">
        <v>1</v>
      </c>
      <c r="N120" s="21" t="s">
        <v>743</v>
      </c>
      <c r="O120" s="21" t="s">
        <v>3400</v>
      </c>
      <c r="P120" s="21" t="s">
        <v>3401</v>
      </c>
      <c r="Q120" s="21" t="s">
        <v>844</v>
      </c>
      <c r="R120" s="21" t="s">
        <v>4040</v>
      </c>
      <c r="S120" s="21" t="str">
        <f ca="1">IF(BN120&lt;1,"Paid",IF(BM120&gt;0,"Partially paid",IF(ISNUMBER(SEARCH("hold",BU120)),"On hold",IF(BQ120&lt;TODAY(),"Overdue","Approved - unpaid"))))</f>
        <v>Paid</v>
      </c>
      <c r="T120" s="21" t="s">
        <v>3403</v>
      </c>
      <c r="U120" s="21" t="s">
        <v>3578</v>
      </c>
      <c r="V120" s="21" t="s">
        <v>1021</v>
      </c>
      <c r="W120" s="21" t="s">
        <v>746</v>
      </c>
      <c r="X120" s="21" t="s">
        <v>846</v>
      </c>
      <c r="Y120" s="21" t="s">
        <v>3579</v>
      </c>
      <c r="Z120" s="21" t="s">
        <v>3580</v>
      </c>
      <c r="AA120" s="21" t="s">
        <v>1062</v>
      </c>
      <c r="AB120" s="37">
        <v>0</v>
      </c>
      <c r="AC120" s="21" t="s">
        <v>4041</v>
      </c>
      <c r="AD120" s="21" t="s">
        <v>4042</v>
      </c>
      <c r="AE120" s="21" t="s">
        <v>3583</v>
      </c>
      <c r="AF120" s="21">
        <v>1</v>
      </c>
      <c r="AG120" s="21" t="s">
        <v>812</v>
      </c>
      <c r="AH120" s="21" t="s">
        <v>814</v>
      </c>
      <c r="AI120" s="21" t="s">
        <v>1841</v>
      </c>
      <c r="AJ120" s="37">
        <v>1450</v>
      </c>
      <c r="AK120" s="37">
        <v>1450</v>
      </c>
      <c r="AL120" s="37">
        <v>2525</v>
      </c>
      <c r="AM120" s="37">
        <f>AK120*AL120</f>
        <v>3661250</v>
      </c>
      <c r="AN120" s="37">
        <f>AM120</f>
        <v>3661250</v>
      </c>
      <c r="AO120" s="23">
        <f>_xlfn.XLOOKUP(AG120,'T13'!$A$3:$A$1500,'T13'!$O$3:$O$1500)</f>
        <v>0.18</v>
      </c>
      <c r="AP120" s="37">
        <f>AK120*IF(AI120="MT",1000,IF(AI120="Jumbo bag (1.5 MT)",1500,IF(AI120="Bag (40 kg)",40,50)))*3</f>
        <v>174000</v>
      </c>
      <c r="AQ120" s="37">
        <f>SUMIFS($AN$3:$AN$1500,$G$3:$G$1500,G120)</f>
        <v>3661250</v>
      </c>
      <c r="AR120" s="37">
        <f>SUMIFS($AP$3:$AP$1500,$G$3:$G$1500,G120)</f>
        <v>174000</v>
      </c>
      <c r="AS120" s="21" t="s">
        <v>3410</v>
      </c>
      <c r="AT120" s="37">
        <f>ROUND(BH120*0.05,0)</f>
        <v>224714</v>
      </c>
      <c r="AU120" s="21" t="s">
        <v>846</v>
      </c>
      <c r="AV120" s="37" cm="1">
        <f t="array" ref="AV120">SUMPRODUCT(($G$3:$G$1500=G120)*$AN$3:$AN$1500*$AO$3:$AO$1500)+AR120</f>
        <v>833025</v>
      </c>
      <c r="AW120" s="37">
        <f>AT120</f>
        <v>224714</v>
      </c>
      <c r="AX120" s="21" t="str">
        <f>TEXT(EOMONTH(I120,0)+15,"dd-mmm-yyyy")&amp;" / "&amp;IF(BM120&gt;0,"CPR-IT-"&amp;TEXT(I120,"yymm")&amp;"-"&amp;RIGHT(G120,4),"Pending payment")</f>
        <v>15-Feb-2026 / CPR-IT-2601-0097</v>
      </c>
      <c r="AY120" s="21" t="str">
        <f>IF(BM120&gt;0,"Issued","Not yet")</f>
        <v>Issued</v>
      </c>
      <c r="AZ120" s="37">
        <v>0</v>
      </c>
      <c r="BA120" s="37">
        <v>0</v>
      </c>
      <c r="BB120" s="37">
        <v>0</v>
      </c>
      <c r="BC120" s="37">
        <v>0</v>
      </c>
      <c r="BD120" s="37">
        <v>0</v>
      </c>
      <c r="BE120" s="37">
        <f>AQ120</f>
        <v>3661250</v>
      </c>
      <c r="BF120" s="37">
        <f>AV120</f>
        <v>833025</v>
      </c>
      <c r="BG120" s="37">
        <f>AZ120</f>
        <v>0</v>
      </c>
      <c r="BH120" s="37">
        <f>BE120+BF120+BG120</f>
        <v>4494275</v>
      </c>
      <c r="BI120" s="37">
        <f>AW120</f>
        <v>224714</v>
      </c>
      <c r="BJ120" s="37">
        <f>BA120+BB120+BC120+BD120</f>
        <v>0</v>
      </c>
      <c r="BK120" s="37">
        <f>BH120-BI120-BJ120</f>
        <v>4269561</v>
      </c>
      <c r="BL120" s="21" t="str">
        <f>"PKR "&amp;TEXT(BK120,"#,##0")&amp;" only"</f>
        <v>PKR 4,269,561 only</v>
      </c>
      <c r="BM120" s="37">
        <f>SUMIFS('T10'!$AK$3:$AK$1500,'T10'!$V$3:$V$1500,G120)</f>
        <v>4269561</v>
      </c>
      <c r="BN120" s="37">
        <f>BK120-BM120</f>
        <v>0</v>
      </c>
      <c r="BO120" s="21" t="str">
        <f>IF(BF120&gt;0,TEXT(I120,"mmm-yyyy")&amp;" sales tax return","N/A")</f>
        <v>Jan-2026 sales tax return</v>
      </c>
      <c r="BP120" s="21" t="s">
        <v>1062</v>
      </c>
      <c r="BQ120" s="29">
        <f>J120+15</f>
        <v>46068</v>
      </c>
      <c r="BR120" s="29">
        <f>BQ120</f>
        <v>46068</v>
      </c>
      <c r="BS120" s="21" t="s">
        <v>3095</v>
      </c>
      <c r="BT120" s="21" t="s">
        <v>3411</v>
      </c>
      <c r="BU120" s="21" t="s">
        <v>844</v>
      </c>
      <c r="BV120" s="21" t="s">
        <v>846</v>
      </c>
      <c r="BW120" s="21" t="str" cm="1">
        <f t="array" ref="BW120">_xlfn.TEXTJOIN(", ",TRUE,_xlfn.UNIQUE(_xlfn._xlws.FILTER('T10'!$A$3:$A$1500,'T10'!$V$3:$V$1500=G120,"None")))</f>
        <v>PV-0048</v>
      </c>
      <c r="BX120" s="21" t="s">
        <v>4035</v>
      </c>
      <c r="BY120" s="21" t="s">
        <v>4036</v>
      </c>
    </row>
    <row r="121" spans="1:77" x14ac:dyDescent="0.3">
      <c r="A121" s="21" t="s">
        <v>3415</v>
      </c>
      <c r="B121" s="21" t="s">
        <v>4043</v>
      </c>
      <c r="C121" s="21" t="s">
        <v>4044</v>
      </c>
      <c r="D121" s="35">
        <v>46055.666666666664</v>
      </c>
      <c r="E121" s="21" t="s">
        <v>3347</v>
      </c>
      <c r="F121" s="21" t="str">
        <f ca="1">IF(S121="Paid","Completed","Pending payment")</f>
        <v>Completed</v>
      </c>
      <c r="G121" s="21" t="s">
        <v>4045</v>
      </c>
      <c r="H121" s="21" t="s">
        <v>3399</v>
      </c>
      <c r="I121" s="29">
        <v>46053</v>
      </c>
      <c r="J121" s="29">
        <v>46053</v>
      </c>
      <c r="K121" s="21" t="str">
        <f>TEXT(I121,"mmm-yyyy")</f>
        <v>Jan-2026</v>
      </c>
      <c r="L121" s="21" t="s">
        <v>1797</v>
      </c>
      <c r="M121" s="21">
        <v>1</v>
      </c>
      <c r="N121" s="21" t="s">
        <v>743</v>
      </c>
      <c r="O121" s="21" t="s">
        <v>3400</v>
      </c>
      <c r="P121" s="21" t="s">
        <v>3401</v>
      </c>
      <c r="Q121" s="21" t="s">
        <v>844</v>
      </c>
      <c r="R121" s="21" t="s">
        <v>4040</v>
      </c>
      <c r="S121" s="21" t="str">
        <f ca="1">IF(BN121&lt;1,"Paid",IF(BM121&gt;0,"Partially paid",IF(ISNUMBER(SEARCH("hold",BU121)),"On hold",IF(BQ121&lt;TODAY(),"Overdue","Approved - unpaid"))))</f>
        <v>Paid</v>
      </c>
      <c r="T121" s="21" t="s">
        <v>3403</v>
      </c>
      <c r="U121" s="21" t="s">
        <v>3419</v>
      </c>
      <c r="V121" s="21" t="s">
        <v>999</v>
      </c>
      <c r="W121" s="21" t="s">
        <v>746</v>
      </c>
      <c r="X121" s="21" t="s">
        <v>3812</v>
      </c>
      <c r="Y121" s="21" t="s">
        <v>3420</v>
      </c>
      <c r="Z121" s="21" t="s">
        <v>3421</v>
      </c>
      <c r="AA121" s="21" t="s">
        <v>1062</v>
      </c>
      <c r="AB121" s="37">
        <v>0</v>
      </c>
      <c r="AC121" s="21" t="s">
        <v>4046</v>
      </c>
      <c r="AD121" s="21" t="s">
        <v>4047</v>
      </c>
      <c r="AE121" s="21" t="s">
        <v>3424</v>
      </c>
      <c r="AF121" s="21">
        <v>1</v>
      </c>
      <c r="AG121" s="21" t="s">
        <v>820</v>
      </c>
      <c r="AH121" s="21" t="s">
        <v>822</v>
      </c>
      <c r="AI121" s="21" t="s">
        <v>1804</v>
      </c>
      <c r="AJ121" s="37">
        <v>1450</v>
      </c>
      <c r="AK121" s="37">
        <v>1445</v>
      </c>
      <c r="AL121" s="37">
        <v>1310</v>
      </c>
      <c r="AM121" s="37">
        <f>AK121*AL121</f>
        <v>1892950</v>
      </c>
      <c r="AN121" s="37">
        <f>AM121</f>
        <v>1892950</v>
      </c>
      <c r="AO121" s="23">
        <f>_xlfn.XLOOKUP(AG121,'T13'!$A$3:$A$1500,'T13'!$O$3:$O$1500)</f>
        <v>0.18</v>
      </c>
      <c r="AP121" s="37">
        <f>AK121*IF(AI121="MT",1000,IF(AI121="Jumbo bag (1.5 MT)",1500,IF(AI121="Bag (40 kg)",40,50)))*3</f>
        <v>216750</v>
      </c>
      <c r="AQ121" s="37">
        <f>SUMIFS($AN$3:$AN$1500,$G$3:$G$1500,G121)</f>
        <v>2884200</v>
      </c>
      <c r="AR121" s="37">
        <f>SUMIFS($AP$3:$AP$1500,$G$3:$G$1500,G121)</f>
        <v>314250</v>
      </c>
      <c r="AS121" s="21" t="s">
        <v>3815</v>
      </c>
      <c r="AT121" s="37">
        <f>ROUND(BH121*0.01,0)</f>
        <v>37176</v>
      </c>
      <c r="AU121" s="21" t="s">
        <v>3816</v>
      </c>
      <c r="AV121" s="37" cm="1">
        <f t="array" ref="AV121">SUMPRODUCT(($G$3:$G$1500=G121)*$AN$3:$AN$1500*$AO$3:$AO$1500)+AR121</f>
        <v>833406</v>
      </c>
      <c r="AW121" s="37">
        <f>AT121</f>
        <v>37176</v>
      </c>
      <c r="AX121" s="21" t="str">
        <f>TEXT(EOMONTH(I121,0)+15,"dd-mmm-yyyy")&amp;" / "&amp;IF(BM121&gt;0,"CPR-IT-"&amp;TEXT(I121,"yymm")&amp;"-"&amp;RIGHT(G121,4),"Pending payment")</f>
        <v>15-Feb-2026 / CPR-IT-2601-0098</v>
      </c>
      <c r="AY121" s="21" t="str">
        <f>IF(BM121&gt;0,"Issued","Not yet")</f>
        <v>Issued</v>
      </c>
      <c r="AZ121" s="37">
        <v>0</v>
      </c>
      <c r="BA121" s="37">
        <v>0</v>
      </c>
      <c r="BB121" s="37">
        <v>0</v>
      </c>
      <c r="BC121" s="37">
        <v>0</v>
      </c>
      <c r="BD121" s="37">
        <v>0</v>
      </c>
      <c r="BE121" s="37">
        <f>AQ121</f>
        <v>2884200</v>
      </c>
      <c r="BF121" s="37">
        <f>AV121</f>
        <v>833406</v>
      </c>
      <c r="BG121" s="37">
        <f>AZ121</f>
        <v>0</v>
      </c>
      <c r="BH121" s="37">
        <f>BE121+BF121+BG121</f>
        <v>3717606</v>
      </c>
      <c r="BI121" s="37">
        <f>AW121</f>
        <v>37176</v>
      </c>
      <c r="BJ121" s="37">
        <f>BA121+BB121+BC121+BD121</f>
        <v>0</v>
      </c>
      <c r="BK121" s="37">
        <f>BH121-BI121-BJ121</f>
        <v>3680430</v>
      </c>
      <c r="BL121" s="21" t="str">
        <f>"PKR "&amp;TEXT(BK121,"#,##0")&amp;" only"</f>
        <v>PKR 3,680,430 only</v>
      </c>
      <c r="BM121" s="37">
        <f>SUMIFS('T10'!$AK$3:$AK$1500,'T10'!$V$3:$V$1500,G121)</f>
        <v>3680430</v>
      </c>
      <c r="BN121" s="37">
        <f>BK121-BM121</f>
        <v>0</v>
      </c>
      <c r="BO121" s="21" t="str">
        <f>IF(BF121&gt;0,TEXT(I121,"mmm-yyyy")&amp;" sales tax return","N/A")</f>
        <v>Jan-2026 sales tax return</v>
      </c>
      <c r="BP121" s="21" t="s">
        <v>1062</v>
      </c>
      <c r="BQ121" s="29">
        <f>J121+15</f>
        <v>46068</v>
      </c>
      <c r="BR121" s="29">
        <f>BQ121</f>
        <v>46068</v>
      </c>
      <c r="BS121" s="21" t="s">
        <v>3095</v>
      </c>
      <c r="BT121" s="21" t="s">
        <v>3411</v>
      </c>
      <c r="BU121" s="21" t="s">
        <v>844</v>
      </c>
      <c r="BV121" s="21" t="s">
        <v>846</v>
      </c>
      <c r="BW121" s="21" t="str" cm="1">
        <f t="array" ref="BW121">_xlfn.TEXTJOIN(", ",TRUE,_xlfn.UNIQUE(_xlfn._xlws.FILTER('T10'!$A$3:$A$1500,'T10'!$V$3:$V$1500=G121,"None")))</f>
        <v>PV-0032</v>
      </c>
      <c r="BX121" s="21" t="s">
        <v>4035</v>
      </c>
      <c r="BY121" s="21" t="s">
        <v>4036</v>
      </c>
    </row>
    <row r="122" spans="1:77" x14ac:dyDescent="0.3">
      <c r="A122" s="21" t="s">
        <v>3415</v>
      </c>
      <c r="B122" s="21" t="s">
        <v>4043</v>
      </c>
      <c r="C122" s="21" t="s">
        <v>4044</v>
      </c>
      <c r="D122" s="35">
        <v>46055.666666666664</v>
      </c>
      <c r="E122" s="21" t="s">
        <v>3347</v>
      </c>
      <c r="F122" s="21" t="str">
        <f ca="1">IF(S122="Paid","Completed","Pending payment")</f>
        <v>Completed</v>
      </c>
      <c r="G122" s="21" t="s">
        <v>4045</v>
      </c>
      <c r="H122" s="21" t="s">
        <v>3399</v>
      </c>
      <c r="I122" s="29">
        <v>46053</v>
      </c>
      <c r="J122" s="29">
        <v>46053</v>
      </c>
      <c r="K122" s="21" t="str">
        <f>TEXT(I122,"mmm-yyyy")</f>
        <v>Jan-2026</v>
      </c>
      <c r="L122" s="21" t="s">
        <v>1797</v>
      </c>
      <c r="M122" s="21">
        <v>1</v>
      </c>
      <c r="N122" s="21" t="s">
        <v>743</v>
      </c>
      <c r="O122" s="21" t="s">
        <v>3400</v>
      </c>
      <c r="P122" s="21" t="s">
        <v>3401</v>
      </c>
      <c r="Q122" s="21" t="s">
        <v>844</v>
      </c>
      <c r="R122" s="21" t="s">
        <v>4040</v>
      </c>
      <c r="S122" s="21" t="str">
        <f ca="1">IF(BN122&lt;1,"Paid",IF(BM122&gt;0,"Partially paid",IF(ISNUMBER(SEARCH("hold",BU122)),"On hold",IF(BQ122&lt;TODAY(),"Overdue","Approved - unpaid"))))</f>
        <v>Paid</v>
      </c>
      <c r="T122" s="21" t="s">
        <v>3403</v>
      </c>
      <c r="U122" s="21" t="s">
        <v>3419</v>
      </c>
      <c r="V122" s="21" t="s">
        <v>999</v>
      </c>
      <c r="W122" s="21" t="s">
        <v>746</v>
      </c>
      <c r="X122" s="21" t="s">
        <v>3812</v>
      </c>
      <c r="Y122" s="21" t="s">
        <v>3420</v>
      </c>
      <c r="Z122" s="21" t="s">
        <v>3421</v>
      </c>
      <c r="AA122" s="21" t="s">
        <v>1062</v>
      </c>
      <c r="AB122" s="37">
        <v>0</v>
      </c>
      <c r="AC122" s="21" t="s">
        <v>4046</v>
      </c>
      <c r="AD122" s="21" t="s">
        <v>4047</v>
      </c>
      <c r="AE122" s="21" t="s">
        <v>3424</v>
      </c>
      <c r="AF122" s="21">
        <v>2</v>
      </c>
      <c r="AG122" s="21" t="s">
        <v>831</v>
      </c>
      <c r="AH122" s="21" t="s">
        <v>833</v>
      </c>
      <c r="AI122" s="21" t="s">
        <v>1804</v>
      </c>
      <c r="AJ122" s="37">
        <v>650</v>
      </c>
      <c r="AK122" s="37">
        <v>650</v>
      </c>
      <c r="AL122" s="37">
        <v>1525</v>
      </c>
      <c r="AM122" s="37">
        <f>AK122*AL122</f>
        <v>991250</v>
      </c>
      <c r="AN122" s="37">
        <f>AM122</f>
        <v>991250</v>
      </c>
      <c r="AO122" s="23">
        <f>_xlfn.XLOOKUP(AG122,'T13'!$A$3:$A$1500,'T13'!$O$3:$O$1500)</f>
        <v>0.18</v>
      </c>
      <c r="AP122" s="37">
        <f>AK122*IF(AI122="MT",1000,IF(AI122="Jumbo bag (1.5 MT)",1500,IF(AI122="Bag (40 kg)",40,50)))*3</f>
        <v>97500</v>
      </c>
      <c r="AQ122" s="37">
        <f>SUMIFS($AN$3:$AN$1500,$G$3:$G$1500,G122)</f>
        <v>2884200</v>
      </c>
      <c r="AR122" s="37">
        <f>SUMIFS($AP$3:$AP$1500,$G$3:$G$1500,G122)</f>
        <v>314250</v>
      </c>
      <c r="AS122" s="21" t="s">
        <v>3815</v>
      </c>
      <c r="AT122" s="37">
        <f>ROUND(BH122*0.01,0)</f>
        <v>37176</v>
      </c>
      <c r="AU122" s="21" t="s">
        <v>3816</v>
      </c>
      <c r="AV122" s="37" cm="1">
        <f t="array" ref="AV122">SUMPRODUCT(($G$3:$G$1500=G122)*$AN$3:$AN$1500*$AO$3:$AO$1500)+AR122</f>
        <v>833406</v>
      </c>
      <c r="AW122" s="37">
        <f>AT122</f>
        <v>37176</v>
      </c>
      <c r="AX122" s="21" t="str">
        <f>TEXT(EOMONTH(I122,0)+15,"dd-mmm-yyyy")&amp;" / "&amp;IF(BM122&gt;0,"CPR-IT-"&amp;TEXT(I122,"yymm")&amp;"-"&amp;RIGHT(G122,4),"Pending payment")</f>
        <v>15-Feb-2026 / CPR-IT-2601-0098</v>
      </c>
      <c r="AY122" s="21" t="str">
        <f>IF(BM122&gt;0,"Issued","Not yet")</f>
        <v>Issued</v>
      </c>
      <c r="AZ122" s="37">
        <v>0</v>
      </c>
      <c r="BA122" s="37">
        <v>0</v>
      </c>
      <c r="BB122" s="37">
        <v>0</v>
      </c>
      <c r="BC122" s="37">
        <v>0</v>
      </c>
      <c r="BD122" s="37">
        <v>0</v>
      </c>
      <c r="BE122" s="37">
        <f>AQ122</f>
        <v>2884200</v>
      </c>
      <c r="BF122" s="37">
        <f>AV122</f>
        <v>833406</v>
      </c>
      <c r="BG122" s="37">
        <f>AZ122</f>
        <v>0</v>
      </c>
      <c r="BH122" s="37">
        <f>BE122+BF122+BG122</f>
        <v>3717606</v>
      </c>
      <c r="BI122" s="37">
        <f>AW122</f>
        <v>37176</v>
      </c>
      <c r="BJ122" s="37">
        <f>BA122+BB122+BC122+BD122</f>
        <v>0</v>
      </c>
      <c r="BK122" s="37">
        <f>BH122-BI122-BJ122</f>
        <v>3680430</v>
      </c>
      <c r="BL122" s="21" t="str">
        <f>"PKR "&amp;TEXT(BK122,"#,##0")&amp;" only"</f>
        <v>PKR 3,680,430 only</v>
      </c>
      <c r="BM122" s="37">
        <f>SUMIFS('T10'!$AK$3:$AK$1500,'T10'!$V$3:$V$1500,G122)</f>
        <v>3680430</v>
      </c>
      <c r="BN122" s="37">
        <f>BK122-BM122</f>
        <v>0</v>
      </c>
      <c r="BO122" s="21" t="str">
        <f>IF(BF122&gt;0,TEXT(I122,"mmm-yyyy")&amp;" sales tax return","N/A")</f>
        <v>Jan-2026 sales tax return</v>
      </c>
      <c r="BP122" s="21" t="s">
        <v>1062</v>
      </c>
      <c r="BQ122" s="29">
        <f>J122+15</f>
        <v>46068</v>
      </c>
      <c r="BR122" s="29">
        <f>BQ122</f>
        <v>46068</v>
      </c>
      <c r="BS122" s="21" t="s">
        <v>3095</v>
      </c>
      <c r="BT122" s="21" t="s">
        <v>3411</v>
      </c>
      <c r="BU122" s="21" t="s">
        <v>844</v>
      </c>
      <c r="BV122" s="21" t="s">
        <v>846</v>
      </c>
      <c r="BW122" s="21" t="str" cm="1">
        <f t="array" ref="BW122">_xlfn.TEXTJOIN(", ",TRUE,_xlfn.UNIQUE(_xlfn._xlws.FILTER('T10'!$A$3:$A$1500,'T10'!$V$3:$V$1500=G122,"None")))</f>
        <v>PV-0032</v>
      </c>
      <c r="BX122" s="21" t="s">
        <v>4035</v>
      </c>
      <c r="BY122" s="21" t="s">
        <v>4036</v>
      </c>
    </row>
    <row r="123" spans="1:77" x14ac:dyDescent="0.3">
      <c r="A123" s="21" t="s">
        <v>3425</v>
      </c>
      <c r="B123" s="21" t="s">
        <v>2592</v>
      </c>
      <c r="C123" s="21" t="s">
        <v>4048</v>
      </c>
      <c r="D123" s="35">
        <v>46055.458333333336</v>
      </c>
      <c r="E123" s="21" t="s">
        <v>3347</v>
      </c>
      <c r="F123" s="21" t="str">
        <f ca="1">IF(S123="Paid","Completed","Pending payment")</f>
        <v>Completed</v>
      </c>
      <c r="G123" s="21" t="s">
        <v>4049</v>
      </c>
      <c r="H123" s="21" t="s">
        <v>3428</v>
      </c>
      <c r="I123" s="29">
        <v>46056</v>
      </c>
      <c r="J123" s="29">
        <v>46054</v>
      </c>
      <c r="K123" s="21" t="str">
        <f>TEXT(I123,"mmm-yyyy")</f>
        <v>Feb-2026</v>
      </c>
      <c r="L123" s="21" t="s">
        <v>1797</v>
      </c>
      <c r="M123" s="21">
        <v>1</v>
      </c>
      <c r="N123" s="21" t="s">
        <v>743</v>
      </c>
      <c r="O123" s="21" t="s">
        <v>3350</v>
      </c>
      <c r="P123" s="21" t="s">
        <v>3429</v>
      </c>
      <c r="Q123" s="21" t="s">
        <v>844</v>
      </c>
      <c r="R123" s="21" t="s">
        <v>4050</v>
      </c>
      <c r="S123" s="21" t="str">
        <f ca="1">IF(BN123&lt;1,"Paid",IF(BM123&gt;0,"Partially paid",IF(ISNUMBER(SEARCH("hold",BU123)),"On hold",IF(BQ123&lt;TODAY(),"Overdue","Approved - unpaid"))))</f>
        <v>Paid</v>
      </c>
      <c r="T123" s="21" t="s">
        <v>3431</v>
      </c>
      <c r="U123" s="21" t="s">
        <v>1339</v>
      </c>
      <c r="V123" s="21" t="s">
        <v>1207</v>
      </c>
      <c r="W123" s="21" t="s">
        <v>1066</v>
      </c>
      <c r="X123" s="21" t="s">
        <v>846</v>
      </c>
      <c r="Y123" s="21" t="s">
        <v>3432</v>
      </c>
      <c r="Z123" s="21" t="s">
        <v>3433</v>
      </c>
      <c r="AA123" s="21" t="s">
        <v>1051</v>
      </c>
      <c r="AB123" s="37">
        <v>0</v>
      </c>
      <c r="AC123" s="21" t="s">
        <v>844</v>
      </c>
      <c r="AD123" s="21" t="s">
        <v>844</v>
      </c>
      <c r="AE123" s="21" t="s">
        <v>3434</v>
      </c>
      <c r="AF123" s="21">
        <v>1</v>
      </c>
      <c r="AG123" s="21" t="s">
        <v>853</v>
      </c>
      <c r="AH123" s="21" t="s">
        <v>855</v>
      </c>
      <c r="AI123" s="21" t="s">
        <v>842</v>
      </c>
      <c r="AJ123" s="37">
        <f>COUNTIFS('T14'!$AQ$3:$AQ$1500,B123,'T14'!$Z$3:$Z$1500,1,'T14'!$F$3:$F$1500,"Bulker")</f>
        <v>6</v>
      </c>
      <c r="AK123" s="37">
        <f>AJ123</f>
        <v>6</v>
      </c>
      <c r="AL123" s="37">
        <v>59100</v>
      </c>
      <c r="AM123" s="37">
        <f>AK123*AL123</f>
        <v>354600</v>
      </c>
      <c r="AN123" s="37">
        <f>AM123</f>
        <v>354600</v>
      </c>
      <c r="AO123" s="23">
        <f>_xlfn.XLOOKUP(AG123,'T13'!$A$3:$A$1500,'T13'!$O$3:$O$1500)</f>
        <v>0.16</v>
      </c>
      <c r="AP123" s="37">
        <v>0</v>
      </c>
      <c r="AQ123" s="37">
        <f>SUMIFS($AN$3:$AN$1500,$G$3:$G$1500,G123)</f>
        <v>354600</v>
      </c>
      <c r="AR123" s="37">
        <f>SUMIFS($AP$3:$AP$1500,$G$3:$G$1500,G123)</f>
        <v>0</v>
      </c>
      <c r="AS123" s="21" t="s">
        <v>3435</v>
      </c>
      <c r="AT123" s="37">
        <f>ROUND(BH123*0.08,0)</f>
        <v>32907</v>
      </c>
      <c r="AU123" s="21" t="s">
        <v>846</v>
      </c>
      <c r="AV123" s="37" cm="1">
        <f t="array" ref="AV123">SUMPRODUCT(($G$3:$G$1500=G123)*$AN$3:$AN$1500*$AO$3:$AO$1500)+AR123</f>
        <v>56736</v>
      </c>
      <c r="AW123" s="37">
        <f>AT123</f>
        <v>32907</v>
      </c>
      <c r="AX123" s="21" t="str">
        <f>TEXT(EOMONTH(I123,0)+15,"dd-mmm-yyyy")&amp;" / "&amp;IF(BM123&gt;0,"CPR-IT-"&amp;TEXT(I123,"yymm")&amp;"-"&amp;RIGHT(G123,4),"Pending payment")</f>
        <v>15-Mar-2026 / CPR-IT-2602-0099</v>
      </c>
      <c r="AY123" s="21" t="str">
        <f>IF(BM123&gt;0,"Issued","Not yet")</f>
        <v>Issued</v>
      </c>
      <c r="AZ123" s="37">
        <v>0</v>
      </c>
      <c r="BA123" s="37">
        <v>5000</v>
      </c>
      <c r="BB123" s="37">
        <v>0</v>
      </c>
      <c r="BC123" s="37">
        <v>0</v>
      </c>
      <c r="BD123" s="37">
        <v>0</v>
      </c>
      <c r="BE123" s="37">
        <f>AQ123</f>
        <v>354600</v>
      </c>
      <c r="BF123" s="37">
        <f>AV123</f>
        <v>56736</v>
      </c>
      <c r="BG123" s="37">
        <f>AZ123</f>
        <v>0</v>
      </c>
      <c r="BH123" s="37">
        <f>BE123+BF123+BG123</f>
        <v>411336</v>
      </c>
      <c r="BI123" s="37">
        <f>AW123</f>
        <v>32907</v>
      </c>
      <c r="BJ123" s="37">
        <f>BA123+BB123+BC123+BD123</f>
        <v>5000</v>
      </c>
      <c r="BK123" s="37">
        <f>BH123-BI123-BJ123</f>
        <v>373429</v>
      </c>
      <c r="BL123" s="21" t="str">
        <f>"PKR "&amp;TEXT(BK123,"#,##0")&amp;" only"</f>
        <v>PKR 373,429 only</v>
      </c>
      <c r="BM123" s="37">
        <f>SUMIFS('T10'!$AK$3:$AK$1500,'T10'!$V$3:$V$1500,G123)</f>
        <v>373429</v>
      </c>
      <c r="BN123" s="37">
        <f>BK123-BM123</f>
        <v>0</v>
      </c>
      <c r="BO123" s="21" t="str">
        <f>IF(BF123&gt;0,TEXT(I123,"mmm-yyyy")&amp;" sales tax return","N/A")</f>
        <v>Feb-2026 sales tax return</v>
      </c>
      <c r="BP123" s="21" t="s">
        <v>1051</v>
      </c>
      <c r="BQ123" s="29">
        <f>J123+30</f>
        <v>46084</v>
      </c>
      <c r="BR123" s="29">
        <f>BQ123</f>
        <v>46084</v>
      </c>
      <c r="BS123" s="21" t="s">
        <v>3095</v>
      </c>
      <c r="BT123" s="21" t="s">
        <v>3360</v>
      </c>
      <c r="BU123" s="21" t="s">
        <v>844</v>
      </c>
      <c r="BV123" s="21" t="s">
        <v>846</v>
      </c>
      <c r="BW123" s="21" t="str" cm="1">
        <f t="array" ref="BW123">_xlfn.TEXTJOIN(", ",TRUE,_xlfn.UNIQUE(_xlfn._xlws.FILTER('T10'!$A$3:$A$1500,'T10'!$V$3:$V$1500=G123,"None")))</f>
        <v>PV-0035</v>
      </c>
      <c r="BX123" s="21" t="s">
        <v>4051</v>
      </c>
      <c r="BY123" s="21" t="s">
        <v>4052</v>
      </c>
    </row>
    <row r="124" spans="1:77" x14ac:dyDescent="0.3">
      <c r="A124" s="21" t="s">
        <v>3438</v>
      </c>
      <c r="B124" s="21" t="s">
        <v>2598</v>
      </c>
      <c r="C124" s="21" t="s">
        <v>4053</v>
      </c>
      <c r="D124" s="35">
        <v>46056.375</v>
      </c>
      <c r="E124" s="21" t="s">
        <v>3347</v>
      </c>
      <c r="F124" s="21" t="str">
        <f ca="1">IF(S124="Paid","Completed","Pending payment")</f>
        <v>Completed</v>
      </c>
      <c r="G124" s="21" t="s">
        <v>4054</v>
      </c>
      <c r="H124" s="21" t="s">
        <v>3428</v>
      </c>
      <c r="I124" s="29">
        <v>46056</v>
      </c>
      <c r="J124" s="29">
        <v>46054</v>
      </c>
      <c r="K124" s="21" t="str">
        <f>TEXT(I124,"mmm-yyyy")</f>
        <v>Feb-2026</v>
      </c>
      <c r="L124" s="21" t="s">
        <v>1797</v>
      </c>
      <c r="M124" s="21">
        <v>1</v>
      </c>
      <c r="N124" s="21" t="s">
        <v>743</v>
      </c>
      <c r="O124" s="21" t="s">
        <v>3350</v>
      </c>
      <c r="P124" s="21" t="s">
        <v>3429</v>
      </c>
      <c r="Q124" s="21" t="s">
        <v>844</v>
      </c>
      <c r="R124" s="21" t="s">
        <v>4055</v>
      </c>
      <c r="S124" s="21" t="str">
        <f ca="1">IF(BN124&lt;1,"Paid",IF(BM124&gt;0,"Partially paid",IF(ISNUMBER(SEARCH("hold",BU124)),"On hold",IF(BQ124&lt;TODAY(),"Overdue","Approved - unpaid"))))</f>
        <v>Paid</v>
      </c>
      <c r="T124" s="21" t="s">
        <v>3431</v>
      </c>
      <c r="U124" s="21" t="s">
        <v>1278</v>
      </c>
      <c r="V124" s="21" t="s">
        <v>1200</v>
      </c>
      <c r="W124" s="21" t="s">
        <v>746</v>
      </c>
      <c r="X124" s="21" t="s">
        <v>846</v>
      </c>
      <c r="Y124" s="21" t="s">
        <v>3441</v>
      </c>
      <c r="Z124" s="21" t="s">
        <v>3442</v>
      </c>
      <c r="AA124" s="21" t="s">
        <v>1051</v>
      </c>
      <c r="AB124" s="37">
        <v>0</v>
      </c>
      <c r="AC124" s="21" t="s">
        <v>844</v>
      </c>
      <c r="AD124" s="21" t="s">
        <v>844</v>
      </c>
      <c r="AE124" s="21" t="s">
        <v>3443</v>
      </c>
      <c r="AF124" s="21">
        <v>1</v>
      </c>
      <c r="AG124" s="21" t="s">
        <v>837</v>
      </c>
      <c r="AH124" s="21" t="s">
        <v>840</v>
      </c>
      <c r="AI124" s="21" t="s">
        <v>842</v>
      </c>
      <c r="AJ124" s="37">
        <f>COUNTIFS('T14'!$AQ$3:$AQ$1500,B124,'T14'!$Z$3:$Z$1500,1,'T14'!$F$3:$F$1500,"Bag")</f>
        <v>3</v>
      </c>
      <c r="AK124" s="37">
        <f>AJ124</f>
        <v>3</v>
      </c>
      <c r="AL124" s="37">
        <v>40900</v>
      </c>
      <c r="AM124" s="37">
        <f>AK124*AL124</f>
        <v>122700</v>
      </c>
      <c r="AN124" s="37">
        <f>AM124</f>
        <v>122700</v>
      </c>
      <c r="AO124" s="23">
        <f>_xlfn.XLOOKUP(AG124,'T13'!$A$3:$A$1500,'T13'!$O$3:$O$1500)</f>
        <v>0.16</v>
      </c>
      <c r="AP124" s="37">
        <v>0</v>
      </c>
      <c r="AQ124" s="37">
        <f>SUMIFS($AN$3:$AN$1500,$G$3:$G$1500,G124)</f>
        <v>122700</v>
      </c>
      <c r="AR124" s="37">
        <f>SUMIFS($AP$3:$AP$1500,$G$3:$G$1500,G124)</f>
        <v>0</v>
      </c>
      <c r="AS124" s="21" t="s">
        <v>3444</v>
      </c>
      <c r="AT124" s="37">
        <f>ROUND(BH124*0.04,0)</f>
        <v>5693</v>
      </c>
      <c r="AU124" s="21" t="s">
        <v>846</v>
      </c>
      <c r="AV124" s="37" cm="1">
        <f t="array" ref="AV124">SUMPRODUCT(($G$3:$G$1500=G124)*$AN$3:$AN$1500*$AO$3:$AO$1500)+AR124</f>
        <v>19632</v>
      </c>
      <c r="AW124" s="37">
        <f>AT124</f>
        <v>5693</v>
      </c>
      <c r="AX124" s="21" t="str">
        <f>TEXT(EOMONTH(I124,0)+15,"dd-mmm-yyyy")&amp;" / "&amp;IF(BM124&gt;0,"CPR-IT-"&amp;TEXT(I124,"yymm")&amp;"-"&amp;RIGHT(G124,4),"Pending payment")</f>
        <v>15-Mar-2026 / CPR-IT-2602-0100</v>
      </c>
      <c r="AY124" s="21" t="str">
        <f>IF(BM124&gt;0,"Issued","Not yet")</f>
        <v>Issued</v>
      </c>
      <c r="AZ124" s="37">
        <v>0</v>
      </c>
      <c r="BA124" s="37">
        <v>0</v>
      </c>
      <c r="BB124" s="37">
        <v>0</v>
      </c>
      <c r="BC124" s="37">
        <v>0</v>
      </c>
      <c r="BD124" s="37">
        <v>0</v>
      </c>
      <c r="BE124" s="37">
        <f>AQ124</f>
        <v>122700</v>
      </c>
      <c r="BF124" s="37">
        <f>AV124</f>
        <v>19632</v>
      </c>
      <c r="BG124" s="37">
        <f>AZ124</f>
        <v>0</v>
      </c>
      <c r="BH124" s="37">
        <f>BE124+BF124+BG124</f>
        <v>142332</v>
      </c>
      <c r="BI124" s="37">
        <f>AW124</f>
        <v>5693</v>
      </c>
      <c r="BJ124" s="37">
        <f>BA124+BB124+BC124+BD124</f>
        <v>0</v>
      </c>
      <c r="BK124" s="37">
        <f>BH124-BI124-BJ124</f>
        <v>136639</v>
      </c>
      <c r="BL124" s="21" t="str">
        <f>"PKR "&amp;TEXT(BK124,"#,##0")&amp;" only"</f>
        <v>PKR 136,639 only</v>
      </c>
      <c r="BM124" s="37">
        <f>SUMIFS('T10'!$AK$3:$AK$1500,'T10'!$V$3:$V$1500,G124)</f>
        <v>136639</v>
      </c>
      <c r="BN124" s="37">
        <f>BK124-BM124</f>
        <v>0</v>
      </c>
      <c r="BO124" s="21" t="str">
        <f>IF(BF124&gt;0,TEXT(I124,"mmm-yyyy")&amp;" sales tax return","N/A")</f>
        <v>Feb-2026 sales tax return</v>
      </c>
      <c r="BP124" s="21" t="s">
        <v>1051</v>
      </c>
      <c r="BQ124" s="29">
        <f>J124+30</f>
        <v>46084</v>
      </c>
      <c r="BR124" s="29">
        <f>BQ124</f>
        <v>46084</v>
      </c>
      <c r="BS124" s="21" t="s">
        <v>3095</v>
      </c>
      <c r="BT124" s="21" t="s">
        <v>3360</v>
      </c>
      <c r="BU124" s="21" t="s">
        <v>844</v>
      </c>
      <c r="BV124" s="21" t="s">
        <v>846</v>
      </c>
      <c r="BW124" s="21" t="str" cm="1">
        <f t="array" ref="BW124">_xlfn.TEXTJOIN(", ",TRUE,_xlfn.UNIQUE(_xlfn._xlws.FILTER('T10'!$A$3:$A$1500,'T10'!$V$3:$V$1500=G124,"None")))</f>
        <v>PV-0037</v>
      </c>
      <c r="BX124" s="21" t="s">
        <v>4051</v>
      </c>
      <c r="BY124" s="21" t="s">
        <v>4052</v>
      </c>
    </row>
    <row r="125" spans="1:77" x14ac:dyDescent="0.3">
      <c r="A125" s="21" t="s">
        <v>3489</v>
      </c>
      <c r="B125" s="21" t="s">
        <v>2615</v>
      </c>
      <c r="C125" s="21" t="s">
        <v>4056</v>
      </c>
      <c r="D125" s="35">
        <v>46055.541666666664</v>
      </c>
      <c r="E125" s="21" t="s">
        <v>3347</v>
      </c>
      <c r="F125" s="21" t="str">
        <f ca="1">IF(S125="Paid","Completed","Pending payment")</f>
        <v>Completed</v>
      </c>
      <c r="G125" s="21" t="s">
        <v>4057</v>
      </c>
      <c r="H125" s="21" t="s">
        <v>3428</v>
      </c>
      <c r="I125" s="29">
        <v>46056</v>
      </c>
      <c r="J125" s="29">
        <v>46054</v>
      </c>
      <c r="K125" s="21" t="str">
        <f>TEXT(I125,"mmm-yyyy")</f>
        <v>Feb-2026</v>
      </c>
      <c r="L125" s="21" t="s">
        <v>1797</v>
      </c>
      <c r="M125" s="21">
        <v>1</v>
      </c>
      <c r="N125" s="21" t="s">
        <v>743</v>
      </c>
      <c r="O125" s="21" t="s">
        <v>3350</v>
      </c>
      <c r="P125" s="21" t="s">
        <v>3429</v>
      </c>
      <c r="Q125" s="21" t="s">
        <v>844</v>
      </c>
      <c r="R125" s="21" t="s">
        <v>4050</v>
      </c>
      <c r="S125" s="21" t="str">
        <f ca="1">IF(BN125&lt;1,"Paid",IF(BM125&gt;0,"Partially paid",IF(ISNUMBER(SEARCH("hold",BU125)),"On hold",IF(BQ125&lt;TODAY(),"Overdue","Approved - unpaid"))))</f>
        <v>Paid</v>
      </c>
      <c r="T125" s="21" t="s">
        <v>3431</v>
      </c>
      <c r="U125" s="21" t="s">
        <v>1213</v>
      </c>
      <c r="V125" s="21" t="s">
        <v>1194</v>
      </c>
      <c r="W125" s="21" t="s">
        <v>746</v>
      </c>
      <c r="X125" s="21" t="s">
        <v>846</v>
      </c>
      <c r="Y125" s="21" t="s">
        <v>3493</v>
      </c>
      <c r="Z125" s="21" t="s">
        <v>3494</v>
      </c>
      <c r="AA125" s="21" t="s">
        <v>1051</v>
      </c>
      <c r="AB125" s="37">
        <v>0</v>
      </c>
      <c r="AC125" s="21" t="s">
        <v>844</v>
      </c>
      <c r="AD125" s="21" t="s">
        <v>844</v>
      </c>
      <c r="AE125" s="21" t="s">
        <v>3495</v>
      </c>
      <c r="AF125" s="21">
        <v>1</v>
      </c>
      <c r="AG125" s="21" t="s">
        <v>837</v>
      </c>
      <c r="AH125" s="21" t="s">
        <v>840</v>
      </c>
      <c r="AI125" s="21" t="s">
        <v>842</v>
      </c>
      <c r="AJ125" s="37">
        <f>COUNTIFS('T14'!$AQ$3:$AQ$1500,B125,'T14'!$Z$3:$Z$1500,1,'T14'!$F$3:$F$1500,"Bag")</f>
        <v>2</v>
      </c>
      <c r="AK125" s="37">
        <f>AJ125</f>
        <v>2</v>
      </c>
      <c r="AL125" s="37">
        <v>40900</v>
      </c>
      <c r="AM125" s="37">
        <f>AK125*AL125</f>
        <v>81800</v>
      </c>
      <c r="AN125" s="37">
        <f>AM125</f>
        <v>81800</v>
      </c>
      <c r="AO125" s="23">
        <f>_xlfn.XLOOKUP(AG125,'T13'!$A$3:$A$1500,'T13'!$O$3:$O$1500)</f>
        <v>0.16</v>
      </c>
      <c r="AP125" s="37">
        <v>0</v>
      </c>
      <c r="AQ125" s="37">
        <f>SUMIFS($AN$3:$AN$1500,$G$3:$G$1500,G125)</f>
        <v>81800</v>
      </c>
      <c r="AR125" s="37">
        <f>SUMIFS($AP$3:$AP$1500,$G$3:$G$1500,G125)</f>
        <v>0</v>
      </c>
      <c r="AS125" s="21" t="s">
        <v>3444</v>
      </c>
      <c r="AT125" s="37">
        <f>ROUND(BH125*0.04,0)</f>
        <v>3796</v>
      </c>
      <c r="AU125" s="21" t="s">
        <v>846</v>
      </c>
      <c r="AV125" s="37" cm="1">
        <f t="array" ref="AV125">SUMPRODUCT(($G$3:$G$1500=G125)*$AN$3:$AN$1500*$AO$3:$AO$1500)+AR125</f>
        <v>13088</v>
      </c>
      <c r="AW125" s="37">
        <f>AT125</f>
        <v>3796</v>
      </c>
      <c r="AX125" s="21" t="str">
        <f>TEXT(EOMONTH(I125,0)+15,"dd-mmm-yyyy")&amp;" / "&amp;IF(BM125&gt;0,"CPR-IT-"&amp;TEXT(I125,"yymm")&amp;"-"&amp;RIGHT(G125,4),"Pending payment")</f>
        <v>15-Mar-2026 / CPR-IT-2602-0101</v>
      </c>
      <c r="AY125" s="21" t="str">
        <f>IF(BM125&gt;0,"Issued","Not yet")</f>
        <v>Issued</v>
      </c>
      <c r="AZ125" s="37">
        <v>0</v>
      </c>
      <c r="BA125" s="37">
        <v>0</v>
      </c>
      <c r="BB125" s="37">
        <v>0</v>
      </c>
      <c r="BC125" s="37">
        <v>0</v>
      </c>
      <c r="BD125" s="37">
        <v>0</v>
      </c>
      <c r="BE125" s="37">
        <f>AQ125</f>
        <v>81800</v>
      </c>
      <c r="BF125" s="37">
        <f>AV125</f>
        <v>13088</v>
      </c>
      <c r="BG125" s="37">
        <f>AZ125</f>
        <v>0</v>
      </c>
      <c r="BH125" s="37">
        <f>BE125+BF125+BG125</f>
        <v>94888</v>
      </c>
      <c r="BI125" s="37">
        <f>AW125</f>
        <v>3796</v>
      </c>
      <c r="BJ125" s="37">
        <f>BA125+BB125+BC125+BD125</f>
        <v>0</v>
      </c>
      <c r="BK125" s="37">
        <f>BH125-BI125-BJ125</f>
        <v>91092</v>
      </c>
      <c r="BL125" s="21" t="str">
        <f>"PKR "&amp;TEXT(BK125,"#,##0")&amp;" only"</f>
        <v>PKR 91,092 only</v>
      </c>
      <c r="BM125" s="37">
        <f>SUMIFS('T10'!$AK$3:$AK$1500,'T10'!$V$3:$V$1500,G125)</f>
        <v>91092</v>
      </c>
      <c r="BN125" s="37">
        <f>BK125-BM125</f>
        <v>0</v>
      </c>
      <c r="BO125" s="21" t="str">
        <f>IF(BF125&gt;0,TEXT(I125,"mmm-yyyy")&amp;" sales tax return","N/A")</f>
        <v>Feb-2026 sales tax return</v>
      </c>
      <c r="BP125" s="21" t="s">
        <v>1051</v>
      </c>
      <c r="BQ125" s="29">
        <f>J125+30</f>
        <v>46084</v>
      </c>
      <c r="BR125" s="29">
        <f>BQ125</f>
        <v>46084</v>
      </c>
      <c r="BS125" s="21" t="s">
        <v>3095</v>
      </c>
      <c r="BT125" s="21" t="s">
        <v>3360</v>
      </c>
      <c r="BU125" s="21" t="s">
        <v>844</v>
      </c>
      <c r="BV125" s="21" t="s">
        <v>846</v>
      </c>
      <c r="BW125" s="21" t="str" cm="1">
        <f t="array" ref="BW125">_xlfn.TEXTJOIN(", ",TRUE,_xlfn.UNIQUE(_xlfn._xlws.FILTER('T10'!$A$3:$A$1500,'T10'!$V$3:$V$1500=G125,"None")))</f>
        <v>PV-0036</v>
      </c>
      <c r="BX125" s="21" t="s">
        <v>4051</v>
      </c>
      <c r="BY125" s="21" t="s">
        <v>4052</v>
      </c>
    </row>
    <row r="126" spans="1:77" x14ac:dyDescent="0.3">
      <c r="A126" s="21" t="s">
        <v>3511</v>
      </c>
      <c r="B126" s="21" t="s">
        <v>4058</v>
      </c>
      <c r="C126" s="21" t="s">
        <v>4059</v>
      </c>
      <c r="D126" s="35">
        <v>46058.458333333336</v>
      </c>
      <c r="E126" s="21" t="s">
        <v>3347</v>
      </c>
      <c r="F126" s="21" t="str">
        <f ca="1">IF(S126="Paid","Completed","Pending payment")</f>
        <v>Completed</v>
      </c>
      <c r="G126" s="21" t="s">
        <v>4060</v>
      </c>
      <c r="H126" s="21" t="s">
        <v>3515</v>
      </c>
      <c r="I126" s="29">
        <v>46058</v>
      </c>
      <c r="J126" s="29">
        <v>46056</v>
      </c>
      <c r="K126" s="21" t="str">
        <f>TEXT(I126,"mmm-yyyy")</f>
        <v>Feb-2026</v>
      </c>
      <c r="L126" s="21" t="s">
        <v>1797</v>
      </c>
      <c r="M126" s="21">
        <v>1</v>
      </c>
      <c r="N126" s="21" t="s">
        <v>743</v>
      </c>
      <c r="O126" s="21" t="s">
        <v>3350</v>
      </c>
      <c r="P126" s="21" t="s">
        <v>3429</v>
      </c>
      <c r="Q126" s="21" t="s">
        <v>844</v>
      </c>
      <c r="R126" s="21" t="s">
        <v>4061</v>
      </c>
      <c r="S126" s="21" t="str">
        <f ca="1">IF(BN126&lt;1,"Paid",IF(BM126&gt;0,"Partially paid",IF(ISNUMBER(SEARCH("hold",BU126)),"On hold",IF(BQ126&lt;TODAY(),"Overdue","Approved - unpaid"))))</f>
        <v>Paid</v>
      </c>
      <c r="T126" s="21" t="s">
        <v>3517</v>
      </c>
      <c r="U126" s="21" t="s">
        <v>3518</v>
      </c>
      <c r="V126" s="21" t="s">
        <v>3519</v>
      </c>
      <c r="W126" s="21" t="s">
        <v>746</v>
      </c>
      <c r="X126" s="21" t="s">
        <v>846</v>
      </c>
      <c r="Y126" s="21" t="s">
        <v>3520</v>
      </c>
      <c r="Z126" s="21" t="s">
        <v>3521</v>
      </c>
      <c r="AA126" s="21" t="s">
        <v>1051</v>
      </c>
      <c r="AB126" s="37">
        <v>0</v>
      </c>
      <c r="AC126" s="21" t="s">
        <v>4062</v>
      </c>
      <c r="AD126" s="21" t="s">
        <v>4063</v>
      </c>
      <c r="AE126" s="21" t="s">
        <v>844</v>
      </c>
      <c r="AF126" s="21">
        <v>1</v>
      </c>
      <c r="AG126" s="21" t="s">
        <v>925</v>
      </c>
      <c r="AH126" s="21" t="s">
        <v>928</v>
      </c>
      <c r="AI126" s="21" t="s">
        <v>882</v>
      </c>
      <c r="AJ126" s="37">
        <v>6</v>
      </c>
      <c r="AK126" s="37">
        <v>6</v>
      </c>
      <c r="AL126" s="37">
        <v>72350</v>
      </c>
      <c r="AM126" s="37">
        <f>AK126*AL126</f>
        <v>434100</v>
      </c>
      <c r="AN126" s="37">
        <f>AM126</f>
        <v>434100</v>
      </c>
      <c r="AO126" s="23">
        <f>_xlfn.XLOOKUP(AG126,'T13'!$A$3:$A$1500,'T13'!$O$3:$O$1500)</f>
        <v>0.18</v>
      </c>
      <c r="AP126" s="37">
        <v>0</v>
      </c>
      <c r="AQ126" s="37">
        <f>SUMIFS($AN$3:$AN$1500,$G$3:$G$1500,G126)</f>
        <v>486780</v>
      </c>
      <c r="AR126" s="37">
        <f>SUMIFS($AP$3:$AP$1500,$G$3:$G$1500,G126)</f>
        <v>0</v>
      </c>
      <c r="AS126" s="21" t="s">
        <v>3410</v>
      </c>
      <c r="AT126" s="37">
        <f>ROUND(BH126*0.05,0)</f>
        <v>28720</v>
      </c>
      <c r="AU126" s="21" t="s">
        <v>846</v>
      </c>
      <c r="AV126" s="37" cm="1">
        <f t="array" ref="AV126">SUMPRODUCT(($G$3:$G$1500=G126)*$AN$3:$AN$1500*$AO$3:$AO$1500)+AR126</f>
        <v>87620.4</v>
      </c>
      <c r="AW126" s="37">
        <f>AT126</f>
        <v>28720</v>
      </c>
      <c r="AX126" s="21" t="str">
        <f>TEXT(EOMONTH(I126,0)+15,"dd-mmm-yyyy")&amp;" / "&amp;IF(BM126&gt;0,"CPR-IT-"&amp;TEXT(I126,"yymm")&amp;"-"&amp;RIGHT(G126,4),"Pending payment")</f>
        <v>15-Mar-2026 / CPR-IT-2602-0102</v>
      </c>
      <c r="AY126" s="21" t="str">
        <f>IF(BM126&gt;0,"Issued","Not yet")</f>
        <v>Issued</v>
      </c>
      <c r="AZ126" s="37">
        <v>0</v>
      </c>
      <c r="BA126" s="37">
        <v>0</v>
      </c>
      <c r="BB126" s="37">
        <v>0</v>
      </c>
      <c r="BC126" s="37">
        <v>0</v>
      </c>
      <c r="BD126" s="37">
        <v>0</v>
      </c>
      <c r="BE126" s="37">
        <f>AQ126</f>
        <v>486780</v>
      </c>
      <c r="BF126" s="37">
        <f>AV126</f>
        <v>87620.4</v>
      </c>
      <c r="BG126" s="37">
        <f>AZ126</f>
        <v>0</v>
      </c>
      <c r="BH126" s="37">
        <f>BE126+BF126+BG126</f>
        <v>574400.4</v>
      </c>
      <c r="BI126" s="37">
        <f>AW126</f>
        <v>28720</v>
      </c>
      <c r="BJ126" s="37">
        <f>BA126+BB126+BC126+BD126</f>
        <v>0</v>
      </c>
      <c r="BK126" s="37">
        <f>BH126-BI126-BJ126</f>
        <v>545680.4</v>
      </c>
      <c r="BL126" s="21" t="str">
        <f>"PKR "&amp;TEXT(BK126,"#,##0")&amp;" only"</f>
        <v>PKR 545,680 only</v>
      </c>
      <c r="BM126" s="37">
        <f>SUMIFS('T10'!$AK$3:$AK$1500,'T10'!$V$3:$V$1500,G126)</f>
        <v>545680.4</v>
      </c>
      <c r="BN126" s="37">
        <f>BK126-BM126</f>
        <v>0</v>
      </c>
      <c r="BO126" s="21" t="str">
        <f>IF(BF126&gt;0,TEXT(I126,"mmm-yyyy")&amp;" sales tax return","N/A")</f>
        <v>Feb-2026 sales tax return</v>
      </c>
      <c r="BP126" s="21" t="s">
        <v>1051</v>
      </c>
      <c r="BQ126" s="29">
        <f>J126+30</f>
        <v>46086</v>
      </c>
      <c r="BR126" s="29">
        <f>BQ126</f>
        <v>46086</v>
      </c>
      <c r="BS126" s="21" t="s">
        <v>3095</v>
      </c>
      <c r="BT126" s="21" t="s">
        <v>3360</v>
      </c>
      <c r="BU126" s="21" t="s">
        <v>844</v>
      </c>
      <c r="BV126" s="21" t="s">
        <v>846</v>
      </c>
      <c r="BW126" s="21" t="str" cm="1">
        <f t="array" ref="BW126">_xlfn.TEXTJOIN(", ",TRUE,_xlfn.UNIQUE(_xlfn._xlws.FILTER('T10'!$A$3:$A$1500,'T10'!$V$3:$V$1500=G126,"None")))</f>
        <v>PV-0039</v>
      </c>
      <c r="BX126" s="21" t="s">
        <v>4064</v>
      </c>
      <c r="BY126" s="21" t="s">
        <v>4065</v>
      </c>
    </row>
    <row r="127" spans="1:77" x14ac:dyDescent="0.3">
      <c r="A127" s="21" t="s">
        <v>3511</v>
      </c>
      <c r="B127" s="21" t="s">
        <v>4058</v>
      </c>
      <c r="C127" s="21" t="s">
        <v>4059</v>
      </c>
      <c r="D127" s="35">
        <v>46058.458333333336</v>
      </c>
      <c r="E127" s="21" t="s">
        <v>3347</v>
      </c>
      <c r="F127" s="21" t="str">
        <f ca="1">IF(S127="Paid","Completed","Pending payment")</f>
        <v>Completed</v>
      </c>
      <c r="G127" s="21" t="s">
        <v>4060</v>
      </c>
      <c r="H127" s="21" t="s">
        <v>3515</v>
      </c>
      <c r="I127" s="29">
        <v>46058</v>
      </c>
      <c r="J127" s="29">
        <v>46056</v>
      </c>
      <c r="K127" s="21" t="str">
        <f>TEXT(I127,"mmm-yyyy")</f>
        <v>Feb-2026</v>
      </c>
      <c r="L127" s="21" t="s">
        <v>1797</v>
      </c>
      <c r="M127" s="21">
        <v>1</v>
      </c>
      <c r="N127" s="21" t="s">
        <v>743</v>
      </c>
      <c r="O127" s="21" t="s">
        <v>3350</v>
      </c>
      <c r="P127" s="21" t="s">
        <v>3429</v>
      </c>
      <c r="Q127" s="21" t="s">
        <v>844</v>
      </c>
      <c r="R127" s="21" t="s">
        <v>4061</v>
      </c>
      <c r="S127" s="21" t="str">
        <f ca="1">IF(BN127&lt;1,"Paid",IF(BM127&gt;0,"Partially paid",IF(ISNUMBER(SEARCH("hold",BU127)),"On hold",IF(BQ127&lt;TODAY(),"Overdue","Approved - unpaid"))))</f>
        <v>Paid</v>
      </c>
      <c r="T127" s="21" t="s">
        <v>3517</v>
      </c>
      <c r="U127" s="21" t="s">
        <v>3518</v>
      </c>
      <c r="V127" s="21" t="s">
        <v>3519</v>
      </c>
      <c r="W127" s="21" t="s">
        <v>746</v>
      </c>
      <c r="X127" s="21" t="s">
        <v>846</v>
      </c>
      <c r="Y127" s="21" t="s">
        <v>3520</v>
      </c>
      <c r="Z127" s="21" t="s">
        <v>3521</v>
      </c>
      <c r="AA127" s="21" t="s">
        <v>1051</v>
      </c>
      <c r="AB127" s="37">
        <v>0</v>
      </c>
      <c r="AC127" s="21" t="s">
        <v>4062</v>
      </c>
      <c r="AD127" s="21" t="s">
        <v>4066</v>
      </c>
      <c r="AE127" s="21" t="s">
        <v>844</v>
      </c>
      <c r="AF127" s="21">
        <v>2</v>
      </c>
      <c r="AG127" s="21" t="s">
        <v>934</v>
      </c>
      <c r="AH127" s="21" t="s">
        <v>936</v>
      </c>
      <c r="AI127" s="21" t="s">
        <v>937</v>
      </c>
      <c r="AJ127" s="37">
        <v>3</v>
      </c>
      <c r="AK127" s="37">
        <v>3</v>
      </c>
      <c r="AL127" s="37">
        <v>17560</v>
      </c>
      <c r="AM127" s="37">
        <f>AK127*AL127</f>
        <v>52680</v>
      </c>
      <c r="AN127" s="37">
        <f>AM127</f>
        <v>52680</v>
      </c>
      <c r="AO127" s="23">
        <f>_xlfn.XLOOKUP(AG127,'T13'!$A$3:$A$1500,'T13'!$O$3:$O$1500)</f>
        <v>0.18</v>
      </c>
      <c r="AP127" s="37">
        <v>0</v>
      </c>
      <c r="AQ127" s="37">
        <f>SUMIFS($AN$3:$AN$1500,$G$3:$G$1500,G127)</f>
        <v>486780</v>
      </c>
      <c r="AR127" s="37">
        <f>SUMIFS($AP$3:$AP$1500,$G$3:$G$1500,G127)</f>
        <v>0</v>
      </c>
      <c r="AS127" s="21" t="s">
        <v>3410</v>
      </c>
      <c r="AT127" s="37">
        <f>ROUND(BH127*0.05,0)</f>
        <v>28720</v>
      </c>
      <c r="AU127" s="21" t="s">
        <v>846</v>
      </c>
      <c r="AV127" s="37" cm="1">
        <f t="array" ref="AV127">SUMPRODUCT(($G$3:$G$1500=G127)*$AN$3:$AN$1500*$AO$3:$AO$1500)+AR127</f>
        <v>87620.4</v>
      </c>
      <c r="AW127" s="37">
        <f>AT127</f>
        <v>28720</v>
      </c>
      <c r="AX127" s="21" t="str">
        <f>TEXT(EOMONTH(I127,0)+15,"dd-mmm-yyyy")&amp;" / "&amp;IF(BM127&gt;0,"CPR-IT-"&amp;TEXT(I127,"yymm")&amp;"-"&amp;RIGHT(G127,4),"Pending payment")</f>
        <v>15-Mar-2026 / CPR-IT-2602-0102</v>
      </c>
      <c r="AY127" s="21" t="str">
        <f>IF(BM127&gt;0,"Issued","Not yet")</f>
        <v>Issued</v>
      </c>
      <c r="AZ127" s="37">
        <v>0</v>
      </c>
      <c r="BA127" s="37">
        <v>0</v>
      </c>
      <c r="BB127" s="37">
        <v>0</v>
      </c>
      <c r="BC127" s="37">
        <v>0</v>
      </c>
      <c r="BD127" s="37">
        <v>0</v>
      </c>
      <c r="BE127" s="37">
        <f>AQ127</f>
        <v>486780</v>
      </c>
      <c r="BF127" s="37">
        <f>AV127</f>
        <v>87620.4</v>
      </c>
      <c r="BG127" s="37">
        <f>AZ127</f>
        <v>0</v>
      </c>
      <c r="BH127" s="37">
        <f>BE127+BF127+BG127</f>
        <v>574400.4</v>
      </c>
      <c r="BI127" s="37">
        <f>AW127</f>
        <v>28720</v>
      </c>
      <c r="BJ127" s="37">
        <f>BA127+BB127+BC127+BD127</f>
        <v>0</v>
      </c>
      <c r="BK127" s="37">
        <f>BH127-BI127-BJ127</f>
        <v>545680.4</v>
      </c>
      <c r="BL127" s="21" t="str">
        <f>"PKR "&amp;TEXT(BK127,"#,##0")&amp;" only"</f>
        <v>PKR 545,680 only</v>
      </c>
      <c r="BM127" s="37">
        <f>SUMIFS('T10'!$AK$3:$AK$1500,'T10'!$V$3:$V$1500,G127)</f>
        <v>545680.4</v>
      </c>
      <c r="BN127" s="37">
        <f>BK127-BM127</f>
        <v>0</v>
      </c>
      <c r="BO127" s="21" t="str">
        <f>IF(BF127&gt;0,TEXT(I127,"mmm-yyyy")&amp;" sales tax return","N/A")</f>
        <v>Feb-2026 sales tax return</v>
      </c>
      <c r="BP127" s="21" t="s">
        <v>1051</v>
      </c>
      <c r="BQ127" s="29">
        <f>J127+30</f>
        <v>46086</v>
      </c>
      <c r="BR127" s="29">
        <f>BQ127</f>
        <v>46086</v>
      </c>
      <c r="BS127" s="21" t="s">
        <v>3095</v>
      </c>
      <c r="BT127" s="21" t="s">
        <v>3360</v>
      </c>
      <c r="BU127" s="21" t="s">
        <v>844</v>
      </c>
      <c r="BV127" s="21" t="s">
        <v>846</v>
      </c>
      <c r="BW127" s="21" t="str" cm="1">
        <f t="array" ref="BW127">_xlfn.TEXTJOIN(", ",TRUE,_xlfn.UNIQUE(_xlfn._xlws.FILTER('T10'!$A$3:$A$1500,'T10'!$V$3:$V$1500=G127,"None")))</f>
        <v>PV-0039</v>
      </c>
      <c r="BX127" s="21" t="s">
        <v>4064</v>
      </c>
      <c r="BY127" s="21" t="s">
        <v>4065</v>
      </c>
    </row>
    <row r="128" spans="1:77" x14ac:dyDescent="0.3">
      <c r="A128" s="21" t="s">
        <v>3496</v>
      </c>
      <c r="B128" s="21" t="s">
        <v>4067</v>
      </c>
      <c r="C128" s="21" t="s">
        <v>4068</v>
      </c>
      <c r="D128" s="35">
        <v>46060.625</v>
      </c>
      <c r="E128" s="21" t="s">
        <v>3347</v>
      </c>
      <c r="F128" s="21" t="str">
        <f ca="1">IF(S128="Paid","Completed","Pending payment")</f>
        <v>Completed</v>
      </c>
      <c r="G128" s="21" t="s">
        <v>4069</v>
      </c>
      <c r="H128" s="21" t="s">
        <v>3500</v>
      </c>
      <c r="I128" s="29">
        <v>46060</v>
      </c>
      <c r="J128" s="29">
        <v>46058</v>
      </c>
      <c r="K128" s="21" t="str">
        <f>TEXT(I128,"mmm-yyyy")</f>
        <v>Feb-2026</v>
      </c>
      <c r="L128" s="21" t="s">
        <v>1797</v>
      </c>
      <c r="M128" s="21">
        <v>1</v>
      </c>
      <c r="N128" s="21" t="s">
        <v>743</v>
      </c>
      <c r="O128" s="21" t="s">
        <v>3350</v>
      </c>
      <c r="P128" s="21" t="s">
        <v>3351</v>
      </c>
      <c r="Q128" s="21" t="s">
        <v>844</v>
      </c>
      <c r="R128" s="21" t="s">
        <v>4070</v>
      </c>
      <c r="S128" s="21" t="str">
        <f ca="1">IF(BN128&lt;1,"Paid",IF(BM128&gt;0,"Partially paid",IF(ISNUMBER(SEARCH("hold",BU128)),"On hold",IF(BQ128&lt;TODAY(),"Overdue","Approved - unpaid"))))</f>
        <v>Paid</v>
      </c>
      <c r="T128" s="21" t="s">
        <v>3502</v>
      </c>
      <c r="U128" s="21" t="s">
        <v>3503</v>
      </c>
      <c r="V128" s="21" t="s">
        <v>3504</v>
      </c>
      <c r="W128" s="21" t="s">
        <v>746</v>
      </c>
      <c r="X128" s="21" t="s">
        <v>846</v>
      </c>
      <c r="Y128" s="21" t="s">
        <v>3505</v>
      </c>
      <c r="Z128" s="21" t="s">
        <v>3506</v>
      </c>
      <c r="AA128" s="21" t="s">
        <v>1051</v>
      </c>
      <c r="AB128" s="37">
        <v>0</v>
      </c>
      <c r="AC128" s="21" t="s">
        <v>4071</v>
      </c>
      <c r="AD128" s="21" t="s">
        <v>4072</v>
      </c>
      <c r="AE128" s="21" t="s">
        <v>844</v>
      </c>
      <c r="AF128" s="21">
        <v>1</v>
      </c>
      <c r="AG128" s="21" t="s">
        <v>894</v>
      </c>
      <c r="AH128" s="21" t="s">
        <v>896</v>
      </c>
      <c r="AI128" s="21" t="s">
        <v>897</v>
      </c>
      <c r="AJ128" s="37">
        <v>1</v>
      </c>
      <c r="AK128" s="37">
        <v>1</v>
      </c>
      <c r="AL128" s="37">
        <v>15960</v>
      </c>
      <c r="AM128" s="37">
        <f>AK128*AL128</f>
        <v>15960</v>
      </c>
      <c r="AN128" s="37">
        <f>AM128</f>
        <v>15960</v>
      </c>
      <c r="AO128" s="23">
        <f>_xlfn.XLOOKUP(AG128,'T13'!$A$3:$A$1500,'T13'!$O$3:$O$1500)</f>
        <v>0.18</v>
      </c>
      <c r="AP128" s="37">
        <v>0</v>
      </c>
      <c r="AQ128" s="37">
        <f>SUMIFS($AN$3:$AN$1500,$G$3:$G$1500,G128)</f>
        <v>15960</v>
      </c>
      <c r="AR128" s="37">
        <f>SUMIFS($AP$3:$AP$1500,$G$3:$G$1500,G128)</f>
        <v>0</v>
      </c>
      <c r="AS128" s="21" t="s">
        <v>3410</v>
      </c>
      <c r="AT128" s="37">
        <f>ROUND(BH128*0.05,0)</f>
        <v>942</v>
      </c>
      <c r="AU128" s="21" t="s">
        <v>846</v>
      </c>
      <c r="AV128" s="37" cm="1">
        <f t="array" ref="AV128">SUMPRODUCT(($G$3:$G$1500=G128)*$AN$3:$AN$1500*$AO$3:$AO$1500)+AR128</f>
        <v>2872.7999999999997</v>
      </c>
      <c r="AW128" s="37">
        <f>AT128</f>
        <v>942</v>
      </c>
      <c r="AX128" s="21" t="str">
        <f>TEXT(EOMONTH(I128,0)+15,"dd-mmm-yyyy")&amp;" / "&amp;IF(BM128&gt;0,"CPR-IT-"&amp;TEXT(I128,"yymm")&amp;"-"&amp;RIGHT(G128,4),"Pending payment")</f>
        <v>15-Mar-2026 / CPR-IT-2602-0103</v>
      </c>
      <c r="AY128" s="21" t="str">
        <f>IF(BM128&gt;0,"Issued","Not yet")</f>
        <v>Issued</v>
      </c>
      <c r="AZ128" s="37">
        <v>0</v>
      </c>
      <c r="BA128" s="37">
        <v>0</v>
      </c>
      <c r="BB128" s="37">
        <v>0</v>
      </c>
      <c r="BC128" s="37">
        <v>0</v>
      </c>
      <c r="BD128" s="37">
        <v>0</v>
      </c>
      <c r="BE128" s="37">
        <f>AQ128</f>
        <v>15960</v>
      </c>
      <c r="BF128" s="37">
        <f>AV128</f>
        <v>2872.7999999999997</v>
      </c>
      <c r="BG128" s="37">
        <f>AZ128</f>
        <v>0</v>
      </c>
      <c r="BH128" s="37">
        <f>BE128+BF128+BG128</f>
        <v>18832.8</v>
      </c>
      <c r="BI128" s="37">
        <f>AW128</f>
        <v>942</v>
      </c>
      <c r="BJ128" s="37">
        <f>BA128+BB128+BC128+BD128</f>
        <v>0</v>
      </c>
      <c r="BK128" s="37">
        <f>BH128-BI128-BJ128</f>
        <v>17890.8</v>
      </c>
      <c r="BL128" s="21" t="str">
        <f>"PKR "&amp;TEXT(BK128,"#,##0")&amp;" only"</f>
        <v>PKR 17,891 only</v>
      </c>
      <c r="BM128" s="37">
        <f>SUMIFS('T10'!$AK$3:$AK$1500,'T10'!$V$3:$V$1500,G128)</f>
        <v>17890.8</v>
      </c>
      <c r="BN128" s="37">
        <f>BK128-BM128</f>
        <v>0</v>
      </c>
      <c r="BO128" s="21" t="str">
        <f>IF(BF128&gt;0,TEXT(I128,"mmm-yyyy")&amp;" sales tax return","N/A")</f>
        <v>Feb-2026 sales tax return</v>
      </c>
      <c r="BP128" s="21" t="s">
        <v>1051</v>
      </c>
      <c r="BQ128" s="29">
        <f>J128+30</f>
        <v>46088</v>
      </c>
      <c r="BR128" s="29">
        <f>BQ128</f>
        <v>46088</v>
      </c>
      <c r="BS128" s="21" t="s">
        <v>3095</v>
      </c>
      <c r="BT128" s="21" t="s">
        <v>3360</v>
      </c>
      <c r="BU128" s="21" t="s">
        <v>844</v>
      </c>
      <c r="BV128" s="21" t="s">
        <v>846</v>
      </c>
      <c r="BW128" s="21" t="str" cm="1">
        <f t="array" ref="BW128">_xlfn.TEXTJOIN(", ",TRUE,_xlfn.UNIQUE(_xlfn._xlws.FILTER('T10'!$A$3:$A$1500,'T10'!$V$3:$V$1500=G128,"None")))</f>
        <v>PV-0038</v>
      </c>
      <c r="BX128" s="21" t="s">
        <v>4073</v>
      </c>
      <c r="BY128" s="21" t="s">
        <v>4074</v>
      </c>
    </row>
    <row r="129" spans="1:77" x14ac:dyDescent="0.3">
      <c r="A129" s="21" t="s">
        <v>3456</v>
      </c>
      <c r="B129" s="21" t="s">
        <v>4075</v>
      </c>
      <c r="C129" s="21" t="s">
        <v>4076</v>
      </c>
      <c r="D129" s="35">
        <v>46061.708333333336</v>
      </c>
      <c r="E129" s="21" t="s">
        <v>3347</v>
      </c>
      <c r="F129" s="21" t="str">
        <f ca="1">IF(S129="Paid","Completed","Pending payment")</f>
        <v>Completed</v>
      </c>
      <c r="G129" s="21" t="s">
        <v>4077</v>
      </c>
      <c r="H129" s="21" t="s">
        <v>3460</v>
      </c>
      <c r="I129" s="29">
        <v>46061</v>
      </c>
      <c r="J129" s="29">
        <v>46059</v>
      </c>
      <c r="K129" s="21" t="str">
        <f>TEXT(I129,"mmm-yyyy")</f>
        <v>Feb-2026</v>
      </c>
      <c r="L129" s="21" t="s">
        <v>1797</v>
      </c>
      <c r="M129" s="21">
        <v>1</v>
      </c>
      <c r="N129" s="21" t="s">
        <v>743</v>
      </c>
      <c r="O129" s="21" t="s">
        <v>3368</v>
      </c>
      <c r="P129" s="21" t="s">
        <v>3429</v>
      </c>
      <c r="Q129" s="21" t="s">
        <v>844</v>
      </c>
      <c r="R129" s="21" t="s">
        <v>4078</v>
      </c>
      <c r="S129" s="21" t="str">
        <f ca="1">IF(BN129&lt;1,"Paid",IF(BM129&gt;0,"Partially paid",IF(ISNUMBER(SEARCH("hold",BU129)),"On hold",IF(BQ129&lt;TODAY(),"Overdue","Approved - unpaid"))))</f>
        <v>Paid</v>
      </c>
      <c r="T129" s="21" t="s">
        <v>3462</v>
      </c>
      <c r="U129" s="21" t="s">
        <v>3463</v>
      </c>
      <c r="V129" s="21" t="s">
        <v>3464</v>
      </c>
      <c r="W129" s="21" t="s">
        <v>746</v>
      </c>
      <c r="X129" s="21" t="s">
        <v>846</v>
      </c>
      <c r="Y129" s="21" t="s">
        <v>3465</v>
      </c>
      <c r="Z129" s="21" t="s">
        <v>3466</v>
      </c>
      <c r="AA129" s="21" t="s">
        <v>1062</v>
      </c>
      <c r="AB129" s="37">
        <v>0</v>
      </c>
      <c r="AC129" s="21" t="s">
        <v>844</v>
      </c>
      <c r="AD129" s="21" t="s">
        <v>844</v>
      </c>
      <c r="AE129" s="21" t="s">
        <v>844</v>
      </c>
      <c r="AF129" s="21">
        <v>1</v>
      </c>
      <c r="AG129" s="21" t="s">
        <v>866</v>
      </c>
      <c r="AH129" s="21" t="s">
        <v>869</v>
      </c>
      <c r="AI129" s="21" t="s">
        <v>870</v>
      </c>
      <c r="AJ129" s="37">
        <v>491</v>
      </c>
      <c r="AK129" s="37">
        <v>491</v>
      </c>
      <c r="AL129" s="37">
        <v>290</v>
      </c>
      <c r="AM129" s="37">
        <f>AK129*AL129</f>
        <v>142390</v>
      </c>
      <c r="AN129" s="37">
        <f>AM129</f>
        <v>142390</v>
      </c>
      <c r="AO129" s="23">
        <f>_xlfn.XLOOKUP(AG129,'T13'!$A$3:$A$1500,'T13'!$O$3:$O$1500)</f>
        <v>0.18</v>
      </c>
      <c r="AP129" s="37">
        <v>0</v>
      </c>
      <c r="AQ129" s="37">
        <f>SUMIFS($AN$3:$AN$1500,$G$3:$G$1500,G129)</f>
        <v>142390</v>
      </c>
      <c r="AR129" s="37">
        <f>SUMIFS($AP$3:$AP$1500,$G$3:$G$1500,G129)</f>
        <v>0</v>
      </c>
      <c r="AS129" s="21" t="s">
        <v>3467</v>
      </c>
      <c r="AT129" s="37">
        <f>ROUND(BH129*0,0)</f>
        <v>0</v>
      </c>
      <c r="AU129" s="21" t="s">
        <v>846</v>
      </c>
      <c r="AV129" s="37" cm="1">
        <f t="array" ref="AV129">SUMPRODUCT(($G$3:$G$1500=G129)*$AN$3:$AN$1500*$AO$3:$AO$1500)+AR129</f>
        <v>25630.2</v>
      </c>
      <c r="AW129" s="37">
        <f>AT129</f>
        <v>0</v>
      </c>
      <c r="AX129" s="21" t="str">
        <f>TEXT(EOMONTH(I129,0)+15,"dd-mmm-yyyy")&amp;" / "&amp;IF(BM129&gt;0,"CPR-IT-"&amp;TEXT(I129,"yymm")&amp;"-"&amp;RIGHT(G129,4),"Pending payment")</f>
        <v>15-Mar-2026 / CPR-IT-2602-0104</v>
      </c>
      <c r="AY129" s="21" t="str">
        <f>IF(BM129&gt;0,"Issued","Not yet")</f>
        <v>Issued</v>
      </c>
      <c r="AZ129" s="37">
        <v>0</v>
      </c>
      <c r="BA129" s="37">
        <v>0</v>
      </c>
      <c r="BB129" s="37">
        <v>0</v>
      </c>
      <c r="BC129" s="37">
        <v>0</v>
      </c>
      <c r="BD129" s="37">
        <v>0</v>
      </c>
      <c r="BE129" s="37">
        <f>AQ129</f>
        <v>142390</v>
      </c>
      <c r="BF129" s="37">
        <f>AV129</f>
        <v>25630.2</v>
      </c>
      <c r="BG129" s="37">
        <f>AZ129</f>
        <v>0</v>
      </c>
      <c r="BH129" s="37">
        <f>BE129+BF129+BG129</f>
        <v>168020.2</v>
      </c>
      <c r="BI129" s="37">
        <f>AW129</f>
        <v>0</v>
      </c>
      <c r="BJ129" s="37">
        <f>BA129+BB129+BC129+BD129</f>
        <v>0</v>
      </c>
      <c r="BK129" s="37">
        <f>BH129-BI129-BJ129</f>
        <v>168020.2</v>
      </c>
      <c r="BL129" s="21" t="str">
        <f>"PKR "&amp;TEXT(BK129,"#,##0")&amp;" only"</f>
        <v>PKR 168,020 only</v>
      </c>
      <c r="BM129" s="37">
        <f>SUMIFS('T10'!$AK$3:$AK$1500,'T10'!$V$3:$V$1500,G129)</f>
        <v>168020.2</v>
      </c>
      <c r="BN129" s="37">
        <f>BK129-BM129</f>
        <v>0</v>
      </c>
      <c r="BO129" s="21" t="str">
        <f>IF(BF129&gt;0,TEXT(I129,"mmm-yyyy")&amp;" sales tax return","N/A")</f>
        <v>Feb-2026 sales tax return</v>
      </c>
      <c r="BP129" s="21" t="s">
        <v>1062</v>
      </c>
      <c r="BQ129" s="29">
        <f>J129+15</f>
        <v>46074</v>
      </c>
      <c r="BR129" s="29">
        <f>BQ129</f>
        <v>46074</v>
      </c>
      <c r="BS129" s="21" t="s">
        <v>3095</v>
      </c>
      <c r="BT129" s="21" t="s">
        <v>3360</v>
      </c>
      <c r="BU129" s="21" t="s">
        <v>844</v>
      </c>
      <c r="BV129" s="21" t="s">
        <v>846</v>
      </c>
      <c r="BW129" s="21" t="str" cm="1">
        <f t="array" ref="BW129">_xlfn.TEXTJOIN(", ",TRUE,_xlfn.UNIQUE(_xlfn._xlws.FILTER('T10'!$A$3:$A$1500,'T10'!$V$3:$V$1500=G129,"None")))</f>
        <v>PV-0034</v>
      </c>
      <c r="BX129" s="21" t="s">
        <v>4079</v>
      </c>
      <c r="BY129" s="21" t="s">
        <v>4080</v>
      </c>
    </row>
    <row r="130" spans="1:77" x14ac:dyDescent="0.3">
      <c r="A130" s="21" t="s">
        <v>3395</v>
      </c>
      <c r="B130" s="21" t="s">
        <v>4081</v>
      </c>
      <c r="C130" s="21" t="s">
        <v>4082</v>
      </c>
      <c r="D130" s="35">
        <v>46082.708333333336</v>
      </c>
      <c r="E130" s="21" t="s">
        <v>3347</v>
      </c>
      <c r="F130" s="21" t="str">
        <f ca="1">IF(S130="Paid","Completed","Pending payment")</f>
        <v>Completed</v>
      </c>
      <c r="G130" s="21" t="s">
        <v>4083</v>
      </c>
      <c r="H130" s="21" t="s">
        <v>3399</v>
      </c>
      <c r="I130" s="29">
        <v>46081</v>
      </c>
      <c r="J130" s="29">
        <v>46081</v>
      </c>
      <c r="K130" s="21" t="str">
        <f>TEXT(I130,"mmm-yyyy")</f>
        <v>Feb-2026</v>
      </c>
      <c r="L130" s="21" t="s">
        <v>1797</v>
      </c>
      <c r="M130" s="21">
        <v>1</v>
      </c>
      <c r="N130" s="21" t="s">
        <v>743</v>
      </c>
      <c r="O130" s="21" t="s">
        <v>3400</v>
      </c>
      <c r="P130" s="21" t="s">
        <v>3401</v>
      </c>
      <c r="Q130" s="21" t="s">
        <v>844</v>
      </c>
      <c r="R130" s="21" t="s">
        <v>4084</v>
      </c>
      <c r="S130" s="21" t="str">
        <f ca="1">IF(BN130&lt;1,"Paid",IF(BM130&gt;0,"Partially paid",IF(ISNUMBER(SEARCH("hold",BU130)),"On hold",IF(BQ130&lt;TODAY(),"Overdue","Approved - unpaid"))))</f>
        <v>Paid</v>
      </c>
      <c r="T130" s="21" t="s">
        <v>3403</v>
      </c>
      <c r="U130" s="21" t="s">
        <v>3404</v>
      </c>
      <c r="V130" s="21" t="s">
        <v>967</v>
      </c>
      <c r="W130" s="21" t="s">
        <v>746</v>
      </c>
      <c r="X130" s="21" t="s">
        <v>846</v>
      </c>
      <c r="Y130" s="21" t="s">
        <v>3405</v>
      </c>
      <c r="Z130" s="21" t="s">
        <v>3406</v>
      </c>
      <c r="AA130" s="21" t="s">
        <v>1062</v>
      </c>
      <c r="AB130" s="37">
        <v>0</v>
      </c>
      <c r="AC130" s="21" t="s">
        <v>4085</v>
      </c>
      <c r="AD130" s="21" t="s">
        <v>4086</v>
      </c>
      <c r="AE130" s="21" t="s">
        <v>3409</v>
      </c>
      <c r="AF130" s="21">
        <v>1</v>
      </c>
      <c r="AG130" s="21" t="s">
        <v>763</v>
      </c>
      <c r="AH130" s="21" t="s">
        <v>766</v>
      </c>
      <c r="AI130" s="21" t="s">
        <v>1804</v>
      </c>
      <c r="AJ130" s="37">
        <v>7800</v>
      </c>
      <c r="AK130" s="37">
        <v>7800</v>
      </c>
      <c r="AL130" s="37">
        <v>1395</v>
      </c>
      <c r="AM130" s="37">
        <f>AK130*AL130</f>
        <v>10881000</v>
      </c>
      <c r="AN130" s="37">
        <f>AM130</f>
        <v>10881000</v>
      </c>
      <c r="AO130" s="23">
        <f>_xlfn.XLOOKUP(AG130,'T13'!$A$3:$A$1500,'T13'!$O$3:$O$1500)</f>
        <v>0.18</v>
      </c>
      <c r="AP130" s="37">
        <f>AK130*IF(AI130="MT",1000,IF(AI130="Jumbo bag (1.5 MT)",1500,IF(AI130="Bag (40 kg)",40,50)))*3</f>
        <v>1170000</v>
      </c>
      <c r="AQ130" s="37">
        <f>SUMIFS($AN$3:$AN$1500,$G$3:$G$1500,G130)</f>
        <v>10881000</v>
      </c>
      <c r="AR130" s="37">
        <f>SUMIFS($AP$3:$AP$1500,$G$3:$G$1500,G130)</f>
        <v>1170000</v>
      </c>
      <c r="AS130" s="21" t="s">
        <v>3410</v>
      </c>
      <c r="AT130" s="37">
        <f>ROUND(BH130*0.05,0)</f>
        <v>700479</v>
      </c>
      <c r="AU130" s="21" t="s">
        <v>846</v>
      </c>
      <c r="AV130" s="37" cm="1">
        <f t="array" ref="AV130">SUMPRODUCT(($G$3:$G$1500=G130)*$AN$3:$AN$1500*$AO$3:$AO$1500)+AR130</f>
        <v>3128580</v>
      </c>
      <c r="AW130" s="37">
        <f>AT130</f>
        <v>700479</v>
      </c>
      <c r="AX130" s="21" t="str">
        <f>TEXT(EOMONTH(I130,0)+15,"dd-mmm-yyyy")&amp;" / "&amp;IF(BM130&gt;0,"CPR-IT-"&amp;TEXT(I130,"yymm")&amp;"-"&amp;RIGHT(G130,4),"Pending payment")</f>
        <v>15-Mar-2026 / CPR-IT-2602-0105</v>
      </c>
      <c r="AY130" s="21" t="str">
        <f>IF(BM130&gt;0,"Issued","Not yet")</f>
        <v>Issued</v>
      </c>
      <c r="AZ130" s="37">
        <v>0</v>
      </c>
      <c r="BA130" s="37">
        <v>0</v>
      </c>
      <c r="BB130" s="37">
        <v>0</v>
      </c>
      <c r="BC130" s="37">
        <v>0</v>
      </c>
      <c r="BD130" s="37">
        <v>0</v>
      </c>
      <c r="BE130" s="37">
        <f>AQ130</f>
        <v>10881000</v>
      </c>
      <c r="BF130" s="37">
        <f>AV130</f>
        <v>3128580</v>
      </c>
      <c r="BG130" s="37">
        <f>AZ130</f>
        <v>0</v>
      </c>
      <c r="BH130" s="37">
        <f>BE130+BF130+BG130</f>
        <v>14009580</v>
      </c>
      <c r="BI130" s="37">
        <f>AW130</f>
        <v>700479</v>
      </c>
      <c r="BJ130" s="37">
        <f>BA130+BB130+BC130+BD130</f>
        <v>0</v>
      </c>
      <c r="BK130" s="37">
        <f>BH130-BI130-BJ130</f>
        <v>13309101</v>
      </c>
      <c r="BL130" s="21" t="str">
        <f>"PKR "&amp;TEXT(BK130,"#,##0")&amp;" only"</f>
        <v>PKR 13,309,101 only</v>
      </c>
      <c r="BM130" s="37">
        <f>SUMIFS('T10'!$AK$3:$AK$1500,'T10'!$V$3:$V$1500,G130)</f>
        <v>13309101</v>
      </c>
      <c r="BN130" s="37">
        <f>BK130-BM130</f>
        <v>0</v>
      </c>
      <c r="BO130" s="21" t="str">
        <f>IF(BF130&gt;0,TEXT(I130,"mmm-yyyy")&amp;" sales tax return","N/A")</f>
        <v>Feb-2026 sales tax return</v>
      </c>
      <c r="BP130" s="21" t="s">
        <v>1062</v>
      </c>
      <c r="BQ130" s="29">
        <f>J130+15</f>
        <v>46096</v>
      </c>
      <c r="BR130" s="29">
        <f>BQ130</f>
        <v>46096</v>
      </c>
      <c r="BS130" s="21" t="s">
        <v>3095</v>
      </c>
      <c r="BT130" s="21" t="s">
        <v>3411</v>
      </c>
      <c r="BU130" s="21" t="s">
        <v>844</v>
      </c>
      <c r="BV130" s="21" t="s">
        <v>846</v>
      </c>
      <c r="BW130" s="21" t="str" cm="1">
        <f t="array" ref="BW130">_xlfn.TEXTJOIN(", ",TRUE,_xlfn.UNIQUE(_xlfn._xlws.FILTER('T10'!$A$3:$A$1500,'T10'!$V$3:$V$1500=G130,"None")))</f>
        <v>PV-0040</v>
      </c>
      <c r="BX130" s="21" t="s">
        <v>4087</v>
      </c>
      <c r="BY130" s="21" t="s">
        <v>4088</v>
      </c>
    </row>
    <row r="131" spans="1:77" x14ac:dyDescent="0.3">
      <c r="A131" s="21" t="s">
        <v>3438</v>
      </c>
      <c r="B131" s="21" t="s">
        <v>2640</v>
      </c>
      <c r="C131" s="21" t="s">
        <v>4089</v>
      </c>
      <c r="D131" s="35">
        <v>46084.458333333336</v>
      </c>
      <c r="E131" s="21" t="s">
        <v>3347</v>
      </c>
      <c r="F131" s="21" t="str">
        <f ca="1">IF(S131="Paid","Completed","Pending payment")</f>
        <v>Completed</v>
      </c>
      <c r="G131" s="21" t="s">
        <v>4090</v>
      </c>
      <c r="H131" s="21" t="s">
        <v>3428</v>
      </c>
      <c r="I131" s="29">
        <v>46084</v>
      </c>
      <c r="J131" s="29">
        <v>46082</v>
      </c>
      <c r="K131" s="21" t="str">
        <f>TEXT(I131,"mmm-yyyy")</f>
        <v>Mar-2026</v>
      </c>
      <c r="L131" s="21" t="s">
        <v>1797</v>
      </c>
      <c r="M131" s="21">
        <v>1</v>
      </c>
      <c r="N131" s="21" t="s">
        <v>743</v>
      </c>
      <c r="O131" s="21" t="s">
        <v>3350</v>
      </c>
      <c r="P131" s="21" t="s">
        <v>3429</v>
      </c>
      <c r="Q131" s="21" t="s">
        <v>844</v>
      </c>
      <c r="R131" s="21" t="s">
        <v>4091</v>
      </c>
      <c r="S131" s="21" t="str">
        <f ca="1">IF(BN131&lt;1,"Paid",IF(BM131&gt;0,"Partially paid",IF(ISNUMBER(SEARCH("hold",BU131)),"On hold",IF(BQ131&lt;TODAY(),"Overdue","Approved - unpaid"))))</f>
        <v>Paid</v>
      </c>
      <c r="T131" s="21" t="s">
        <v>3431</v>
      </c>
      <c r="U131" s="21" t="s">
        <v>1278</v>
      </c>
      <c r="V131" s="21" t="s">
        <v>1200</v>
      </c>
      <c r="W131" s="21" t="s">
        <v>746</v>
      </c>
      <c r="X131" s="21" t="s">
        <v>846</v>
      </c>
      <c r="Y131" s="21" t="s">
        <v>3441</v>
      </c>
      <c r="Z131" s="21" t="s">
        <v>3442</v>
      </c>
      <c r="AA131" s="21" t="s">
        <v>1051</v>
      </c>
      <c r="AB131" s="37">
        <v>0</v>
      </c>
      <c r="AC131" s="21" t="s">
        <v>844</v>
      </c>
      <c r="AD131" s="21" t="s">
        <v>844</v>
      </c>
      <c r="AE131" s="21" t="s">
        <v>3443</v>
      </c>
      <c r="AF131" s="21">
        <v>1</v>
      </c>
      <c r="AG131" s="21" t="s">
        <v>837</v>
      </c>
      <c r="AH131" s="21" t="s">
        <v>840</v>
      </c>
      <c r="AI131" s="21" t="s">
        <v>842</v>
      </c>
      <c r="AJ131" s="37">
        <f>COUNTIFS('T14'!$AQ$3:$AQ$1500,B131,'T14'!$Z$3:$Z$1500,1,'T14'!$F$3:$F$1500,"Bag")</f>
        <v>7</v>
      </c>
      <c r="AK131" s="37">
        <f>AJ131</f>
        <v>7</v>
      </c>
      <c r="AL131" s="37">
        <v>41000</v>
      </c>
      <c r="AM131" s="37">
        <f>AK131*AL131</f>
        <v>287000</v>
      </c>
      <c r="AN131" s="37">
        <f>AM131</f>
        <v>287000</v>
      </c>
      <c r="AO131" s="23">
        <f>_xlfn.XLOOKUP(AG131,'T13'!$A$3:$A$1500,'T13'!$O$3:$O$1500)</f>
        <v>0.16</v>
      </c>
      <c r="AP131" s="37">
        <v>0</v>
      </c>
      <c r="AQ131" s="37">
        <f>SUMIFS($AN$3:$AN$1500,$G$3:$G$1500,G131)</f>
        <v>287000</v>
      </c>
      <c r="AR131" s="37">
        <f>SUMIFS($AP$3:$AP$1500,$G$3:$G$1500,G131)</f>
        <v>0</v>
      </c>
      <c r="AS131" s="21" t="s">
        <v>3444</v>
      </c>
      <c r="AT131" s="37">
        <f>ROUND(BH131*0.04,0)</f>
        <v>13317</v>
      </c>
      <c r="AU131" s="21" t="s">
        <v>846</v>
      </c>
      <c r="AV131" s="37" cm="1">
        <f t="array" ref="AV131">SUMPRODUCT(($G$3:$G$1500=G131)*$AN$3:$AN$1500*$AO$3:$AO$1500)+AR131</f>
        <v>45920</v>
      </c>
      <c r="AW131" s="37">
        <f>AT131</f>
        <v>13317</v>
      </c>
      <c r="AX131" s="21" t="str">
        <f>TEXT(EOMONTH(I131,0)+15,"dd-mmm-yyyy")&amp;" / "&amp;IF(BM131&gt;0,"CPR-IT-"&amp;TEXT(I131,"yymm")&amp;"-"&amp;RIGHT(G131,4),"Pending payment")</f>
        <v>15-Apr-2026 / CPR-IT-2603-0106</v>
      </c>
      <c r="AY131" s="21" t="str">
        <f>IF(BM131&gt;0,"Issued","Not yet")</f>
        <v>Issued</v>
      </c>
      <c r="AZ131" s="37">
        <v>0</v>
      </c>
      <c r="BA131" s="37">
        <v>0</v>
      </c>
      <c r="BB131" s="37">
        <v>0</v>
      </c>
      <c r="BC131" s="37">
        <v>0</v>
      </c>
      <c r="BD131" s="37">
        <v>0</v>
      </c>
      <c r="BE131" s="37">
        <f>AQ131</f>
        <v>287000</v>
      </c>
      <c r="BF131" s="37">
        <f>AV131</f>
        <v>45920</v>
      </c>
      <c r="BG131" s="37">
        <f>AZ131</f>
        <v>0</v>
      </c>
      <c r="BH131" s="37">
        <f>BE131+BF131+BG131</f>
        <v>332920</v>
      </c>
      <c r="BI131" s="37">
        <f>AW131</f>
        <v>13317</v>
      </c>
      <c r="BJ131" s="37">
        <f>BA131+BB131+BC131+BD131</f>
        <v>0</v>
      </c>
      <c r="BK131" s="37">
        <f>BH131-BI131-BJ131</f>
        <v>319603</v>
      </c>
      <c r="BL131" s="21" t="str">
        <f>"PKR "&amp;TEXT(BK131,"#,##0")&amp;" only"</f>
        <v>PKR 319,603 only</v>
      </c>
      <c r="BM131" s="37">
        <f>SUMIFS('T10'!$AK$3:$AK$1500,'T10'!$V$3:$V$1500,G131)</f>
        <v>319603</v>
      </c>
      <c r="BN131" s="37">
        <f>BK131-BM131</f>
        <v>0</v>
      </c>
      <c r="BO131" s="21" t="str">
        <f>IF(BF131&gt;0,TEXT(I131,"mmm-yyyy")&amp;" sales tax return","N/A")</f>
        <v>Mar-2026 sales tax return</v>
      </c>
      <c r="BP131" s="21" t="s">
        <v>1051</v>
      </c>
      <c r="BQ131" s="29">
        <f>J131+30</f>
        <v>46112</v>
      </c>
      <c r="BR131" s="29">
        <f>BQ131</f>
        <v>46112</v>
      </c>
      <c r="BS131" s="21" t="s">
        <v>3095</v>
      </c>
      <c r="BT131" s="21" t="s">
        <v>3360</v>
      </c>
      <c r="BU131" s="21" t="s">
        <v>844</v>
      </c>
      <c r="BV131" s="21" t="s">
        <v>846</v>
      </c>
      <c r="BW131" s="21" t="str" cm="1">
        <f t="array" ref="BW131">_xlfn.TEXTJOIN(", ",TRUE,_xlfn.UNIQUE(_xlfn._xlws.FILTER('T10'!$A$3:$A$1500,'T10'!$V$3:$V$1500=G131,"None")))</f>
        <v>PV-0042</v>
      </c>
      <c r="BX131" s="21" t="s">
        <v>4092</v>
      </c>
      <c r="BY131" s="21" t="s">
        <v>4093</v>
      </c>
    </row>
    <row r="132" spans="1:77" x14ac:dyDescent="0.3">
      <c r="A132" s="21" t="s">
        <v>3489</v>
      </c>
      <c r="B132" s="21" t="s">
        <v>2654</v>
      </c>
      <c r="C132" s="21" t="s">
        <v>4094</v>
      </c>
      <c r="D132" s="35">
        <v>46084.5</v>
      </c>
      <c r="E132" s="21" t="s">
        <v>3347</v>
      </c>
      <c r="F132" s="21" t="str">
        <f ca="1">IF(S132="Paid","Completed","Pending payment")</f>
        <v>Completed</v>
      </c>
      <c r="G132" s="21" t="s">
        <v>4095</v>
      </c>
      <c r="H132" s="21" t="s">
        <v>3428</v>
      </c>
      <c r="I132" s="29">
        <v>46084</v>
      </c>
      <c r="J132" s="29">
        <v>46082</v>
      </c>
      <c r="K132" s="21" t="str">
        <f>TEXT(I132,"mmm-yyyy")</f>
        <v>Mar-2026</v>
      </c>
      <c r="L132" s="21" t="s">
        <v>1797</v>
      </c>
      <c r="M132" s="21">
        <v>1</v>
      </c>
      <c r="N132" s="21" t="s">
        <v>743</v>
      </c>
      <c r="O132" s="21" t="s">
        <v>3350</v>
      </c>
      <c r="P132" s="21" t="s">
        <v>3429</v>
      </c>
      <c r="Q132" s="21" t="s">
        <v>844</v>
      </c>
      <c r="R132" s="21" t="s">
        <v>4091</v>
      </c>
      <c r="S132" s="21" t="str">
        <f ca="1">IF(BN132&lt;1,"Paid",IF(BM132&gt;0,"Partially paid",IF(ISNUMBER(SEARCH("hold",BU132)),"On hold",IF(BQ132&lt;TODAY(),"Overdue","Approved - unpaid"))))</f>
        <v>Paid</v>
      </c>
      <c r="T132" s="21" t="s">
        <v>3431</v>
      </c>
      <c r="U132" s="21" t="s">
        <v>1213</v>
      </c>
      <c r="V132" s="21" t="s">
        <v>1194</v>
      </c>
      <c r="W132" s="21" t="s">
        <v>746</v>
      </c>
      <c r="X132" s="21" t="s">
        <v>846</v>
      </c>
      <c r="Y132" s="21" t="s">
        <v>3493</v>
      </c>
      <c r="Z132" s="21" t="s">
        <v>3494</v>
      </c>
      <c r="AA132" s="21" t="s">
        <v>1051</v>
      </c>
      <c r="AB132" s="37">
        <v>0</v>
      </c>
      <c r="AC132" s="21" t="s">
        <v>844</v>
      </c>
      <c r="AD132" s="21" t="s">
        <v>844</v>
      </c>
      <c r="AE132" s="21" t="s">
        <v>3495</v>
      </c>
      <c r="AF132" s="21">
        <v>1</v>
      </c>
      <c r="AG132" s="21" t="s">
        <v>837</v>
      </c>
      <c r="AH132" s="21" t="s">
        <v>840</v>
      </c>
      <c r="AI132" s="21" t="s">
        <v>842</v>
      </c>
      <c r="AJ132" s="37">
        <f>COUNTIFS('T14'!$AQ$3:$AQ$1500,B132,'T14'!$Z$3:$Z$1500,1,'T14'!$F$3:$F$1500,"Bag")</f>
        <v>6</v>
      </c>
      <c r="AK132" s="37">
        <f>AJ132</f>
        <v>6</v>
      </c>
      <c r="AL132" s="37">
        <v>41000</v>
      </c>
      <c r="AM132" s="37">
        <f>AK132*AL132</f>
        <v>246000</v>
      </c>
      <c r="AN132" s="37">
        <f>AM132</f>
        <v>246000</v>
      </c>
      <c r="AO132" s="23">
        <f>_xlfn.XLOOKUP(AG132,'T13'!$A$3:$A$1500,'T13'!$O$3:$O$1500)</f>
        <v>0.16</v>
      </c>
      <c r="AP132" s="37">
        <v>0</v>
      </c>
      <c r="AQ132" s="37">
        <f>SUMIFS($AN$3:$AN$1500,$G$3:$G$1500,G132)</f>
        <v>246000</v>
      </c>
      <c r="AR132" s="37">
        <f>SUMIFS($AP$3:$AP$1500,$G$3:$G$1500,G132)</f>
        <v>0</v>
      </c>
      <c r="AS132" s="21" t="s">
        <v>3444</v>
      </c>
      <c r="AT132" s="37">
        <f>ROUND(BH132*0.04,0)</f>
        <v>11414</v>
      </c>
      <c r="AU132" s="21" t="s">
        <v>846</v>
      </c>
      <c r="AV132" s="37" cm="1">
        <f t="array" ref="AV132">SUMPRODUCT(($G$3:$G$1500=G132)*$AN$3:$AN$1500*$AO$3:$AO$1500)+AR132</f>
        <v>39360</v>
      </c>
      <c r="AW132" s="37">
        <f>AT132</f>
        <v>11414</v>
      </c>
      <c r="AX132" s="21" t="str">
        <f>TEXT(EOMONTH(I132,0)+15,"dd-mmm-yyyy")&amp;" / "&amp;IF(BM132&gt;0,"CPR-IT-"&amp;TEXT(I132,"yymm")&amp;"-"&amp;RIGHT(G132,4),"Pending payment")</f>
        <v>15-Apr-2026 / CPR-IT-2603-0107</v>
      </c>
      <c r="AY132" s="21" t="str">
        <f>IF(BM132&gt;0,"Issued","Not yet")</f>
        <v>Issued</v>
      </c>
      <c r="AZ132" s="37">
        <v>0</v>
      </c>
      <c r="BA132" s="37">
        <v>0</v>
      </c>
      <c r="BB132" s="37">
        <v>0</v>
      </c>
      <c r="BC132" s="37">
        <v>0</v>
      </c>
      <c r="BD132" s="37">
        <v>0</v>
      </c>
      <c r="BE132" s="37">
        <f>AQ132</f>
        <v>246000</v>
      </c>
      <c r="BF132" s="37">
        <f>AV132</f>
        <v>39360</v>
      </c>
      <c r="BG132" s="37">
        <f>AZ132</f>
        <v>0</v>
      </c>
      <c r="BH132" s="37">
        <f>BE132+BF132+BG132</f>
        <v>285360</v>
      </c>
      <c r="BI132" s="37">
        <f>AW132</f>
        <v>11414</v>
      </c>
      <c r="BJ132" s="37">
        <f>BA132+BB132+BC132+BD132</f>
        <v>0</v>
      </c>
      <c r="BK132" s="37">
        <f>BH132-BI132-BJ132</f>
        <v>273946</v>
      </c>
      <c r="BL132" s="21" t="str">
        <f>"PKR "&amp;TEXT(BK132,"#,##0")&amp;" only"</f>
        <v>PKR 273,946 only</v>
      </c>
      <c r="BM132" s="37">
        <f>SUMIFS('T10'!$AK$3:$AK$1500,'T10'!$V$3:$V$1500,G132)</f>
        <v>273946</v>
      </c>
      <c r="BN132" s="37">
        <f>BK132-BM132</f>
        <v>0</v>
      </c>
      <c r="BO132" s="21" t="str">
        <f>IF(BF132&gt;0,TEXT(I132,"mmm-yyyy")&amp;" sales tax return","N/A")</f>
        <v>Mar-2026 sales tax return</v>
      </c>
      <c r="BP132" s="21" t="s">
        <v>1051</v>
      </c>
      <c r="BQ132" s="29">
        <f>J132+30</f>
        <v>46112</v>
      </c>
      <c r="BR132" s="29">
        <f>BQ132</f>
        <v>46112</v>
      </c>
      <c r="BS132" s="21" t="s">
        <v>3095</v>
      </c>
      <c r="BT132" s="21" t="s">
        <v>3360</v>
      </c>
      <c r="BU132" s="21" t="s">
        <v>844</v>
      </c>
      <c r="BV132" s="21" t="s">
        <v>846</v>
      </c>
      <c r="BW132" s="21" t="str" cm="1">
        <f t="array" ref="BW132">_xlfn.TEXTJOIN(", ",TRUE,_xlfn.UNIQUE(_xlfn._xlws.FILTER('T10'!$A$3:$A$1500,'T10'!$V$3:$V$1500=G132,"None")))</f>
        <v>PV-0041</v>
      </c>
      <c r="BX132" s="21" t="s">
        <v>4092</v>
      </c>
      <c r="BY132" s="21" t="s">
        <v>4093</v>
      </c>
    </row>
    <row r="133" spans="1:77" x14ac:dyDescent="0.3">
      <c r="A133" s="21" t="s">
        <v>3527</v>
      </c>
      <c r="B133" s="21" t="s">
        <v>4096</v>
      </c>
      <c r="C133" s="21" t="s">
        <v>4097</v>
      </c>
      <c r="D133" s="35">
        <v>46100.625</v>
      </c>
      <c r="E133" s="21" t="s">
        <v>3347</v>
      </c>
      <c r="F133" s="21" t="str">
        <f ca="1">IF(S133="Paid","Completed","Pending payment")</f>
        <v>Completed</v>
      </c>
      <c r="G133" s="21" t="s">
        <v>4098</v>
      </c>
      <c r="H133" s="21" t="s">
        <v>3531</v>
      </c>
      <c r="I133" s="29">
        <v>46100</v>
      </c>
      <c r="J133" s="29">
        <v>46098</v>
      </c>
      <c r="K133" s="21" t="str">
        <f>TEXT(I133,"mmm-yyyy")</f>
        <v>Mar-2026</v>
      </c>
      <c r="L133" s="21" t="s">
        <v>1797</v>
      </c>
      <c r="M133" s="21">
        <v>1</v>
      </c>
      <c r="N133" s="21" t="s">
        <v>743</v>
      </c>
      <c r="O133" s="21" t="s">
        <v>3368</v>
      </c>
      <c r="P133" s="21" t="s">
        <v>3369</v>
      </c>
      <c r="Q133" s="21" t="s">
        <v>844</v>
      </c>
      <c r="R133" s="21" t="s">
        <v>4099</v>
      </c>
      <c r="S133" s="21" t="str">
        <f ca="1">IF(BN133&lt;1,"Paid",IF(BM133&gt;0,"Partially paid",IF(ISNUMBER(SEARCH("hold",BU133)),"On hold",IF(BQ133&lt;TODAY(),"Overdue","Approved - unpaid"))))</f>
        <v>Paid</v>
      </c>
      <c r="T133" s="21" t="s">
        <v>3533</v>
      </c>
      <c r="U133" s="21" t="s">
        <v>3534</v>
      </c>
      <c r="V133" s="21" t="s">
        <v>3535</v>
      </c>
      <c r="W133" s="21" t="s">
        <v>746</v>
      </c>
      <c r="X133" s="21" t="s">
        <v>846</v>
      </c>
      <c r="Y133" s="21" t="s">
        <v>3536</v>
      </c>
      <c r="Z133" s="21" t="s">
        <v>3537</v>
      </c>
      <c r="AA133" s="21" t="s">
        <v>1051</v>
      </c>
      <c r="AB133" s="37">
        <v>0</v>
      </c>
      <c r="AC133" s="21" t="s">
        <v>4100</v>
      </c>
      <c r="AD133" s="21" t="s">
        <v>4101</v>
      </c>
      <c r="AE133" s="21" t="s">
        <v>844</v>
      </c>
      <c r="AF133" s="21">
        <v>1</v>
      </c>
      <c r="AG133" s="21" t="s">
        <v>879</v>
      </c>
      <c r="AH133" s="21" t="s">
        <v>881</v>
      </c>
      <c r="AI133" s="21" t="s">
        <v>882</v>
      </c>
      <c r="AJ133" s="37">
        <v>66</v>
      </c>
      <c r="AK133" s="37">
        <v>66</v>
      </c>
      <c r="AL133" s="37">
        <v>2990</v>
      </c>
      <c r="AM133" s="37">
        <f>AK133*AL133</f>
        <v>197340</v>
      </c>
      <c r="AN133" s="37">
        <f>AM133</f>
        <v>197340</v>
      </c>
      <c r="AO133" s="23">
        <f>_xlfn.XLOOKUP(AG133,'T13'!$A$3:$A$1500,'T13'!$O$3:$O$1500)</f>
        <v>0.18</v>
      </c>
      <c r="AP133" s="37">
        <v>0</v>
      </c>
      <c r="AQ133" s="37">
        <f>SUMIFS($AN$3:$AN$1500,$G$3:$G$1500,G133)</f>
        <v>210840</v>
      </c>
      <c r="AR133" s="37">
        <f>SUMIFS($AP$3:$AP$1500,$G$3:$G$1500,G133)</f>
        <v>0</v>
      </c>
      <c r="AS133" s="21" t="s">
        <v>3410</v>
      </c>
      <c r="AT133" s="37">
        <f>ROUND(BH133*0.05,0)</f>
        <v>12440</v>
      </c>
      <c r="AU133" s="21" t="s">
        <v>846</v>
      </c>
      <c r="AV133" s="37" cm="1">
        <f t="array" ref="AV133">SUMPRODUCT(($G$3:$G$1500=G133)*$AN$3:$AN$1500*$AO$3:$AO$1500)+AR133</f>
        <v>37951.199999999997</v>
      </c>
      <c r="AW133" s="37">
        <f>AT133</f>
        <v>12440</v>
      </c>
      <c r="AX133" s="21" t="str">
        <f>TEXT(EOMONTH(I133,0)+15,"dd-mmm-yyyy")&amp;" / "&amp;IF(BM133&gt;0,"CPR-IT-"&amp;TEXT(I133,"yymm")&amp;"-"&amp;RIGHT(G133,4),"Pending payment")</f>
        <v>15-Apr-2026 / CPR-IT-2603-0108</v>
      </c>
      <c r="AY133" s="21" t="str">
        <f>IF(BM133&gt;0,"Issued","Not yet")</f>
        <v>Issued</v>
      </c>
      <c r="AZ133" s="37">
        <v>0</v>
      </c>
      <c r="BA133" s="37">
        <v>0</v>
      </c>
      <c r="BB133" s="37">
        <v>0</v>
      </c>
      <c r="BC133" s="37">
        <v>0</v>
      </c>
      <c r="BD133" s="37">
        <v>0</v>
      </c>
      <c r="BE133" s="37">
        <f>AQ133</f>
        <v>210840</v>
      </c>
      <c r="BF133" s="37">
        <f>AV133</f>
        <v>37951.199999999997</v>
      </c>
      <c r="BG133" s="37">
        <f>AZ133</f>
        <v>0</v>
      </c>
      <c r="BH133" s="37">
        <f>BE133+BF133+BG133</f>
        <v>248791.2</v>
      </c>
      <c r="BI133" s="37">
        <f>AW133</f>
        <v>12440</v>
      </c>
      <c r="BJ133" s="37">
        <f>BA133+BB133+BC133+BD133</f>
        <v>0</v>
      </c>
      <c r="BK133" s="37">
        <f>BH133-BI133-BJ133</f>
        <v>236351.2</v>
      </c>
      <c r="BL133" s="21" t="str">
        <f>"PKR "&amp;TEXT(BK133,"#,##0")&amp;" only"</f>
        <v>PKR 236,351 only</v>
      </c>
      <c r="BM133" s="37">
        <f>SUMIFS('T10'!$AK$3:$AK$1500,'T10'!$V$3:$V$1500,G133)</f>
        <v>236351.2</v>
      </c>
      <c r="BN133" s="37">
        <f>BK133-BM133</f>
        <v>0</v>
      </c>
      <c r="BO133" s="21" t="str">
        <f>IF(BF133&gt;0,TEXT(I133,"mmm-yyyy")&amp;" sales tax return","N/A")</f>
        <v>Mar-2026 sales tax return</v>
      </c>
      <c r="BP133" s="21" t="s">
        <v>1051</v>
      </c>
      <c r="BQ133" s="29">
        <f>J133+30</f>
        <v>46128</v>
      </c>
      <c r="BR133" s="29">
        <f>BQ133</f>
        <v>46128</v>
      </c>
      <c r="BS133" s="21" t="s">
        <v>3095</v>
      </c>
      <c r="BT133" s="21" t="s">
        <v>3360</v>
      </c>
      <c r="BU133" s="21" t="s">
        <v>844</v>
      </c>
      <c r="BV133" s="21" t="s">
        <v>846</v>
      </c>
      <c r="BW133" s="21" t="str" cm="1">
        <f t="array" ref="BW133">_xlfn.TEXTJOIN(", ",TRUE,_xlfn.UNIQUE(_xlfn._xlws.FILTER('T10'!$A$3:$A$1500,'T10'!$V$3:$V$1500=G133,"None")))</f>
        <v>PV-0044</v>
      </c>
      <c r="BX133" s="21" t="s">
        <v>4102</v>
      </c>
      <c r="BY133" s="21" t="s">
        <v>4103</v>
      </c>
    </row>
    <row r="134" spans="1:77" x14ac:dyDescent="0.3">
      <c r="A134" s="21" t="s">
        <v>3527</v>
      </c>
      <c r="B134" s="21" t="s">
        <v>4096</v>
      </c>
      <c r="C134" s="21" t="s">
        <v>4097</v>
      </c>
      <c r="D134" s="35">
        <v>46100.625</v>
      </c>
      <c r="E134" s="21" t="s">
        <v>3347</v>
      </c>
      <c r="F134" s="21" t="str">
        <f ca="1">IF(S134="Paid","Completed","Pending payment")</f>
        <v>Completed</v>
      </c>
      <c r="G134" s="21" t="s">
        <v>4098</v>
      </c>
      <c r="H134" s="21" t="s">
        <v>3531</v>
      </c>
      <c r="I134" s="29">
        <v>46100</v>
      </c>
      <c r="J134" s="29">
        <v>46098</v>
      </c>
      <c r="K134" s="21" t="str">
        <f>TEXT(I134,"mmm-yyyy")</f>
        <v>Mar-2026</v>
      </c>
      <c r="L134" s="21" t="s">
        <v>1797</v>
      </c>
      <c r="M134" s="21">
        <v>1</v>
      </c>
      <c r="N134" s="21" t="s">
        <v>743</v>
      </c>
      <c r="O134" s="21" t="s">
        <v>3368</v>
      </c>
      <c r="P134" s="21" t="s">
        <v>3369</v>
      </c>
      <c r="Q134" s="21" t="s">
        <v>844</v>
      </c>
      <c r="R134" s="21" t="s">
        <v>4099</v>
      </c>
      <c r="S134" s="21" t="str">
        <f ca="1">IF(BN134&lt;1,"Paid",IF(BM134&gt;0,"Partially paid",IF(ISNUMBER(SEARCH("hold",BU134)),"On hold",IF(BQ134&lt;TODAY(),"Overdue","Approved - unpaid"))))</f>
        <v>Paid</v>
      </c>
      <c r="T134" s="21" t="s">
        <v>3533</v>
      </c>
      <c r="U134" s="21" t="s">
        <v>3534</v>
      </c>
      <c r="V134" s="21" t="s">
        <v>3535</v>
      </c>
      <c r="W134" s="21" t="s">
        <v>746</v>
      </c>
      <c r="X134" s="21" t="s">
        <v>846</v>
      </c>
      <c r="Y134" s="21" t="s">
        <v>3536</v>
      </c>
      <c r="Z134" s="21" t="s">
        <v>3537</v>
      </c>
      <c r="AA134" s="21" t="s">
        <v>1051</v>
      </c>
      <c r="AB134" s="37">
        <v>0</v>
      </c>
      <c r="AC134" s="21" t="s">
        <v>4100</v>
      </c>
      <c r="AD134" s="21" t="s">
        <v>4104</v>
      </c>
      <c r="AE134" s="21" t="s">
        <v>844</v>
      </c>
      <c r="AF134" s="21">
        <v>2</v>
      </c>
      <c r="AG134" s="21" t="s">
        <v>888</v>
      </c>
      <c r="AH134" s="21" t="s">
        <v>890</v>
      </c>
      <c r="AI134" s="21" t="s">
        <v>882</v>
      </c>
      <c r="AJ134" s="37">
        <v>3</v>
      </c>
      <c r="AK134" s="37">
        <v>3</v>
      </c>
      <c r="AL134" s="37">
        <v>4500</v>
      </c>
      <c r="AM134" s="37">
        <f>AK134*AL134</f>
        <v>13500</v>
      </c>
      <c r="AN134" s="37">
        <f>AM134</f>
        <v>13500</v>
      </c>
      <c r="AO134" s="23">
        <f>_xlfn.XLOOKUP(AG134,'T13'!$A$3:$A$1500,'T13'!$O$3:$O$1500)</f>
        <v>0.18</v>
      </c>
      <c r="AP134" s="37">
        <v>0</v>
      </c>
      <c r="AQ134" s="37">
        <f>SUMIFS($AN$3:$AN$1500,$G$3:$G$1500,G134)</f>
        <v>210840</v>
      </c>
      <c r="AR134" s="37">
        <f>SUMIFS($AP$3:$AP$1500,$G$3:$G$1500,G134)</f>
        <v>0</v>
      </c>
      <c r="AS134" s="21" t="s">
        <v>3410</v>
      </c>
      <c r="AT134" s="37">
        <f>ROUND(BH134*0.05,0)</f>
        <v>12440</v>
      </c>
      <c r="AU134" s="21" t="s">
        <v>846</v>
      </c>
      <c r="AV134" s="37" cm="1">
        <f t="array" ref="AV134">SUMPRODUCT(($G$3:$G$1500=G134)*$AN$3:$AN$1500*$AO$3:$AO$1500)+AR134</f>
        <v>37951.199999999997</v>
      </c>
      <c r="AW134" s="37">
        <f>AT134</f>
        <v>12440</v>
      </c>
      <c r="AX134" s="21" t="str">
        <f>TEXT(EOMONTH(I134,0)+15,"dd-mmm-yyyy")&amp;" / "&amp;IF(BM134&gt;0,"CPR-IT-"&amp;TEXT(I134,"yymm")&amp;"-"&amp;RIGHT(G134,4),"Pending payment")</f>
        <v>15-Apr-2026 / CPR-IT-2603-0108</v>
      </c>
      <c r="AY134" s="21" t="str">
        <f>IF(BM134&gt;0,"Issued","Not yet")</f>
        <v>Issued</v>
      </c>
      <c r="AZ134" s="37">
        <v>0</v>
      </c>
      <c r="BA134" s="37">
        <v>0</v>
      </c>
      <c r="BB134" s="37">
        <v>0</v>
      </c>
      <c r="BC134" s="37">
        <v>0</v>
      </c>
      <c r="BD134" s="37">
        <v>0</v>
      </c>
      <c r="BE134" s="37">
        <f>AQ134</f>
        <v>210840</v>
      </c>
      <c r="BF134" s="37">
        <f>AV134</f>
        <v>37951.199999999997</v>
      </c>
      <c r="BG134" s="37">
        <f>AZ134</f>
        <v>0</v>
      </c>
      <c r="BH134" s="37">
        <f>BE134+BF134+BG134</f>
        <v>248791.2</v>
      </c>
      <c r="BI134" s="37">
        <f>AW134</f>
        <v>12440</v>
      </c>
      <c r="BJ134" s="37">
        <f>BA134+BB134+BC134+BD134</f>
        <v>0</v>
      </c>
      <c r="BK134" s="37">
        <f>BH134-BI134-BJ134</f>
        <v>236351.2</v>
      </c>
      <c r="BL134" s="21" t="str">
        <f>"PKR "&amp;TEXT(BK134,"#,##0")&amp;" only"</f>
        <v>PKR 236,351 only</v>
      </c>
      <c r="BM134" s="37">
        <f>SUMIFS('T10'!$AK$3:$AK$1500,'T10'!$V$3:$V$1500,G134)</f>
        <v>236351.2</v>
      </c>
      <c r="BN134" s="37">
        <f>BK134-BM134</f>
        <v>0</v>
      </c>
      <c r="BO134" s="21" t="str">
        <f>IF(BF134&gt;0,TEXT(I134,"mmm-yyyy")&amp;" sales tax return","N/A")</f>
        <v>Mar-2026 sales tax return</v>
      </c>
      <c r="BP134" s="21" t="s">
        <v>1051</v>
      </c>
      <c r="BQ134" s="29">
        <f>J134+30</f>
        <v>46128</v>
      </c>
      <c r="BR134" s="29">
        <f>BQ134</f>
        <v>46128</v>
      </c>
      <c r="BS134" s="21" t="s">
        <v>3095</v>
      </c>
      <c r="BT134" s="21" t="s">
        <v>3360</v>
      </c>
      <c r="BU134" s="21" t="s">
        <v>844</v>
      </c>
      <c r="BV134" s="21" t="s">
        <v>846</v>
      </c>
      <c r="BW134" s="21" t="str" cm="1">
        <f t="array" ref="BW134">_xlfn.TEXTJOIN(", ",TRUE,_xlfn.UNIQUE(_xlfn._xlws.FILTER('T10'!$A$3:$A$1500,'T10'!$V$3:$V$1500=G134,"None")))</f>
        <v>PV-0044</v>
      </c>
      <c r="BX134" s="21" t="s">
        <v>4102</v>
      </c>
      <c r="BY134" s="21" t="s">
        <v>4103</v>
      </c>
    </row>
    <row r="135" spans="1:77" x14ac:dyDescent="0.3">
      <c r="A135" s="21" t="s">
        <v>3562</v>
      </c>
      <c r="B135" s="21" t="s">
        <v>4105</v>
      </c>
      <c r="C135" s="21" t="s">
        <v>4106</v>
      </c>
      <c r="D135" s="35">
        <v>46104.583333333336</v>
      </c>
      <c r="E135" s="21" t="s">
        <v>3347</v>
      </c>
      <c r="F135" s="21" t="str">
        <f ca="1">IF(S135="Paid","Completed","Pending payment")</f>
        <v>Completed</v>
      </c>
      <c r="G135" s="21" t="s">
        <v>4107</v>
      </c>
      <c r="H135" s="21" t="s">
        <v>3385</v>
      </c>
      <c r="I135" s="29">
        <v>46104</v>
      </c>
      <c r="J135" s="29">
        <v>46102</v>
      </c>
      <c r="K135" s="21" t="str">
        <f>TEXT(I135,"mmm-yyyy")</f>
        <v>Mar-2026</v>
      </c>
      <c r="L135" s="21" t="s">
        <v>1797</v>
      </c>
      <c r="M135" s="21">
        <v>1</v>
      </c>
      <c r="N135" s="21" t="s">
        <v>743</v>
      </c>
      <c r="O135" s="21" t="s">
        <v>3350</v>
      </c>
      <c r="P135" s="21" t="s">
        <v>3429</v>
      </c>
      <c r="Q135" s="21" t="s">
        <v>844</v>
      </c>
      <c r="R135" s="21" t="s">
        <v>4108</v>
      </c>
      <c r="S135" s="21" t="str">
        <f ca="1">IF(BN135&lt;1,"Paid",IF(BM135&gt;0,"Partially paid",IF(ISNUMBER(SEARCH("hold",BU135)),"On hold",IF(BQ135&lt;TODAY(),"Overdue","Approved - unpaid"))))</f>
        <v>Paid</v>
      </c>
      <c r="T135" s="21" t="s">
        <v>3387</v>
      </c>
      <c r="U135" s="21" t="s">
        <v>3567</v>
      </c>
      <c r="V135" s="21" t="s">
        <v>3568</v>
      </c>
      <c r="W135" s="21" t="s">
        <v>746</v>
      </c>
      <c r="X135" s="21" t="s">
        <v>846</v>
      </c>
      <c r="Y135" s="21" t="s">
        <v>3569</v>
      </c>
      <c r="Z135" s="21" t="s">
        <v>3570</v>
      </c>
      <c r="AA135" s="21" t="s">
        <v>1051</v>
      </c>
      <c r="AB135" s="37">
        <v>0</v>
      </c>
      <c r="AC135" s="21" t="s">
        <v>844</v>
      </c>
      <c r="AD135" s="21" t="s">
        <v>844</v>
      </c>
      <c r="AE135" s="21" t="s">
        <v>844</v>
      </c>
      <c r="AF135" s="21">
        <v>1</v>
      </c>
      <c r="AG135" s="21" t="s">
        <v>943</v>
      </c>
      <c r="AH135" s="21" t="s">
        <v>945</v>
      </c>
      <c r="AI135" s="21" t="s">
        <v>946</v>
      </c>
      <c r="AJ135" s="37">
        <v>1</v>
      </c>
      <c r="AK135" s="37">
        <v>1</v>
      </c>
      <c r="AL135" s="37">
        <v>37380</v>
      </c>
      <c r="AM135" s="37">
        <f>AK135*AL135</f>
        <v>37380</v>
      </c>
      <c r="AN135" s="37">
        <f>AM135</f>
        <v>37380</v>
      </c>
      <c r="AO135" s="23">
        <f>_xlfn.XLOOKUP(AG135,'T13'!$A$3:$A$1500,'T13'!$O$3:$O$1500)</f>
        <v>0.16</v>
      </c>
      <c r="AP135" s="37">
        <v>0</v>
      </c>
      <c r="AQ135" s="37">
        <f>SUMIFS($AN$3:$AN$1500,$G$3:$G$1500,G135)</f>
        <v>37380</v>
      </c>
      <c r="AR135" s="37">
        <f>SUMIFS($AP$3:$AP$1500,$G$3:$G$1500,G135)</f>
        <v>0</v>
      </c>
      <c r="AS135" s="21" t="s">
        <v>3392</v>
      </c>
      <c r="AT135" s="37">
        <f>ROUND(BH135*0.11,0)</f>
        <v>4770</v>
      </c>
      <c r="AU135" s="21" t="s">
        <v>846</v>
      </c>
      <c r="AV135" s="37" cm="1">
        <f t="array" ref="AV135">SUMPRODUCT(($G$3:$G$1500=G135)*$AN$3:$AN$1500*$AO$3:$AO$1500)+AR135</f>
        <v>5980.8</v>
      </c>
      <c r="AW135" s="37">
        <f>AT135</f>
        <v>4770</v>
      </c>
      <c r="AX135" s="21" t="str">
        <f>TEXT(EOMONTH(I135,0)+15,"dd-mmm-yyyy")&amp;" / "&amp;IF(BM135&gt;0,"CPR-IT-"&amp;TEXT(I135,"yymm")&amp;"-"&amp;RIGHT(G135,4),"Pending payment")</f>
        <v>15-Apr-2026 / CPR-IT-2603-0109</v>
      </c>
      <c r="AY135" s="21" t="str">
        <f>IF(BM135&gt;0,"Issued","Not yet")</f>
        <v>Issued</v>
      </c>
      <c r="AZ135" s="37">
        <v>0</v>
      </c>
      <c r="BA135" s="37">
        <v>0</v>
      </c>
      <c r="BB135" s="37">
        <v>0</v>
      </c>
      <c r="BC135" s="37">
        <v>0</v>
      </c>
      <c r="BD135" s="37">
        <v>0</v>
      </c>
      <c r="BE135" s="37">
        <f>AQ135</f>
        <v>37380</v>
      </c>
      <c r="BF135" s="37">
        <f>AV135</f>
        <v>5980.8</v>
      </c>
      <c r="BG135" s="37">
        <f>AZ135</f>
        <v>0</v>
      </c>
      <c r="BH135" s="37">
        <f>BE135+BF135+BG135</f>
        <v>43360.800000000003</v>
      </c>
      <c r="BI135" s="37">
        <f>AW135</f>
        <v>4770</v>
      </c>
      <c r="BJ135" s="37">
        <f>BA135+BB135+BC135+BD135</f>
        <v>0</v>
      </c>
      <c r="BK135" s="37">
        <f>BH135-BI135-BJ135</f>
        <v>38590.800000000003</v>
      </c>
      <c r="BL135" s="21" t="str">
        <f>"PKR "&amp;TEXT(BK135,"#,##0")&amp;" only"</f>
        <v>PKR 38,591 only</v>
      </c>
      <c r="BM135" s="37">
        <f>SUMIFS('T10'!$AK$3:$AK$1500,'T10'!$V$3:$V$1500,G135)</f>
        <v>38590.800000000003</v>
      </c>
      <c r="BN135" s="37">
        <f>BK135-BM135</f>
        <v>0</v>
      </c>
      <c r="BO135" s="21" t="str">
        <f>IF(BF135&gt;0,TEXT(I135,"mmm-yyyy")&amp;" sales tax return","N/A")</f>
        <v>Mar-2026 sales tax return</v>
      </c>
      <c r="BP135" s="21" t="s">
        <v>1051</v>
      </c>
      <c r="BQ135" s="29">
        <f>J135+30</f>
        <v>46132</v>
      </c>
      <c r="BR135" s="29">
        <f>BQ135</f>
        <v>46132</v>
      </c>
      <c r="BS135" s="21" t="s">
        <v>3095</v>
      </c>
      <c r="BT135" s="21" t="s">
        <v>3360</v>
      </c>
      <c r="BU135" s="21" t="s">
        <v>844</v>
      </c>
      <c r="BV135" s="21" t="s">
        <v>846</v>
      </c>
      <c r="BW135" s="21" t="str" cm="1">
        <f t="array" ref="BW135">_xlfn.TEXTJOIN(", ",TRUE,_xlfn.UNIQUE(_xlfn._xlws.FILTER('T10'!$A$3:$A$1500,'T10'!$V$3:$V$1500=G135,"None")))</f>
        <v>PV-0071</v>
      </c>
      <c r="BX135" s="21" t="s">
        <v>4109</v>
      </c>
      <c r="BY135" s="21" t="s">
        <v>4110</v>
      </c>
    </row>
    <row r="136" spans="1:77" x14ac:dyDescent="0.3">
      <c r="A136" s="21" t="s">
        <v>3395</v>
      </c>
      <c r="B136" s="21" t="s">
        <v>4111</v>
      </c>
      <c r="C136" s="21" t="s">
        <v>4112</v>
      </c>
      <c r="D136" s="35">
        <v>46113.458333333336</v>
      </c>
      <c r="E136" s="21" t="s">
        <v>3347</v>
      </c>
      <c r="F136" s="21" t="str">
        <f ca="1">IF(S136="Paid","Completed","Pending payment")</f>
        <v>Completed</v>
      </c>
      <c r="G136" s="21" t="s">
        <v>4113</v>
      </c>
      <c r="H136" s="21" t="s">
        <v>3399</v>
      </c>
      <c r="I136" s="29">
        <v>46112</v>
      </c>
      <c r="J136" s="29">
        <v>46112</v>
      </c>
      <c r="K136" s="21" t="str">
        <f>TEXT(I136,"mmm-yyyy")</f>
        <v>Mar-2026</v>
      </c>
      <c r="L136" s="21" t="s">
        <v>1797</v>
      </c>
      <c r="M136" s="21">
        <v>1</v>
      </c>
      <c r="N136" s="21" t="s">
        <v>743</v>
      </c>
      <c r="O136" s="21" t="s">
        <v>3400</v>
      </c>
      <c r="P136" s="21" t="s">
        <v>3401</v>
      </c>
      <c r="Q136" s="21" t="s">
        <v>844</v>
      </c>
      <c r="R136" s="21" t="s">
        <v>4114</v>
      </c>
      <c r="S136" s="21" t="str">
        <f ca="1">IF(BN136&lt;1,"Paid",IF(BM136&gt;0,"Partially paid",IF(ISNUMBER(SEARCH("hold",BU136)),"On hold",IF(BQ136&lt;TODAY(),"Overdue","Approved - unpaid"))))</f>
        <v>Paid</v>
      </c>
      <c r="T136" s="21" t="s">
        <v>3403</v>
      </c>
      <c r="U136" s="21" t="s">
        <v>3404</v>
      </c>
      <c r="V136" s="21" t="s">
        <v>967</v>
      </c>
      <c r="W136" s="21" t="s">
        <v>746</v>
      </c>
      <c r="X136" s="21" t="s">
        <v>846</v>
      </c>
      <c r="Y136" s="21" t="s">
        <v>3405</v>
      </c>
      <c r="Z136" s="21" t="s">
        <v>3406</v>
      </c>
      <c r="AA136" s="21" t="s">
        <v>1062</v>
      </c>
      <c r="AB136" s="37">
        <v>0</v>
      </c>
      <c r="AC136" s="21" t="s">
        <v>4115</v>
      </c>
      <c r="AD136" s="21" t="s">
        <v>4116</v>
      </c>
      <c r="AE136" s="21" t="s">
        <v>3409</v>
      </c>
      <c r="AF136" s="21">
        <v>1</v>
      </c>
      <c r="AG136" s="21" t="s">
        <v>763</v>
      </c>
      <c r="AH136" s="21" t="s">
        <v>766</v>
      </c>
      <c r="AI136" s="21" t="s">
        <v>1804</v>
      </c>
      <c r="AJ136" s="37">
        <v>2150</v>
      </c>
      <c r="AK136" s="37">
        <v>2150</v>
      </c>
      <c r="AL136" s="37">
        <v>1400</v>
      </c>
      <c r="AM136" s="37">
        <f>AK136*AL136</f>
        <v>3010000</v>
      </c>
      <c r="AN136" s="37">
        <f>AM136</f>
        <v>3010000</v>
      </c>
      <c r="AO136" s="23">
        <f>_xlfn.XLOOKUP(AG136,'T13'!$A$3:$A$1500,'T13'!$O$3:$O$1500)</f>
        <v>0.18</v>
      </c>
      <c r="AP136" s="37">
        <f>AK136*IF(AI136="MT",1000,IF(AI136="Jumbo bag (1.5 MT)",1500,IF(AI136="Bag (40 kg)",40,50)))*3</f>
        <v>322500</v>
      </c>
      <c r="AQ136" s="37">
        <f>SUMIFS($AN$3:$AN$1500,$G$3:$G$1500,G136)</f>
        <v>3010000</v>
      </c>
      <c r="AR136" s="37">
        <f>SUMIFS($AP$3:$AP$1500,$G$3:$G$1500,G136)</f>
        <v>322500</v>
      </c>
      <c r="AS136" s="21" t="s">
        <v>3410</v>
      </c>
      <c r="AT136" s="37">
        <f>ROUND(BH136*0.05,0)</f>
        <v>193715</v>
      </c>
      <c r="AU136" s="21" t="s">
        <v>846</v>
      </c>
      <c r="AV136" s="37" cm="1">
        <f t="array" ref="AV136">SUMPRODUCT(($G$3:$G$1500=G136)*$AN$3:$AN$1500*$AO$3:$AO$1500)+AR136</f>
        <v>864300</v>
      </c>
      <c r="AW136" s="37">
        <f>AT136</f>
        <v>193715</v>
      </c>
      <c r="AX136" s="21" t="str">
        <f>TEXT(EOMONTH(I136,0)+15,"dd-mmm-yyyy")&amp;" / "&amp;IF(BM136&gt;0,"CPR-IT-"&amp;TEXT(I136,"yymm")&amp;"-"&amp;RIGHT(G136,4),"Pending payment")</f>
        <v>15-Apr-2026 / CPR-IT-2603-0110</v>
      </c>
      <c r="AY136" s="21" t="str">
        <f>IF(BM136&gt;0,"Issued","Not yet")</f>
        <v>Issued</v>
      </c>
      <c r="AZ136" s="37">
        <v>0</v>
      </c>
      <c r="BA136" s="37">
        <v>0</v>
      </c>
      <c r="BB136" s="37">
        <v>0</v>
      </c>
      <c r="BC136" s="37">
        <v>0</v>
      </c>
      <c r="BD136" s="37">
        <v>0</v>
      </c>
      <c r="BE136" s="37">
        <f>AQ136</f>
        <v>3010000</v>
      </c>
      <c r="BF136" s="37">
        <f>AV136</f>
        <v>864300</v>
      </c>
      <c r="BG136" s="37">
        <f>AZ136</f>
        <v>0</v>
      </c>
      <c r="BH136" s="37">
        <f>BE136+BF136+BG136</f>
        <v>3874300</v>
      </c>
      <c r="BI136" s="37">
        <f>AW136</f>
        <v>193715</v>
      </c>
      <c r="BJ136" s="37">
        <f>BA136+BB136+BC136+BD136</f>
        <v>0</v>
      </c>
      <c r="BK136" s="37">
        <f>BH136-BI136-BJ136</f>
        <v>3680585</v>
      </c>
      <c r="BL136" s="21" t="str">
        <f>"PKR "&amp;TEXT(BK136,"#,##0")&amp;" only"</f>
        <v>PKR 3,680,585 only</v>
      </c>
      <c r="BM136" s="37">
        <f>SUMIFS('T10'!$AK$3:$AK$1500,'T10'!$V$3:$V$1500,G136)</f>
        <v>3680585</v>
      </c>
      <c r="BN136" s="37">
        <f>BK136-BM136</f>
        <v>0</v>
      </c>
      <c r="BO136" s="21" t="str">
        <f>IF(BF136&gt;0,TEXT(I136,"mmm-yyyy")&amp;" sales tax return","N/A")</f>
        <v>Mar-2026 sales tax return</v>
      </c>
      <c r="BP136" s="21" t="s">
        <v>1062</v>
      </c>
      <c r="BQ136" s="29">
        <f>J136+15</f>
        <v>46127</v>
      </c>
      <c r="BR136" s="29">
        <f>BQ136</f>
        <v>46127</v>
      </c>
      <c r="BS136" s="21" t="s">
        <v>3095</v>
      </c>
      <c r="BT136" s="21" t="s">
        <v>3411</v>
      </c>
      <c r="BU136" s="21" t="s">
        <v>844</v>
      </c>
      <c r="BV136" s="21" t="s">
        <v>846</v>
      </c>
      <c r="BW136" s="21" t="str" cm="1">
        <f t="array" ref="BW136">_xlfn.TEXTJOIN(", ",TRUE,_xlfn.UNIQUE(_xlfn._xlws.FILTER('T10'!$A$3:$A$1500,'T10'!$V$3:$V$1500=G136,"None")))</f>
        <v>PV-0043</v>
      </c>
      <c r="BX136" s="21" t="s">
        <v>4117</v>
      </c>
      <c r="BY136" s="21" t="s">
        <v>4118</v>
      </c>
    </row>
    <row r="137" spans="1:77" x14ac:dyDescent="0.3">
      <c r="A137" s="21" t="s">
        <v>3438</v>
      </c>
      <c r="B137" s="21" t="s">
        <v>2689</v>
      </c>
      <c r="C137" s="21" t="s">
        <v>4119</v>
      </c>
      <c r="D137" s="35">
        <v>46115.458333333336</v>
      </c>
      <c r="E137" s="21" t="s">
        <v>3347</v>
      </c>
      <c r="F137" s="21" t="str">
        <f ca="1">IF(S137="Paid","Completed","Pending payment")</f>
        <v>Completed</v>
      </c>
      <c r="G137" s="21" t="s">
        <v>4120</v>
      </c>
      <c r="H137" s="21" t="s">
        <v>3428</v>
      </c>
      <c r="I137" s="29">
        <v>46115</v>
      </c>
      <c r="J137" s="29">
        <v>46113</v>
      </c>
      <c r="K137" s="21" t="str">
        <f>TEXT(I137,"mmm-yyyy")</f>
        <v>Apr-2026</v>
      </c>
      <c r="L137" s="21" t="s">
        <v>1797</v>
      </c>
      <c r="M137" s="21">
        <v>1</v>
      </c>
      <c r="N137" s="21" t="s">
        <v>743</v>
      </c>
      <c r="O137" s="21" t="s">
        <v>3350</v>
      </c>
      <c r="P137" s="21" t="s">
        <v>3429</v>
      </c>
      <c r="Q137" s="21" t="s">
        <v>844</v>
      </c>
      <c r="R137" s="21" t="s">
        <v>4121</v>
      </c>
      <c r="S137" s="21" t="str">
        <f ca="1">IF(BN137&lt;1,"Paid",IF(BM137&gt;0,"Partially paid",IF(ISNUMBER(SEARCH("hold",BU137)),"On hold",IF(BQ137&lt;TODAY(),"Overdue","Approved - unpaid"))))</f>
        <v>Paid</v>
      </c>
      <c r="T137" s="21" t="s">
        <v>3431</v>
      </c>
      <c r="U137" s="21" t="s">
        <v>1278</v>
      </c>
      <c r="V137" s="21" t="s">
        <v>1200</v>
      </c>
      <c r="W137" s="21" t="s">
        <v>746</v>
      </c>
      <c r="X137" s="21" t="s">
        <v>846</v>
      </c>
      <c r="Y137" s="21" t="s">
        <v>3441</v>
      </c>
      <c r="Z137" s="21" t="s">
        <v>3442</v>
      </c>
      <c r="AA137" s="21" t="s">
        <v>1051</v>
      </c>
      <c r="AB137" s="37">
        <v>0</v>
      </c>
      <c r="AC137" s="21" t="s">
        <v>844</v>
      </c>
      <c r="AD137" s="21" t="s">
        <v>844</v>
      </c>
      <c r="AE137" s="21" t="s">
        <v>3443</v>
      </c>
      <c r="AF137" s="21">
        <v>1</v>
      </c>
      <c r="AG137" s="21" t="s">
        <v>837</v>
      </c>
      <c r="AH137" s="21" t="s">
        <v>840</v>
      </c>
      <c r="AI137" s="21" t="s">
        <v>842</v>
      </c>
      <c r="AJ137" s="37">
        <f>COUNTIFS('T14'!$AQ$3:$AQ$1500,B137,'T14'!$Z$3:$Z$1500,1,'T14'!$F$3:$F$1500,"Bag")</f>
        <v>6</v>
      </c>
      <c r="AK137" s="37">
        <f>AJ137</f>
        <v>6</v>
      </c>
      <c r="AL137" s="37">
        <v>41200</v>
      </c>
      <c r="AM137" s="37">
        <f>AK137*AL137</f>
        <v>247200</v>
      </c>
      <c r="AN137" s="37">
        <f>AM137</f>
        <v>247200</v>
      </c>
      <c r="AO137" s="23">
        <f>_xlfn.XLOOKUP(AG137,'T13'!$A$3:$A$1500,'T13'!$O$3:$O$1500)</f>
        <v>0.16</v>
      </c>
      <c r="AP137" s="37">
        <v>0</v>
      </c>
      <c r="AQ137" s="37">
        <f>SUMIFS($AN$3:$AN$1500,$G$3:$G$1500,G137)</f>
        <v>247200</v>
      </c>
      <c r="AR137" s="37">
        <f>SUMIFS($AP$3:$AP$1500,$G$3:$G$1500,G137)</f>
        <v>0</v>
      </c>
      <c r="AS137" s="21" t="s">
        <v>3444</v>
      </c>
      <c r="AT137" s="37">
        <f>ROUND(BH137*0.04,0)</f>
        <v>11470</v>
      </c>
      <c r="AU137" s="21" t="s">
        <v>846</v>
      </c>
      <c r="AV137" s="37" cm="1">
        <f t="array" ref="AV137">SUMPRODUCT(($G$3:$G$1500=G137)*$AN$3:$AN$1500*$AO$3:$AO$1500)+AR137</f>
        <v>39552</v>
      </c>
      <c r="AW137" s="37">
        <f>AT137</f>
        <v>11470</v>
      </c>
      <c r="AX137" s="21" t="str">
        <f>TEXT(EOMONTH(I137,0)+15,"dd-mmm-yyyy")&amp;" / "&amp;IF(BM137&gt;0,"CPR-IT-"&amp;TEXT(I137,"yymm")&amp;"-"&amp;RIGHT(G137,4),"Pending payment")</f>
        <v>15-May-2026 / CPR-IT-2604-0111</v>
      </c>
      <c r="AY137" s="21" t="str">
        <f>IF(BM137&gt;0,"Issued","Not yet")</f>
        <v>Issued</v>
      </c>
      <c r="AZ137" s="37">
        <v>0</v>
      </c>
      <c r="BA137" s="37">
        <v>0</v>
      </c>
      <c r="BB137" s="37">
        <v>0</v>
      </c>
      <c r="BC137" s="37">
        <v>0</v>
      </c>
      <c r="BD137" s="37">
        <v>0</v>
      </c>
      <c r="BE137" s="37">
        <f>AQ137</f>
        <v>247200</v>
      </c>
      <c r="BF137" s="37">
        <f>AV137</f>
        <v>39552</v>
      </c>
      <c r="BG137" s="37">
        <f>AZ137</f>
        <v>0</v>
      </c>
      <c r="BH137" s="37">
        <f>BE137+BF137+BG137</f>
        <v>286752</v>
      </c>
      <c r="BI137" s="37">
        <f>AW137</f>
        <v>11470</v>
      </c>
      <c r="BJ137" s="37">
        <f>BA137+BB137+BC137+BD137</f>
        <v>0</v>
      </c>
      <c r="BK137" s="37">
        <f>BH137-BI137-BJ137</f>
        <v>275282</v>
      </c>
      <c r="BL137" s="21" t="str">
        <f>"PKR "&amp;TEXT(BK137,"#,##0")&amp;" only"</f>
        <v>PKR 275,282 only</v>
      </c>
      <c r="BM137" s="37">
        <f>SUMIFS('T10'!$AK$3:$AK$1500,'T10'!$V$3:$V$1500,G137)</f>
        <v>275282</v>
      </c>
      <c r="BN137" s="37">
        <f>BK137-BM137</f>
        <v>0</v>
      </c>
      <c r="BO137" s="21" t="str">
        <f>IF(BF137&gt;0,TEXT(I137,"mmm-yyyy")&amp;" sales tax return","N/A")</f>
        <v>Apr-2026 sales tax return</v>
      </c>
      <c r="BP137" s="21" t="s">
        <v>1051</v>
      </c>
      <c r="BQ137" s="29">
        <f>J137+30</f>
        <v>46143</v>
      </c>
      <c r="BR137" s="29">
        <f>BQ137</f>
        <v>46143</v>
      </c>
      <c r="BS137" s="21" t="s">
        <v>3095</v>
      </c>
      <c r="BT137" s="21" t="s">
        <v>3360</v>
      </c>
      <c r="BU137" s="21" t="s">
        <v>844</v>
      </c>
      <c r="BV137" s="21" t="s">
        <v>846</v>
      </c>
      <c r="BW137" s="21" t="str" cm="1">
        <f t="array" ref="BW137">_xlfn.TEXTJOIN(", ",TRUE,_xlfn.UNIQUE(_xlfn._xlws.FILTER('T10'!$A$3:$A$1500,'T10'!$V$3:$V$1500=G137,"None")))</f>
        <v>PV-0046</v>
      </c>
      <c r="BX137" s="21" t="s">
        <v>4122</v>
      </c>
      <c r="BY137" s="21" t="s">
        <v>4123</v>
      </c>
    </row>
    <row r="138" spans="1:77" x14ac:dyDescent="0.3">
      <c r="A138" s="21" t="s">
        <v>3445</v>
      </c>
      <c r="B138" s="21" t="s">
        <v>4124</v>
      </c>
      <c r="C138" s="21" t="s">
        <v>4125</v>
      </c>
      <c r="D138" s="35">
        <v>46127.541666666664</v>
      </c>
      <c r="E138" s="21" t="s">
        <v>3347</v>
      </c>
      <c r="F138" s="21" t="str">
        <f ca="1">IF(S138="Paid","Completed","Pending payment")</f>
        <v>Completed</v>
      </c>
      <c r="G138" s="21" t="s">
        <v>4126</v>
      </c>
      <c r="H138" s="21" t="s">
        <v>3349</v>
      </c>
      <c r="I138" s="29">
        <v>46127</v>
      </c>
      <c r="J138" s="29">
        <v>46125</v>
      </c>
      <c r="K138" s="21" t="str">
        <f>TEXT(I138,"mmm-yyyy")</f>
        <v>Apr-2026</v>
      </c>
      <c r="L138" s="21" t="s">
        <v>1797</v>
      </c>
      <c r="M138" s="21">
        <v>1</v>
      </c>
      <c r="N138" s="21" t="s">
        <v>743</v>
      </c>
      <c r="O138" s="21" t="s">
        <v>3350</v>
      </c>
      <c r="P138" s="21" t="s">
        <v>3351</v>
      </c>
      <c r="Q138" s="21" t="s">
        <v>844</v>
      </c>
      <c r="R138" s="21" t="s">
        <v>4127</v>
      </c>
      <c r="S138" s="21" t="str">
        <f ca="1">IF(BN138&lt;1,"Paid",IF(BM138&gt;0,"Partially paid",IF(ISNUMBER(SEARCH("hold",BU138)),"On hold",IF(BQ138&lt;TODAY(),"Overdue","Approved - unpaid"))))</f>
        <v>Paid</v>
      </c>
      <c r="T138" s="21" t="s">
        <v>3353</v>
      </c>
      <c r="U138" s="21" t="s">
        <v>3450</v>
      </c>
      <c r="V138" s="21" t="s">
        <v>3451</v>
      </c>
      <c r="W138" s="21" t="s">
        <v>746</v>
      </c>
      <c r="X138" s="21" t="s">
        <v>846</v>
      </c>
      <c r="Y138" s="21" t="s">
        <v>3452</v>
      </c>
      <c r="Z138" s="21" t="s">
        <v>3453</v>
      </c>
      <c r="AA138" s="21" t="s">
        <v>1062</v>
      </c>
      <c r="AB138" s="37">
        <v>0</v>
      </c>
      <c r="AC138" s="21" t="s">
        <v>844</v>
      </c>
      <c r="AD138" s="21" t="s">
        <v>844</v>
      </c>
      <c r="AE138" s="21" t="s">
        <v>844</v>
      </c>
      <c r="AF138" s="21">
        <v>1</v>
      </c>
      <c r="AG138" s="21" t="s">
        <v>919</v>
      </c>
      <c r="AH138" s="21" t="s">
        <v>921</v>
      </c>
      <c r="AI138" s="21" t="s">
        <v>905</v>
      </c>
      <c r="AJ138" s="37">
        <v>1</v>
      </c>
      <c r="AK138" s="37">
        <v>1</v>
      </c>
      <c r="AL138" s="37">
        <v>26800</v>
      </c>
      <c r="AM138" s="37">
        <f>AK138*AL138</f>
        <v>26800</v>
      </c>
      <c r="AN138" s="37">
        <f>AM138</f>
        <v>26800</v>
      </c>
      <c r="AO138" s="23">
        <f>_xlfn.XLOOKUP(AG138,'T13'!$A$3:$A$1500,'T13'!$O$3:$O$1500)</f>
        <v>0.16</v>
      </c>
      <c r="AP138" s="37">
        <v>0</v>
      </c>
      <c r="AQ138" s="37">
        <f>SUMIFS($AN$3:$AN$1500,$G$3:$G$1500,G138)</f>
        <v>26800</v>
      </c>
      <c r="AR138" s="37">
        <f>SUMIFS($AP$3:$AP$1500,$G$3:$G$1500,G138)</f>
        <v>0</v>
      </c>
      <c r="AS138" s="21" t="s">
        <v>3359</v>
      </c>
      <c r="AT138" s="37">
        <f>ROUND(BH138*0,0)</f>
        <v>0</v>
      </c>
      <c r="AU138" s="21" t="s">
        <v>846</v>
      </c>
      <c r="AV138" s="37" cm="1">
        <f t="array" ref="AV138">SUMPRODUCT(($G$3:$G$1500=G138)*$AN$3:$AN$1500*$AO$3:$AO$1500)+AR138</f>
        <v>4288</v>
      </c>
      <c r="AW138" s="37">
        <f>AT138</f>
        <v>0</v>
      </c>
      <c r="AX138" s="21" t="str">
        <f>TEXT(EOMONTH(I138,0)+15,"dd-mmm-yyyy")&amp;" / "&amp;IF(BM138&gt;0,"CPR-IT-"&amp;TEXT(I138,"yymm")&amp;"-"&amp;RIGHT(G138,4),"Pending payment")</f>
        <v>15-May-2026 / CPR-IT-2604-0112</v>
      </c>
      <c r="AY138" s="21" t="str">
        <f>IF(BM138&gt;0,"Issued","Not yet")</f>
        <v>Issued</v>
      </c>
      <c r="AZ138" s="37">
        <v>0</v>
      </c>
      <c r="BA138" s="37">
        <v>0</v>
      </c>
      <c r="BB138" s="37">
        <v>0</v>
      </c>
      <c r="BC138" s="37">
        <v>0</v>
      </c>
      <c r="BD138" s="37">
        <v>0</v>
      </c>
      <c r="BE138" s="37">
        <f>AQ138</f>
        <v>26800</v>
      </c>
      <c r="BF138" s="37">
        <f>AV138</f>
        <v>4288</v>
      </c>
      <c r="BG138" s="37">
        <f>AZ138</f>
        <v>0</v>
      </c>
      <c r="BH138" s="37">
        <f>BE138+BF138+BG138</f>
        <v>31088</v>
      </c>
      <c r="BI138" s="37">
        <f>AW138</f>
        <v>0</v>
      </c>
      <c r="BJ138" s="37">
        <f>BA138+BB138+BC138+BD138</f>
        <v>0</v>
      </c>
      <c r="BK138" s="37">
        <f>BH138-BI138-BJ138</f>
        <v>31088</v>
      </c>
      <c r="BL138" s="21" t="str">
        <f>"PKR "&amp;TEXT(BK138,"#,##0")&amp;" only"</f>
        <v>PKR 31,088 only</v>
      </c>
      <c r="BM138" s="37">
        <f>SUMIFS('T10'!$AK$3:$AK$1500,'T10'!$V$3:$V$1500,G138)</f>
        <v>31088</v>
      </c>
      <c r="BN138" s="37">
        <f>BK138-BM138</f>
        <v>0</v>
      </c>
      <c r="BO138" s="21" t="str">
        <f>IF(BF138&gt;0,TEXT(I138,"mmm-yyyy")&amp;" sales tax return","N/A")</f>
        <v>Apr-2026 sales tax return</v>
      </c>
      <c r="BP138" s="21" t="s">
        <v>1062</v>
      </c>
      <c r="BQ138" s="29">
        <f>J138+15</f>
        <v>46140</v>
      </c>
      <c r="BR138" s="29">
        <f>BQ138</f>
        <v>46140</v>
      </c>
      <c r="BS138" s="21" t="s">
        <v>3095</v>
      </c>
      <c r="BT138" s="21" t="s">
        <v>3360</v>
      </c>
      <c r="BU138" s="21" t="s">
        <v>844</v>
      </c>
      <c r="BV138" s="21" t="s">
        <v>846</v>
      </c>
      <c r="BW138" s="21" t="str" cm="1">
        <f t="array" ref="BW138">_xlfn.TEXTJOIN(", ",TRUE,_xlfn.UNIQUE(_xlfn._xlws.FILTER('T10'!$A$3:$A$1500,'T10'!$V$3:$V$1500=G138,"None")))</f>
        <v>PV-0045</v>
      </c>
      <c r="BX138" s="21" t="s">
        <v>4128</v>
      </c>
      <c r="BY138" s="21" t="s">
        <v>4129</v>
      </c>
    </row>
    <row r="139" spans="1:77" x14ac:dyDescent="0.3">
      <c r="A139" s="21" t="s">
        <v>3344</v>
      </c>
      <c r="B139" s="21" t="s">
        <v>4130</v>
      </c>
      <c r="C139" s="21" t="s">
        <v>4131</v>
      </c>
      <c r="D139" s="35">
        <v>46134.458333333336</v>
      </c>
      <c r="E139" s="21" t="s">
        <v>3347</v>
      </c>
      <c r="F139" s="21" t="str">
        <f ca="1">IF(S139="Paid","Completed","Pending payment")</f>
        <v>Completed</v>
      </c>
      <c r="G139" s="21" t="s">
        <v>4132</v>
      </c>
      <c r="H139" s="21" t="s">
        <v>3349</v>
      </c>
      <c r="I139" s="29">
        <v>46135</v>
      </c>
      <c r="J139" s="29">
        <v>46133</v>
      </c>
      <c r="K139" s="21" t="str">
        <f>TEXT(I139,"mmm-yyyy")</f>
        <v>Apr-2026</v>
      </c>
      <c r="L139" s="21" t="s">
        <v>1797</v>
      </c>
      <c r="M139" s="21">
        <v>1</v>
      </c>
      <c r="N139" s="21" t="s">
        <v>743</v>
      </c>
      <c r="O139" s="21" t="s">
        <v>3350</v>
      </c>
      <c r="P139" s="21" t="s">
        <v>3351</v>
      </c>
      <c r="Q139" s="21" t="s">
        <v>844</v>
      </c>
      <c r="R139" s="21" t="s">
        <v>4133</v>
      </c>
      <c r="S139" s="21" t="str">
        <f ca="1">IF(BN139&lt;1,"Paid",IF(BM139&gt;0,"Partially paid",IF(ISNUMBER(SEARCH("hold",BU139)),"On hold",IF(BQ139&lt;TODAY(),"Overdue","Approved - unpaid"))))</f>
        <v>Paid</v>
      </c>
      <c r="T139" s="21" t="s">
        <v>3353</v>
      </c>
      <c r="U139" s="21" t="s">
        <v>3354</v>
      </c>
      <c r="V139" s="21" t="s">
        <v>3355</v>
      </c>
      <c r="W139" s="21" t="s">
        <v>746</v>
      </c>
      <c r="X139" s="21" t="s">
        <v>846</v>
      </c>
      <c r="Y139" s="21" t="s">
        <v>3356</v>
      </c>
      <c r="Z139" s="21" t="s">
        <v>3357</v>
      </c>
      <c r="AA139" s="21" t="s">
        <v>3358</v>
      </c>
      <c r="AB139" s="37">
        <v>0</v>
      </c>
      <c r="AC139" s="21" t="s">
        <v>844</v>
      </c>
      <c r="AD139" s="21" t="s">
        <v>844</v>
      </c>
      <c r="AE139" s="21" t="s">
        <v>844</v>
      </c>
      <c r="AF139" s="21">
        <v>1</v>
      </c>
      <c r="AG139" s="21" t="s">
        <v>911</v>
      </c>
      <c r="AH139" s="21" t="s">
        <v>913</v>
      </c>
      <c r="AI139" s="21" t="s">
        <v>905</v>
      </c>
      <c r="AJ139" s="37">
        <v>1</v>
      </c>
      <c r="AK139" s="37">
        <v>1</v>
      </c>
      <c r="AL139" s="37">
        <v>91120</v>
      </c>
      <c r="AM139" s="37">
        <f>AK139*AL139</f>
        <v>91120</v>
      </c>
      <c r="AN139" s="37">
        <f>AM139</f>
        <v>91120</v>
      </c>
      <c r="AO139" s="23">
        <f>_xlfn.XLOOKUP(AG139,'T13'!$A$3:$A$1500,'T13'!$O$3:$O$1500)</f>
        <v>0.18</v>
      </c>
      <c r="AP139" s="37">
        <v>0</v>
      </c>
      <c r="AQ139" s="37">
        <f>SUMIFS($AN$3:$AN$1500,$G$3:$G$1500,G139)</f>
        <v>91120</v>
      </c>
      <c r="AR139" s="37">
        <f>SUMIFS($AP$3:$AP$1500,$G$3:$G$1500,G139)</f>
        <v>0</v>
      </c>
      <c r="AS139" s="21" t="s">
        <v>3359</v>
      </c>
      <c r="AT139" s="37">
        <f>ROUND(BH139*0,0)</f>
        <v>0</v>
      </c>
      <c r="AU139" s="21" t="s">
        <v>846</v>
      </c>
      <c r="AV139" s="37" cm="1">
        <f t="array" ref="AV139">SUMPRODUCT(($G$3:$G$1500=G139)*$AN$3:$AN$1500*$AO$3:$AO$1500)+AR139</f>
        <v>16401.599999999999</v>
      </c>
      <c r="AW139" s="37">
        <f>AT139</f>
        <v>0</v>
      </c>
      <c r="AX139" s="21" t="str">
        <f>TEXT(EOMONTH(I139,0)+15,"dd-mmm-yyyy")&amp;" / "&amp;IF(BM139&gt;0,"CPR-IT-"&amp;TEXT(I139,"yymm")&amp;"-"&amp;RIGHT(G139,4),"Pending payment")</f>
        <v>15-May-2026 / CPR-IT-2604-0113</v>
      </c>
      <c r="AY139" s="21" t="str">
        <f>IF(BM139&gt;0,"Issued","Not yet")</f>
        <v>Issued</v>
      </c>
      <c r="AZ139" s="37">
        <v>0</v>
      </c>
      <c r="BA139" s="37">
        <v>0</v>
      </c>
      <c r="BB139" s="37">
        <v>0</v>
      </c>
      <c r="BC139" s="37">
        <v>0</v>
      </c>
      <c r="BD139" s="37">
        <v>0</v>
      </c>
      <c r="BE139" s="37">
        <f>AQ139</f>
        <v>91120</v>
      </c>
      <c r="BF139" s="37">
        <f>AV139</f>
        <v>16401.599999999999</v>
      </c>
      <c r="BG139" s="37">
        <f>AZ139</f>
        <v>0</v>
      </c>
      <c r="BH139" s="37">
        <f>BE139+BF139+BG139</f>
        <v>107521.60000000001</v>
      </c>
      <c r="BI139" s="37">
        <f>AW139</f>
        <v>0</v>
      </c>
      <c r="BJ139" s="37">
        <f>BA139+BB139+BC139+BD139</f>
        <v>0</v>
      </c>
      <c r="BK139" s="37">
        <f>BH139-BI139-BJ139</f>
        <v>107521.60000000001</v>
      </c>
      <c r="BL139" s="21" t="str">
        <f>"PKR "&amp;TEXT(BK139,"#,##0")&amp;" only"</f>
        <v>PKR 107,522 only</v>
      </c>
      <c r="BM139" s="37">
        <f>SUMIFS('T10'!$AK$3:$AK$1500,'T10'!$V$3:$V$1500,G139)</f>
        <v>107521.60000000001</v>
      </c>
      <c r="BN139" s="37">
        <f>BK139-BM139</f>
        <v>0</v>
      </c>
      <c r="BO139" s="21" t="str">
        <f>IF(BF139&gt;0,TEXT(I139,"mmm-yyyy")&amp;" sales tax return","N/A")</f>
        <v>Apr-2026 sales tax return</v>
      </c>
      <c r="BP139" s="21" t="s">
        <v>3358</v>
      </c>
      <c r="BQ139" s="29">
        <f>J139+10</f>
        <v>46143</v>
      </c>
      <c r="BR139" s="29">
        <f>BQ139</f>
        <v>46143</v>
      </c>
      <c r="BS139" s="21" t="s">
        <v>3095</v>
      </c>
      <c r="BT139" s="21" t="s">
        <v>3360</v>
      </c>
      <c r="BU139" s="21" t="s">
        <v>844</v>
      </c>
      <c r="BV139" s="21" t="s">
        <v>846</v>
      </c>
      <c r="BW139" s="21" t="str" cm="1">
        <f t="array" ref="BW139">_xlfn.TEXTJOIN(", ",TRUE,_xlfn.UNIQUE(_xlfn._xlws.FILTER('T10'!$A$3:$A$1500,'T10'!$V$3:$V$1500=G139,"None")))</f>
        <v>PV-0051</v>
      </c>
      <c r="BX139" s="21" t="s">
        <v>4134</v>
      </c>
      <c r="BY139" s="21" t="s">
        <v>4135</v>
      </c>
    </row>
    <row r="140" spans="1:77" x14ac:dyDescent="0.3">
      <c r="A140" s="21" t="s">
        <v>3381</v>
      </c>
      <c r="B140" s="21" t="s">
        <v>4136</v>
      </c>
      <c r="C140" s="21" t="s">
        <v>4137</v>
      </c>
      <c r="D140" s="35">
        <v>46137.708333333336</v>
      </c>
      <c r="E140" s="21" t="s">
        <v>3347</v>
      </c>
      <c r="F140" s="21" t="str">
        <f ca="1">IF(S140="Paid","Completed","Pending payment")</f>
        <v>Completed</v>
      </c>
      <c r="G140" s="21" t="s">
        <v>4138</v>
      </c>
      <c r="H140" s="21" t="s">
        <v>3385</v>
      </c>
      <c r="I140" s="29">
        <v>46137</v>
      </c>
      <c r="J140" s="29">
        <v>46135</v>
      </c>
      <c r="K140" s="21" t="str">
        <f>TEXT(I140,"mmm-yyyy")</f>
        <v>Apr-2026</v>
      </c>
      <c r="L140" s="21" t="s">
        <v>1797</v>
      </c>
      <c r="M140" s="21">
        <v>1</v>
      </c>
      <c r="N140" s="21" t="s">
        <v>743</v>
      </c>
      <c r="O140" s="21" t="s">
        <v>3350</v>
      </c>
      <c r="P140" s="21" t="s">
        <v>3351</v>
      </c>
      <c r="Q140" s="21" t="s">
        <v>844</v>
      </c>
      <c r="R140" s="21" t="s">
        <v>4139</v>
      </c>
      <c r="S140" s="21" t="str">
        <f ca="1">IF(BN140&lt;1,"Paid",IF(BM140&gt;0,"Partially paid",IF(ISNUMBER(SEARCH("hold",BU140)),"On hold",IF(BQ140&lt;TODAY(),"Overdue","Approved - unpaid"))))</f>
        <v>Paid</v>
      </c>
      <c r="T140" s="21" t="s">
        <v>3387</v>
      </c>
      <c r="U140" s="21" t="s">
        <v>3388</v>
      </c>
      <c r="V140" s="21" t="s">
        <v>3389</v>
      </c>
      <c r="W140" s="21" t="s">
        <v>746</v>
      </c>
      <c r="X140" s="21" t="s">
        <v>846</v>
      </c>
      <c r="Y140" s="21" t="s">
        <v>3390</v>
      </c>
      <c r="Z140" s="21" t="s">
        <v>3391</v>
      </c>
      <c r="AA140" s="21" t="s">
        <v>1051</v>
      </c>
      <c r="AB140" s="37">
        <v>0</v>
      </c>
      <c r="AC140" s="21" t="s">
        <v>844</v>
      </c>
      <c r="AD140" s="21" t="s">
        <v>844</v>
      </c>
      <c r="AE140" s="21" t="s">
        <v>844</v>
      </c>
      <c r="AF140" s="21">
        <v>1</v>
      </c>
      <c r="AG140" s="21" t="s">
        <v>959</v>
      </c>
      <c r="AH140" s="21" t="s">
        <v>961</v>
      </c>
      <c r="AI140" s="21" t="s">
        <v>905</v>
      </c>
      <c r="AJ140" s="37">
        <v>1</v>
      </c>
      <c r="AK140" s="37">
        <v>1</v>
      </c>
      <c r="AL140" s="37">
        <v>192960</v>
      </c>
      <c r="AM140" s="37">
        <f>AK140*AL140</f>
        <v>192960</v>
      </c>
      <c r="AN140" s="37">
        <f>AM140</f>
        <v>192960</v>
      </c>
      <c r="AO140" s="23">
        <f>_xlfn.XLOOKUP(AG140,'T13'!$A$3:$A$1500,'T13'!$O$3:$O$1500)</f>
        <v>0.16</v>
      </c>
      <c r="AP140" s="37">
        <v>0</v>
      </c>
      <c r="AQ140" s="37">
        <f>SUMIFS($AN$3:$AN$1500,$G$3:$G$1500,G140)</f>
        <v>192960</v>
      </c>
      <c r="AR140" s="37">
        <f>SUMIFS($AP$3:$AP$1500,$G$3:$G$1500,G140)</f>
        <v>0</v>
      </c>
      <c r="AS140" s="21" t="s">
        <v>3392</v>
      </c>
      <c r="AT140" s="37">
        <f>ROUND(BH140*0.11,0)</f>
        <v>24622</v>
      </c>
      <c r="AU140" s="21" t="s">
        <v>846</v>
      </c>
      <c r="AV140" s="37" cm="1">
        <f t="array" ref="AV140">SUMPRODUCT(($G$3:$G$1500=G140)*$AN$3:$AN$1500*$AO$3:$AO$1500)+AR140</f>
        <v>30873.600000000002</v>
      </c>
      <c r="AW140" s="37">
        <f>AT140</f>
        <v>24622</v>
      </c>
      <c r="AX140" s="21" t="str">
        <f>TEXT(EOMONTH(I140,0)+15,"dd-mmm-yyyy")&amp;" / "&amp;IF(BM140&gt;0,"CPR-IT-"&amp;TEXT(I140,"yymm")&amp;"-"&amp;RIGHT(G140,4),"Pending payment")</f>
        <v>15-May-2026 / CPR-IT-2604-0114</v>
      </c>
      <c r="AY140" s="21" t="str">
        <f>IF(BM140&gt;0,"Issued","Not yet")</f>
        <v>Issued</v>
      </c>
      <c r="AZ140" s="37">
        <v>0</v>
      </c>
      <c r="BA140" s="37">
        <v>0</v>
      </c>
      <c r="BB140" s="37">
        <v>0</v>
      </c>
      <c r="BC140" s="37">
        <v>0</v>
      </c>
      <c r="BD140" s="37">
        <v>0</v>
      </c>
      <c r="BE140" s="37">
        <f>AQ140</f>
        <v>192960</v>
      </c>
      <c r="BF140" s="37">
        <f>AV140</f>
        <v>30873.600000000002</v>
      </c>
      <c r="BG140" s="37">
        <f>AZ140</f>
        <v>0</v>
      </c>
      <c r="BH140" s="37">
        <f>BE140+BF140+BG140</f>
        <v>223833.60000000001</v>
      </c>
      <c r="BI140" s="37">
        <f>AW140</f>
        <v>24622</v>
      </c>
      <c r="BJ140" s="37">
        <f>BA140+BB140+BC140+BD140</f>
        <v>0</v>
      </c>
      <c r="BK140" s="37">
        <f>BH140-BI140-BJ140</f>
        <v>199211.6</v>
      </c>
      <c r="BL140" s="21" t="str">
        <f>"PKR "&amp;TEXT(BK140,"#,##0")&amp;" only"</f>
        <v>PKR 199,212 only</v>
      </c>
      <c r="BM140" s="37">
        <f>SUMIFS('T10'!$AK$3:$AK$1500,'T10'!$V$3:$V$1500,G140)</f>
        <v>199211.6</v>
      </c>
      <c r="BN140" s="37">
        <f>BK140-BM140</f>
        <v>0</v>
      </c>
      <c r="BO140" s="21" t="str">
        <f>IF(BF140&gt;0,TEXT(I140,"mmm-yyyy")&amp;" sales tax return","N/A")</f>
        <v>Apr-2026 sales tax return</v>
      </c>
      <c r="BP140" s="21" t="s">
        <v>1051</v>
      </c>
      <c r="BQ140" s="29">
        <f>J140+30</f>
        <v>46165</v>
      </c>
      <c r="BR140" s="29">
        <f>BQ140</f>
        <v>46165</v>
      </c>
      <c r="BS140" s="21" t="s">
        <v>3095</v>
      </c>
      <c r="BT140" s="21" t="s">
        <v>3360</v>
      </c>
      <c r="BU140" s="21" t="s">
        <v>844</v>
      </c>
      <c r="BV140" s="21" t="s">
        <v>846</v>
      </c>
      <c r="BW140" s="21" t="str" cm="1">
        <f t="array" ref="BW140">_xlfn.TEXTJOIN(", ",TRUE,_xlfn.UNIQUE(_xlfn._xlws.FILTER('T10'!$A$3:$A$1500,'T10'!$V$3:$V$1500=G140,"None")))</f>
        <v>PV-0052</v>
      </c>
      <c r="BX140" s="21" t="s">
        <v>4140</v>
      </c>
      <c r="BY140" s="21" t="s">
        <v>4141</v>
      </c>
    </row>
    <row r="141" spans="1:77" x14ac:dyDescent="0.3">
      <c r="A141" s="21" t="s">
        <v>3395</v>
      </c>
      <c r="B141" s="21" t="s">
        <v>4142</v>
      </c>
      <c r="C141" s="21" t="s">
        <v>4143</v>
      </c>
      <c r="D141" s="35">
        <v>46144.666666666664</v>
      </c>
      <c r="E141" s="21" t="s">
        <v>3347</v>
      </c>
      <c r="F141" s="21" t="str">
        <f ca="1">IF(S141="Paid","Completed","Pending payment")</f>
        <v>Completed</v>
      </c>
      <c r="G141" s="21" t="s">
        <v>4144</v>
      </c>
      <c r="H141" s="21" t="s">
        <v>3399</v>
      </c>
      <c r="I141" s="29">
        <v>46142</v>
      </c>
      <c r="J141" s="29">
        <v>46142</v>
      </c>
      <c r="K141" s="21" t="str">
        <f>TEXT(I141,"mmm-yyyy")</f>
        <v>Apr-2026</v>
      </c>
      <c r="L141" s="21" t="s">
        <v>1797</v>
      </c>
      <c r="M141" s="21">
        <v>1</v>
      </c>
      <c r="N141" s="21" t="s">
        <v>743</v>
      </c>
      <c r="O141" s="21" t="s">
        <v>3400</v>
      </c>
      <c r="P141" s="21" t="s">
        <v>3401</v>
      </c>
      <c r="Q141" s="21" t="s">
        <v>844</v>
      </c>
      <c r="R141" s="21" t="s">
        <v>4145</v>
      </c>
      <c r="S141" s="21" t="str">
        <f ca="1">IF(BN141&lt;1,"Paid",IF(BM141&gt;0,"Partially paid",IF(ISNUMBER(SEARCH("hold",BU141)),"On hold",IF(BQ141&lt;TODAY(),"Overdue","Approved - unpaid"))))</f>
        <v>Paid</v>
      </c>
      <c r="T141" s="21" t="s">
        <v>3403</v>
      </c>
      <c r="U141" s="21" t="s">
        <v>3404</v>
      </c>
      <c r="V141" s="21" t="s">
        <v>967</v>
      </c>
      <c r="W141" s="21" t="s">
        <v>746</v>
      </c>
      <c r="X141" s="21" t="s">
        <v>846</v>
      </c>
      <c r="Y141" s="21" t="s">
        <v>3405</v>
      </c>
      <c r="Z141" s="21" t="s">
        <v>3406</v>
      </c>
      <c r="AA141" s="21" t="s">
        <v>1062</v>
      </c>
      <c r="AB141" s="37">
        <v>0</v>
      </c>
      <c r="AC141" s="21" t="s">
        <v>4146</v>
      </c>
      <c r="AD141" s="21" t="s">
        <v>4147</v>
      </c>
      <c r="AE141" s="21" t="s">
        <v>3409</v>
      </c>
      <c r="AF141" s="21">
        <v>1</v>
      </c>
      <c r="AG141" s="21" t="s">
        <v>781</v>
      </c>
      <c r="AH141" s="21" t="s">
        <v>782</v>
      </c>
      <c r="AI141" s="21" t="s">
        <v>783</v>
      </c>
      <c r="AJ141" s="37">
        <v>195</v>
      </c>
      <c r="AK141" s="37">
        <v>195</v>
      </c>
      <c r="AL141" s="37">
        <v>27050</v>
      </c>
      <c r="AM141" s="37">
        <f>AK141*AL141</f>
        <v>5274750</v>
      </c>
      <c r="AN141" s="37">
        <f>AM141</f>
        <v>5274750</v>
      </c>
      <c r="AO141" s="23">
        <f>_xlfn.XLOOKUP(AG141,'T13'!$A$3:$A$1500,'T13'!$O$3:$O$1500)</f>
        <v>0.18</v>
      </c>
      <c r="AP141" s="37">
        <f>AK141*IF(AI141="MT",1000,IF(AI141="Jumbo bag (1.5 MT)",1500,IF(AI141="Bag (40 kg)",40,50)))*3</f>
        <v>585000</v>
      </c>
      <c r="AQ141" s="37">
        <f>SUMIFS($AN$3:$AN$1500,$G$3:$G$1500,G141)</f>
        <v>5274750</v>
      </c>
      <c r="AR141" s="37">
        <f>SUMIFS($AP$3:$AP$1500,$G$3:$G$1500,G141)</f>
        <v>585000</v>
      </c>
      <c r="AS141" s="21" t="s">
        <v>3410</v>
      </c>
      <c r="AT141" s="37">
        <f>ROUND(BH141*0.05,0)</f>
        <v>340460</v>
      </c>
      <c r="AU141" s="21" t="s">
        <v>846</v>
      </c>
      <c r="AV141" s="37" cm="1">
        <f t="array" ref="AV141">SUMPRODUCT(($G$3:$G$1500=G141)*$AN$3:$AN$1500*$AO$3:$AO$1500)+AR141</f>
        <v>1534455</v>
      </c>
      <c r="AW141" s="37">
        <f>AT141</f>
        <v>340460</v>
      </c>
      <c r="AX141" s="21" t="str">
        <f>TEXT(EOMONTH(I141,0)+15,"dd-mmm-yyyy")&amp;" / "&amp;IF(BM141&gt;0,"CPR-IT-"&amp;TEXT(I141,"yymm")&amp;"-"&amp;RIGHT(G141,4),"Pending payment")</f>
        <v>15-May-2026 / CPR-IT-2604-0115</v>
      </c>
      <c r="AY141" s="21" t="str">
        <f>IF(BM141&gt;0,"Issued","Not yet")</f>
        <v>Issued</v>
      </c>
      <c r="AZ141" s="37">
        <v>0</v>
      </c>
      <c r="BA141" s="37">
        <v>0</v>
      </c>
      <c r="BB141" s="37">
        <v>0</v>
      </c>
      <c r="BC141" s="37">
        <v>0</v>
      </c>
      <c r="BD141" s="37">
        <v>0</v>
      </c>
      <c r="BE141" s="37">
        <f>AQ141</f>
        <v>5274750</v>
      </c>
      <c r="BF141" s="37">
        <f>AV141</f>
        <v>1534455</v>
      </c>
      <c r="BG141" s="37">
        <f>AZ141</f>
        <v>0</v>
      </c>
      <c r="BH141" s="37">
        <f>BE141+BF141+BG141</f>
        <v>6809205</v>
      </c>
      <c r="BI141" s="37">
        <f>AW141</f>
        <v>340460</v>
      </c>
      <c r="BJ141" s="37">
        <f>BA141+BB141+BC141+BD141</f>
        <v>0</v>
      </c>
      <c r="BK141" s="37">
        <f>BH141-BI141-BJ141</f>
        <v>6468745</v>
      </c>
      <c r="BL141" s="21" t="str">
        <f>"PKR "&amp;TEXT(BK141,"#,##0")&amp;" only"</f>
        <v>PKR 6,468,745 only</v>
      </c>
      <c r="BM141" s="37">
        <f>SUMIFS('T10'!$AK$3:$AK$1500,'T10'!$V$3:$V$1500,G141)</f>
        <v>6468745</v>
      </c>
      <c r="BN141" s="37">
        <f>BK141-BM141</f>
        <v>0</v>
      </c>
      <c r="BO141" s="21" t="str">
        <f>IF(BF141&gt;0,TEXT(I141,"mmm-yyyy")&amp;" sales tax return","N/A")</f>
        <v>Apr-2026 sales tax return</v>
      </c>
      <c r="BP141" s="21" t="s">
        <v>1062</v>
      </c>
      <c r="BQ141" s="29">
        <f>J141+15</f>
        <v>46157</v>
      </c>
      <c r="BR141" s="29">
        <f>BQ141</f>
        <v>46157</v>
      </c>
      <c r="BS141" s="21" t="s">
        <v>3095</v>
      </c>
      <c r="BT141" s="21" t="s">
        <v>3411</v>
      </c>
      <c r="BU141" s="21" t="s">
        <v>844</v>
      </c>
      <c r="BV141" s="21" t="s">
        <v>846</v>
      </c>
      <c r="BW141" s="21" t="str" cm="1">
        <f t="array" ref="BW141">_xlfn.TEXTJOIN(", ",TRUE,_xlfn.UNIQUE(_xlfn._xlws.FILTER('T10'!$A$3:$A$1500,'T10'!$V$3:$V$1500=G141,"None")))</f>
        <v>PV-0047</v>
      </c>
      <c r="BX141" s="21" t="s">
        <v>4148</v>
      </c>
      <c r="BY141" s="21" t="s">
        <v>4149</v>
      </c>
    </row>
    <row r="142" spans="1:77" x14ac:dyDescent="0.3">
      <c r="A142" s="21" t="s">
        <v>3573</v>
      </c>
      <c r="B142" s="21" t="s">
        <v>4150</v>
      </c>
      <c r="C142" s="21" t="s">
        <v>4151</v>
      </c>
      <c r="D142" s="35">
        <v>46144.541666666664</v>
      </c>
      <c r="E142" s="21" t="s">
        <v>3347</v>
      </c>
      <c r="F142" s="21" t="str">
        <f ca="1">IF(S142="Paid","Completed","Pending payment")</f>
        <v>Completed</v>
      </c>
      <c r="G142" s="21" t="s">
        <v>4152</v>
      </c>
      <c r="H142" s="21" t="s">
        <v>3399</v>
      </c>
      <c r="I142" s="29">
        <v>46142</v>
      </c>
      <c r="J142" s="29">
        <v>46142</v>
      </c>
      <c r="K142" s="21" t="str">
        <f>TEXT(I142,"mmm-yyyy")</f>
        <v>Apr-2026</v>
      </c>
      <c r="L142" s="21" t="s">
        <v>1797</v>
      </c>
      <c r="M142" s="21">
        <v>1</v>
      </c>
      <c r="N142" s="21" t="s">
        <v>743</v>
      </c>
      <c r="O142" s="21" t="s">
        <v>3400</v>
      </c>
      <c r="P142" s="21" t="s">
        <v>3401</v>
      </c>
      <c r="Q142" s="21" t="s">
        <v>844</v>
      </c>
      <c r="R142" s="21" t="s">
        <v>4145</v>
      </c>
      <c r="S142" s="21" t="str">
        <f ca="1">IF(BN142&lt;1,"Paid",IF(BM142&gt;0,"Partially paid",IF(ISNUMBER(SEARCH("hold",BU142)),"On hold",IF(BQ142&lt;TODAY(),"Overdue","Approved - unpaid"))))</f>
        <v>Paid</v>
      </c>
      <c r="T142" s="21" t="s">
        <v>3403</v>
      </c>
      <c r="U142" s="21" t="s">
        <v>3578</v>
      </c>
      <c r="V142" s="21" t="s">
        <v>1021</v>
      </c>
      <c r="W142" s="21" t="s">
        <v>746</v>
      </c>
      <c r="X142" s="21" t="s">
        <v>846</v>
      </c>
      <c r="Y142" s="21" t="s">
        <v>3579</v>
      </c>
      <c r="Z142" s="21" t="s">
        <v>3580</v>
      </c>
      <c r="AA142" s="21" t="s">
        <v>1062</v>
      </c>
      <c r="AB142" s="37">
        <v>0</v>
      </c>
      <c r="AC142" s="21" t="s">
        <v>4153</v>
      </c>
      <c r="AD142" s="21" t="s">
        <v>4154</v>
      </c>
      <c r="AE142" s="21" t="s">
        <v>3583</v>
      </c>
      <c r="AF142" s="21">
        <v>1</v>
      </c>
      <c r="AG142" s="21" t="s">
        <v>812</v>
      </c>
      <c r="AH142" s="21" t="s">
        <v>814</v>
      </c>
      <c r="AI142" s="21" t="s">
        <v>1841</v>
      </c>
      <c r="AJ142" s="37">
        <v>1150</v>
      </c>
      <c r="AK142" s="37">
        <v>1150</v>
      </c>
      <c r="AL142" s="37">
        <v>2560</v>
      </c>
      <c r="AM142" s="37">
        <f>AK142*AL142</f>
        <v>2944000</v>
      </c>
      <c r="AN142" s="37">
        <f>AM142</f>
        <v>2944000</v>
      </c>
      <c r="AO142" s="23">
        <f>_xlfn.XLOOKUP(AG142,'T13'!$A$3:$A$1500,'T13'!$O$3:$O$1500)</f>
        <v>0.18</v>
      </c>
      <c r="AP142" s="37">
        <f>AK142*IF(AI142="MT",1000,IF(AI142="Jumbo bag (1.5 MT)",1500,IF(AI142="Bag (40 kg)",40,50)))*3</f>
        <v>138000</v>
      </c>
      <c r="AQ142" s="37">
        <f>SUMIFS($AN$3:$AN$1500,$G$3:$G$1500,G142)</f>
        <v>2944000</v>
      </c>
      <c r="AR142" s="37">
        <f>SUMIFS($AP$3:$AP$1500,$G$3:$G$1500,G142)</f>
        <v>138000</v>
      </c>
      <c r="AS142" s="21" t="s">
        <v>3410</v>
      </c>
      <c r="AT142" s="37">
        <f>ROUND(BH142*0.05,0)</f>
        <v>180596</v>
      </c>
      <c r="AU142" s="21" t="s">
        <v>846</v>
      </c>
      <c r="AV142" s="37" cm="1">
        <f t="array" ref="AV142">SUMPRODUCT(($G$3:$G$1500=G142)*$AN$3:$AN$1500*$AO$3:$AO$1500)+AR142</f>
        <v>667920</v>
      </c>
      <c r="AW142" s="37">
        <f>AT142</f>
        <v>180596</v>
      </c>
      <c r="AX142" s="21" t="str">
        <f>TEXT(EOMONTH(I142,0)+15,"dd-mmm-yyyy")&amp;" / "&amp;IF(BM142&gt;0,"CPR-IT-"&amp;TEXT(I142,"yymm")&amp;"-"&amp;RIGHT(G142,4),"Pending payment")</f>
        <v>15-May-2026 / CPR-IT-2604-0116</v>
      </c>
      <c r="AY142" s="21" t="str">
        <f>IF(BM142&gt;0,"Issued","Not yet")</f>
        <v>Issued</v>
      </c>
      <c r="AZ142" s="37">
        <v>0</v>
      </c>
      <c r="BA142" s="37">
        <v>0</v>
      </c>
      <c r="BB142" s="37">
        <v>0</v>
      </c>
      <c r="BC142" s="37">
        <v>0</v>
      </c>
      <c r="BD142" s="37">
        <v>0</v>
      </c>
      <c r="BE142" s="37">
        <f>AQ142</f>
        <v>2944000</v>
      </c>
      <c r="BF142" s="37">
        <f>AV142</f>
        <v>667920</v>
      </c>
      <c r="BG142" s="37">
        <f>AZ142</f>
        <v>0</v>
      </c>
      <c r="BH142" s="37">
        <f>BE142+BF142+BG142</f>
        <v>3611920</v>
      </c>
      <c r="BI142" s="37">
        <f>AW142</f>
        <v>180596</v>
      </c>
      <c r="BJ142" s="37">
        <f>BA142+BB142+BC142+BD142</f>
        <v>0</v>
      </c>
      <c r="BK142" s="37">
        <f>BH142-BI142-BJ142</f>
        <v>3431324</v>
      </c>
      <c r="BL142" s="21" t="str">
        <f>"PKR "&amp;TEXT(BK142,"#,##0")&amp;" only"</f>
        <v>PKR 3,431,324 only</v>
      </c>
      <c r="BM142" s="37">
        <f>SUMIFS('T10'!$AK$3:$AK$1500,'T10'!$V$3:$V$1500,G142)</f>
        <v>3431324</v>
      </c>
      <c r="BN142" s="37">
        <f>BK142-BM142</f>
        <v>0</v>
      </c>
      <c r="BO142" s="21" t="str">
        <f>IF(BF142&gt;0,TEXT(I142,"mmm-yyyy")&amp;" sales tax return","N/A")</f>
        <v>Apr-2026 sales tax return</v>
      </c>
      <c r="BP142" s="21" t="s">
        <v>1062</v>
      </c>
      <c r="BQ142" s="29">
        <f>J142+15</f>
        <v>46157</v>
      </c>
      <c r="BR142" s="29">
        <f>BQ142</f>
        <v>46157</v>
      </c>
      <c r="BS142" s="21" t="s">
        <v>3095</v>
      </c>
      <c r="BT142" s="21" t="s">
        <v>3411</v>
      </c>
      <c r="BU142" s="21" t="s">
        <v>844</v>
      </c>
      <c r="BV142" s="21" t="s">
        <v>846</v>
      </c>
      <c r="BW142" s="21" t="str" cm="1">
        <f t="array" ref="BW142">_xlfn.TEXTJOIN(", ",TRUE,_xlfn.UNIQUE(_xlfn._xlws.FILTER('T10'!$A$3:$A$1500,'T10'!$V$3:$V$1500=G142,"None")))</f>
        <v>PV-0048</v>
      </c>
      <c r="BX142" s="21" t="s">
        <v>4148</v>
      </c>
      <c r="BY142" s="21" t="s">
        <v>4149</v>
      </c>
    </row>
    <row r="143" spans="1:77" x14ac:dyDescent="0.3">
      <c r="A143" s="21" t="s">
        <v>3415</v>
      </c>
      <c r="B143" s="21" t="s">
        <v>4155</v>
      </c>
      <c r="C143" s="21" t="s">
        <v>4156</v>
      </c>
      <c r="D143" s="35">
        <v>46144.541666666664</v>
      </c>
      <c r="E143" s="21" t="s">
        <v>3347</v>
      </c>
      <c r="F143" s="21" t="str">
        <f ca="1">IF(S143="Paid","Completed","Pending payment")</f>
        <v>Completed</v>
      </c>
      <c r="G143" s="21" t="s">
        <v>4157</v>
      </c>
      <c r="H143" s="21" t="s">
        <v>3399</v>
      </c>
      <c r="I143" s="29">
        <v>46142</v>
      </c>
      <c r="J143" s="29">
        <v>46142</v>
      </c>
      <c r="K143" s="21" t="str">
        <f>TEXT(I143,"mmm-yyyy")</f>
        <v>Apr-2026</v>
      </c>
      <c r="L143" s="21" t="s">
        <v>1797</v>
      </c>
      <c r="M143" s="21">
        <v>1</v>
      </c>
      <c r="N143" s="21" t="s">
        <v>743</v>
      </c>
      <c r="O143" s="21" t="s">
        <v>3400</v>
      </c>
      <c r="P143" s="21" t="s">
        <v>3401</v>
      </c>
      <c r="Q143" s="21" t="s">
        <v>844</v>
      </c>
      <c r="R143" s="21" t="s">
        <v>4145</v>
      </c>
      <c r="S143" s="21" t="str">
        <f ca="1">IF(BN143&lt;1,"Paid",IF(BM143&gt;0,"Partially paid",IF(ISNUMBER(SEARCH("hold",BU143)),"On hold",IF(BQ143&lt;TODAY(),"Overdue","Approved - unpaid"))))</f>
        <v>Paid</v>
      </c>
      <c r="T143" s="21" t="s">
        <v>3403</v>
      </c>
      <c r="U143" s="21" t="s">
        <v>3419</v>
      </c>
      <c r="V143" s="21" t="s">
        <v>999</v>
      </c>
      <c r="W143" s="21" t="s">
        <v>746</v>
      </c>
      <c r="X143" s="21" t="s">
        <v>3812</v>
      </c>
      <c r="Y143" s="21" t="s">
        <v>3420</v>
      </c>
      <c r="Z143" s="21" t="s">
        <v>3421</v>
      </c>
      <c r="AA143" s="21" t="s">
        <v>1062</v>
      </c>
      <c r="AB143" s="37">
        <v>0</v>
      </c>
      <c r="AC143" s="21" t="s">
        <v>4158</v>
      </c>
      <c r="AD143" s="21" t="s">
        <v>4159</v>
      </c>
      <c r="AE143" s="21" t="s">
        <v>3424</v>
      </c>
      <c r="AF143" s="21">
        <v>1</v>
      </c>
      <c r="AG143" s="21" t="s">
        <v>820</v>
      </c>
      <c r="AH143" s="21" t="s">
        <v>822</v>
      </c>
      <c r="AI143" s="21" t="s">
        <v>1804</v>
      </c>
      <c r="AJ143" s="37">
        <v>1150</v>
      </c>
      <c r="AK143" s="37">
        <v>1150</v>
      </c>
      <c r="AL143" s="37">
        <v>1330</v>
      </c>
      <c r="AM143" s="37">
        <f>AK143*AL143</f>
        <v>1529500</v>
      </c>
      <c r="AN143" s="37">
        <f>AM143</f>
        <v>1529500</v>
      </c>
      <c r="AO143" s="23">
        <f>_xlfn.XLOOKUP(AG143,'T13'!$A$3:$A$1500,'T13'!$O$3:$O$1500)</f>
        <v>0.18</v>
      </c>
      <c r="AP143" s="37">
        <f>AK143*IF(AI143="MT",1000,IF(AI143="Jumbo bag (1.5 MT)",1500,IF(AI143="Bag (40 kg)",40,50)))*3</f>
        <v>172500</v>
      </c>
      <c r="AQ143" s="37">
        <f>SUMIFS($AN$3:$AN$1500,$G$3:$G$1500,G143)</f>
        <v>1529500</v>
      </c>
      <c r="AR143" s="37">
        <f>SUMIFS($AP$3:$AP$1500,$G$3:$G$1500,G143)</f>
        <v>172500</v>
      </c>
      <c r="AS143" s="21" t="s">
        <v>3815</v>
      </c>
      <c r="AT143" s="37">
        <f>ROUND(BH143*0.01,0)</f>
        <v>19773</v>
      </c>
      <c r="AU143" s="21" t="s">
        <v>3816</v>
      </c>
      <c r="AV143" s="37" cm="1">
        <f t="array" ref="AV143">SUMPRODUCT(($G$3:$G$1500=G143)*$AN$3:$AN$1500*$AO$3:$AO$1500)+AR143</f>
        <v>447810</v>
      </c>
      <c r="AW143" s="37">
        <f>AT143</f>
        <v>19773</v>
      </c>
      <c r="AX143" s="21" t="str">
        <f>TEXT(EOMONTH(I143,0)+15,"dd-mmm-yyyy")&amp;" / "&amp;IF(BM143&gt;0,"CPR-IT-"&amp;TEXT(I143,"yymm")&amp;"-"&amp;RIGHT(G143,4),"Pending payment")</f>
        <v>15-May-2026 / CPR-IT-2604-0117</v>
      </c>
      <c r="AY143" s="21" t="str">
        <f>IF(BM143&gt;0,"Issued","Not yet")</f>
        <v>Issued</v>
      </c>
      <c r="AZ143" s="37">
        <v>0</v>
      </c>
      <c r="BA143" s="37">
        <v>0</v>
      </c>
      <c r="BB143" s="37">
        <v>0</v>
      </c>
      <c r="BC143" s="37">
        <v>0</v>
      </c>
      <c r="BD143" s="37">
        <v>0</v>
      </c>
      <c r="BE143" s="37">
        <f>AQ143</f>
        <v>1529500</v>
      </c>
      <c r="BF143" s="37">
        <f>AV143</f>
        <v>447810</v>
      </c>
      <c r="BG143" s="37">
        <f>AZ143</f>
        <v>0</v>
      </c>
      <c r="BH143" s="37">
        <f>BE143+BF143+BG143</f>
        <v>1977310</v>
      </c>
      <c r="BI143" s="37">
        <f>AW143</f>
        <v>19773</v>
      </c>
      <c r="BJ143" s="37">
        <f>BA143+BB143+BC143+BD143</f>
        <v>0</v>
      </c>
      <c r="BK143" s="37">
        <f>BH143-BI143-BJ143</f>
        <v>1957537</v>
      </c>
      <c r="BL143" s="21" t="str">
        <f>"PKR "&amp;TEXT(BK143,"#,##0")&amp;" only"</f>
        <v>PKR 1,957,537 only</v>
      </c>
      <c r="BM143" s="37">
        <f>SUMIFS('T10'!$AK$3:$AK$1500,'T10'!$V$3:$V$1500,G143)</f>
        <v>1957537</v>
      </c>
      <c r="BN143" s="37">
        <f>BK143-BM143</f>
        <v>0</v>
      </c>
      <c r="BO143" s="21" t="str">
        <f>IF(BF143&gt;0,TEXT(I143,"mmm-yyyy")&amp;" sales tax return","N/A")</f>
        <v>Apr-2026 sales tax return</v>
      </c>
      <c r="BP143" s="21" t="s">
        <v>1062</v>
      </c>
      <c r="BQ143" s="29">
        <f>J143+15</f>
        <v>46157</v>
      </c>
      <c r="BR143" s="29">
        <f>BQ143</f>
        <v>46157</v>
      </c>
      <c r="BS143" s="21" t="s">
        <v>3095</v>
      </c>
      <c r="BT143" s="21" t="s">
        <v>3411</v>
      </c>
      <c r="BU143" s="21" t="s">
        <v>844</v>
      </c>
      <c r="BV143" s="21" t="s">
        <v>846</v>
      </c>
      <c r="BW143" s="21" t="str" cm="1">
        <f t="array" ref="BW143">_xlfn.TEXTJOIN(", ",TRUE,_xlfn.UNIQUE(_xlfn._xlws.FILTER('T10'!$A$3:$A$1500,'T10'!$V$3:$V$1500=G143,"None")))</f>
        <v>PV-0049</v>
      </c>
      <c r="BX143" s="21" t="s">
        <v>4148</v>
      </c>
      <c r="BY143" s="21" t="s">
        <v>4149</v>
      </c>
    </row>
    <row r="144" spans="1:77" x14ac:dyDescent="0.3">
      <c r="A144" s="21" t="s">
        <v>3425</v>
      </c>
      <c r="B144" s="21" t="s">
        <v>2712</v>
      </c>
      <c r="C144" s="21" t="s">
        <v>4160</v>
      </c>
      <c r="D144" s="35">
        <v>46145.708333333336</v>
      </c>
      <c r="E144" s="21" t="s">
        <v>3347</v>
      </c>
      <c r="F144" s="21" t="str">
        <f ca="1">IF(S144="Paid","Completed","Pending payment")</f>
        <v>Completed</v>
      </c>
      <c r="G144" s="21" t="s">
        <v>4161</v>
      </c>
      <c r="H144" s="21" t="s">
        <v>3428</v>
      </c>
      <c r="I144" s="29">
        <v>46145</v>
      </c>
      <c r="J144" s="29">
        <v>46143</v>
      </c>
      <c r="K144" s="21" t="str">
        <f>TEXT(I144,"mmm-yyyy")</f>
        <v>May-2026</v>
      </c>
      <c r="L144" s="21" t="s">
        <v>1797</v>
      </c>
      <c r="M144" s="21">
        <v>1</v>
      </c>
      <c r="N144" s="21" t="s">
        <v>743</v>
      </c>
      <c r="O144" s="21" t="s">
        <v>3350</v>
      </c>
      <c r="P144" s="21" t="s">
        <v>3429</v>
      </c>
      <c r="Q144" s="21" t="s">
        <v>844</v>
      </c>
      <c r="R144" s="21" t="s">
        <v>4162</v>
      </c>
      <c r="S144" s="21" t="str">
        <f ca="1">IF(BN144&lt;1,"Paid",IF(BM144&gt;0,"Partially paid",IF(ISNUMBER(SEARCH("hold",BU144)),"On hold",IF(BQ144&lt;TODAY(),"Overdue","Approved - unpaid"))))</f>
        <v>Paid</v>
      </c>
      <c r="T144" s="21" t="s">
        <v>3431</v>
      </c>
      <c r="U144" s="21" t="s">
        <v>1339</v>
      </c>
      <c r="V144" s="21" t="s">
        <v>1207</v>
      </c>
      <c r="W144" s="21" t="s">
        <v>1066</v>
      </c>
      <c r="X144" s="21" t="s">
        <v>846</v>
      </c>
      <c r="Y144" s="21" t="s">
        <v>3432</v>
      </c>
      <c r="Z144" s="21" t="s">
        <v>3433</v>
      </c>
      <c r="AA144" s="21" t="s">
        <v>1051</v>
      </c>
      <c r="AB144" s="37">
        <v>0</v>
      </c>
      <c r="AC144" s="21" t="s">
        <v>844</v>
      </c>
      <c r="AD144" s="21" t="s">
        <v>844</v>
      </c>
      <c r="AE144" s="21" t="s">
        <v>3434</v>
      </c>
      <c r="AF144" s="21">
        <v>1</v>
      </c>
      <c r="AG144" s="21" t="s">
        <v>853</v>
      </c>
      <c r="AH144" s="21" t="s">
        <v>855</v>
      </c>
      <c r="AI144" s="21" t="s">
        <v>842</v>
      </c>
      <c r="AJ144" s="37">
        <f>COUNTIFS('T14'!$AQ$3:$AQ$1500,B144,'T14'!$Z$3:$Z$1500,1,'T14'!$F$3:$F$1500,"Bulker")</f>
        <v>6</v>
      </c>
      <c r="AK144" s="37">
        <f>AJ144</f>
        <v>6</v>
      </c>
      <c r="AL144" s="37">
        <v>60000</v>
      </c>
      <c r="AM144" s="37">
        <f>AK144*AL144</f>
        <v>360000</v>
      </c>
      <c r="AN144" s="37">
        <f>AM144</f>
        <v>360000</v>
      </c>
      <c r="AO144" s="23">
        <f>_xlfn.XLOOKUP(AG144,'T13'!$A$3:$A$1500,'T13'!$O$3:$O$1500)</f>
        <v>0.16</v>
      </c>
      <c r="AP144" s="37">
        <v>0</v>
      </c>
      <c r="AQ144" s="37">
        <f>SUMIFS($AN$3:$AN$1500,$G$3:$G$1500,G144)</f>
        <v>360000</v>
      </c>
      <c r="AR144" s="37">
        <f>SUMIFS($AP$3:$AP$1500,$G$3:$G$1500,G144)</f>
        <v>0</v>
      </c>
      <c r="AS144" s="21" t="s">
        <v>3435</v>
      </c>
      <c r="AT144" s="37">
        <f>ROUND(BH144*0.08,0)</f>
        <v>33408</v>
      </c>
      <c r="AU144" s="21" t="s">
        <v>846</v>
      </c>
      <c r="AV144" s="37" cm="1">
        <f t="array" ref="AV144">SUMPRODUCT(($G$3:$G$1500=G144)*$AN$3:$AN$1500*$AO$3:$AO$1500)+AR144</f>
        <v>57600</v>
      </c>
      <c r="AW144" s="37">
        <f>AT144</f>
        <v>33408</v>
      </c>
      <c r="AX144" s="21" t="str">
        <f>TEXT(EOMONTH(I144,0)+15,"dd-mmm-yyyy")&amp;" / "&amp;IF(BM144&gt;0,"CPR-IT-"&amp;TEXT(I144,"yymm")&amp;"-"&amp;RIGHT(G144,4),"Pending payment")</f>
        <v>15-Jun-2026 / CPR-IT-2605-0118</v>
      </c>
      <c r="AY144" s="21" t="str">
        <f>IF(BM144&gt;0,"Issued","Not yet")</f>
        <v>Issued</v>
      </c>
      <c r="AZ144" s="37">
        <v>0</v>
      </c>
      <c r="BA144" s="37">
        <v>0</v>
      </c>
      <c r="BB144" s="37">
        <v>0</v>
      </c>
      <c r="BC144" s="37">
        <v>0</v>
      </c>
      <c r="BD144" s="37">
        <v>0</v>
      </c>
      <c r="BE144" s="37">
        <f>AQ144</f>
        <v>360000</v>
      </c>
      <c r="BF144" s="37">
        <f>AV144</f>
        <v>57600</v>
      </c>
      <c r="BG144" s="37">
        <f>AZ144</f>
        <v>0</v>
      </c>
      <c r="BH144" s="37">
        <f>BE144+BF144+BG144</f>
        <v>417600</v>
      </c>
      <c r="BI144" s="37">
        <f>AW144</f>
        <v>33408</v>
      </c>
      <c r="BJ144" s="37">
        <f>BA144+BB144+BC144+BD144</f>
        <v>0</v>
      </c>
      <c r="BK144" s="37">
        <f>BH144-BI144-BJ144</f>
        <v>384192</v>
      </c>
      <c r="BL144" s="21" t="str">
        <f>"PKR "&amp;TEXT(BK144,"#,##0")&amp;" only"</f>
        <v>PKR 384,192 only</v>
      </c>
      <c r="BM144" s="37">
        <f>SUMIFS('T10'!$AK$3:$AK$1500,'T10'!$V$3:$V$1500,G144)</f>
        <v>384192</v>
      </c>
      <c r="BN144" s="37">
        <f>BK144-BM144</f>
        <v>0</v>
      </c>
      <c r="BO144" s="21" t="str">
        <f>IF(BF144&gt;0,TEXT(I144,"mmm-yyyy")&amp;" sales tax return","N/A")</f>
        <v>May-2026 sales tax return</v>
      </c>
      <c r="BP144" s="21" t="s">
        <v>1051</v>
      </c>
      <c r="BQ144" s="29">
        <f>J144+30</f>
        <v>46173</v>
      </c>
      <c r="BR144" s="29">
        <f>BQ144</f>
        <v>46173</v>
      </c>
      <c r="BS144" s="21" t="s">
        <v>3095</v>
      </c>
      <c r="BT144" s="21" t="s">
        <v>3360</v>
      </c>
      <c r="BU144" s="21" t="s">
        <v>844</v>
      </c>
      <c r="BV144" s="21" t="s">
        <v>846</v>
      </c>
      <c r="BW144" s="21" t="str" cm="1">
        <f t="array" ref="BW144">_xlfn.TEXTJOIN(", ",TRUE,_xlfn.UNIQUE(_xlfn._xlws.FILTER('T10'!$A$3:$A$1500,'T10'!$V$3:$V$1500=G144,"None")))</f>
        <v>PV-0055</v>
      </c>
      <c r="BX144" s="21" t="s">
        <v>4163</v>
      </c>
      <c r="BY144" s="21" t="s">
        <v>4164</v>
      </c>
    </row>
    <row r="145" spans="1:77" x14ac:dyDescent="0.3">
      <c r="A145" s="21" t="s">
        <v>3489</v>
      </c>
      <c r="B145" s="21" t="s">
        <v>2718</v>
      </c>
      <c r="C145" s="21" t="s">
        <v>4165</v>
      </c>
      <c r="D145" s="35">
        <v>46145.5</v>
      </c>
      <c r="E145" s="21" t="s">
        <v>3347</v>
      </c>
      <c r="F145" s="21" t="str">
        <f ca="1">IF(S145="Paid","Completed","Pending payment")</f>
        <v>Completed</v>
      </c>
      <c r="G145" s="21" t="s">
        <v>4166</v>
      </c>
      <c r="H145" s="21" t="s">
        <v>3428</v>
      </c>
      <c r="I145" s="29">
        <v>46145</v>
      </c>
      <c r="J145" s="29">
        <v>46143</v>
      </c>
      <c r="K145" s="21" t="str">
        <f>TEXT(I145,"mmm-yyyy")</f>
        <v>May-2026</v>
      </c>
      <c r="L145" s="21" t="s">
        <v>1797</v>
      </c>
      <c r="M145" s="21">
        <v>1</v>
      </c>
      <c r="N145" s="21" t="s">
        <v>743</v>
      </c>
      <c r="O145" s="21" t="s">
        <v>3350</v>
      </c>
      <c r="P145" s="21" t="s">
        <v>3429</v>
      </c>
      <c r="Q145" s="21" t="s">
        <v>844</v>
      </c>
      <c r="R145" s="21" t="s">
        <v>4162</v>
      </c>
      <c r="S145" s="21" t="str">
        <f ca="1">IF(BN145&lt;1,"Paid",IF(BM145&gt;0,"Partially paid",IF(ISNUMBER(SEARCH("hold",BU145)),"On hold",IF(BQ145&lt;TODAY(),"Overdue","Approved - unpaid"))))</f>
        <v>Paid</v>
      </c>
      <c r="T145" s="21" t="s">
        <v>3431</v>
      </c>
      <c r="U145" s="21" t="s">
        <v>1213</v>
      </c>
      <c r="V145" s="21" t="s">
        <v>1194</v>
      </c>
      <c r="W145" s="21" t="s">
        <v>746</v>
      </c>
      <c r="X145" s="21" t="s">
        <v>846</v>
      </c>
      <c r="Y145" s="21" t="s">
        <v>3493</v>
      </c>
      <c r="Z145" s="21" t="s">
        <v>3494</v>
      </c>
      <c r="AA145" s="21" t="s">
        <v>1051</v>
      </c>
      <c r="AB145" s="37">
        <v>0</v>
      </c>
      <c r="AC145" s="21" t="s">
        <v>844</v>
      </c>
      <c r="AD145" s="21" t="s">
        <v>844</v>
      </c>
      <c r="AE145" s="21" t="s">
        <v>3495</v>
      </c>
      <c r="AF145" s="21">
        <v>1</v>
      </c>
      <c r="AG145" s="21" t="s">
        <v>837</v>
      </c>
      <c r="AH145" s="21" t="s">
        <v>840</v>
      </c>
      <c r="AI145" s="21" t="s">
        <v>842</v>
      </c>
      <c r="AJ145" s="37">
        <f>COUNTIFS('T14'!$AQ$3:$AQ$1500,B145,'T14'!$Z$3:$Z$1500,1,'T14'!$F$3:$F$1500,"Bag")</f>
        <v>4</v>
      </c>
      <c r="AK145" s="37">
        <f>AJ145</f>
        <v>4</v>
      </c>
      <c r="AL145" s="37">
        <v>41400</v>
      </c>
      <c r="AM145" s="37">
        <f>AK145*AL145</f>
        <v>165600</v>
      </c>
      <c r="AN145" s="37">
        <f>AM145</f>
        <v>165600</v>
      </c>
      <c r="AO145" s="23">
        <f>_xlfn.XLOOKUP(AG145,'T13'!$A$3:$A$1500,'T13'!$O$3:$O$1500)</f>
        <v>0.16</v>
      </c>
      <c r="AP145" s="37">
        <v>0</v>
      </c>
      <c r="AQ145" s="37">
        <f>SUMIFS($AN$3:$AN$1500,$G$3:$G$1500,G145)</f>
        <v>165600</v>
      </c>
      <c r="AR145" s="37">
        <f>SUMIFS($AP$3:$AP$1500,$G$3:$G$1500,G145)</f>
        <v>0</v>
      </c>
      <c r="AS145" s="21" t="s">
        <v>3444</v>
      </c>
      <c r="AT145" s="37">
        <f>ROUND(BH145*0.04,0)</f>
        <v>7684</v>
      </c>
      <c r="AU145" s="21" t="s">
        <v>846</v>
      </c>
      <c r="AV145" s="37" cm="1">
        <f t="array" ref="AV145">SUMPRODUCT(($G$3:$G$1500=G145)*$AN$3:$AN$1500*$AO$3:$AO$1500)+AR145</f>
        <v>26496</v>
      </c>
      <c r="AW145" s="37">
        <f>AT145</f>
        <v>7684</v>
      </c>
      <c r="AX145" s="21" t="str">
        <f>TEXT(EOMONTH(I145,0)+15,"dd-mmm-yyyy")&amp;" / "&amp;IF(BM145&gt;0,"CPR-IT-"&amp;TEXT(I145,"yymm")&amp;"-"&amp;RIGHT(G145,4),"Pending payment")</f>
        <v>15-Jun-2026 / CPR-IT-2605-0119</v>
      </c>
      <c r="AY145" s="21" t="str">
        <f>IF(BM145&gt;0,"Issued","Not yet")</f>
        <v>Issued</v>
      </c>
      <c r="AZ145" s="37">
        <v>0</v>
      </c>
      <c r="BA145" s="37">
        <v>0</v>
      </c>
      <c r="BB145" s="37">
        <v>0</v>
      </c>
      <c r="BC145" s="37">
        <v>0</v>
      </c>
      <c r="BD145" s="37">
        <v>0</v>
      </c>
      <c r="BE145" s="37">
        <f>AQ145</f>
        <v>165600</v>
      </c>
      <c r="BF145" s="37">
        <f>AV145</f>
        <v>26496</v>
      </c>
      <c r="BG145" s="37">
        <f>AZ145</f>
        <v>0</v>
      </c>
      <c r="BH145" s="37">
        <f>BE145+BF145+BG145</f>
        <v>192096</v>
      </c>
      <c r="BI145" s="37">
        <f>AW145</f>
        <v>7684</v>
      </c>
      <c r="BJ145" s="37">
        <f>BA145+BB145+BC145+BD145</f>
        <v>0</v>
      </c>
      <c r="BK145" s="37">
        <f>BH145-BI145-BJ145</f>
        <v>184412</v>
      </c>
      <c r="BL145" s="21" t="str">
        <f>"PKR "&amp;TEXT(BK145,"#,##0")&amp;" only"</f>
        <v>PKR 184,412 only</v>
      </c>
      <c r="BM145" s="37">
        <f>SUMIFS('T10'!$AK$3:$AK$1500,'T10'!$V$3:$V$1500,G145)</f>
        <v>184412</v>
      </c>
      <c r="BN145" s="37">
        <f>BK145-BM145</f>
        <v>0</v>
      </c>
      <c r="BO145" s="21" t="str">
        <f>IF(BF145&gt;0,TEXT(I145,"mmm-yyyy")&amp;" sales tax return","N/A")</f>
        <v>May-2026 sales tax return</v>
      </c>
      <c r="BP145" s="21" t="s">
        <v>1051</v>
      </c>
      <c r="BQ145" s="29">
        <f>J145+30</f>
        <v>46173</v>
      </c>
      <c r="BR145" s="29">
        <f>BQ145</f>
        <v>46173</v>
      </c>
      <c r="BS145" s="21" t="s">
        <v>3095</v>
      </c>
      <c r="BT145" s="21" t="s">
        <v>3360</v>
      </c>
      <c r="BU145" s="21" t="s">
        <v>844</v>
      </c>
      <c r="BV145" s="21" t="s">
        <v>846</v>
      </c>
      <c r="BW145" s="21" t="str" cm="1">
        <f t="array" ref="BW145">_xlfn.TEXTJOIN(", ",TRUE,_xlfn.UNIQUE(_xlfn._xlws.FILTER('T10'!$A$3:$A$1500,'T10'!$V$3:$V$1500=G145,"None")))</f>
        <v>PV-0053</v>
      </c>
      <c r="BX145" s="21" t="s">
        <v>4163</v>
      </c>
      <c r="BY145" s="21" t="s">
        <v>4164</v>
      </c>
    </row>
    <row r="146" spans="1:77" x14ac:dyDescent="0.3">
      <c r="A146" s="21" t="s">
        <v>3438</v>
      </c>
      <c r="B146" s="21" t="s">
        <v>2732</v>
      </c>
      <c r="C146" s="21" t="s">
        <v>4167</v>
      </c>
      <c r="D146" s="35">
        <v>46145.583333333336</v>
      </c>
      <c r="E146" s="21" t="s">
        <v>3347</v>
      </c>
      <c r="F146" s="21" t="str">
        <f ca="1">IF(S146="Paid","Completed","Pending payment")</f>
        <v>Completed</v>
      </c>
      <c r="G146" s="21" t="s">
        <v>4168</v>
      </c>
      <c r="H146" s="21" t="s">
        <v>3428</v>
      </c>
      <c r="I146" s="29">
        <v>46145</v>
      </c>
      <c r="J146" s="29">
        <v>46143</v>
      </c>
      <c r="K146" s="21" t="str">
        <f>TEXT(I146,"mmm-yyyy")</f>
        <v>May-2026</v>
      </c>
      <c r="L146" s="21" t="s">
        <v>1797</v>
      </c>
      <c r="M146" s="21">
        <v>1</v>
      </c>
      <c r="N146" s="21" t="s">
        <v>743</v>
      </c>
      <c r="O146" s="21" t="s">
        <v>3350</v>
      </c>
      <c r="P146" s="21" t="s">
        <v>3429</v>
      </c>
      <c r="Q146" s="21" t="s">
        <v>844</v>
      </c>
      <c r="R146" s="21" t="s">
        <v>4162</v>
      </c>
      <c r="S146" s="21" t="str">
        <f ca="1">IF(BN146&lt;1,"Paid",IF(BM146&gt;0,"Partially paid",IF(ISNUMBER(SEARCH("hold",BU146)),"On hold",IF(BQ146&lt;TODAY(),"Overdue","Approved - unpaid"))))</f>
        <v>Paid</v>
      </c>
      <c r="T146" s="21" t="s">
        <v>3431</v>
      </c>
      <c r="U146" s="21" t="s">
        <v>1278</v>
      </c>
      <c r="V146" s="21" t="s">
        <v>1200</v>
      </c>
      <c r="W146" s="21" t="s">
        <v>746</v>
      </c>
      <c r="X146" s="21" t="s">
        <v>846</v>
      </c>
      <c r="Y146" s="21" t="s">
        <v>3441</v>
      </c>
      <c r="Z146" s="21" t="s">
        <v>3442</v>
      </c>
      <c r="AA146" s="21" t="s">
        <v>1051</v>
      </c>
      <c r="AB146" s="37">
        <v>0</v>
      </c>
      <c r="AC146" s="21" t="s">
        <v>844</v>
      </c>
      <c r="AD146" s="21" t="s">
        <v>844</v>
      </c>
      <c r="AE146" s="21" t="s">
        <v>3443</v>
      </c>
      <c r="AF146" s="21">
        <v>1</v>
      </c>
      <c r="AG146" s="21" t="s">
        <v>837</v>
      </c>
      <c r="AH146" s="21" t="s">
        <v>840</v>
      </c>
      <c r="AI146" s="21" t="s">
        <v>842</v>
      </c>
      <c r="AJ146" s="37">
        <f>COUNTIFS('T14'!$AQ$3:$AQ$1500,B146,'T14'!$Z$3:$Z$1500,1,'T14'!$F$3:$F$1500,"Bag")</f>
        <v>1</v>
      </c>
      <c r="AK146" s="37">
        <f>AJ146</f>
        <v>1</v>
      </c>
      <c r="AL146" s="37">
        <v>41400</v>
      </c>
      <c r="AM146" s="37">
        <f>AK146*AL146</f>
        <v>41400</v>
      </c>
      <c r="AN146" s="37">
        <f>AM146</f>
        <v>41400</v>
      </c>
      <c r="AO146" s="23">
        <f>_xlfn.XLOOKUP(AG146,'T13'!$A$3:$A$1500,'T13'!$O$3:$O$1500)</f>
        <v>0.16</v>
      </c>
      <c r="AP146" s="37">
        <v>0</v>
      </c>
      <c r="AQ146" s="37">
        <f>SUMIFS($AN$3:$AN$1500,$G$3:$G$1500,G146)</f>
        <v>41400</v>
      </c>
      <c r="AR146" s="37">
        <f>SUMIFS($AP$3:$AP$1500,$G$3:$G$1500,G146)</f>
        <v>0</v>
      </c>
      <c r="AS146" s="21" t="s">
        <v>3444</v>
      </c>
      <c r="AT146" s="37">
        <f>ROUND(BH146*0.04,0)</f>
        <v>1921</v>
      </c>
      <c r="AU146" s="21" t="s">
        <v>846</v>
      </c>
      <c r="AV146" s="37" cm="1">
        <f t="array" ref="AV146">SUMPRODUCT(($G$3:$G$1500=G146)*$AN$3:$AN$1500*$AO$3:$AO$1500)+AR146</f>
        <v>6624</v>
      </c>
      <c r="AW146" s="37">
        <f>AT146</f>
        <v>1921</v>
      </c>
      <c r="AX146" s="21" t="str">
        <f>TEXT(EOMONTH(I146,0)+15,"dd-mmm-yyyy")&amp;" / "&amp;IF(BM146&gt;0,"CPR-IT-"&amp;TEXT(I146,"yymm")&amp;"-"&amp;RIGHT(G146,4),"Pending payment")</f>
        <v>15-Jun-2026 / CPR-IT-2605-0120</v>
      </c>
      <c r="AY146" s="21" t="str">
        <f>IF(BM146&gt;0,"Issued","Not yet")</f>
        <v>Issued</v>
      </c>
      <c r="AZ146" s="37">
        <v>0</v>
      </c>
      <c r="BA146" s="37">
        <v>0</v>
      </c>
      <c r="BB146" s="37">
        <v>0</v>
      </c>
      <c r="BC146" s="37">
        <v>0</v>
      </c>
      <c r="BD146" s="37">
        <v>0</v>
      </c>
      <c r="BE146" s="37">
        <f>AQ146</f>
        <v>41400</v>
      </c>
      <c r="BF146" s="37">
        <f>AV146</f>
        <v>6624</v>
      </c>
      <c r="BG146" s="37">
        <f>AZ146</f>
        <v>0</v>
      </c>
      <c r="BH146" s="37">
        <f>BE146+BF146+BG146</f>
        <v>48024</v>
      </c>
      <c r="BI146" s="37">
        <f>AW146</f>
        <v>1921</v>
      </c>
      <c r="BJ146" s="37">
        <f>BA146+BB146+BC146+BD146</f>
        <v>0</v>
      </c>
      <c r="BK146" s="37">
        <f>BH146-BI146-BJ146</f>
        <v>46103</v>
      </c>
      <c r="BL146" s="21" t="str">
        <f>"PKR "&amp;TEXT(BK146,"#,##0")&amp;" only"</f>
        <v>PKR 46,103 only</v>
      </c>
      <c r="BM146" s="37">
        <f>SUMIFS('T10'!$AK$3:$AK$1500,'T10'!$V$3:$V$1500,G146)</f>
        <v>46103</v>
      </c>
      <c r="BN146" s="37">
        <f>BK146-BM146</f>
        <v>0</v>
      </c>
      <c r="BO146" s="21" t="str">
        <f>IF(BF146&gt;0,TEXT(I146,"mmm-yyyy")&amp;" sales tax return","N/A")</f>
        <v>May-2026 sales tax return</v>
      </c>
      <c r="BP146" s="21" t="s">
        <v>1051</v>
      </c>
      <c r="BQ146" s="29">
        <f>J146+30</f>
        <v>46173</v>
      </c>
      <c r="BR146" s="29">
        <f>BQ146</f>
        <v>46173</v>
      </c>
      <c r="BS146" s="21" t="s">
        <v>3095</v>
      </c>
      <c r="BT146" s="21" t="s">
        <v>3360</v>
      </c>
      <c r="BU146" s="21" t="s">
        <v>844</v>
      </c>
      <c r="BV146" s="21" t="s">
        <v>846</v>
      </c>
      <c r="BW146" s="21" t="str" cm="1">
        <f t="array" ref="BW146">_xlfn.TEXTJOIN(", ",TRUE,_xlfn.UNIQUE(_xlfn._xlws.FILTER('T10'!$A$3:$A$1500,'T10'!$V$3:$V$1500=G146,"None")))</f>
        <v>PV-0054</v>
      </c>
      <c r="BX146" s="21" t="s">
        <v>4163</v>
      </c>
      <c r="BY146" s="21" t="s">
        <v>4164</v>
      </c>
    </row>
    <row r="147" spans="1:77" x14ac:dyDescent="0.3">
      <c r="A147" s="21" t="s">
        <v>3344</v>
      </c>
      <c r="B147" s="21" t="s">
        <v>4169</v>
      </c>
      <c r="C147" s="21" t="s">
        <v>4170</v>
      </c>
      <c r="D147" s="35">
        <v>46148.458333333336</v>
      </c>
      <c r="E147" s="21" t="s">
        <v>3347</v>
      </c>
      <c r="F147" s="21" t="str">
        <f ca="1">IF(S147="Paid","Completed","Pending payment")</f>
        <v>Completed</v>
      </c>
      <c r="G147" s="21" t="s">
        <v>4171</v>
      </c>
      <c r="H147" s="21" t="s">
        <v>3349</v>
      </c>
      <c r="I147" s="29">
        <v>46149</v>
      </c>
      <c r="J147" s="29">
        <v>46147</v>
      </c>
      <c r="K147" s="21" t="str">
        <f>TEXT(I147,"mmm-yyyy")</f>
        <v>May-2026</v>
      </c>
      <c r="L147" s="21" t="s">
        <v>1797</v>
      </c>
      <c r="M147" s="21">
        <v>1</v>
      </c>
      <c r="N147" s="21" t="s">
        <v>743</v>
      </c>
      <c r="O147" s="21" t="s">
        <v>3350</v>
      </c>
      <c r="P147" s="21" t="s">
        <v>3351</v>
      </c>
      <c r="Q147" s="21" t="s">
        <v>844</v>
      </c>
      <c r="R147" s="21" t="s">
        <v>4172</v>
      </c>
      <c r="S147" s="21" t="str">
        <f ca="1">IF(BN147&lt;1,"Paid",IF(BM147&gt;0,"Partially paid",IF(ISNUMBER(SEARCH("hold",BU147)),"On hold",IF(BQ147&lt;TODAY(),"Overdue","Approved - unpaid"))))</f>
        <v>Paid</v>
      </c>
      <c r="T147" s="21" t="s">
        <v>3353</v>
      </c>
      <c r="U147" s="21" t="s">
        <v>3354</v>
      </c>
      <c r="V147" s="21" t="s">
        <v>3355</v>
      </c>
      <c r="W147" s="21" t="s">
        <v>746</v>
      </c>
      <c r="X147" s="21" t="s">
        <v>846</v>
      </c>
      <c r="Y147" s="21" t="s">
        <v>3356</v>
      </c>
      <c r="Z147" s="21" t="s">
        <v>3357</v>
      </c>
      <c r="AA147" s="21" t="s">
        <v>3358</v>
      </c>
      <c r="AB147" s="37">
        <v>0</v>
      </c>
      <c r="AC147" s="21" t="s">
        <v>844</v>
      </c>
      <c r="AD147" s="21" t="s">
        <v>844</v>
      </c>
      <c r="AE147" s="21" t="s">
        <v>844</v>
      </c>
      <c r="AF147" s="21">
        <v>1</v>
      </c>
      <c r="AG147" s="21" t="s">
        <v>911</v>
      </c>
      <c r="AH147" s="21" t="s">
        <v>913</v>
      </c>
      <c r="AI147" s="21" t="s">
        <v>905</v>
      </c>
      <c r="AJ147" s="37">
        <v>1</v>
      </c>
      <c r="AK147" s="37">
        <v>1</v>
      </c>
      <c r="AL147" s="37">
        <v>91460</v>
      </c>
      <c r="AM147" s="37">
        <f>AK147*AL147</f>
        <v>91460</v>
      </c>
      <c r="AN147" s="37">
        <f>AM147</f>
        <v>91460</v>
      </c>
      <c r="AO147" s="23">
        <f>_xlfn.XLOOKUP(AG147,'T13'!$A$3:$A$1500,'T13'!$O$3:$O$1500)</f>
        <v>0.18</v>
      </c>
      <c r="AP147" s="37">
        <v>0</v>
      </c>
      <c r="AQ147" s="37">
        <f>SUMIFS($AN$3:$AN$1500,$G$3:$G$1500,G147)</f>
        <v>91460</v>
      </c>
      <c r="AR147" s="37">
        <f>SUMIFS($AP$3:$AP$1500,$G$3:$G$1500,G147)</f>
        <v>0</v>
      </c>
      <c r="AS147" s="21" t="s">
        <v>3359</v>
      </c>
      <c r="AT147" s="37">
        <f>ROUND(BH147*0,0)</f>
        <v>0</v>
      </c>
      <c r="AU147" s="21" t="s">
        <v>846</v>
      </c>
      <c r="AV147" s="37" cm="1">
        <f t="array" ref="AV147">SUMPRODUCT(($G$3:$G$1500=G147)*$AN$3:$AN$1500*$AO$3:$AO$1500)+AR147</f>
        <v>16462.8</v>
      </c>
      <c r="AW147" s="37">
        <f>AT147</f>
        <v>0</v>
      </c>
      <c r="AX147" s="21" t="str">
        <f>TEXT(EOMONTH(I147,0)+15,"dd-mmm-yyyy")&amp;" / "&amp;IF(BM147&gt;0,"CPR-IT-"&amp;TEXT(I147,"yymm")&amp;"-"&amp;RIGHT(G147,4),"Pending payment")</f>
        <v>15-Jun-2026 / CPR-IT-2605-0121</v>
      </c>
      <c r="AY147" s="21" t="str">
        <f>IF(BM147&gt;0,"Issued","Not yet")</f>
        <v>Issued</v>
      </c>
      <c r="AZ147" s="37">
        <v>0</v>
      </c>
      <c r="BA147" s="37">
        <v>0</v>
      </c>
      <c r="BB147" s="37">
        <v>0</v>
      </c>
      <c r="BC147" s="37">
        <v>0</v>
      </c>
      <c r="BD147" s="37">
        <v>0</v>
      </c>
      <c r="BE147" s="37">
        <f>AQ147</f>
        <v>91460</v>
      </c>
      <c r="BF147" s="37">
        <f>AV147</f>
        <v>16462.8</v>
      </c>
      <c r="BG147" s="37">
        <f>AZ147</f>
        <v>0</v>
      </c>
      <c r="BH147" s="37">
        <f>BE147+BF147+BG147</f>
        <v>107922.8</v>
      </c>
      <c r="BI147" s="37">
        <f>AW147</f>
        <v>0</v>
      </c>
      <c r="BJ147" s="37">
        <f>BA147+BB147+BC147+BD147</f>
        <v>0</v>
      </c>
      <c r="BK147" s="37">
        <f>BH147-BI147-BJ147</f>
        <v>107922.8</v>
      </c>
      <c r="BL147" s="21" t="str">
        <f>"PKR "&amp;TEXT(BK147,"#,##0")&amp;" only"</f>
        <v>PKR 107,923 only</v>
      </c>
      <c r="BM147" s="37">
        <f>SUMIFS('T10'!$AK$3:$AK$1500,'T10'!$V$3:$V$1500,G147)</f>
        <v>107922.8</v>
      </c>
      <c r="BN147" s="37">
        <f>BK147-BM147</f>
        <v>0</v>
      </c>
      <c r="BO147" s="21" t="str">
        <f>IF(BF147&gt;0,TEXT(I147,"mmm-yyyy")&amp;" sales tax return","N/A")</f>
        <v>May-2026 sales tax return</v>
      </c>
      <c r="BP147" s="21" t="s">
        <v>3358</v>
      </c>
      <c r="BQ147" s="29">
        <f>J147+10</f>
        <v>46157</v>
      </c>
      <c r="BR147" s="29">
        <f>BQ147</f>
        <v>46157</v>
      </c>
      <c r="BS147" s="21" t="s">
        <v>3095</v>
      </c>
      <c r="BT147" s="21" t="s">
        <v>3360</v>
      </c>
      <c r="BU147" s="21" t="s">
        <v>844</v>
      </c>
      <c r="BV147" s="21" t="s">
        <v>846</v>
      </c>
      <c r="BW147" s="21" t="str" cm="1">
        <f t="array" ref="BW147">_xlfn.TEXTJOIN(", ",TRUE,_xlfn.UNIQUE(_xlfn._xlws.FILTER('T10'!$A$3:$A$1500,'T10'!$V$3:$V$1500=G147,"None")))</f>
        <v>PV-0051</v>
      </c>
      <c r="BX147" s="21" t="s">
        <v>4173</v>
      </c>
      <c r="BY147" s="21" t="s">
        <v>4174</v>
      </c>
    </row>
    <row r="148" spans="1:77" x14ac:dyDescent="0.3">
      <c r="A148" s="21" t="s">
        <v>3363</v>
      </c>
      <c r="B148" s="21" t="s">
        <v>4175</v>
      </c>
      <c r="C148" s="21" t="s">
        <v>4176</v>
      </c>
      <c r="D148" s="35">
        <v>46155.666666666664</v>
      </c>
      <c r="E148" s="21" t="s">
        <v>3347</v>
      </c>
      <c r="F148" s="21" t="str">
        <f ca="1">IF(S148="Paid","Completed","Pending payment")</f>
        <v>Completed</v>
      </c>
      <c r="G148" s="21" t="s">
        <v>4177</v>
      </c>
      <c r="H148" s="21" t="s">
        <v>3367</v>
      </c>
      <c r="I148" s="29">
        <v>46155</v>
      </c>
      <c r="J148" s="29">
        <v>46153</v>
      </c>
      <c r="K148" s="21" t="str">
        <f>TEXT(I148,"mmm-yyyy")</f>
        <v>May-2026</v>
      </c>
      <c r="L148" s="21" t="s">
        <v>1797</v>
      </c>
      <c r="M148" s="21">
        <v>1</v>
      </c>
      <c r="N148" s="21" t="s">
        <v>743</v>
      </c>
      <c r="O148" s="21" t="s">
        <v>3368</v>
      </c>
      <c r="P148" s="21" t="s">
        <v>3369</v>
      </c>
      <c r="Q148" s="21" t="s">
        <v>844</v>
      </c>
      <c r="R148" s="21" t="s">
        <v>4178</v>
      </c>
      <c r="S148" s="21" t="str">
        <f ca="1">IF(BN148&lt;1,"Paid",IF(BM148&gt;0,"Partially paid",IF(ISNUMBER(SEARCH("hold",BU148)),"On hold",IF(BQ148&lt;TODAY(),"Overdue","Approved - unpaid"))))</f>
        <v>Paid</v>
      </c>
      <c r="T148" s="21" t="s">
        <v>3371</v>
      </c>
      <c r="U148" s="21" t="s">
        <v>3372</v>
      </c>
      <c r="V148" s="21" t="s">
        <v>3373</v>
      </c>
      <c r="W148" s="21" t="s">
        <v>746</v>
      </c>
      <c r="X148" s="21" t="s">
        <v>846</v>
      </c>
      <c r="Y148" s="21" t="s">
        <v>3374</v>
      </c>
      <c r="Z148" s="21" t="s">
        <v>3375</v>
      </c>
      <c r="AA148" s="21" t="s">
        <v>3376</v>
      </c>
      <c r="AB148" s="37">
        <v>0</v>
      </c>
      <c r="AC148" s="21" t="s">
        <v>844</v>
      </c>
      <c r="AD148" s="21" t="s">
        <v>844</v>
      </c>
      <c r="AE148" s="21" t="s">
        <v>3377</v>
      </c>
      <c r="AF148" s="21">
        <v>1</v>
      </c>
      <c r="AG148" s="21" t="s">
        <v>902</v>
      </c>
      <c r="AH148" s="21" t="s">
        <v>904</v>
      </c>
      <c r="AI148" s="21" t="s">
        <v>905</v>
      </c>
      <c r="AJ148" s="37">
        <v>3</v>
      </c>
      <c r="AK148" s="37">
        <v>3</v>
      </c>
      <c r="AL148" s="37">
        <v>376600</v>
      </c>
      <c r="AM148" s="37">
        <f>AK148*AL148</f>
        <v>1129800</v>
      </c>
      <c r="AN148" s="37">
        <f>AM148</f>
        <v>1129800</v>
      </c>
      <c r="AO148" s="23">
        <f>_xlfn.XLOOKUP(AG148,'T13'!$A$3:$A$1500,'T13'!$O$3:$O$1500)</f>
        <v>0</v>
      </c>
      <c r="AP148" s="37">
        <v>0</v>
      </c>
      <c r="AQ148" s="37">
        <f>SUMIFS($AN$3:$AN$1500,$G$3:$G$1500,G148)</f>
        <v>1129800</v>
      </c>
      <c r="AR148" s="37">
        <f>SUMIFS($AP$3:$AP$1500,$G$3:$G$1500,G148)</f>
        <v>0</v>
      </c>
      <c r="AS148" s="21" t="s">
        <v>3378</v>
      </c>
      <c r="AT148" s="37">
        <f>ROUND(BH148*0.15,0)</f>
        <v>169470</v>
      </c>
      <c r="AU148" s="21" t="s">
        <v>846</v>
      </c>
      <c r="AV148" s="37" cm="1">
        <f t="array" ref="AV148">SUMPRODUCT(($G$3:$G$1500=G148)*$AN$3:$AN$1500*$AO$3:$AO$1500)+AR148</f>
        <v>0</v>
      </c>
      <c r="AW148" s="37">
        <f>AT148</f>
        <v>169470</v>
      </c>
      <c r="AX148" s="21" t="str">
        <f>TEXT(EOMONTH(I148,0)+15,"dd-mmm-yyyy")&amp;" / "&amp;IF(BM148&gt;0,"CPR-IT-"&amp;TEXT(I148,"yymm")&amp;"-"&amp;RIGHT(G148,4),"Pending payment")</f>
        <v>15-Jun-2026 / CPR-IT-2605-0122</v>
      </c>
      <c r="AY148" s="21" t="str">
        <f>IF(BM148&gt;0,"Issued","Not yet")</f>
        <v>Issued</v>
      </c>
      <c r="AZ148" s="37">
        <v>0</v>
      </c>
      <c r="BA148" s="37">
        <v>0</v>
      </c>
      <c r="BB148" s="37">
        <v>0</v>
      </c>
      <c r="BC148" s="37">
        <v>0</v>
      </c>
      <c r="BD148" s="37">
        <v>0</v>
      </c>
      <c r="BE148" s="37">
        <f>AQ148</f>
        <v>1129800</v>
      </c>
      <c r="BF148" s="37">
        <f>AV148</f>
        <v>0</v>
      </c>
      <c r="BG148" s="37">
        <f>AZ148</f>
        <v>0</v>
      </c>
      <c r="BH148" s="37">
        <f>BE148+BF148+BG148</f>
        <v>1129800</v>
      </c>
      <c r="BI148" s="37">
        <f>AW148</f>
        <v>169470</v>
      </c>
      <c r="BJ148" s="37">
        <f>BA148+BB148+BC148+BD148</f>
        <v>0</v>
      </c>
      <c r="BK148" s="37">
        <f>BH148-BI148-BJ148</f>
        <v>960330</v>
      </c>
      <c r="BL148" s="21" t="str">
        <f>"PKR "&amp;TEXT(BK148,"#,##0")&amp;" only"</f>
        <v>PKR 960,330 only</v>
      </c>
      <c r="BM148" s="37">
        <f>SUMIFS('T10'!$AK$3:$AK$1500,'T10'!$V$3:$V$1500,G148)</f>
        <v>960330</v>
      </c>
      <c r="BN148" s="37">
        <f>BK148-BM148</f>
        <v>0</v>
      </c>
      <c r="BO148" s="21" t="str">
        <f>IF(BF148&gt;0,TEXT(I148,"mmm-yyyy")&amp;" sales tax return","N/A")</f>
        <v>N/A</v>
      </c>
      <c r="BP148" s="21" t="s">
        <v>3376</v>
      </c>
      <c r="BQ148" s="29">
        <f>J148+7</f>
        <v>46160</v>
      </c>
      <c r="BR148" s="29">
        <f>BQ148</f>
        <v>46160</v>
      </c>
      <c r="BS148" s="21" t="s">
        <v>3095</v>
      </c>
      <c r="BT148" s="21" t="s">
        <v>3360</v>
      </c>
      <c r="BU148" s="21" t="s">
        <v>844</v>
      </c>
      <c r="BV148" s="21" t="s">
        <v>846</v>
      </c>
      <c r="BW148" s="21" t="str" cm="1">
        <f t="array" ref="BW148">_xlfn.TEXTJOIN(", ",TRUE,_xlfn.UNIQUE(_xlfn._xlws.FILTER('T10'!$A$3:$A$1500,'T10'!$V$3:$V$1500=G148,"None")))</f>
        <v>PV-0050</v>
      </c>
      <c r="BX148" s="21" t="s">
        <v>4179</v>
      </c>
      <c r="BY148" s="21" t="s">
        <v>4180</v>
      </c>
    </row>
    <row r="149" spans="1:77" x14ac:dyDescent="0.3">
      <c r="A149" s="21" t="s">
        <v>3395</v>
      </c>
      <c r="B149" s="21" t="s">
        <v>4181</v>
      </c>
      <c r="C149" s="21" t="s">
        <v>4182</v>
      </c>
      <c r="D149" s="35">
        <v>46174.708333333336</v>
      </c>
      <c r="E149" s="21" t="s">
        <v>3347</v>
      </c>
      <c r="F149" s="21" t="str">
        <f ca="1">IF(S149="Paid","Completed","Pending payment")</f>
        <v>Completed</v>
      </c>
      <c r="G149" s="21" t="s">
        <v>4183</v>
      </c>
      <c r="H149" s="21" t="s">
        <v>3399</v>
      </c>
      <c r="I149" s="29">
        <v>46173</v>
      </c>
      <c r="J149" s="29">
        <v>46173</v>
      </c>
      <c r="K149" s="21" t="str">
        <f>TEXT(I149,"mmm-yyyy")</f>
        <v>May-2026</v>
      </c>
      <c r="L149" s="21" t="s">
        <v>1797</v>
      </c>
      <c r="M149" s="21">
        <v>1</v>
      </c>
      <c r="N149" s="21" t="s">
        <v>743</v>
      </c>
      <c r="O149" s="21" t="s">
        <v>3400</v>
      </c>
      <c r="P149" s="21" t="s">
        <v>3401</v>
      </c>
      <c r="Q149" s="21" t="s">
        <v>844</v>
      </c>
      <c r="R149" s="21" t="s">
        <v>4184</v>
      </c>
      <c r="S149" s="21" t="str">
        <f ca="1">IF(BN149&lt;1,"Paid",IF(BM149&gt;0,"Partially paid",IF(ISNUMBER(SEARCH("hold",BU149)),"On hold",IF(BQ149&lt;TODAY(),"Overdue","Approved - unpaid"))))</f>
        <v>Paid</v>
      </c>
      <c r="T149" s="21" t="s">
        <v>3403</v>
      </c>
      <c r="U149" s="21" t="s">
        <v>3404</v>
      </c>
      <c r="V149" s="21" t="s">
        <v>967</v>
      </c>
      <c r="W149" s="21" t="s">
        <v>746</v>
      </c>
      <c r="X149" s="21" t="s">
        <v>846</v>
      </c>
      <c r="Y149" s="21" t="s">
        <v>3405</v>
      </c>
      <c r="Z149" s="21" t="s">
        <v>3406</v>
      </c>
      <c r="AA149" s="21" t="s">
        <v>1062</v>
      </c>
      <c r="AB149" s="37">
        <v>0</v>
      </c>
      <c r="AC149" s="21" t="s">
        <v>4185</v>
      </c>
      <c r="AD149" s="21" t="s">
        <v>4186</v>
      </c>
      <c r="AE149" s="21" t="s">
        <v>3409</v>
      </c>
      <c r="AF149" s="21">
        <v>1</v>
      </c>
      <c r="AG149" s="21" t="s">
        <v>794</v>
      </c>
      <c r="AH149" s="21" t="s">
        <v>795</v>
      </c>
      <c r="AI149" s="21" t="s">
        <v>783</v>
      </c>
      <c r="AJ149" s="37">
        <v>230</v>
      </c>
      <c r="AK149" s="37">
        <v>230</v>
      </c>
      <c r="AL149" s="37">
        <v>28700</v>
      </c>
      <c r="AM149" s="37">
        <f>AK149*AL149</f>
        <v>6601000</v>
      </c>
      <c r="AN149" s="37">
        <f>AM149</f>
        <v>6601000</v>
      </c>
      <c r="AO149" s="23">
        <f>_xlfn.XLOOKUP(AG149,'T13'!$A$3:$A$1500,'T13'!$O$3:$O$1500)</f>
        <v>0.18</v>
      </c>
      <c r="AP149" s="37">
        <f>AK149*IF(AI149="MT",1000,IF(AI149="Jumbo bag (1.5 MT)",1500,IF(AI149="Bag (40 kg)",40,50)))*3</f>
        <v>690000</v>
      </c>
      <c r="AQ149" s="37">
        <f>SUMIFS($AN$3:$AN$1500,$G$3:$G$1500,G149)</f>
        <v>6601000</v>
      </c>
      <c r="AR149" s="37">
        <f>SUMIFS($AP$3:$AP$1500,$G$3:$G$1500,G149)</f>
        <v>690000</v>
      </c>
      <c r="AS149" s="21" t="s">
        <v>3410</v>
      </c>
      <c r="AT149" s="37">
        <f>ROUND(BH149*0.05,0)</f>
        <v>423959</v>
      </c>
      <c r="AU149" s="21" t="s">
        <v>846</v>
      </c>
      <c r="AV149" s="37" cm="1">
        <f t="array" ref="AV149">SUMPRODUCT(($G$3:$G$1500=G149)*$AN$3:$AN$1500*$AO$3:$AO$1500)+AR149</f>
        <v>1878180</v>
      </c>
      <c r="AW149" s="37">
        <f>AT149</f>
        <v>423959</v>
      </c>
      <c r="AX149" s="21" t="str">
        <f>TEXT(EOMONTH(I149,0)+15,"dd-mmm-yyyy")&amp;" / "&amp;IF(BM149&gt;0,"CPR-IT-"&amp;TEXT(I149,"yymm")&amp;"-"&amp;RIGHT(G149,4),"Pending payment")</f>
        <v>15-Jun-2026 / CPR-IT-2605-0123</v>
      </c>
      <c r="AY149" s="21" t="str">
        <f>IF(BM149&gt;0,"Issued","Not yet")</f>
        <v>Issued</v>
      </c>
      <c r="AZ149" s="37">
        <v>0</v>
      </c>
      <c r="BA149" s="37">
        <v>0</v>
      </c>
      <c r="BB149" s="37">
        <v>0</v>
      </c>
      <c r="BC149" s="37">
        <v>0</v>
      </c>
      <c r="BD149" s="37">
        <v>0</v>
      </c>
      <c r="BE149" s="37">
        <f>AQ149</f>
        <v>6601000</v>
      </c>
      <c r="BF149" s="37">
        <f>AV149</f>
        <v>1878180</v>
      </c>
      <c r="BG149" s="37">
        <f>AZ149</f>
        <v>0</v>
      </c>
      <c r="BH149" s="37">
        <f>BE149+BF149+BG149</f>
        <v>8479180</v>
      </c>
      <c r="BI149" s="37">
        <f>AW149</f>
        <v>423959</v>
      </c>
      <c r="BJ149" s="37">
        <f>BA149+BB149+BC149+BD149</f>
        <v>0</v>
      </c>
      <c r="BK149" s="37">
        <f>BH149-BI149-BJ149</f>
        <v>8055221</v>
      </c>
      <c r="BL149" s="21" t="str">
        <f>"PKR "&amp;TEXT(BK149,"#,##0")&amp;" only"</f>
        <v>PKR 8,055,221 only</v>
      </c>
      <c r="BM149" s="37">
        <f>SUMIFS('T10'!$AK$3:$AK$1500,'T10'!$V$3:$V$1500,G149)</f>
        <v>8055221</v>
      </c>
      <c r="BN149" s="37">
        <f>BK149-BM149</f>
        <v>0</v>
      </c>
      <c r="BO149" s="21" t="str">
        <f>IF(BF149&gt;0,TEXT(I149,"mmm-yyyy")&amp;" sales tax return","N/A")</f>
        <v>May-2026 sales tax return</v>
      </c>
      <c r="BP149" s="21" t="s">
        <v>1062</v>
      </c>
      <c r="BQ149" s="29">
        <f>J149+15</f>
        <v>46188</v>
      </c>
      <c r="BR149" s="29">
        <f>BQ149</f>
        <v>46188</v>
      </c>
      <c r="BS149" s="21" t="s">
        <v>3095</v>
      </c>
      <c r="BT149" s="21" t="s">
        <v>3411</v>
      </c>
      <c r="BU149" s="21" t="s">
        <v>844</v>
      </c>
      <c r="BV149" s="21" t="s">
        <v>846</v>
      </c>
      <c r="BW149" s="21" t="str" cm="1">
        <f t="array" ref="BW149">_xlfn.TEXTJOIN(", ",TRUE,_xlfn.UNIQUE(_xlfn._xlws.FILTER('T10'!$A$3:$A$1500,'T10'!$V$3:$V$1500=G149,"None")))</f>
        <v>PV-0057</v>
      </c>
      <c r="BX149" s="21" t="s">
        <v>4187</v>
      </c>
      <c r="BY149" s="21" t="s">
        <v>4188</v>
      </c>
    </row>
    <row r="150" spans="1:77" x14ac:dyDescent="0.3">
      <c r="A150" s="21" t="s">
        <v>3415</v>
      </c>
      <c r="B150" s="21" t="s">
        <v>4189</v>
      </c>
      <c r="C150" s="21" t="s">
        <v>4190</v>
      </c>
      <c r="D150" s="35">
        <v>46175.375</v>
      </c>
      <c r="E150" s="21" t="s">
        <v>3347</v>
      </c>
      <c r="F150" s="21" t="str">
        <f ca="1">IF(S150="Paid","Completed","Pending payment")</f>
        <v>Completed</v>
      </c>
      <c r="G150" s="21" t="s">
        <v>4191</v>
      </c>
      <c r="H150" s="21" t="s">
        <v>3399</v>
      </c>
      <c r="I150" s="29">
        <v>46173</v>
      </c>
      <c r="J150" s="29">
        <v>46173</v>
      </c>
      <c r="K150" s="21" t="str">
        <f>TEXT(I150,"mmm-yyyy")</f>
        <v>May-2026</v>
      </c>
      <c r="L150" s="21" t="s">
        <v>1797</v>
      </c>
      <c r="M150" s="21">
        <v>1</v>
      </c>
      <c r="N150" s="21" t="s">
        <v>743</v>
      </c>
      <c r="O150" s="21" t="s">
        <v>3400</v>
      </c>
      <c r="P150" s="21" t="s">
        <v>3401</v>
      </c>
      <c r="Q150" s="21" t="s">
        <v>844</v>
      </c>
      <c r="R150" s="21" t="s">
        <v>4192</v>
      </c>
      <c r="S150" s="21" t="str">
        <f ca="1">IF(BN150&lt;1,"Paid",IF(BM150&gt;0,"Partially paid",IF(ISNUMBER(SEARCH("hold",BU150)),"On hold",IF(BQ150&lt;TODAY(),"Overdue","Approved - unpaid"))))</f>
        <v>Paid</v>
      </c>
      <c r="T150" s="21" t="s">
        <v>3403</v>
      </c>
      <c r="U150" s="21" t="s">
        <v>3419</v>
      </c>
      <c r="V150" s="21" t="s">
        <v>999</v>
      </c>
      <c r="W150" s="21" t="s">
        <v>746</v>
      </c>
      <c r="X150" s="21" t="s">
        <v>3812</v>
      </c>
      <c r="Y150" s="21" t="s">
        <v>3420</v>
      </c>
      <c r="Z150" s="21" t="s">
        <v>3421</v>
      </c>
      <c r="AA150" s="21" t="s">
        <v>1062</v>
      </c>
      <c r="AB150" s="37">
        <v>0</v>
      </c>
      <c r="AC150" s="21" t="s">
        <v>4193</v>
      </c>
      <c r="AD150" s="21" t="s">
        <v>4194</v>
      </c>
      <c r="AE150" s="21" t="s">
        <v>3424</v>
      </c>
      <c r="AF150" s="21">
        <v>1</v>
      </c>
      <c r="AG150" s="21" t="s">
        <v>831</v>
      </c>
      <c r="AH150" s="21" t="s">
        <v>833</v>
      </c>
      <c r="AI150" s="21" t="s">
        <v>1804</v>
      </c>
      <c r="AJ150" s="37">
        <v>3000</v>
      </c>
      <c r="AK150" s="37">
        <v>3000</v>
      </c>
      <c r="AL150" s="37">
        <v>1555</v>
      </c>
      <c r="AM150" s="37">
        <f>AK150*AL150</f>
        <v>4665000</v>
      </c>
      <c r="AN150" s="37">
        <f>AM150</f>
        <v>4665000</v>
      </c>
      <c r="AO150" s="23">
        <f>_xlfn.XLOOKUP(AG150,'T13'!$A$3:$A$1500,'T13'!$O$3:$O$1500)</f>
        <v>0.18</v>
      </c>
      <c r="AP150" s="37">
        <f>AK150*IF(AI150="MT",1000,IF(AI150="Jumbo bag (1.5 MT)",1500,IF(AI150="Bag (40 kg)",40,50)))*3</f>
        <v>450000</v>
      </c>
      <c r="AQ150" s="37">
        <f>SUMIFS($AN$3:$AN$1500,$G$3:$G$1500,G150)</f>
        <v>4665000</v>
      </c>
      <c r="AR150" s="37">
        <f>SUMIFS($AP$3:$AP$1500,$G$3:$G$1500,G150)</f>
        <v>450000</v>
      </c>
      <c r="AS150" s="21" t="s">
        <v>3815</v>
      </c>
      <c r="AT150" s="37">
        <f>ROUND(BH150*0.01,0)</f>
        <v>59547</v>
      </c>
      <c r="AU150" s="21" t="s">
        <v>3816</v>
      </c>
      <c r="AV150" s="37" cm="1">
        <f t="array" ref="AV150">SUMPRODUCT(($G$3:$G$1500=G150)*$AN$3:$AN$1500*$AO$3:$AO$1500)+AR150</f>
        <v>1289700</v>
      </c>
      <c r="AW150" s="37">
        <f>AT150</f>
        <v>59547</v>
      </c>
      <c r="AX150" s="21" t="str">
        <f>TEXT(EOMONTH(I150,0)+15,"dd-mmm-yyyy")&amp;" / "&amp;IF(BM150&gt;0,"CPR-IT-"&amp;TEXT(I150,"yymm")&amp;"-"&amp;RIGHT(G150,4),"Pending payment")</f>
        <v>15-Jun-2026 / CPR-IT-2605-0124</v>
      </c>
      <c r="AY150" s="21" t="str">
        <f>IF(BM150&gt;0,"Issued","Not yet")</f>
        <v>Issued</v>
      </c>
      <c r="AZ150" s="37">
        <v>0</v>
      </c>
      <c r="BA150" s="37">
        <v>0</v>
      </c>
      <c r="BB150" s="37">
        <v>0</v>
      </c>
      <c r="BC150" s="37">
        <v>0</v>
      </c>
      <c r="BD150" s="37">
        <v>0</v>
      </c>
      <c r="BE150" s="37">
        <f>AQ150</f>
        <v>4665000</v>
      </c>
      <c r="BF150" s="37">
        <f>AV150</f>
        <v>1289700</v>
      </c>
      <c r="BG150" s="37">
        <f>AZ150</f>
        <v>0</v>
      </c>
      <c r="BH150" s="37">
        <f>BE150+BF150+BG150</f>
        <v>5954700</v>
      </c>
      <c r="BI150" s="37">
        <f>AW150</f>
        <v>59547</v>
      </c>
      <c r="BJ150" s="37">
        <f>BA150+BB150+BC150+BD150</f>
        <v>0</v>
      </c>
      <c r="BK150" s="37">
        <f>BH150-BI150-BJ150</f>
        <v>5895153</v>
      </c>
      <c r="BL150" s="21" t="str">
        <f>"PKR "&amp;TEXT(BK150,"#,##0")&amp;" only"</f>
        <v>PKR 5,895,153 only</v>
      </c>
      <c r="BM150" s="37">
        <f>SUMIFS('T10'!$AK$3:$AK$1500,'T10'!$V$3:$V$1500,G150)</f>
        <v>5895153</v>
      </c>
      <c r="BN150" s="37">
        <f>BK150-BM150</f>
        <v>0</v>
      </c>
      <c r="BO150" s="21" t="str">
        <f>IF(BF150&gt;0,TEXT(I150,"mmm-yyyy")&amp;" sales tax return","N/A")</f>
        <v>May-2026 sales tax return</v>
      </c>
      <c r="BP150" s="21" t="s">
        <v>1062</v>
      </c>
      <c r="BQ150" s="29">
        <f>J150+15</f>
        <v>46188</v>
      </c>
      <c r="BR150" s="29">
        <f>BQ150</f>
        <v>46188</v>
      </c>
      <c r="BS150" s="21" t="s">
        <v>3095</v>
      </c>
      <c r="BT150" s="21" t="s">
        <v>3411</v>
      </c>
      <c r="BU150" s="21" t="s">
        <v>844</v>
      </c>
      <c r="BV150" s="21" t="s">
        <v>846</v>
      </c>
      <c r="BW150" s="21" t="str" cm="1">
        <f t="array" ref="BW150">_xlfn.TEXTJOIN(", ",TRUE,_xlfn.UNIQUE(_xlfn._xlws.FILTER('T10'!$A$3:$A$1500,'T10'!$V$3:$V$1500=G150,"None")))</f>
        <v>PV-0056</v>
      </c>
      <c r="BX150" s="21" t="s">
        <v>4187</v>
      </c>
      <c r="BY150" s="21" t="s">
        <v>4188</v>
      </c>
    </row>
    <row r="151" spans="1:77" x14ac:dyDescent="0.3">
      <c r="A151" s="21" t="s">
        <v>3425</v>
      </c>
      <c r="B151" s="21" t="s">
        <v>2755</v>
      </c>
      <c r="C151" s="21" t="s">
        <v>4195</v>
      </c>
      <c r="D151" s="35">
        <v>46176.416666666664</v>
      </c>
      <c r="E151" s="21" t="s">
        <v>3347</v>
      </c>
      <c r="F151" s="21" t="str">
        <f ca="1">IF(S151="Paid","Completed","Pending payment")</f>
        <v>Pending payment</v>
      </c>
      <c r="G151" s="21" t="s">
        <v>4196</v>
      </c>
      <c r="H151" s="21" t="s">
        <v>3428</v>
      </c>
      <c r="I151" s="29">
        <v>46176</v>
      </c>
      <c r="J151" s="29">
        <v>46174</v>
      </c>
      <c r="K151" s="21" t="str">
        <f>TEXT(I151,"mmm-yyyy")</f>
        <v>Jun-2026</v>
      </c>
      <c r="L151" s="21" t="s">
        <v>1797</v>
      </c>
      <c r="M151" s="21">
        <v>1</v>
      </c>
      <c r="N151" s="21" t="s">
        <v>743</v>
      </c>
      <c r="O151" s="21" t="s">
        <v>3350</v>
      </c>
      <c r="P151" s="21" t="s">
        <v>3429</v>
      </c>
      <c r="Q151" s="21" t="s">
        <v>844</v>
      </c>
      <c r="R151" s="21" t="s">
        <v>4197</v>
      </c>
      <c r="S151" s="21" t="str">
        <f ca="1">IF(BN151&lt;1,"Paid",IF(BM151&gt;0,"Partially paid",IF(ISNUMBER(SEARCH("hold",BU151)),"On hold",IF(BQ151&lt;TODAY(),"Overdue","Approved - unpaid"))))</f>
        <v>On hold</v>
      </c>
      <c r="T151" s="21" t="s">
        <v>3431</v>
      </c>
      <c r="U151" s="21" t="s">
        <v>1339</v>
      </c>
      <c r="V151" s="21" t="s">
        <v>1207</v>
      </c>
      <c r="W151" s="21" t="s">
        <v>1066</v>
      </c>
      <c r="X151" s="21" t="s">
        <v>846</v>
      </c>
      <c r="Y151" s="21" t="s">
        <v>3432</v>
      </c>
      <c r="Z151" s="21" t="s">
        <v>3433</v>
      </c>
      <c r="AA151" s="21" t="s">
        <v>1051</v>
      </c>
      <c r="AB151" s="37">
        <v>0</v>
      </c>
      <c r="AC151" s="21" t="s">
        <v>844</v>
      </c>
      <c r="AD151" s="21" t="s">
        <v>844</v>
      </c>
      <c r="AE151" s="21" t="s">
        <v>3434</v>
      </c>
      <c r="AF151" s="21">
        <v>1</v>
      </c>
      <c r="AG151" s="21" t="s">
        <v>853</v>
      </c>
      <c r="AH151" s="21" t="s">
        <v>855</v>
      </c>
      <c r="AI151" s="21" t="s">
        <v>842</v>
      </c>
      <c r="AJ151" s="37">
        <f>COUNTIFS('T14'!$AQ$3:$AQ$1500,B151,'T14'!$Z$3:$Z$1500,1,'T14'!$F$3:$F$1500,"Bulker")</f>
        <v>6</v>
      </c>
      <c r="AK151" s="37">
        <f>AJ151</f>
        <v>6</v>
      </c>
      <c r="AL151" s="37">
        <v>60200</v>
      </c>
      <c r="AM151" s="37">
        <f>AK151*AL151</f>
        <v>361200</v>
      </c>
      <c r="AN151" s="37">
        <f>AM151</f>
        <v>361200</v>
      </c>
      <c r="AO151" s="23">
        <f>_xlfn.XLOOKUP(AG151,'T13'!$A$3:$A$1500,'T13'!$O$3:$O$1500)</f>
        <v>0.16</v>
      </c>
      <c r="AP151" s="37">
        <v>0</v>
      </c>
      <c r="AQ151" s="37">
        <f>SUMIFS($AN$3:$AN$1500,$G$3:$G$1500,G151)</f>
        <v>361200</v>
      </c>
      <c r="AR151" s="37">
        <f>SUMIFS($AP$3:$AP$1500,$G$3:$G$1500,G151)</f>
        <v>0</v>
      </c>
      <c r="AS151" s="21" t="s">
        <v>3435</v>
      </c>
      <c r="AT151" s="37">
        <f>ROUND(BH151*0.08,0)</f>
        <v>33519</v>
      </c>
      <c r="AU151" s="21" t="s">
        <v>846</v>
      </c>
      <c r="AV151" s="37" cm="1">
        <f t="array" ref="AV151">SUMPRODUCT(($G$3:$G$1500=G151)*$AN$3:$AN$1500*$AO$3:$AO$1500)+AR151</f>
        <v>57792</v>
      </c>
      <c r="AW151" s="37">
        <f>AT151</f>
        <v>33519</v>
      </c>
      <c r="AX151" s="21" t="str">
        <f>TEXT(EOMONTH(I151,0)+15,"dd-mmm-yyyy")&amp;" / "&amp;IF(BM151&gt;0,"CPR-IT-"&amp;TEXT(I151,"yymm")&amp;"-"&amp;RIGHT(G151,4),"Pending payment")</f>
        <v>15-Jul-2026 / Pending payment</v>
      </c>
      <c r="AY151" s="21" t="str">
        <f>IF(BM151&gt;0,"Issued","Not yet")</f>
        <v>Not yet</v>
      </c>
      <c r="AZ151" s="37">
        <v>0</v>
      </c>
      <c r="BA151" s="37">
        <v>0</v>
      </c>
      <c r="BB151" s="37">
        <v>0</v>
      </c>
      <c r="BC151" s="37">
        <v>0</v>
      </c>
      <c r="BD151" s="37">
        <v>0</v>
      </c>
      <c r="BE151" s="37">
        <f>AQ151</f>
        <v>361200</v>
      </c>
      <c r="BF151" s="37">
        <f>AV151</f>
        <v>57792</v>
      </c>
      <c r="BG151" s="37">
        <f>AZ151</f>
        <v>0</v>
      </c>
      <c r="BH151" s="37">
        <f>BE151+BF151+BG151</f>
        <v>418992</v>
      </c>
      <c r="BI151" s="37">
        <f>AW151</f>
        <v>33519</v>
      </c>
      <c r="BJ151" s="37">
        <f>BA151+BB151+BC151+BD151</f>
        <v>0</v>
      </c>
      <c r="BK151" s="37">
        <f>BH151-BI151-BJ151</f>
        <v>385473</v>
      </c>
      <c r="BL151" s="21" t="str">
        <f>"PKR "&amp;TEXT(BK151,"#,##0")&amp;" only"</f>
        <v>PKR 385,473 only</v>
      </c>
      <c r="BM151" s="37">
        <f>SUMIFS('T10'!$AK$3:$AK$1500,'T10'!$V$3:$V$1500,G151)</f>
        <v>0</v>
      </c>
      <c r="BN151" s="37">
        <f>BK151-BM151</f>
        <v>385473</v>
      </c>
      <c r="BO151" s="21" t="str">
        <f>IF(BF151&gt;0,TEXT(I151,"mmm-yyyy")&amp;" sales tax return","N/A")</f>
        <v>Jun-2026 sales tax return</v>
      </c>
      <c r="BP151" s="21" t="s">
        <v>1051</v>
      </c>
      <c r="BQ151" s="29">
        <f>J151+30</f>
        <v>46204</v>
      </c>
      <c r="BR151" s="29">
        <f>BQ151</f>
        <v>46204</v>
      </c>
      <c r="BS151" s="21" t="s">
        <v>3095</v>
      </c>
      <c r="BT151" s="21" t="s">
        <v>3360</v>
      </c>
      <c r="BU151" s="21" t="s">
        <v>4198</v>
      </c>
      <c r="BV151" s="21" t="s">
        <v>846</v>
      </c>
      <c r="BW151" s="21" t="str" cm="1">
        <f t="array" ref="BW151">_xlfn.TEXTJOIN(", ",TRUE,_xlfn.UNIQUE(_xlfn._xlws.FILTER('T10'!$A$3:$A$1500,'T10'!$V$3:$V$1500=G151,"None")))</f>
        <v>None</v>
      </c>
      <c r="BX151" s="21" t="s">
        <v>4199</v>
      </c>
      <c r="BY151" s="21" t="s">
        <v>1760</v>
      </c>
    </row>
    <row r="152" spans="1:77" x14ac:dyDescent="0.3">
      <c r="A152" s="21" t="s">
        <v>3489</v>
      </c>
      <c r="B152" s="21" t="s">
        <v>2761</v>
      </c>
      <c r="C152" s="21" t="s">
        <v>4200</v>
      </c>
      <c r="D152" s="35">
        <v>46175.375</v>
      </c>
      <c r="E152" s="21" t="s">
        <v>3347</v>
      </c>
      <c r="F152" s="21" t="str">
        <f ca="1">IF(S152="Paid","Completed","Pending payment")</f>
        <v>Completed</v>
      </c>
      <c r="G152" s="21" t="s">
        <v>4201</v>
      </c>
      <c r="H152" s="21" t="s">
        <v>3428</v>
      </c>
      <c r="I152" s="29">
        <v>46176</v>
      </c>
      <c r="J152" s="29">
        <v>46174</v>
      </c>
      <c r="K152" s="21" t="str">
        <f>TEXT(I152,"mmm-yyyy")</f>
        <v>Jun-2026</v>
      </c>
      <c r="L152" s="21" t="s">
        <v>1797</v>
      </c>
      <c r="M152" s="21">
        <v>1</v>
      </c>
      <c r="N152" s="21" t="s">
        <v>743</v>
      </c>
      <c r="O152" s="21" t="s">
        <v>3350</v>
      </c>
      <c r="P152" s="21" t="s">
        <v>3429</v>
      </c>
      <c r="Q152" s="21" t="s">
        <v>844</v>
      </c>
      <c r="R152" s="21" t="s">
        <v>4202</v>
      </c>
      <c r="S152" s="21" t="str">
        <f ca="1">IF(BN152&lt;1,"Paid",IF(BM152&gt;0,"Partially paid",IF(ISNUMBER(SEARCH("hold",BU152)),"On hold",IF(BQ152&lt;TODAY(),"Overdue","Approved - unpaid"))))</f>
        <v>Paid</v>
      </c>
      <c r="T152" s="21" t="s">
        <v>3431</v>
      </c>
      <c r="U152" s="21" t="s">
        <v>1213</v>
      </c>
      <c r="V152" s="21" t="s">
        <v>1194</v>
      </c>
      <c r="W152" s="21" t="s">
        <v>746</v>
      </c>
      <c r="X152" s="21" t="s">
        <v>846</v>
      </c>
      <c r="Y152" s="21" t="s">
        <v>3493</v>
      </c>
      <c r="Z152" s="21" t="s">
        <v>3494</v>
      </c>
      <c r="AA152" s="21" t="s">
        <v>1051</v>
      </c>
      <c r="AB152" s="37">
        <v>0</v>
      </c>
      <c r="AC152" s="21" t="s">
        <v>844</v>
      </c>
      <c r="AD152" s="21" t="s">
        <v>844</v>
      </c>
      <c r="AE152" s="21" t="s">
        <v>3495</v>
      </c>
      <c r="AF152" s="21">
        <v>1</v>
      </c>
      <c r="AG152" s="21" t="s">
        <v>837</v>
      </c>
      <c r="AH152" s="21" t="s">
        <v>840</v>
      </c>
      <c r="AI152" s="21" t="s">
        <v>842</v>
      </c>
      <c r="AJ152" s="37">
        <f>COUNTIFS('T14'!$AQ$3:$AQ$1500,B152,'T14'!$Z$3:$Z$1500,1,'T14'!$F$3:$F$1500,"Bag")</f>
        <v>4</v>
      </c>
      <c r="AK152" s="37">
        <f>AJ152</f>
        <v>4</v>
      </c>
      <c r="AL152" s="37">
        <v>41600</v>
      </c>
      <c r="AM152" s="37">
        <f>AK152*AL152</f>
        <v>166400</v>
      </c>
      <c r="AN152" s="37">
        <f>AM152</f>
        <v>166400</v>
      </c>
      <c r="AO152" s="23">
        <f>_xlfn.XLOOKUP(AG152,'T13'!$A$3:$A$1500,'T13'!$O$3:$O$1500)</f>
        <v>0.16</v>
      </c>
      <c r="AP152" s="37">
        <v>0</v>
      </c>
      <c r="AQ152" s="37">
        <f>SUMIFS($AN$3:$AN$1500,$G$3:$G$1500,G152)</f>
        <v>166400</v>
      </c>
      <c r="AR152" s="37">
        <f>SUMIFS($AP$3:$AP$1500,$G$3:$G$1500,G152)</f>
        <v>0</v>
      </c>
      <c r="AS152" s="21" t="s">
        <v>3444</v>
      </c>
      <c r="AT152" s="37">
        <f>ROUND(BH152*0.04,0)</f>
        <v>7721</v>
      </c>
      <c r="AU152" s="21" t="s">
        <v>846</v>
      </c>
      <c r="AV152" s="37" cm="1">
        <f t="array" ref="AV152">SUMPRODUCT(($G$3:$G$1500=G152)*$AN$3:$AN$1500*$AO$3:$AO$1500)+AR152</f>
        <v>26624</v>
      </c>
      <c r="AW152" s="37">
        <f>AT152</f>
        <v>7721</v>
      </c>
      <c r="AX152" s="21" t="str">
        <f>TEXT(EOMONTH(I152,0)+15,"dd-mmm-yyyy")&amp;" / "&amp;IF(BM152&gt;0,"CPR-IT-"&amp;TEXT(I152,"yymm")&amp;"-"&amp;RIGHT(G152,4),"Pending payment")</f>
        <v>15-Jul-2026 / CPR-IT-2606-0126</v>
      </c>
      <c r="AY152" s="21" t="str">
        <f>IF(BM152&gt;0,"Issued","Not yet")</f>
        <v>Issued</v>
      </c>
      <c r="AZ152" s="37">
        <v>0</v>
      </c>
      <c r="BA152" s="37">
        <v>0</v>
      </c>
      <c r="BB152" s="37">
        <v>0</v>
      </c>
      <c r="BC152" s="37">
        <v>0</v>
      </c>
      <c r="BD152" s="37">
        <v>0</v>
      </c>
      <c r="BE152" s="37">
        <f>AQ152</f>
        <v>166400</v>
      </c>
      <c r="BF152" s="37">
        <f>AV152</f>
        <v>26624</v>
      </c>
      <c r="BG152" s="37">
        <f>AZ152</f>
        <v>0</v>
      </c>
      <c r="BH152" s="37">
        <f>BE152+BF152+BG152</f>
        <v>193024</v>
      </c>
      <c r="BI152" s="37">
        <f>AW152</f>
        <v>7721</v>
      </c>
      <c r="BJ152" s="37">
        <f>BA152+BB152+BC152+BD152</f>
        <v>0</v>
      </c>
      <c r="BK152" s="37">
        <f>BH152-BI152-BJ152</f>
        <v>185303</v>
      </c>
      <c r="BL152" s="21" t="str">
        <f>"PKR "&amp;TEXT(BK152,"#,##0")&amp;" only"</f>
        <v>PKR 185,303 only</v>
      </c>
      <c r="BM152" s="37">
        <f>SUMIFS('T10'!$AK$3:$AK$1500,'T10'!$V$3:$V$1500,G152)</f>
        <v>185303</v>
      </c>
      <c r="BN152" s="37">
        <f>BK152-BM152</f>
        <v>0</v>
      </c>
      <c r="BO152" s="21" t="str">
        <f>IF(BF152&gt;0,TEXT(I152,"mmm-yyyy")&amp;" sales tax return","N/A")</f>
        <v>Jun-2026 sales tax return</v>
      </c>
      <c r="BP152" s="21" t="s">
        <v>1051</v>
      </c>
      <c r="BQ152" s="29">
        <f>J152+30</f>
        <v>46204</v>
      </c>
      <c r="BR152" s="29">
        <f>BQ152</f>
        <v>46204</v>
      </c>
      <c r="BS152" s="21" t="s">
        <v>3095</v>
      </c>
      <c r="BT152" s="21" t="s">
        <v>3360</v>
      </c>
      <c r="BU152" s="21" t="s">
        <v>844</v>
      </c>
      <c r="BV152" s="21" t="s">
        <v>846</v>
      </c>
      <c r="BW152" s="21" t="str" cm="1">
        <f t="array" ref="BW152">_xlfn.TEXTJOIN(", ",TRUE,_xlfn.UNIQUE(_xlfn._xlws.FILTER('T10'!$A$3:$A$1500,'T10'!$V$3:$V$1500=G152,"None")))</f>
        <v>PV-0060</v>
      </c>
      <c r="BX152" s="21" t="s">
        <v>4199</v>
      </c>
      <c r="BY152" s="21" t="s">
        <v>4203</v>
      </c>
    </row>
    <row r="153" spans="1:77" x14ac:dyDescent="0.3">
      <c r="A153" s="21" t="s">
        <v>3438</v>
      </c>
      <c r="B153" s="21" t="s">
        <v>2777</v>
      </c>
      <c r="C153" s="21" t="s">
        <v>4204</v>
      </c>
      <c r="D153" s="35">
        <v>46175.5</v>
      </c>
      <c r="E153" s="21" t="s">
        <v>3347</v>
      </c>
      <c r="F153" s="21" t="str">
        <f ca="1">IF(S153="Paid","Completed","Pending payment")</f>
        <v>Completed</v>
      </c>
      <c r="G153" s="21" t="s">
        <v>4205</v>
      </c>
      <c r="H153" s="21" t="s">
        <v>3428</v>
      </c>
      <c r="I153" s="29">
        <v>46176</v>
      </c>
      <c r="J153" s="29">
        <v>46174</v>
      </c>
      <c r="K153" s="21" t="str">
        <f>TEXT(I153,"mmm-yyyy")</f>
        <v>Jun-2026</v>
      </c>
      <c r="L153" s="21" t="s">
        <v>1797</v>
      </c>
      <c r="M153" s="21">
        <v>1</v>
      </c>
      <c r="N153" s="21" t="s">
        <v>743</v>
      </c>
      <c r="O153" s="21" t="s">
        <v>3350</v>
      </c>
      <c r="P153" s="21" t="s">
        <v>3429</v>
      </c>
      <c r="Q153" s="21" t="s">
        <v>844</v>
      </c>
      <c r="R153" s="21" t="s">
        <v>4202</v>
      </c>
      <c r="S153" s="21" t="str">
        <f ca="1">IF(BN153&lt;1,"Paid",IF(BM153&gt;0,"Partially paid",IF(ISNUMBER(SEARCH("hold",BU153)),"On hold",IF(BQ153&lt;TODAY(),"Overdue","Approved - unpaid"))))</f>
        <v>Paid</v>
      </c>
      <c r="T153" s="21" t="s">
        <v>3431</v>
      </c>
      <c r="U153" s="21" t="s">
        <v>1278</v>
      </c>
      <c r="V153" s="21" t="s">
        <v>1200</v>
      </c>
      <c r="W153" s="21" t="s">
        <v>746</v>
      </c>
      <c r="X153" s="21" t="s">
        <v>846</v>
      </c>
      <c r="Y153" s="21" t="s">
        <v>3441</v>
      </c>
      <c r="Z153" s="21" t="s">
        <v>3442</v>
      </c>
      <c r="AA153" s="21" t="s">
        <v>1051</v>
      </c>
      <c r="AB153" s="37">
        <v>0</v>
      </c>
      <c r="AC153" s="21" t="s">
        <v>844</v>
      </c>
      <c r="AD153" s="21" t="s">
        <v>844</v>
      </c>
      <c r="AE153" s="21" t="s">
        <v>3443</v>
      </c>
      <c r="AF153" s="21">
        <v>1</v>
      </c>
      <c r="AG153" s="21" t="s">
        <v>837</v>
      </c>
      <c r="AH153" s="21" t="s">
        <v>840</v>
      </c>
      <c r="AI153" s="21" t="s">
        <v>842</v>
      </c>
      <c r="AJ153" s="37">
        <f>COUNTIFS('T14'!$AQ$3:$AQ$1500,B153,'T14'!$Z$3:$Z$1500,1,'T14'!$F$3:$F$1500,"Bag")</f>
        <v>2</v>
      </c>
      <c r="AK153" s="37">
        <f>AJ153</f>
        <v>2</v>
      </c>
      <c r="AL153" s="37">
        <v>41600</v>
      </c>
      <c r="AM153" s="37">
        <f>AK153*AL153</f>
        <v>83200</v>
      </c>
      <c r="AN153" s="37">
        <f>AM153</f>
        <v>83200</v>
      </c>
      <c r="AO153" s="23">
        <f>_xlfn.XLOOKUP(AG153,'T13'!$A$3:$A$1500,'T13'!$O$3:$O$1500)</f>
        <v>0.16</v>
      </c>
      <c r="AP153" s="37">
        <v>0</v>
      </c>
      <c r="AQ153" s="37">
        <f>SUMIFS($AN$3:$AN$1500,$G$3:$G$1500,G153)</f>
        <v>83200</v>
      </c>
      <c r="AR153" s="37">
        <f>SUMIFS($AP$3:$AP$1500,$G$3:$G$1500,G153)</f>
        <v>0</v>
      </c>
      <c r="AS153" s="21" t="s">
        <v>3444</v>
      </c>
      <c r="AT153" s="37">
        <f>ROUND(BH153*0.04,0)</f>
        <v>3860</v>
      </c>
      <c r="AU153" s="21" t="s">
        <v>846</v>
      </c>
      <c r="AV153" s="37" cm="1">
        <f t="array" ref="AV153">SUMPRODUCT(($G$3:$G$1500=G153)*$AN$3:$AN$1500*$AO$3:$AO$1500)+AR153</f>
        <v>13312</v>
      </c>
      <c r="AW153" s="37">
        <f>AT153</f>
        <v>3860</v>
      </c>
      <c r="AX153" s="21" t="str">
        <f>TEXT(EOMONTH(I153,0)+15,"dd-mmm-yyyy")&amp;" / "&amp;IF(BM153&gt;0,"CPR-IT-"&amp;TEXT(I153,"yymm")&amp;"-"&amp;RIGHT(G153,4),"Pending payment")</f>
        <v>15-Jul-2026 / CPR-IT-2606-0127</v>
      </c>
      <c r="AY153" s="21" t="str">
        <f>IF(BM153&gt;0,"Issued","Not yet")</f>
        <v>Issued</v>
      </c>
      <c r="AZ153" s="37">
        <v>0</v>
      </c>
      <c r="BA153" s="37">
        <v>0</v>
      </c>
      <c r="BB153" s="37">
        <v>0</v>
      </c>
      <c r="BC153" s="37">
        <v>0</v>
      </c>
      <c r="BD153" s="37">
        <v>0</v>
      </c>
      <c r="BE153" s="37">
        <f>AQ153</f>
        <v>83200</v>
      </c>
      <c r="BF153" s="37">
        <f>AV153</f>
        <v>13312</v>
      </c>
      <c r="BG153" s="37">
        <f>AZ153</f>
        <v>0</v>
      </c>
      <c r="BH153" s="37">
        <f>BE153+BF153+BG153</f>
        <v>96512</v>
      </c>
      <c r="BI153" s="37">
        <f>AW153</f>
        <v>3860</v>
      </c>
      <c r="BJ153" s="37">
        <f>BA153+BB153+BC153+BD153</f>
        <v>0</v>
      </c>
      <c r="BK153" s="37">
        <f>BH153-BI153-BJ153</f>
        <v>92652</v>
      </c>
      <c r="BL153" s="21" t="str">
        <f>"PKR "&amp;TEXT(BK153,"#,##0")&amp;" only"</f>
        <v>PKR 92,652 only</v>
      </c>
      <c r="BM153" s="37">
        <f>SUMIFS('T10'!$AK$3:$AK$1500,'T10'!$V$3:$V$1500,G153)</f>
        <v>92652</v>
      </c>
      <c r="BN153" s="37">
        <f>BK153-BM153</f>
        <v>0</v>
      </c>
      <c r="BO153" s="21" t="str">
        <f>IF(BF153&gt;0,TEXT(I153,"mmm-yyyy")&amp;" sales tax return","N/A")</f>
        <v>Jun-2026 sales tax return</v>
      </c>
      <c r="BP153" s="21" t="s">
        <v>1051</v>
      </c>
      <c r="BQ153" s="29">
        <f>J153+30</f>
        <v>46204</v>
      </c>
      <c r="BR153" s="29">
        <f>BQ153</f>
        <v>46204</v>
      </c>
      <c r="BS153" s="21" t="s">
        <v>3095</v>
      </c>
      <c r="BT153" s="21" t="s">
        <v>3360</v>
      </c>
      <c r="BU153" s="21" t="s">
        <v>844</v>
      </c>
      <c r="BV153" s="21" t="s">
        <v>846</v>
      </c>
      <c r="BW153" s="21" t="str" cm="1">
        <f t="array" ref="BW153">_xlfn.TEXTJOIN(", ",TRUE,_xlfn.UNIQUE(_xlfn._xlws.FILTER('T10'!$A$3:$A$1500,'T10'!$V$3:$V$1500=G153,"None")))</f>
        <v>PV-0059</v>
      </c>
      <c r="BX153" s="21" t="s">
        <v>4199</v>
      </c>
      <c r="BY153" s="21" t="s">
        <v>4203</v>
      </c>
    </row>
    <row r="154" spans="1:77" x14ac:dyDescent="0.3">
      <c r="A154" s="21" t="s">
        <v>3381</v>
      </c>
      <c r="B154" s="21" t="s">
        <v>4206</v>
      </c>
      <c r="C154" s="21" t="s">
        <v>4207</v>
      </c>
      <c r="D154" s="35">
        <v>46176.708333333336</v>
      </c>
      <c r="E154" s="21" t="s">
        <v>3347</v>
      </c>
      <c r="F154" s="21" t="str">
        <f ca="1">IF(S154="Paid","Completed","Pending payment")</f>
        <v>Completed</v>
      </c>
      <c r="G154" s="21" t="s">
        <v>4208</v>
      </c>
      <c r="H154" s="21" t="s">
        <v>3385</v>
      </c>
      <c r="I154" s="29">
        <v>46177</v>
      </c>
      <c r="J154" s="29">
        <v>46175</v>
      </c>
      <c r="K154" s="21" t="str">
        <f>TEXT(I154,"mmm-yyyy")</f>
        <v>Jun-2026</v>
      </c>
      <c r="L154" s="21" t="s">
        <v>1797</v>
      </c>
      <c r="M154" s="21">
        <v>1</v>
      </c>
      <c r="N154" s="21" t="s">
        <v>743</v>
      </c>
      <c r="O154" s="21" t="s">
        <v>3350</v>
      </c>
      <c r="P154" s="21" t="s">
        <v>3351</v>
      </c>
      <c r="Q154" s="21" t="s">
        <v>844</v>
      </c>
      <c r="R154" s="21" t="s">
        <v>4209</v>
      </c>
      <c r="S154" s="21" t="str">
        <f ca="1">IF(BN154&lt;1,"Paid",IF(BM154&gt;0,"Partially paid",IF(ISNUMBER(SEARCH("hold",BU154)),"On hold",IF(BQ154&lt;TODAY(),"Overdue","Approved - unpaid"))))</f>
        <v>Paid</v>
      </c>
      <c r="T154" s="21" t="s">
        <v>3387</v>
      </c>
      <c r="U154" s="21" t="s">
        <v>3388</v>
      </c>
      <c r="V154" s="21" t="s">
        <v>3389</v>
      </c>
      <c r="W154" s="21" t="s">
        <v>746</v>
      </c>
      <c r="X154" s="21" t="s">
        <v>846</v>
      </c>
      <c r="Y154" s="21" t="s">
        <v>3390</v>
      </c>
      <c r="Z154" s="21" t="s">
        <v>3391</v>
      </c>
      <c r="AA154" s="21" t="s">
        <v>1051</v>
      </c>
      <c r="AB154" s="37">
        <v>0</v>
      </c>
      <c r="AC154" s="21" t="s">
        <v>844</v>
      </c>
      <c r="AD154" s="21" t="s">
        <v>844</v>
      </c>
      <c r="AE154" s="21" t="s">
        <v>844</v>
      </c>
      <c r="AF154" s="21">
        <v>1</v>
      </c>
      <c r="AG154" s="21" t="s">
        <v>959</v>
      </c>
      <c r="AH154" s="21" t="s">
        <v>961</v>
      </c>
      <c r="AI154" s="21" t="s">
        <v>905</v>
      </c>
      <c r="AJ154" s="37">
        <v>1</v>
      </c>
      <c r="AK154" s="37">
        <v>1</v>
      </c>
      <c r="AL154" s="37">
        <v>194400</v>
      </c>
      <c r="AM154" s="37">
        <f>AK154*AL154</f>
        <v>194400</v>
      </c>
      <c r="AN154" s="37">
        <f>AM154</f>
        <v>194400</v>
      </c>
      <c r="AO154" s="23">
        <f>_xlfn.XLOOKUP(AG154,'T13'!$A$3:$A$1500,'T13'!$O$3:$O$1500)</f>
        <v>0.16</v>
      </c>
      <c r="AP154" s="37">
        <v>0</v>
      </c>
      <c r="AQ154" s="37">
        <f>SUMIFS($AN$3:$AN$1500,$G$3:$G$1500,G154)</f>
        <v>194400</v>
      </c>
      <c r="AR154" s="37">
        <f>SUMIFS($AP$3:$AP$1500,$G$3:$G$1500,G154)</f>
        <v>0</v>
      </c>
      <c r="AS154" s="21" t="s">
        <v>3392</v>
      </c>
      <c r="AT154" s="37">
        <f>ROUND(BH154*0.11,0)</f>
        <v>24805</v>
      </c>
      <c r="AU154" s="21" t="s">
        <v>846</v>
      </c>
      <c r="AV154" s="37" cm="1">
        <f t="array" ref="AV154">SUMPRODUCT(($G$3:$G$1500=G154)*$AN$3:$AN$1500*$AO$3:$AO$1500)+AR154</f>
        <v>31104</v>
      </c>
      <c r="AW154" s="37">
        <f>AT154</f>
        <v>24805</v>
      </c>
      <c r="AX154" s="21" t="str">
        <f>TEXT(EOMONTH(I154,0)+15,"dd-mmm-yyyy")&amp;" / "&amp;IF(BM154&gt;0,"CPR-IT-"&amp;TEXT(I154,"yymm")&amp;"-"&amp;RIGHT(G154,4),"Pending payment")</f>
        <v>15-Jul-2026 / CPR-IT-2606-0128</v>
      </c>
      <c r="AY154" s="21" t="str">
        <f>IF(BM154&gt;0,"Issued","Not yet")</f>
        <v>Issued</v>
      </c>
      <c r="AZ154" s="37">
        <v>0</v>
      </c>
      <c r="BA154" s="37">
        <v>0</v>
      </c>
      <c r="BB154" s="37">
        <v>0</v>
      </c>
      <c r="BC154" s="37">
        <v>0</v>
      </c>
      <c r="BD154" s="37">
        <v>0</v>
      </c>
      <c r="BE154" s="37">
        <f>AQ154</f>
        <v>194400</v>
      </c>
      <c r="BF154" s="37">
        <f>AV154</f>
        <v>31104</v>
      </c>
      <c r="BG154" s="37">
        <f>AZ154</f>
        <v>0</v>
      </c>
      <c r="BH154" s="37">
        <f>BE154+BF154+BG154</f>
        <v>225504</v>
      </c>
      <c r="BI154" s="37">
        <f>AW154</f>
        <v>24805</v>
      </c>
      <c r="BJ154" s="37">
        <f>BA154+BB154+BC154+BD154</f>
        <v>0</v>
      </c>
      <c r="BK154" s="37">
        <f>BH154-BI154-BJ154</f>
        <v>200699</v>
      </c>
      <c r="BL154" s="21" t="str">
        <f>"PKR "&amp;TEXT(BK154,"#,##0")&amp;" only"</f>
        <v>PKR 200,699 only</v>
      </c>
      <c r="BM154" s="37">
        <f>SUMIFS('T10'!$AK$3:$AK$1500,'T10'!$V$3:$V$1500,G154)</f>
        <v>200699</v>
      </c>
      <c r="BN154" s="37">
        <f>BK154-BM154</f>
        <v>0</v>
      </c>
      <c r="BO154" s="21" t="str">
        <f>IF(BF154&gt;0,TEXT(I154,"mmm-yyyy")&amp;" sales tax return","N/A")</f>
        <v>Jun-2026 sales tax return</v>
      </c>
      <c r="BP154" s="21" t="s">
        <v>1051</v>
      </c>
      <c r="BQ154" s="29">
        <f>J154+30</f>
        <v>46205</v>
      </c>
      <c r="BR154" s="29">
        <f>BQ154</f>
        <v>46205</v>
      </c>
      <c r="BS154" s="21" t="s">
        <v>3095</v>
      </c>
      <c r="BT154" s="21" t="s">
        <v>3360</v>
      </c>
      <c r="BU154" s="21" t="s">
        <v>844</v>
      </c>
      <c r="BV154" s="21" t="s">
        <v>846</v>
      </c>
      <c r="BW154" s="21" t="str" cm="1">
        <f t="array" ref="BW154">_xlfn.TEXTJOIN(", ",TRUE,_xlfn.UNIQUE(_xlfn._xlws.FILTER('T10'!$A$3:$A$1500,'T10'!$V$3:$V$1500=G154,"None")))</f>
        <v>PV-0061</v>
      </c>
      <c r="BX154" s="21" t="s">
        <v>4210</v>
      </c>
      <c r="BY154" s="21" t="s">
        <v>4211</v>
      </c>
    </row>
    <row r="155" spans="1:77" x14ac:dyDescent="0.3">
      <c r="A155" s="21" t="s">
        <v>3445</v>
      </c>
      <c r="B155" s="21" t="s">
        <v>4212</v>
      </c>
      <c r="C155" s="21" t="s">
        <v>4213</v>
      </c>
      <c r="D155" s="35">
        <v>46180.583333333336</v>
      </c>
      <c r="E155" s="21" t="s">
        <v>3347</v>
      </c>
      <c r="F155" s="21" t="str">
        <f ca="1">IF(S155="Paid","Completed","Pending payment")</f>
        <v>Completed</v>
      </c>
      <c r="G155" s="21" t="s">
        <v>4214</v>
      </c>
      <c r="H155" s="21" t="s">
        <v>3349</v>
      </c>
      <c r="I155" s="29">
        <v>46180</v>
      </c>
      <c r="J155" s="29">
        <v>46178</v>
      </c>
      <c r="K155" s="21" t="str">
        <f>TEXT(I155,"mmm-yyyy")</f>
        <v>Jun-2026</v>
      </c>
      <c r="L155" s="21" t="s">
        <v>1797</v>
      </c>
      <c r="M155" s="21">
        <v>1</v>
      </c>
      <c r="N155" s="21" t="s">
        <v>743</v>
      </c>
      <c r="O155" s="21" t="s">
        <v>3350</v>
      </c>
      <c r="P155" s="21" t="s">
        <v>3351</v>
      </c>
      <c r="Q155" s="21" t="s">
        <v>844</v>
      </c>
      <c r="R155" s="21" t="s">
        <v>4215</v>
      </c>
      <c r="S155" s="21" t="str">
        <f ca="1">IF(BN155&lt;1,"Paid",IF(BM155&gt;0,"Partially paid",IF(ISNUMBER(SEARCH("hold",BU155)),"On hold",IF(BQ155&lt;TODAY(),"Overdue","Approved - unpaid"))))</f>
        <v>Paid</v>
      </c>
      <c r="T155" s="21" t="s">
        <v>3353</v>
      </c>
      <c r="U155" s="21" t="s">
        <v>3450</v>
      </c>
      <c r="V155" s="21" t="s">
        <v>3451</v>
      </c>
      <c r="W155" s="21" t="s">
        <v>746</v>
      </c>
      <c r="X155" s="21" t="s">
        <v>846</v>
      </c>
      <c r="Y155" s="21" t="s">
        <v>3452</v>
      </c>
      <c r="Z155" s="21" t="s">
        <v>3453</v>
      </c>
      <c r="AA155" s="21" t="s">
        <v>1062</v>
      </c>
      <c r="AB155" s="37">
        <v>0</v>
      </c>
      <c r="AC155" s="21" t="s">
        <v>844</v>
      </c>
      <c r="AD155" s="21" t="s">
        <v>844</v>
      </c>
      <c r="AE155" s="21" t="s">
        <v>844</v>
      </c>
      <c r="AF155" s="21">
        <v>1</v>
      </c>
      <c r="AG155" s="21" t="s">
        <v>919</v>
      </c>
      <c r="AH155" s="21" t="s">
        <v>921</v>
      </c>
      <c r="AI155" s="21" t="s">
        <v>905</v>
      </c>
      <c r="AJ155" s="37">
        <v>1</v>
      </c>
      <c r="AK155" s="37">
        <v>1</v>
      </c>
      <c r="AL155" s="37">
        <v>27000</v>
      </c>
      <c r="AM155" s="37">
        <f>AK155*AL155</f>
        <v>27000</v>
      </c>
      <c r="AN155" s="37">
        <f>AM155</f>
        <v>27000</v>
      </c>
      <c r="AO155" s="23">
        <f>_xlfn.XLOOKUP(AG155,'T13'!$A$3:$A$1500,'T13'!$O$3:$O$1500)</f>
        <v>0.16</v>
      </c>
      <c r="AP155" s="37">
        <v>0</v>
      </c>
      <c r="AQ155" s="37">
        <f>SUMIFS($AN$3:$AN$1500,$G$3:$G$1500,G155)</f>
        <v>27000</v>
      </c>
      <c r="AR155" s="37">
        <f>SUMIFS($AP$3:$AP$1500,$G$3:$G$1500,G155)</f>
        <v>0</v>
      </c>
      <c r="AS155" s="21" t="s">
        <v>3359</v>
      </c>
      <c r="AT155" s="37">
        <f>ROUND(BH155*0,0)</f>
        <v>0</v>
      </c>
      <c r="AU155" s="21" t="s">
        <v>846</v>
      </c>
      <c r="AV155" s="37" cm="1">
        <f t="array" ref="AV155">SUMPRODUCT(($G$3:$G$1500=G155)*$AN$3:$AN$1500*$AO$3:$AO$1500)+AR155</f>
        <v>4320</v>
      </c>
      <c r="AW155" s="37">
        <f>AT155</f>
        <v>0</v>
      </c>
      <c r="AX155" s="21" t="str">
        <f>TEXT(EOMONTH(I155,0)+15,"dd-mmm-yyyy")&amp;" / "&amp;IF(BM155&gt;0,"CPR-IT-"&amp;TEXT(I155,"yymm")&amp;"-"&amp;RIGHT(G155,4),"Pending payment")</f>
        <v>15-Jul-2026 / CPR-IT-2606-0129</v>
      </c>
      <c r="AY155" s="21" t="str">
        <f>IF(BM155&gt;0,"Issued","Not yet")</f>
        <v>Issued</v>
      </c>
      <c r="AZ155" s="37">
        <v>0</v>
      </c>
      <c r="BA155" s="37">
        <v>0</v>
      </c>
      <c r="BB155" s="37">
        <v>0</v>
      </c>
      <c r="BC155" s="37">
        <v>0</v>
      </c>
      <c r="BD155" s="37">
        <v>0</v>
      </c>
      <c r="BE155" s="37">
        <f>AQ155</f>
        <v>27000</v>
      </c>
      <c r="BF155" s="37">
        <f>AV155</f>
        <v>4320</v>
      </c>
      <c r="BG155" s="37">
        <f>AZ155</f>
        <v>0</v>
      </c>
      <c r="BH155" s="37">
        <f>BE155+BF155+BG155</f>
        <v>31320</v>
      </c>
      <c r="BI155" s="37">
        <f>AW155</f>
        <v>0</v>
      </c>
      <c r="BJ155" s="37">
        <f>BA155+BB155+BC155+BD155</f>
        <v>0</v>
      </c>
      <c r="BK155" s="37">
        <f>BH155-BI155-BJ155</f>
        <v>31320</v>
      </c>
      <c r="BL155" s="21" t="str">
        <f>"PKR "&amp;TEXT(BK155,"#,##0")&amp;" only"</f>
        <v>PKR 31,320 only</v>
      </c>
      <c r="BM155" s="37">
        <f>SUMIFS('T10'!$AK$3:$AK$1500,'T10'!$V$3:$V$1500,G155)</f>
        <v>31320</v>
      </c>
      <c r="BN155" s="37">
        <f>BK155-BM155</f>
        <v>0</v>
      </c>
      <c r="BO155" s="21" t="str">
        <f>IF(BF155&gt;0,TEXT(I155,"mmm-yyyy")&amp;" sales tax return","N/A")</f>
        <v>Jun-2026 sales tax return</v>
      </c>
      <c r="BP155" s="21" t="s">
        <v>1062</v>
      </c>
      <c r="BQ155" s="29">
        <f>J155+15</f>
        <v>46193</v>
      </c>
      <c r="BR155" s="29">
        <f>BQ155</f>
        <v>46193</v>
      </c>
      <c r="BS155" s="21" t="s">
        <v>3095</v>
      </c>
      <c r="BT155" s="21" t="s">
        <v>3360</v>
      </c>
      <c r="BU155" s="21" t="s">
        <v>844</v>
      </c>
      <c r="BV155" s="21" t="s">
        <v>846</v>
      </c>
      <c r="BW155" s="21" t="str" cm="1">
        <f t="array" ref="BW155">_xlfn.TEXTJOIN(", ",TRUE,_xlfn.UNIQUE(_xlfn._xlws.FILTER('T10'!$A$3:$A$1500,'T10'!$V$3:$V$1500=G155,"None")))</f>
        <v>PV-0058</v>
      </c>
      <c r="BX155" s="21" t="s">
        <v>4216</v>
      </c>
      <c r="BY155" s="21" t="s">
        <v>4217</v>
      </c>
    </row>
    <row r="156" spans="1:77" x14ac:dyDescent="0.3">
      <c r="A156" s="21" t="s">
        <v>3456</v>
      </c>
      <c r="B156" s="21" t="s">
        <v>4218</v>
      </c>
      <c r="C156" s="21" t="s">
        <v>4219</v>
      </c>
      <c r="D156" s="35">
        <v>46191.416666666664</v>
      </c>
      <c r="E156" s="21" t="s">
        <v>3347</v>
      </c>
      <c r="F156" s="21" t="str">
        <f ca="1">IF(S156="Paid","Completed","Pending payment")</f>
        <v>Completed</v>
      </c>
      <c r="G156" s="21" t="s">
        <v>4220</v>
      </c>
      <c r="H156" s="21" t="s">
        <v>3460</v>
      </c>
      <c r="I156" s="29">
        <v>46192</v>
      </c>
      <c r="J156" s="29">
        <v>46190</v>
      </c>
      <c r="K156" s="21" t="str">
        <f>TEXT(I156,"mmm-yyyy")</f>
        <v>Jun-2026</v>
      </c>
      <c r="L156" s="21" t="s">
        <v>1797</v>
      </c>
      <c r="M156" s="21">
        <v>1</v>
      </c>
      <c r="N156" s="21" t="s">
        <v>743</v>
      </c>
      <c r="O156" s="21" t="s">
        <v>3368</v>
      </c>
      <c r="P156" s="21" t="s">
        <v>3429</v>
      </c>
      <c r="Q156" s="21" t="s">
        <v>844</v>
      </c>
      <c r="R156" s="21" t="s">
        <v>4221</v>
      </c>
      <c r="S156" s="21" t="str">
        <f ca="1">IF(BN156&lt;1,"Paid",IF(BM156&gt;0,"Partially paid",IF(ISNUMBER(SEARCH("hold",BU156)),"On hold",IF(BQ156&lt;TODAY(),"Overdue","Approved - unpaid"))))</f>
        <v>Paid</v>
      </c>
      <c r="T156" s="21" t="s">
        <v>3462</v>
      </c>
      <c r="U156" s="21" t="s">
        <v>3463</v>
      </c>
      <c r="V156" s="21" t="s">
        <v>3464</v>
      </c>
      <c r="W156" s="21" t="s">
        <v>746</v>
      </c>
      <c r="X156" s="21" t="s">
        <v>846</v>
      </c>
      <c r="Y156" s="21" t="s">
        <v>3465</v>
      </c>
      <c r="Z156" s="21" t="s">
        <v>3466</v>
      </c>
      <c r="AA156" s="21" t="s">
        <v>1062</v>
      </c>
      <c r="AB156" s="37">
        <v>0</v>
      </c>
      <c r="AC156" s="21" t="s">
        <v>844</v>
      </c>
      <c r="AD156" s="21" t="s">
        <v>844</v>
      </c>
      <c r="AE156" s="21" t="s">
        <v>844</v>
      </c>
      <c r="AF156" s="21">
        <v>1</v>
      </c>
      <c r="AG156" s="21" t="s">
        <v>866</v>
      </c>
      <c r="AH156" s="21" t="s">
        <v>869</v>
      </c>
      <c r="AI156" s="21" t="s">
        <v>870</v>
      </c>
      <c r="AJ156" s="37">
        <v>819</v>
      </c>
      <c r="AK156" s="37">
        <v>819</v>
      </c>
      <c r="AL156" s="37">
        <v>290</v>
      </c>
      <c r="AM156" s="37">
        <f>AK156*AL156</f>
        <v>237510</v>
      </c>
      <c r="AN156" s="37">
        <f>AM156</f>
        <v>237510</v>
      </c>
      <c r="AO156" s="23">
        <f>_xlfn.XLOOKUP(AG156,'T13'!$A$3:$A$1500,'T13'!$O$3:$O$1500)</f>
        <v>0.18</v>
      </c>
      <c r="AP156" s="37">
        <v>0</v>
      </c>
      <c r="AQ156" s="37">
        <f>SUMIFS($AN$3:$AN$1500,$G$3:$G$1500,G156)</f>
        <v>237510</v>
      </c>
      <c r="AR156" s="37">
        <f>SUMIFS($AP$3:$AP$1500,$G$3:$G$1500,G156)</f>
        <v>0</v>
      </c>
      <c r="AS156" s="21" t="s">
        <v>3467</v>
      </c>
      <c r="AT156" s="37">
        <f>ROUND(BH156*0,0)</f>
        <v>0</v>
      </c>
      <c r="AU156" s="21" t="s">
        <v>846</v>
      </c>
      <c r="AV156" s="37" cm="1">
        <f t="array" ref="AV156">SUMPRODUCT(($G$3:$G$1500=G156)*$AN$3:$AN$1500*$AO$3:$AO$1500)+AR156</f>
        <v>42751.799999999996</v>
      </c>
      <c r="AW156" s="37">
        <f>AT156</f>
        <v>0</v>
      </c>
      <c r="AX156" s="21" t="str">
        <f>TEXT(EOMONTH(I156,0)+15,"dd-mmm-yyyy")&amp;" / "&amp;IF(BM156&gt;0,"CPR-IT-"&amp;TEXT(I156,"yymm")&amp;"-"&amp;RIGHT(G156,4),"Pending payment")</f>
        <v>15-Jul-2026 / CPR-IT-2606-0130</v>
      </c>
      <c r="AY156" s="21" t="str">
        <f>IF(BM156&gt;0,"Issued","Not yet")</f>
        <v>Issued</v>
      </c>
      <c r="AZ156" s="37">
        <v>0</v>
      </c>
      <c r="BA156" s="37">
        <v>0</v>
      </c>
      <c r="BB156" s="37">
        <v>0</v>
      </c>
      <c r="BC156" s="37">
        <v>0</v>
      </c>
      <c r="BD156" s="37">
        <v>0</v>
      </c>
      <c r="BE156" s="37">
        <f>AQ156</f>
        <v>237510</v>
      </c>
      <c r="BF156" s="37">
        <f>AV156</f>
        <v>42751.799999999996</v>
      </c>
      <c r="BG156" s="37">
        <f>AZ156</f>
        <v>0</v>
      </c>
      <c r="BH156" s="37">
        <f>BE156+BF156+BG156</f>
        <v>280261.8</v>
      </c>
      <c r="BI156" s="37">
        <f>AW156</f>
        <v>0</v>
      </c>
      <c r="BJ156" s="37">
        <f>BA156+BB156+BC156+BD156</f>
        <v>0</v>
      </c>
      <c r="BK156" s="37">
        <f>BH156-BI156-BJ156</f>
        <v>280261.8</v>
      </c>
      <c r="BL156" s="21" t="str">
        <f>"PKR "&amp;TEXT(BK156,"#,##0")&amp;" only"</f>
        <v>PKR 280,262 only</v>
      </c>
      <c r="BM156" s="37">
        <f>SUMIFS('T10'!$AK$3:$AK$1500,'T10'!$V$3:$V$1500,G156)</f>
        <v>280261.8</v>
      </c>
      <c r="BN156" s="37">
        <f>BK156-BM156</f>
        <v>0</v>
      </c>
      <c r="BO156" s="21" t="str">
        <f>IF(BF156&gt;0,TEXT(I156,"mmm-yyyy")&amp;" sales tax return","N/A")</f>
        <v>Jun-2026 sales tax return</v>
      </c>
      <c r="BP156" s="21" t="s">
        <v>1062</v>
      </c>
      <c r="BQ156" s="29">
        <f>J156+15</f>
        <v>46205</v>
      </c>
      <c r="BR156" s="29">
        <f>BQ156</f>
        <v>46205</v>
      </c>
      <c r="BS156" s="21" t="s">
        <v>3095</v>
      </c>
      <c r="BT156" s="21" t="s">
        <v>3360</v>
      </c>
      <c r="BU156" s="21" t="s">
        <v>844</v>
      </c>
      <c r="BV156" s="21" t="s">
        <v>846</v>
      </c>
      <c r="BW156" s="21" t="str" cm="1">
        <f t="array" ref="BW156">_xlfn.TEXTJOIN(", ",TRUE,_xlfn.UNIQUE(_xlfn._xlws.FILTER('T10'!$A$3:$A$1500,'T10'!$V$3:$V$1500=G156,"None")))</f>
        <v>PV-0062</v>
      </c>
      <c r="BX156" s="21" t="s">
        <v>4222</v>
      </c>
      <c r="BY156" s="21" t="s">
        <v>4223</v>
      </c>
    </row>
    <row r="157" spans="1:77" x14ac:dyDescent="0.3">
      <c r="A157" s="21" t="s">
        <v>3395</v>
      </c>
      <c r="B157" s="21" t="s">
        <v>4224</v>
      </c>
      <c r="C157" s="21" t="s">
        <v>4225</v>
      </c>
      <c r="D157" s="35">
        <v>46205.375</v>
      </c>
      <c r="E157" s="21" t="s">
        <v>3347</v>
      </c>
      <c r="F157" s="21" t="str">
        <f ca="1">IF(S157="Paid","Completed","Pending payment")</f>
        <v>Completed</v>
      </c>
      <c r="G157" s="21" t="s">
        <v>4226</v>
      </c>
      <c r="H157" s="21" t="s">
        <v>3399</v>
      </c>
      <c r="I157" s="29">
        <v>46203</v>
      </c>
      <c r="J157" s="29">
        <v>46203</v>
      </c>
      <c r="K157" s="21" t="str">
        <f>TEXT(I157,"mmm-yyyy")</f>
        <v>Jun-2026</v>
      </c>
      <c r="L157" s="21" t="s">
        <v>1797</v>
      </c>
      <c r="M157" s="21">
        <v>1</v>
      </c>
      <c r="N157" s="21" t="s">
        <v>743</v>
      </c>
      <c r="O157" s="21" t="s">
        <v>3400</v>
      </c>
      <c r="P157" s="21" t="s">
        <v>3401</v>
      </c>
      <c r="Q157" s="21" t="s">
        <v>844</v>
      </c>
      <c r="R157" s="21" t="s">
        <v>4227</v>
      </c>
      <c r="S157" s="21" t="str">
        <f ca="1">IF(BN157&lt;1,"Paid",IF(BM157&gt;0,"Partially paid",IF(ISNUMBER(SEARCH("hold",BU157)),"On hold",IF(BQ157&lt;TODAY(),"Overdue","Approved - unpaid"))))</f>
        <v>Paid</v>
      </c>
      <c r="T157" s="21" t="s">
        <v>3403</v>
      </c>
      <c r="U157" s="21" t="s">
        <v>3404</v>
      </c>
      <c r="V157" s="21" t="s">
        <v>967</v>
      </c>
      <c r="W157" s="21" t="s">
        <v>746</v>
      </c>
      <c r="X157" s="21" t="s">
        <v>846</v>
      </c>
      <c r="Y157" s="21" t="s">
        <v>3405</v>
      </c>
      <c r="Z157" s="21" t="s">
        <v>3406</v>
      </c>
      <c r="AA157" s="21" t="s">
        <v>1062</v>
      </c>
      <c r="AB157" s="37">
        <v>0</v>
      </c>
      <c r="AC157" s="21" t="s">
        <v>4228</v>
      </c>
      <c r="AD157" s="21" t="s">
        <v>4229</v>
      </c>
      <c r="AE157" s="21" t="s">
        <v>3409</v>
      </c>
      <c r="AF157" s="21">
        <v>1</v>
      </c>
      <c r="AG157" s="21" t="s">
        <v>763</v>
      </c>
      <c r="AH157" s="21" t="s">
        <v>766</v>
      </c>
      <c r="AI157" s="21" t="s">
        <v>1804</v>
      </c>
      <c r="AJ157" s="37">
        <v>1900</v>
      </c>
      <c r="AK157" s="37">
        <v>1900</v>
      </c>
      <c r="AL157" s="37">
        <v>1420</v>
      </c>
      <c r="AM157" s="37">
        <f>AK157*AL157</f>
        <v>2698000</v>
      </c>
      <c r="AN157" s="37">
        <f>AM157</f>
        <v>2698000</v>
      </c>
      <c r="AO157" s="23">
        <f>_xlfn.XLOOKUP(AG157,'T13'!$A$3:$A$1500,'T13'!$O$3:$O$1500)</f>
        <v>0.18</v>
      </c>
      <c r="AP157" s="37">
        <f>AK157*IF(AI157="MT",1000,IF(AI157="Jumbo bag (1.5 MT)",1500,IF(AI157="Bag (40 kg)",40,50)))*3</f>
        <v>285000</v>
      </c>
      <c r="AQ157" s="37">
        <f>SUMIFS($AN$3:$AN$1500,$G$3:$G$1500,G157)</f>
        <v>2698000</v>
      </c>
      <c r="AR157" s="37">
        <f>SUMIFS($AP$3:$AP$1500,$G$3:$G$1500,G157)</f>
        <v>285000</v>
      </c>
      <c r="AS157" s="21" t="s">
        <v>3410</v>
      </c>
      <c r="AT157" s="37">
        <f>ROUND(BH157*0.05,0)</f>
        <v>173432</v>
      </c>
      <c r="AU157" s="21" t="s">
        <v>846</v>
      </c>
      <c r="AV157" s="37" cm="1">
        <f t="array" ref="AV157">SUMPRODUCT(($G$3:$G$1500=G157)*$AN$3:$AN$1500*$AO$3:$AO$1500)+AR157</f>
        <v>770640</v>
      </c>
      <c r="AW157" s="37">
        <f>AT157</f>
        <v>173432</v>
      </c>
      <c r="AX157" s="21" t="str">
        <f>TEXT(EOMONTH(I157,0)+15,"dd-mmm-yyyy")&amp;" / "&amp;IF(BM157&gt;0,"CPR-IT-"&amp;TEXT(I157,"yymm")&amp;"-"&amp;RIGHT(G157,4),"Pending payment")</f>
        <v>15-Jul-2026 / CPR-IT-2606-0131</v>
      </c>
      <c r="AY157" s="21" t="str">
        <f>IF(BM157&gt;0,"Issued","Not yet")</f>
        <v>Issued</v>
      </c>
      <c r="AZ157" s="37">
        <v>0</v>
      </c>
      <c r="BA157" s="37">
        <v>0</v>
      </c>
      <c r="BB157" s="37">
        <v>0</v>
      </c>
      <c r="BC157" s="37">
        <v>0</v>
      </c>
      <c r="BD157" s="37">
        <v>0</v>
      </c>
      <c r="BE157" s="37">
        <f>AQ157</f>
        <v>2698000</v>
      </c>
      <c r="BF157" s="37">
        <f>AV157</f>
        <v>770640</v>
      </c>
      <c r="BG157" s="37">
        <f>AZ157</f>
        <v>0</v>
      </c>
      <c r="BH157" s="37">
        <f>BE157+BF157+BG157</f>
        <v>3468640</v>
      </c>
      <c r="BI157" s="37">
        <f>AW157</f>
        <v>173432</v>
      </c>
      <c r="BJ157" s="37">
        <f>BA157+BB157+BC157+BD157</f>
        <v>0</v>
      </c>
      <c r="BK157" s="37">
        <f>BH157-BI157-BJ157</f>
        <v>3295208</v>
      </c>
      <c r="BL157" s="21" t="str">
        <f>"PKR "&amp;TEXT(BK157,"#,##0")&amp;" only"</f>
        <v>PKR 3,295,208 only</v>
      </c>
      <c r="BM157" s="37">
        <f>SUMIFS('T10'!$AK$3:$AK$1500,'T10'!$V$3:$V$1500,G157)</f>
        <v>3295208</v>
      </c>
      <c r="BN157" s="37">
        <f>BK157-BM157</f>
        <v>0</v>
      </c>
      <c r="BO157" s="21" t="str">
        <f>IF(BF157&gt;0,TEXT(I157,"mmm-yyyy")&amp;" sales tax return","N/A")</f>
        <v>Jun-2026 sales tax return</v>
      </c>
      <c r="BP157" s="21" t="s">
        <v>1062</v>
      </c>
      <c r="BQ157" s="29">
        <f>J157+15</f>
        <v>46218</v>
      </c>
      <c r="BR157" s="29">
        <f>BQ157</f>
        <v>46218</v>
      </c>
      <c r="BS157" s="21" t="s">
        <v>3095</v>
      </c>
      <c r="BT157" s="21" t="s">
        <v>3411</v>
      </c>
      <c r="BU157" s="21" t="s">
        <v>844</v>
      </c>
      <c r="BV157" s="21" t="s">
        <v>846</v>
      </c>
      <c r="BW157" s="21" t="str" cm="1">
        <f t="array" ref="BW157">_xlfn.TEXTJOIN(", ",TRUE,_xlfn.UNIQUE(_xlfn._xlws.FILTER('T10'!$A$3:$A$1500,'T10'!$V$3:$V$1500=G157,"None")))</f>
        <v>PV-0064</v>
      </c>
      <c r="BX157" s="21" t="s">
        <v>4230</v>
      </c>
      <c r="BY157" s="21" t="s">
        <v>4231</v>
      </c>
    </row>
    <row r="158" spans="1:77" x14ac:dyDescent="0.3">
      <c r="A158" s="21" t="s">
        <v>3415</v>
      </c>
      <c r="B158" s="21" t="s">
        <v>4232</v>
      </c>
      <c r="C158" s="21" t="s">
        <v>4233</v>
      </c>
      <c r="D158" s="35">
        <v>46204.375</v>
      </c>
      <c r="E158" s="21" t="s">
        <v>3347</v>
      </c>
      <c r="F158" s="21" t="str">
        <f ca="1">IF(S158="Paid","Completed","Pending payment")</f>
        <v>Completed</v>
      </c>
      <c r="G158" s="21" t="s">
        <v>4234</v>
      </c>
      <c r="H158" s="21" t="s">
        <v>3399</v>
      </c>
      <c r="I158" s="29">
        <v>46203</v>
      </c>
      <c r="J158" s="29">
        <v>46203</v>
      </c>
      <c r="K158" s="21" t="str">
        <f>TEXT(I158,"mmm-yyyy")</f>
        <v>Jun-2026</v>
      </c>
      <c r="L158" s="21" t="s">
        <v>1797</v>
      </c>
      <c r="M158" s="21">
        <v>1</v>
      </c>
      <c r="N158" s="21" t="s">
        <v>743</v>
      </c>
      <c r="O158" s="21" t="s">
        <v>3400</v>
      </c>
      <c r="P158" s="21" t="s">
        <v>3401</v>
      </c>
      <c r="Q158" s="21" t="s">
        <v>844</v>
      </c>
      <c r="R158" s="21" t="s">
        <v>4235</v>
      </c>
      <c r="S158" s="21" t="str">
        <f ca="1">IF(BN158&lt;1,"Paid",IF(BM158&gt;0,"Partially paid",IF(ISNUMBER(SEARCH("hold",BU158)),"On hold",IF(BQ158&lt;TODAY(),"Overdue","Approved - unpaid"))))</f>
        <v>Paid</v>
      </c>
      <c r="T158" s="21" t="s">
        <v>3403</v>
      </c>
      <c r="U158" s="21" t="s">
        <v>3419</v>
      </c>
      <c r="V158" s="21" t="s">
        <v>999</v>
      </c>
      <c r="W158" s="21" t="s">
        <v>746</v>
      </c>
      <c r="X158" s="21" t="s">
        <v>3812</v>
      </c>
      <c r="Y158" s="21" t="s">
        <v>3420</v>
      </c>
      <c r="Z158" s="21" t="s">
        <v>3421</v>
      </c>
      <c r="AA158" s="21" t="s">
        <v>1062</v>
      </c>
      <c r="AB158" s="37">
        <v>0</v>
      </c>
      <c r="AC158" s="21" t="s">
        <v>4236</v>
      </c>
      <c r="AD158" s="21" t="s">
        <v>4237</v>
      </c>
      <c r="AE158" s="21" t="s">
        <v>3424</v>
      </c>
      <c r="AF158" s="21">
        <v>1</v>
      </c>
      <c r="AG158" s="21" t="s">
        <v>820</v>
      </c>
      <c r="AH158" s="21" t="s">
        <v>822</v>
      </c>
      <c r="AI158" s="21" t="s">
        <v>1804</v>
      </c>
      <c r="AJ158" s="37">
        <v>200</v>
      </c>
      <c r="AK158" s="37">
        <v>200</v>
      </c>
      <c r="AL158" s="37">
        <v>1340</v>
      </c>
      <c r="AM158" s="37">
        <f>AK158*AL158</f>
        <v>268000</v>
      </c>
      <c r="AN158" s="37">
        <f>AM158</f>
        <v>268000</v>
      </c>
      <c r="AO158" s="23">
        <f>_xlfn.XLOOKUP(AG158,'T13'!$A$3:$A$1500,'T13'!$O$3:$O$1500)</f>
        <v>0.18</v>
      </c>
      <c r="AP158" s="37">
        <f>AK158*IF(AI158="MT",1000,IF(AI158="Jumbo bag (1.5 MT)",1500,IF(AI158="Bag (40 kg)",40,50)))*3</f>
        <v>30000</v>
      </c>
      <c r="AQ158" s="37">
        <f>SUMIFS($AN$3:$AN$1500,$G$3:$G$1500,G158)</f>
        <v>1360000</v>
      </c>
      <c r="AR158" s="37">
        <f>SUMIFS($AP$3:$AP$1500,$G$3:$G$1500,G158)</f>
        <v>135000</v>
      </c>
      <c r="AS158" s="21" t="s">
        <v>3815</v>
      </c>
      <c r="AT158" s="37">
        <f>ROUND(BH158*0.01,0)</f>
        <v>17398</v>
      </c>
      <c r="AU158" s="21" t="s">
        <v>3816</v>
      </c>
      <c r="AV158" s="37" cm="1">
        <f t="array" ref="AV158">SUMPRODUCT(($G$3:$G$1500=G158)*$AN$3:$AN$1500*$AO$3:$AO$1500)+AR158</f>
        <v>379800</v>
      </c>
      <c r="AW158" s="37">
        <f>AT158</f>
        <v>17398</v>
      </c>
      <c r="AX158" s="21" t="str">
        <f>TEXT(EOMONTH(I158,0)+15,"dd-mmm-yyyy")&amp;" / "&amp;IF(BM158&gt;0,"CPR-IT-"&amp;TEXT(I158,"yymm")&amp;"-"&amp;RIGHT(G158,4),"Pending payment")</f>
        <v>15-Jul-2026 / CPR-IT-2606-0132</v>
      </c>
      <c r="AY158" s="21" t="str">
        <f>IF(BM158&gt;0,"Issued","Not yet")</f>
        <v>Issued</v>
      </c>
      <c r="AZ158" s="37">
        <v>0</v>
      </c>
      <c r="BA158" s="37">
        <v>0</v>
      </c>
      <c r="BB158" s="37">
        <v>0</v>
      </c>
      <c r="BC158" s="37">
        <v>0</v>
      </c>
      <c r="BD158" s="37">
        <v>0</v>
      </c>
      <c r="BE158" s="37">
        <f>AQ158</f>
        <v>1360000</v>
      </c>
      <c r="BF158" s="37">
        <f>AV158</f>
        <v>379800</v>
      </c>
      <c r="BG158" s="37">
        <f>AZ158</f>
        <v>0</v>
      </c>
      <c r="BH158" s="37">
        <f>BE158+BF158+BG158</f>
        <v>1739800</v>
      </c>
      <c r="BI158" s="37">
        <f>AW158</f>
        <v>17398</v>
      </c>
      <c r="BJ158" s="37">
        <f>BA158+BB158+BC158+BD158</f>
        <v>0</v>
      </c>
      <c r="BK158" s="37">
        <f>BH158-BI158-BJ158</f>
        <v>1722402</v>
      </c>
      <c r="BL158" s="21" t="str">
        <f>"PKR "&amp;TEXT(BK158,"#,##0")&amp;" only"</f>
        <v>PKR 1,722,402 only</v>
      </c>
      <c r="BM158" s="37">
        <f>SUMIFS('T10'!$AK$3:$AK$1500,'T10'!$V$3:$V$1500,G158)</f>
        <v>1722402</v>
      </c>
      <c r="BN158" s="37">
        <f>BK158-BM158</f>
        <v>0</v>
      </c>
      <c r="BO158" s="21" t="str">
        <f>IF(BF158&gt;0,TEXT(I158,"mmm-yyyy")&amp;" sales tax return","N/A")</f>
        <v>Jun-2026 sales tax return</v>
      </c>
      <c r="BP158" s="21" t="s">
        <v>1062</v>
      </c>
      <c r="BQ158" s="29">
        <f>J158+15</f>
        <v>46218</v>
      </c>
      <c r="BR158" s="29">
        <f>BQ158</f>
        <v>46218</v>
      </c>
      <c r="BS158" s="21" t="s">
        <v>3095</v>
      </c>
      <c r="BT158" s="21" t="s">
        <v>3411</v>
      </c>
      <c r="BU158" s="21" t="s">
        <v>844</v>
      </c>
      <c r="BV158" s="21" t="s">
        <v>846</v>
      </c>
      <c r="BW158" s="21" t="str" cm="1">
        <f t="array" ref="BW158">_xlfn.TEXTJOIN(", ",TRUE,_xlfn.UNIQUE(_xlfn._xlws.FILTER('T10'!$A$3:$A$1500,'T10'!$V$3:$V$1500=G158,"None")))</f>
        <v>PV-0063</v>
      </c>
      <c r="BX158" s="21" t="s">
        <v>4230</v>
      </c>
      <c r="BY158" s="21" t="s">
        <v>4231</v>
      </c>
    </row>
    <row r="159" spans="1:77" x14ac:dyDescent="0.3">
      <c r="A159" s="21" t="s">
        <v>3415</v>
      </c>
      <c r="B159" s="21" t="s">
        <v>4232</v>
      </c>
      <c r="C159" s="21" t="s">
        <v>4233</v>
      </c>
      <c r="D159" s="35">
        <v>46204.375</v>
      </c>
      <c r="E159" s="21" t="s">
        <v>3347</v>
      </c>
      <c r="F159" s="21" t="str">
        <f ca="1">IF(S159="Paid","Completed","Pending payment")</f>
        <v>Completed</v>
      </c>
      <c r="G159" s="21" t="s">
        <v>4234</v>
      </c>
      <c r="H159" s="21" t="s">
        <v>3399</v>
      </c>
      <c r="I159" s="29">
        <v>46203</v>
      </c>
      <c r="J159" s="29">
        <v>46203</v>
      </c>
      <c r="K159" s="21" t="str">
        <f>TEXT(I159,"mmm-yyyy")</f>
        <v>Jun-2026</v>
      </c>
      <c r="L159" s="21" t="s">
        <v>1797</v>
      </c>
      <c r="M159" s="21">
        <v>1</v>
      </c>
      <c r="N159" s="21" t="s">
        <v>743</v>
      </c>
      <c r="O159" s="21" t="s">
        <v>3400</v>
      </c>
      <c r="P159" s="21" t="s">
        <v>3401</v>
      </c>
      <c r="Q159" s="21" t="s">
        <v>844</v>
      </c>
      <c r="R159" s="21" t="s">
        <v>4235</v>
      </c>
      <c r="S159" s="21" t="str">
        <f ca="1">IF(BN159&lt;1,"Paid",IF(BM159&gt;0,"Partially paid",IF(ISNUMBER(SEARCH("hold",BU159)),"On hold",IF(BQ159&lt;TODAY(),"Overdue","Approved - unpaid"))))</f>
        <v>Paid</v>
      </c>
      <c r="T159" s="21" t="s">
        <v>3403</v>
      </c>
      <c r="U159" s="21" t="s">
        <v>3419</v>
      </c>
      <c r="V159" s="21" t="s">
        <v>999</v>
      </c>
      <c r="W159" s="21" t="s">
        <v>746</v>
      </c>
      <c r="X159" s="21" t="s">
        <v>3812</v>
      </c>
      <c r="Y159" s="21" t="s">
        <v>3420</v>
      </c>
      <c r="Z159" s="21" t="s">
        <v>3421</v>
      </c>
      <c r="AA159" s="21" t="s">
        <v>1062</v>
      </c>
      <c r="AB159" s="37">
        <v>0</v>
      </c>
      <c r="AC159" s="21" t="s">
        <v>4236</v>
      </c>
      <c r="AD159" s="21" t="s">
        <v>4237</v>
      </c>
      <c r="AE159" s="21" t="s">
        <v>3424</v>
      </c>
      <c r="AF159" s="21">
        <v>2</v>
      </c>
      <c r="AG159" s="21" t="s">
        <v>831</v>
      </c>
      <c r="AH159" s="21" t="s">
        <v>833</v>
      </c>
      <c r="AI159" s="21" t="s">
        <v>1804</v>
      </c>
      <c r="AJ159" s="37">
        <v>700</v>
      </c>
      <c r="AK159" s="37">
        <v>700</v>
      </c>
      <c r="AL159" s="37">
        <v>1560</v>
      </c>
      <c r="AM159" s="37">
        <f>AK159*AL159</f>
        <v>1092000</v>
      </c>
      <c r="AN159" s="37">
        <f>AM159</f>
        <v>1092000</v>
      </c>
      <c r="AO159" s="23">
        <f>_xlfn.XLOOKUP(AG159,'T13'!$A$3:$A$1500,'T13'!$O$3:$O$1500)</f>
        <v>0.18</v>
      </c>
      <c r="AP159" s="37">
        <f>AK159*IF(AI159="MT",1000,IF(AI159="Jumbo bag (1.5 MT)",1500,IF(AI159="Bag (40 kg)",40,50)))*3</f>
        <v>105000</v>
      </c>
      <c r="AQ159" s="37">
        <f>SUMIFS($AN$3:$AN$1500,$G$3:$G$1500,G159)</f>
        <v>1360000</v>
      </c>
      <c r="AR159" s="37">
        <f>SUMIFS($AP$3:$AP$1500,$G$3:$G$1500,G159)</f>
        <v>135000</v>
      </c>
      <c r="AS159" s="21" t="s">
        <v>3815</v>
      </c>
      <c r="AT159" s="37">
        <f>ROUND(BH159*0.01,0)</f>
        <v>17398</v>
      </c>
      <c r="AU159" s="21" t="s">
        <v>3816</v>
      </c>
      <c r="AV159" s="37" cm="1">
        <f t="array" ref="AV159">SUMPRODUCT(($G$3:$G$1500=G159)*$AN$3:$AN$1500*$AO$3:$AO$1500)+AR159</f>
        <v>379800</v>
      </c>
      <c r="AW159" s="37">
        <f>AT159</f>
        <v>17398</v>
      </c>
      <c r="AX159" s="21" t="str">
        <f>TEXT(EOMONTH(I159,0)+15,"dd-mmm-yyyy")&amp;" / "&amp;IF(BM159&gt;0,"CPR-IT-"&amp;TEXT(I159,"yymm")&amp;"-"&amp;RIGHT(G159,4),"Pending payment")</f>
        <v>15-Jul-2026 / CPR-IT-2606-0132</v>
      </c>
      <c r="AY159" s="21" t="str">
        <f>IF(BM159&gt;0,"Issued","Not yet")</f>
        <v>Issued</v>
      </c>
      <c r="AZ159" s="37">
        <v>0</v>
      </c>
      <c r="BA159" s="37">
        <v>0</v>
      </c>
      <c r="BB159" s="37">
        <v>0</v>
      </c>
      <c r="BC159" s="37">
        <v>0</v>
      </c>
      <c r="BD159" s="37">
        <v>0</v>
      </c>
      <c r="BE159" s="37">
        <f>AQ159</f>
        <v>1360000</v>
      </c>
      <c r="BF159" s="37">
        <f>AV159</f>
        <v>379800</v>
      </c>
      <c r="BG159" s="37">
        <f>AZ159</f>
        <v>0</v>
      </c>
      <c r="BH159" s="37">
        <f>BE159+BF159+BG159</f>
        <v>1739800</v>
      </c>
      <c r="BI159" s="37">
        <f>AW159</f>
        <v>17398</v>
      </c>
      <c r="BJ159" s="37">
        <f>BA159+BB159+BC159+BD159</f>
        <v>0</v>
      </c>
      <c r="BK159" s="37">
        <f>BH159-BI159-BJ159</f>
        <v>1722402</v>
      </c>
      <c r="BL159" s="21" t="str">
        <f>"PKR "&amp;TEXT(BK159,"#,##0")&amp;" only"</f>
        <v>PKR 1,722,402 only</v>
      </c>
      <c r="BM159" s="37">
        <f>SUMIFS('T10'!$AK$3:$AK$1500,'T10'!$V$3:$V$1500,G159)</f>
        <v>1722402</v>
      </c>
      <c r="BN159" s="37">
        <f>BK159-BM159</f>
        <v>0</v>
      </c>
      <c r="BO159" s="21" t="str">
        <f>IF(BF159&gt;0,TEXT(I159,"mmm-yyyy")&amp;" sales tax return","N/A")</f>
        <v>Jun-2026 sales tax return</v>
      </c>
      <c r="BP159" s="21" t="s">
        <v>1062</v>
      </c>
      <c r="BQ159" s="29">
        <f>J159+15</f>
        <v>46218</v>
      </c>
      <c r="BR159" s="29">
        <f>BQ159</f>
        <v>46218</v>
      </c>
      <c r="BS159" s="21" t="s">
        <v>3095</v>
      </c>
      <c r="BT159" s="21" t="s">
        <v>3411</v>
      </c>
      <c r="BU159" s="21" t="s">
        <v>844</v>
      </c>
      <c r="BV159" s="21" t="s">
        <v>846</v>
      </c>
      <c r="BW159" s="21" t="str" cm="1">
        <f t="array" ref="BW159">_xlfn.TEXTJOIN(", ",TRUE,_xlfn.UNIQUE(_xlfn._xlws.FILTER('T10'!$A$3:$A$1500,'T10'!$V$3:$V$1500=G159,"None")))</f>
        <v>PV-0063</v>
      </c>
      <c r="BX159" s="21" t="s">
        <v>4230</v>
      </c>
      <c r="BY159" s="21" t="s">
        <v>4231</v>
      </c>
    </row>
    <row r="160" spans="1:77" x14ac:dyDescent="0.3">
      <c r="A160" s="21" t="s">
        <v>3438</v>
      </c>
      <c r="B160" s="21" t="s">
        <v>2800</v>
      </c>
      <c r="C160" s="21" t="s">
        <v>4238</v>
      </c>
      <c r="D160" s="35">
        <v>46206.583333333336</v>
      </c>
      <c r="E160" s="21" t="s">
        <v>3347</v>
      </c>
      <c r="F160" s="21" t="str">
        <f ca="1">IF(S160="Paid","Completed","Pending payment")</f>
        <v>Completed</v>
      </c>
      <c r="G160" s="21" t="s">
        <v>4239</v>
      </c>
      <c r="H160" s="21" t="s">
        <v>3428</v>
      </c>
      <c r="I160" s="29">
        <v>46206</v>
      </c>
      <c r="J160" s="29">
        <v>46204</v>
      </c>
      <c r="K160" s="21" t="str">
        <f>TEXT(I160,"mmm-yyyy")</f>
        <v>Jul-2026</v>
      </c>
      <c r="L160" s="21" t="s">
        <v>1797</v>
      </c>
      <c r="M160" s="21">
        <v>1</v>
      </c>
      <c r="N160" s="21" t="s">
        <v>743</v>
      </c>
      <c r="O160" s="21" t="s">
        <v>3350</v>
      </c>
      <c r="P160" s="21" t="s">
        <v>3429</v>
      </c>
      <c r="Q160" s="21" t="s">
        <v>844</v>
      </c>
      <c r="R160" s="21" t="s">
        <v>4240</v>
      </c>
      <c r="S160" s="21" t="str">
        <f ca="1">IF(BN160&lt;1,"Paid",IF(BM160&gt;0,"Partially paid",IF(ISNUMBER(SEARCH("hold",BU160)),"On hold",IF(BQ160&lt;TODAY(),"Overdue","Approved - unpaid"))))</f>
        <v>Paid</v>
      </c>
      <c r="T160" s="21" t="s">
        <v>3431</v>
      </c>
      <c r="U160" s="21" t="s">
        <v>1278</v>
      </c>
      <c r="V160" s="21" t="s">
        <v>1200</v>
      </c>
      <c r="W160" s="21" t="s">
        <v>746</v>
      </c>
      <c r="X160" s="21" t="s">
        <v>4241</v>
      </c>
      <c r="Y160" s="21" t="s">
        <v>3441</v>
      </c>
      <c r="Z160" s="21" t="s">
        <v>3442</v>
      </c>
      <c r="AA160" s="21" t="s">
        <v>1051</v>
      </c>
      <c r="AB160" s="37">
        <v>0</v>
      </c>
      <c r="AC160" s="21" t="s">
        <v>844</v>
      </c>
      <c r="AD160" s="21" t="s">
        <v>844</v>
      </c>
      <c r="AE160" s="21" t="s">
        <v>3443</v>
      </c>
      <c r="AF160" s="21">
        <v>1</v>
      </c>
      <c r="AG160" s="21" t="s">
        <v>837</v>
      </c>
      <c r="AH160" s="21" t="s">
        <v>840</v>
      </c>
      <c r="AI160" s="21" t="s">
        <v>842</v>
      </c>
      <c r="AJ160" s="37">
        <f>COUNTIFS('T14'!$AQ$3:$AQ$1500,B160,'T14'!$Z$3:$Z$1500,1,'T14'!$F$3:$F$1500,"Bag")</f>
        <v>5</v>
      </c>
      <c r="AK160" s="37">
        <f>AJ160</f>
        <v>5</v>
      </c>
      <c r="AL160" s="37">
        <v>41800</v>
      </c>
      <c r="AM160" s="37">
        <f>AK160*AL160</f>
        <v>209000</v>
      </c>
      <c r="AN160" s="37">
        <f>AM160</f>
        <v>209000</v>
      </c>
      <c r="AO160" s="23">
        <f>_xlfn.XLOOKUP(AG160,'T13'!$A$3:$A$1500,'T13'!$O$3:$O$1500)</f>
        <v>0.16</v>
      </c>
      <c r="AP160" s="37">
        <v>0</v>
      </c>
      <c r="AQ160" s="37">
        <f>SUMIFS($AN$3:$AN$1500,$G$3:$G$1500,G160)</f>
        <v>209000</v>
      </c>
      <c r="AR160" s="37">
        <f>SUMIFS($AP$3:$AP$1500,$G$3:$G$1500,G160)</f>
        <v>0</v>
      </c>
      <c r="AS160" s="21" t="s">
        <v>4242</v>
      </c>
      <c r="AT160" s="37">
        <f>ROUND(BH160*0.02,0)</f>
        <v>4999</v>
      </c>
      <c r="AU160" s="21" t="s">
        <v>3816</v>
      </c>
      <c r="AV160" s="37" cm="1">
        <f t="array" ref="AV160">SUMPRODUCT(($G$3:$G$1500=G160)*$AN$3:$AN$1500*$AO$3:$AO$1500)+AR160</f>
        <v>33440</v>
      </c>
      <c r="AW160" s="37">
        <f>AT160</f>
        <v>4999</v>
      </c>
      <c r="AX160" s="21" t="str">
        <f>TEXT(EOMONTH(I160,0)+15,"dd-mmm-yyyy")&amp;" / "&amp;IF(BM160&gt;0,"CPR-IT-"&amp;TEXT(I160,"yymm")&amp;"-"&amp;RIGHT(G160,4),"Pending payment")</f>
        <v>15-Aug-2026 / CPR-IT-2607-0133</v>
      </c>
      <c r="AY160" s="21" t="str">
        <f>IF(BM160&gt;0,"Issued","Not yet")</f>
        <v>Issued</v>
      </c>
      <c r="AZ160" s="37">
        <v>7500</v>
      </c>
      <c r="BA160" s="37">
        <v>0</v>
      </c>
      <c r="BB160" s="37">
        <v>0</v>
      </c>
      <c r="BC160" s="37">
        <v>0</v>
      </c>
      <c r="BD160" s="37">
        <v>0</v>
      </c>
      <c r="BE160" s="37">
        <f>AQ160</f>
        <v>209000</v>
      </c>
      <c r="BF160" s="37">
        <f>AV160</f>
        <v>33440</v>
      </c>
      <c r="BG160" s="37">
        <f>AZ160</f>
        <v>7500</v>
      </c>
      <c r="BH160" s="37">
        <f>BE160+BF160+BG160</f>
        <v>249940</v>
      </c>
      <c r="BI160" s="37">
        <f>AW160</f>
        <v>4999</v>
      </c>
      <c r="BJ160" s="37">
        <f>BA160+BB160+BC160+BD160</f>
        <v>0</v>
      </c>
      <c r="BK160" s="37">
        <f>BH160-BI160-BJ160</f>
        <v>244941</v>
      </c>
      <c r="BL160" s="21" t="str">
        <f>"PKR "&amp;TEXT(BK160,"#,##0")&amp;" only"</f>
        <v>PKR 244,941 only</v>
      </c>
      <c r="BM160" s="37">
        <f>SUMIFS('T10'!$AK$3:$AK$1500,'T10'!$V$3:$V$1500,G160)</f>
        <v>244941</v>
      </c>
      <c r="BN160" s="37">
        <f>BK160-BM160</f>
        <v>0</v>
      </c>
      <c r="BO160" s="21" t="str">
        <f>IF(BF160&gt;0,TEXT(I160,"mmm-yyyy")&amp;" sales tax return","N/A")</f>
        <v>Jul-2026 sales tax return</v>
      </c>
      <c r="BP160" s="21" t="s">
        <v>1051</v>
      </c>
      <c r="BQ160" s="29">
        <f>J160+30</f>
        <v>46234</v>
      </c>
      <c r="BR160" s="29">
        <f>BQ160</f>
        <v>46234</v>
      </c>
      <c r="BS160" s="21" t="s">
        <v>3095</v>
      </c>
      <c r="BT160" s="21" t="s">
        <v>3360</v>
      </c>
      <c r="BU160" s="21" t="s">
        <v>844</v>
      </c>
      <c r="BV160" s="21" t="s">
        <v>846</v>
      </c>
      <c r="BW160" s="21" t="str" cm="1">
        <f t="array" ref="BW160">_xlfn.TEXTJOIN(", ",TRUE,_xlfn.UNIQUE(_xlfn._xlws.FILTER('T10'!$A$3:$A$1500,'T10'!$V$3:$V$1500=G160,"None")))</f>
        <v>PV-0065</v>
      </c>
      <c r="BX160" s="21" t="s">
        <v>4243</v>
      </c>
      <c r="BY160" s="21" t="s">
        <v>4244</v>
      </c>
    </row>
    <row r="161" spans="1:77" x14ac:dyDescent="0.3">
      <c r="A161" s="21" t="s">
        <v>3511</v>
      </c>
      <c r="B161" s="21" t="s">
        <v>4245</v>
      </c>
      <c r="C161" s="21" t="s">
        <v>4246</v>
      </c>
      <c r="D161" s="35">
        <v>46209.708333333336</v>
      </c>
      <c r="E161" s="21" t="s">
        <v>3347</v>
      </c>
      <c r="F161" s="21" t="str">
        <f ca="1">IF(S161="Paid","Completed","Pending payment")</f>
        <v>Completed</v>
      </c>
      <c r="G161" s="21" t="s">
        <v>4247</v>
      </c>
      <c r="H161" s="21" t="s">
        <v>3515</v>
      </c>
      <c r="I161" s="29">
        <v>46210</v>
      </c>
      <c r="J161" s="29">
        <v>46208</v>
      </c>
      <c r="K161" s="21" t="str">
        <f>TEXT(I161,"mmm-yyyy")</f>
        <v>Jul-2026</v>
      </c>
      <c r="L161" s="21" t="s">
        <v>1797</v>
      </c>
      <c r="M161" s="21">
        <v>1</v>
      </c>
      <c r="N161" s="21" t="s">
        <v>743</v>
      </c>
      <c r="O161" s="21" t="s">
        <v>3350</v>
      </c>
      <c r="P161" s="21" t="s">
        <v>3429</v>
      </c>
      <c r="Q161" s="21" t="s">
        <v>844</v>
      </c>
      <c r="R161" s="21" t="s">
        <v>4248</v>
      </c>
      <c r="S161" s="21" t="str">
        <f ca="1">IF(BN161&lt;1,"Paid",IF(BM161&gt;0,"Partially paid",IF(ISNUMBER(SEARCH("hold",BU161)),"On hold",IF(BQ161&lt;TODAY(),"Overdue","Approved - unpaid"))))</f>
        <v>Paid</v>
      </c>
      <c r="T161" s="21" t="s">
        <v>3517</v>
      </c>
      <c r="U161" s="21" t="s">
        <v>3518</v>
      </c>
      <c r="V161" s="21" t="s">
        <v>3519</v>
      </c>
      <c r="W161" s="21" t="s">
        <v>746</v>
      </c>
      <c r="X161" s="21" t="s">
        <v>846</v>
      </c>
      <c r="Y161" s="21" t="s">
        <v>3520</v>
      </c>
      <c r="Z161" s="21" t="s">
        <v>3521</v>
      </c>
      <c r="AA161" s="21" t="s">
        <v>1051</v>
      </c>
      <c r="AB161" s="37">
        <v>0</v>
      </c>
      <c r="AC161" s="21" t="s">
        <v>4249</v>
      </c>
      <c r="AD161" s="21" t="s">
        <v>4250</v>
      </c>
      <c r="AE161" s="21" t="s">
        <v>844</v>
      </c>
      <c r="AF161" s="21">
        <v>1</v>
      </c>
      <c r="AG161" s="21" t="s">
        <v>925</v>
      </c>
      <c r="AH161" s="21" t="s">
        <v>928</v>
      </c>
      <c r="AI161" s="21" t="s">
        <v>882</v>
      </c>
      <c r="AJ161" s="37">
        <v>2</v>
      </c>
      <c r="AK161" s="37">
        <v>2</v>
      </c>
      <c r="AL161" s="37">
        <v>73710</v>
      </c>
      <c r="AM161" s="37">
        <f>AK161*AL161</f>
        <v>147420</v>
      </c>
      <c r="AN161" s="37">
        <f>AM161</f>
        <v>147420</v>
      </c>
      <c r="AO161" s="23">
        <f>_xlfn.XLOOKUP(AG161,'T13'!$A$3:$A$1500,'T13'!$O$3:$O$1500)</f>
        <v>0.18</v>
      </c>
      <c r="AP161" s="37">
        <v>0</v>
      </c>
      <c r="AQ161" s="37">
        <f>SUMIFS($AN$3:$AN$1500,$G$3:$G$1500,G161)</f>
        <v>254760</v>
      </c>
      <c r="AR161" s="37">
        <f>SUMIFS($AP$3:$AP$1500,$G$3:$G$1500,G161)</f>
        <v>0</v>
      </c>
      <c r="AS161" s="21" t="s">
        <v>3410</v>
      </c>
      <c r="AT161" s="37">
        <f>ROUND(BH161*0.05,0)</f>
        <v>15031</v>
      </c>
      <c r="AU161" s="21" t="s">
        <v>846</v>
      </c>
      <c r="AV161" s="37" cm="1">
        <f t="array" ref="AV161">SUMPRODUCT(($G$3:$G$1500=G161)*$AN$3:$AN$1500*$AO$3:$AO$1500)+AR161</f>
        <v>45856.800000000003</v>
      </c>
      <c r="AW161" s="37">
        <f>AT161</f>
        <v>15031</v>
      </c>
      <c r="AX161" s="21" t="str">
        <f>TEXT(EOMONTH(I161,0)+15,"dd-mmm-yyyy")&amp;" / "&amp;IF(BM161&gt;0,"CPR-IT-"&amp;TEXT(I161,"yymm")&amp;"-"&amp;RIGHT(G161,4),"Pending payment")</f>
        <v>15-Aug-2026 / CPR-IT-2607-0134</v>
      </c>
      <c r="AY161" s="21" t="str">
        <f>IF(BM161&gt;0,"Issued","Not yet")</f>
        <v>Issued</v>
      </c>
      <c r="AZ161" s="37">
        <v>0</v>
      </c>
      <c r="BA161" s="37">
        <v>0</v>
      </c>
      <c r="BB161" s="37">
        <v>0</v>
      </c>
      <c r="BC161" s="37">
        <v>0</v>
      </c>
      <c r="BD161" s="37">
        <v>0</v>
      </c>
      <c r="BE161" s="37">
        <f>AQ161</f>
        <v>254760</v>
      </c>
      <c r="BF161" s="37">
        <f>AV161</f>
        <v>45856.800000000003</v>
      </c>
      <c r="BG161" s="37">
        <f>AZ161</f>
        <v>0</v>
      </c>
      <c r="BH161" s="37">
        <f>BE161+BF161+BG161</f>
        <v>300616.8</v>
      </c>
      <c r="BI161" s="37">
        <f>AW161</f>
        <v>15031</v>
      </c>
      <c r="BJ161" s="37">
        <f>BA161+BB161+BC161+BD161</f>
        <v>0</v>
      </c>
      <c r="BK161" s="37">
        <f>BH161-BI161-BJ161</f>
        <v>285585.8</v>
      </c>
      <c r="BL161" s="21" t="str">
        <f>"PKR "&amp;TEXT(BK161,"#,##0")&amp;" only"</f>
        <v>PKR 285,586 only</v>
      </c>
      <c r="BM161" s="37">
        <f>SUMIFS('T10'!$AK$3:$AK$1500,'T10'!$V$3:$V$1500,G161)</f>
        <v>285585.8</v>
      </c>
      <c r="BN161" s="37">
        <f>BK161-BM161</f>
        <v>0</v>
      </c>
      <c r="BO161" s="21" t="str">
        <f>IF(BF161&gt;0,TEXT(I161,"mmm-yyyy")&amp;" sales tax return","N/A")</f>
        <v>Jul-2026 sales tax return</v>
      </c>
      <c r="BP161" s="21" t="s">
        <v>1051</v>
      </c>
      <c r="BQ161" s="29">
        <f>J161+30</f>
        <v>46238</v>
      </c>
      <c r="BR161" s="29">
        <f>BQ161</f>
        <v>46238</v>
      </c>
      <c r="BS161" s="21" t="s">
        <v>3095</v>
      </c>
      <c r="BT161" s="21" t="s">
        <v>3360</v>
      </c>
      <c r="BU161" s="21" t="s">
        <v>844</v>
      </c>
      <c r="BV161" s="21" t="s">
        <v>846</v>
      </c>
      <c r="BW161" s="21" t="str" cm="1">
        <f t="array" ref="BW161">_xlfn.TEXTJOIN(", ",TRUE,_xlfn.UNIQUE(_xlfn._xlws.FILTER('T10'!$A$3:$A$1500,'T10'!$V$3:$V$1500=G161,"None")))</f>
        <v>PV-0066</v>
      </c>
      <c r="BX161" s="21" t="s">
        <v>4251</v>
      </c>
      <c r="BY161" s="21" t="s">
        <v>4252</v>
      </c>
    </row>
    <row r="162" spans="1:77" x14ac:dyDescent="0.3">
      <c r="A162" s="21" t="s">
        <v>3511</v>
      </c>
      <c r="B162" s="21" t="s">
        <v>4245</v>
      </c>
      <c r="C162" s="21" t="s">
        <v>4246</v>
      </c>
      <c r="D162" s="35">
        <v>46209.708333333336</v>
      </c>
      <c r="E162" s="21" t="s">
        <v>3347</v>
      </c>
      <c r="F162" s="21" t="str">
        <f ca="1">IF(S162="Paid","Completed","Pending payment")</f>
        <v>Completed</v>
      </c>
      <c r="G162" s="21" t="s">
        <v>4247</v>
      </c>
      <c r="H162" s="21" t="s">
        <v>3515</v>
      </c>
      <c r="I162" s="29">
        <v>46210</v>
      </c>
      <c r="J162" s="29">
        <v>46208</v>
      </c>
      <c r="K162" s="21" t="str">
        <f>TEXT(I162,"mmm-yyyy")</f>
        <v>Jul-2026</v>
      </c>
      <c r="L162" s="21" t="s">
        <v>1797</v>
      </c>
      <c r="M162" s="21">
        <v>1</v>
      </c>
      <c r="N162" s="21" t="s">
        <v>743</v>
      </c>
      <c r="O162" s="21" t="s">
        <v>3350</v>
      </c>
      <c r="P162" s="21" t="s">
        <v>3429</v>
      </c>
      <c r="Q162" s="21" t="s">
        <v>844</v>
      </c>
      <c r="R162" s="21" t="s">
        <v>4248</v>
      </c>
      <c r="S162" s="21" t="str">
        <f ca="1">IF(BN162&lt;1,"Paid",IF(BM162&gt;0,"Partially paid",IF(ISNUMBER(SEARCH("hold",BU162)),"On hold",IF(BQ162&lt;TODAY(),"Overdue","Approved - unpaid"))))</f>
        <v>Paid</v>
      </c>
      <c r="T162" s="21" t="s">
        <v>3517</v>
      </c>
      <c r="U162" s="21" t="s">
        <v>3518</v>
      </c>
      <c r="V162" s="21" t="s">
        <v>3519</v>
      </c>
      <c r="W162" s="21" t="s">
        <v>746</v>
      </c>
      <c r="X162" s="21" t="s">
        <v>846</v>
      </c>
      <c r="Y162" s="21" t="s">
        <v>3520</v>
      </c>
      <c r="Z162" s="21" t="s">
        <v>3521</v>
      </c>
      <c r="AA162" s="21" t="s">
        <v>1051</v>
      </c>
      <c r="AB162" s="37">
        <v>0</v>
      </c>
      <c r="AC162" s="21" t="s">
        <v>4249</v>
      </c>
      <c r="AD162" s="21" t="s">
        <v>4253</v>
      </c>
      <c r="AE162" s="21" t="s">
        <v>844</v>
      </c>
      <c r="AF162" s="21">
        <v>2</v>
      </c>
      <c r="AG162" s="21" t="s">
        <v>934</v>
      </c>
      <c r="AH162" s="21" t="s">
        <v>936</v>
      </c>
      <c r="AI162" s="21" t="s">
        <v>937</v>
      </c>
      <c r="AJ162" s="37">
        <v>6</v>
      </c>
      <c r="AK162" s="37">
        <v>6</v>
      </c>
      <c r="AL162" s="37">
        <v>17890</v>
      </c>
      <c r="AM162" s="37">
        <f>AK162*AL162</f>
        <v>107340</v>
      </c>
      <c r="AN162" s="37">
        <f>AM162</f>
        <v>107340</v>
      </c>
      <c r="AO162" s="23">
        <f>_xlfn.XLOOKUP(AG162,'T13'!$A$3:$A$1500,'T13'!$O$3:$O$1500)</f>
        <v>0.18</v>
      </c>
      <c r="AP162" s="37">
        <v>0</v>
      </c>
      <c r="AQ162" s="37">
        <f>SUMIFS($AN$3:$AN$1500,$G$3:$G$1500,G162)</f>
        <v>254760</v>
      </c>
      <c r="AR162" s="37">
        <f>SUMIFS($AP$3:$AP$1500,$G$3:$G$1500,G162)</f>
        <v>0</v>
      </c>
      <c r="AS162" s="21" t="s">
        <v>3410</v>
      </c>
      <c r="AT162" s="37">
        <f>ROUND(BH162*0.05,0)</f>
        <v>15031</v>
      </c>
      <c r="AU162" s="21" t="s">
        <v>846</v>
      </c>
      <c r="AV162" s="37" cm="1">
        <f t="array" ref="AV162">SUMPRODUCT(($G$3:$G$1500=G162)*$AN$3:$AN$1500*$AO$3:$AO$1500)+AR162</f>
        <v>45856.800000000003</v>
      </c>
      <c r="AW162" s="37">
        <f>AT162</f>
        <v>15031</v>
      </c>
      <c r="AX162" s="21" t="str">
        <f>TEXT(EOMONTH(I162,0)+15,"dd-mmm-yyyy")&amp;" / "&amp;IF(BM162&gt;0,"CPR-IT-"&amp;TEXT(I162,"yymm")&amp;"-"&amp;RIGHT(G162,4),"Pending payment")</f>
        <v>15-Aug-2026 / CPR-IT-2607-0134</v>
      </c>
      <c r="AY162" s="21" t="str">
        <f>IF(BM162&gt;0,"Issued","Not yet")</f>
        <v>Issued</v>
      </c>
      <c r="AZ162" s="37">
        <v>0</v>
      </c>
      <c r="BA162" s="37">
        <v>0</v>
      </c>
      <c r="BB162" s="37">
        <v>0</v>
      </c>
      <c r="BC162" s="37">
        <v>0</v>
      </c>
      <c r="BD162" s="37">
        <v>0</v>
      </c>
      <c r="BE162" s="37">
        <f>AQ162</f>
        <v>254760</v>
      </c>
      <c r="BF162" s="37">
        <f>AV162</f>
        <v>45856.800000000003</v>
      </c>
      <c r="BG162" s="37">
        <f>AZ162</f>
        <v>0</v>
      </c>
      <c r="BH162" s="37">
        <f>BE162+BF162+BG162</f>
        <v>300616.8</v>
      </c>
      <c r="BI162" s="37">
        <f>AW162</f>
        <v>15031</v>
      </c>
      <c r="BJ162" s="37">
        <f>BA162+BB162+BC162+BD162</f>
        <v>0</v>
      </c>
      <c r="BK162" s="37">
        <f>BH162-BI162-BJ162</f>
        <v>285585.8</v>
      </c>
      <c r="BL162" s="21" t="str">
        <f>"PKR "&amp;TEXT(BK162,"#,##0")&amp;" only"</f>
        <v>PKR 285,586 only</v>
      </c>
      <c r="BM162" s="37">
        <f>SUMIFS('T10'!$AK$3:$AK$1500,'T10'!$V$3:$V$1500,G162)</f>
        <v>285585.8</v>
      </c>
      <c r="BN162" s="37">
        <f>BK162-BM162</f>
        <v>0</v>
      </c>
      <c r="BO162" s="21" t="str">
        <f>IF(BF162&gt;0,TEXT(I162,"mmm-yyyy")&amp;" sales tax return","N/A")</f>
        <v>Jul-2026 sales tax return</v>
      </c>
      <c r="BP162" s="21" t="s">
        <v>1051</v>
      </c>
      <c r="BQ162" s="29">
        <f>J162+30</f>
        <v>46238</v>
      </c>
      <c r="BR162" s="29">
        <f>BQ162</f>
        <v>46238</v>
      </c>
      <c r="BS162" s="21" t="s">
        <v>3095</v>
      </c>
      <c r="BT162" s="21" t="s">
        <v>3360</v>
      </c>
      <c r="BU162" s="21" t="s">
        <v>844</v>
      </c>
      <c r="BV162" s="21" t="s">
        <v>846</v>
      </c>
      <c r="BW162" s="21" t="str" cm="1">
        <f t="array" ref="BW162">_xlfn.TEXTJOIN(", ",TRUE,_xlfn.UNIQUE(_xlfn._xlws.FILTER('T10'!$A$3:$A$1500,'T10'!$V$3:$V$1500=G162,"None")))</f>
        <v>PV-0066</v>
      </c>
      <c r="BX162" s="21" t="s">
        <v>4251</v>
      </c>
      <c r="BY162" s="21" t="s">
        <v>4252</v>
      </c>
    </row>
    <row r="163" spans="1:77" x14ac:dyDescent="0.3">
      <c r="A163" s="21" t="s">
        <v>3496</v>
      </c>
      <c r="B163" s="21" t="s">
        <v>4254</v>
      </c>
      <c r="C163" s="21" t="s">
        <v>4255</v>
      </c>
      <c r="D163" s="35">
        <v>46225.458333333336</v>
      </c>
      <c r="E163" s="21" t="s">
        <v>3347</v>
      </c>
      <c r="F163" s="21" t="str">
        <f ca="1">IF(S163="Paid","Completed","Pending payment")</f>
        <v>Completed</v>
      </c>
      <c r="G163" s="21" t="s">
        <v>4256</v>
      </c>
      <c r="H163" s="21" t="s">
        <v>3500</v>
      </c>
      <c r="I163" s="29">
        <v>46225</v>
      </c>
      <c r="J163" s="29">
        <v>46223</v>
      </c>
      <c r="K163" s="21" t="str">
        <f>TEXT(I163,"mmm-yyyy")</f>
        <v>Jul-2026</v>
      </c>
      <c r="L163" s="21" t="s">
        <v>1797</v>
      </c>
      <c r="M163" s="21">
        <v>1</v>
      </c>
      <c r="N163" s="21" t="s">
        <v>743</v>
      </c>
      <c r="O163" s="21" t="s">
        <v>3350</v>
      </c>
      <c r="P163" s="21" t="s">
        <v>3351</v>
      </c>
      <c r="Q163" s="21" t="s">
        <v>844</v>
      </c>
      <c r="R163" s="21" t="s">
        <v>4257</v>
      </c>
      <c r="S163" s="21" t="str">
        <f ca="1">IF(BN163&lt;1,"Paid",IF(BM163&gt;0,"Partially paid",IF(ISNUMBER(SEARCH("hold",BU163)),"On hold",IF(BQ163&lt;TODAY(),"Overdue","Approved - unpaid"))))</f>
        <v>Paid</v>
      </c>
      <c r="T163" s="21" t="s">
        <v>3502</v>
      </c>
      <c r="U163" s="21" t="s">
        <v>3503</v>
      </c>
      <c r="V163" s="21" t="s">
        <v>3504</v>
      </c>
      <c r="W163" s="21" t="s">
        <v>746</v>
      </c>
      <c r="X163" s="21" t="s">
        <v>846</v>
      </c>
      <c r="Y163" s="21" t="s">
        <v>3505</v>
      </c>
      <c r="Z163" s="21" t="s">
        <v>3506</v>
      </c>
      <c r="AA163" s="21" t="s">
        <v>1051</v>
      </c>
      <c r="AB163" s="37">
        <v>0</v>
      </c>
      <c r="AC163" s="21" t="s">
        <v>4258</v>
      </c>
      <c r="AD163" s="21" t="s">
        <v>4259</v>
      </c>
      <c r="AE163" s="21" t="s">
        <v>844</v>
      </c>
      <c r="AF163" s="21">
        <v>1</v>
      </c>
      <c r="AG163" s="21" t="s">
        <v>894</v>
      </c>
      <c r="AH163" s="21" t="s">
        <v>896</v>
      </c>
      <c r="AI163" s="21" t="s">
        <v>897</v>
      </c>
      <c r="AJ163" s="37">
        <v>1</v>
      </c>
      <c r="AK163" s="37">
        <v>1</v>
      </c>
      <c r="AL163" s="37">
        <v>16260</v>
      </c>
      <c r="AM163" s="37">
        <f>AK163*AL163</f>
        <v>16260</v>
      </c>
      <c r="AN163" s="37">
        <f>AM163</f>
        <v>16260</v>
      </c>
      <c r="AO163" s="23">
        <f>_xlfn.XLOOKUP(AG163,'T13'!$A$3:$A$1500,'T13'!$O$3:$O$1500)</f>
        <v>0.18</v>
      </c>
      <c r="AP163" s="37">
        <v>0</v>
      </c>
      <c r="AQ163" s="37">
        <f>SUMIFS($AN$3:$AN$1500,$G$3:$G$1500,G163)</f>
        <v>16260</v>
      </c>
      <c r="AR163" s="37">
        <f>SUMIFS($AP$3:$AP$1500,$G$3:$G$1500,G163)</f>
        <v>0</v>
      </c>
      <c r="AS163" s="21" t="s">
        <v>3410</v>
      </c>
      <c r="AT163" s="37">
        <f>ROUND(BH163*0.05,0)</f>
        <v>959</v>
      </c>
      <c r="AU163" s="21" t="s">
        <v>846</v>
      </c>
      <c r="AV163" s="37" cm="1">
        <f t="array" ref="AV163">SUMPRODUCT(($G$3:$G$1500=G163)*$AN$3:$AN$1500*$AO$3:$AO$1500)+AR163</f>
        <v>2926.7999999999997</v>
      </c>
      <c r="AW163" s="37">
        <f>AT163</f>
        <v>959</v>
      </c>
      <c r="AX163" s="21" t="str">
        <f>TEXT(EOMONTH(I163,0)+15,"dd-mmm-yyyy")&amp;" / "&amp;IF(BM163&gt;0,"CPR-IT-"&amp;TEXT(I163,"yymm")&amp;"-"&amp;RIGHT(G163,4),"Pending payment")</f>
        <v>15-Aug-2026 / CPR-IT-2607-0135</v>
      </c>
      <c r="AY163" s="21" t="str">
        <f>IF(BM163&gt;0,"Issued","Not yet")</f>
        <v>Issued</v>
      </c>
      <c r="AZ163" s="37">
        <v>0</v>
      </c>
      <c r="BA163" s="37">
        <v>0</v>
      </c>
      <c r="BB163" s="37">
        <v>0</v>
      </c>
      <c r="BC163" s="37">
        <v>0</v>
      </c>
      <c r="BD163" s="37">
        <v>0</v>
      </c>
      <c r="BE163" s="37">
        <f>AQ163</f>
        <v>16260</v>
      </c>
      <c r="BF163" s="37">
        <f>AV163</f>
        <v>2926.7999999999997</v>
      </c>
      <c r="BG163" s="37">
        <f>AZ163</f>
        <v>0</v>
      </c>
      <c r="BH163" s="37">
        <f>BE163+BF163+BG163</f>
        <v>19186.8</v>
      </c>
      <c r="BI163" s="37">
        <f>AW163</f>
        <v>959</v>
      </c>
      <c r="BJ163" s="37">
        <f>BA163+BB163+BC163+BD163</f>
        <v>0</v>
      </c>
      <c r="BK163" s="37">
        <f>BH163-BI163-BJ163</f>
        <v>18227.8</v>
      </c>
      <c r="BL163" s="21" t="str">
        <f>"PKR "&amp;TEXT(BK163,"#,##0")&amp;" only"</f>
        <v>PKR 18,228 only</v>
      </c>
      <c r="BM163" s="37">
        <f>SUMIFS('T10'!$AK$3:$AK$1500,'T10'!$V$3:$V$1500,G163)</f>
        <v>18227.8</v>
      </c>
      <c r="BN163" s="37">
        <f>BK163-BM163</f>
        <v>0</v>
      </c>
      <c r="BO163" s="21" t="str">
        <f>IF(BF163&gt;0,TEXT(I163,"mmm-yyyy")&amp;" sales tax return","N/A")</f>
        <v>Jul-2026 sales tax return</v>
      </c>
      <c r="BP163" s="21" t="s">
        <v>1051</v>
      </c>
      <c r="BQ163" s="29">
        <f>J163+30</f>
        <v>46253</v>
      </c>
      <c r="BR163" s="29">
        <f>BQ163</f>
        <v>46253</v>
      </c>
      <c r="BS163" s="21" t="s">
        <v>3095</v>
      </c>
      <c r="BT163" s="21" t="s">
        <v>3360</v>
      </c>
      <c r="BU163" s="21" t="s">
        <v>844</v>
      </c>
      <c r="BV163" s="21" t="s">
        <v>846</v>
      </c>
      <c r="BW163" s="21" t="str" cm="1">
        <f t="array" ref="BW163">_xlfn.TEXTJOIN(", ",TRUE,_xlfn.UNIQUE(_xlfn._xlws.FILTER('T10'!$A$3:$A$1500,'T10'!$V$3:$V$1500=G163,"None")))</f>
        <v>PV-0069</v>
      </c>
      <c r="BX163" s="21" t="s">
        <v>4260</v>
      </c>
      <c r="BY163" s="21" t="s">
        <v>4261</v>
      </c>
    </row>
    <row r="164" spans="1:77" x14ac:dyDescent="0.3">
      <c r="A164" s="21" t="s">
        <v>3573</v>
      </c>
      <c r="B164" s="21" t="s">
        <v>4262</v>
      </c>
      <c r="C164" s="21" t="s">
        <v>4263</v>
      </c>
      <c r="D164" s="35">
        <v>46236.666666666664</v>
      </c>
      <c r="E164" s="21" t="s">
        <v>3347</v>
      </c>
      <c r="F164" s="21" t="str">
        <f ca="1">IF(S164="Paid","Completed","Pending payment")</f>
        <v>Pending payment</v>
      </c>
      <c r="G164" s="21" t="s">
        <v>4264</v>
      </c>
      <c r="H164" s="21" t="s">
        <v>3399</v>
      </c>
      <c r="I164" s="29">
        <v>46234</v>
      </c>
      <c r="J164" s="29">
        <v>46234</v>
      </c>
      <c r="K164" s="21" t="str">
        <f>TEXT(I164,"mmm-yyyy")</f>
        <v>Jul-2026</v>
      </c>
      <c r="L164" s="21" t="s">
        <v>1797</v>
      </c>
      <c r="M164" s="21">
        <v>1</v>
      </c>
      <c r="N164" s="21" t="s">
        <v>743</v>
      </c>
      <c r="O164" s="21" t="s">
        <v>3400</v>
      </c>
      <c r="P164" s="21" t="s">
        <v>3401</v>
      </c>
      <c r="Q164" s="21" t="s">
        <v>844</v>
      </c>
      <c r="R164" s="21" t="s">
        <v>4265</v>
      </c>
      <c r="S164" s="21" t="str">
        <f ca="1">IF(BN164&lt;1,"Paid",IF(BM164&gt;0,"Partially paid",IF(ISNUMBER(SEARCH("hold",BU164)),"On hold",IF(BQ164&lt;TODAY(),"Overdue","Approved - unpaid"))))</f>
        <v>On hold</v>
      </c>
      <c r="T164" s="21" t="s">
        <v>3403</v>
      </c>
      <c r="U164" s="21" t="s">
        <v>3578</v>
      </c>
      <c r="V164" s="21" t="s">
        <v>1021</v>
      </c>
      <c r="W164" s="21" t="s">
        <v>746</v>
      </c>
      <c r="X164" s="21" t="s">
        <v>846</v>
      </c>
      <c r="Y164" s="21" t="s">
        <v>3579</v>
      </c>
      <c r="Z164" s="21" t="s">
        <v>3580</v>
      </c>
      <c r="AA164" s="21" t="s">
        <v>1062</v>
      </c>
      <c r="AB164" s="37">
        <v>0</v>
      </c>
      <c r="AC164" s="21" t="s">
        <v>4266</v>
      </c>
      <c r="AD164" s="21" t="s">
        <v>4267</v>
      </c>
      <c r="AE164" s="21" t="s">
        <v>3583</v>
      </c>
      <c r="AF164" s="21">
        <v>1</v>
      </c>
      <c r="AG164" s="21" t="s">
        <v>812</v>
      </c>
      <c r="AH164" s="21" t="s">
        <v>814</v>
      </c>
      <c r="AI164" s="21" t="s">
        <v>1841</v>
      </c>
      <c r="AJ164" s="37">
        <v>6900</v>
      </c>
      <c r="AK164" s="37">
        <v>6893</v>
      </c>
      <c r="AL164" s="37">
        <v>2595</v>
      </c>
      <c r="AM164" s="37">
        <f>AK164*AL164</f>
        <v>17887335</v>
      </c>
      <c r="AN164" s="37">
        <f>AM164</f>
        <v>17887335</v>
      </c>
      <c r="AO164" s="23">
        <f>_xlfn.XLOOKUP(AG164,'T13'!$A$3:$A$1500,'T13'!$O$3:$O$1500)</f>
        <v>0.18</v>
      </c>
      <c r="AP164" s="37">
        <f>AK164*IF(AI164="MT",1000,IF(AI164="Jumbo bag (1.5 MT)",1500,IF(AI164="Bag (40 kg)",40,50)))*3</f>
        <v>827160</v>
      </c>
      <c r="AQ164" s="37">
        <f>SUMIFS($AN$3:$AN$1500,$G$3:$G$1500,G164)</f>
        <v>17887335</v>
      </c>
      <c r="AR164" s="37">
        <f>SUMIFS($AP$3:$AP$1500,$G$3:$G$1500,G164)</f>
        <v>827160</v>
      </c>
      <c r="AS164" s="21" t="s">
        <v>3410</v>
      </c>
      <c r="AT164" s="37">
        <f>ROUND(BH164*0.05,0)</f>
        <v>1096711</v>
      </c>
      <c r="AU164" s="21" t="s">
        <v>846</v>
      </c>
      <c r="AV164" s="37" cm="1">
        <f t="array" ref="AV164">SUMPRODUCT(($G$3:$G$1500=G164)*$AN$3:$AN$1500*$AO$3:$AO$1500)+AR164</f>
        <v>4046880.3</v>
      </c>
      <c r="AW164" s="37">
        <f>AT164</f>
        <v>1096711</v>
      </c>
      <c r="AX164" s="21" t="str">
        <f>TEXT(EOMONTH(I164,0)+15,"dd-mmm-yyyy")&amp;" / "&amp;IF(BM164&gt;0,"CPR-IT-"&amp;TEXT(I164,"yymm")&amp;"-"&amp;RIGHT(G164,4),"Pending payment")</f>
        <v>15-Aug-2026 / Pending payment</v>
      </c>
      <c r="AY164" s="21" t="str">
        <f>IF(BM164&gt;0,"Issued","Not yet")</f>
        <v>Not yet</v>
      </c>
      <c r="AZ164" s="37">
        <v>0</v>
      </c>
      <c r="BA164" s="37">
        <v>0</v>
      </c>
      <c r="BB164" s="37">
        <v>0</v>
      </c>
      <c r="BC164" s="37">
        <v>0</v>
      </c>
      <c r="BD164" s="37">
        <v>0</v>
      </c>
      <c r="BE164" s="37">
        <f>AQ164</f>
        <v>17887335</v>
      </c>
      <c r="BF164" s="37">
        <f>AV164</f>
        <v>4046880.3</v>
      </c>
      <c r="BG164" s="37">
        <f>AZ164</f>
        <v>0</v>
      </c>
      <c r="BH164" s="37">
        <f>BE164+BF164+BG164</f>
        <v>21934215.300000001</v>
      </c>
      <c r="BI164" s="37">
        <f>AW164</f>
        <v>1096711</v>
      </c>
      <c r="BJ164" s="37">
        <f>BA164+BB164+BC164+BD164</f>
        <v>0</v>
      </c>
      <c r="BK164" s="37">
        <f>BH164-BI164-BJ164</f>
        <v>20837504.300000001</v>
      </c>
      <c r="BL164" s="21" t="str">
        <f>"PKR "&amp;TEXT(BK164,"#,##0")&amp;" only"</f>
        <v>PKR 20,837,504 only</v>
      </c>
      <c r="BM164" s="37">
        <f>SUMIFS('T10'!$AK$3:$AK$1500,'T10'!$V$3:$V$1500,G164)</f>
        <v>0</v>
      </c>
      <c r="BN164" s="37">
        <f>BK164-BM164</f>
        <v>20837504.300000001</v>
      </c>
      <c r="BO164" s="21" t="str">
        <f>IF(BF164&gt;0,TEXT(I164,"mmm-yyyy")&amp;" sales tax return","N/A")</f>
        <v>Jul-2026 sales tax return</v>
      </c>
      <c r="BP164" s="21" t="s">
        <v>1062</v>
      </c>
      <c r="BQ164" s="29">
        <f>J164+15</f>
        <v>46249</v>
      </c>
      <c r="BR164" s="29">
        <f>BQ164</f>
        <v>46249</v>
      </c>
      <c r="BS164" s="21" t="s">
        <v>3095</v>
      </c>
      <c r="BT164" s="21" t="s">
        <v>3411</v>
      </c>
      <c r="BU164" s="21" t="s">
        <v>4268</v>
      </c>
      <c r="BV164" s="21" t="s">
        <v>846</v>
      </c>
      <c r="BW164" s="21" t="str" cm="1">
        <f t="array" ref="BW164">_xlfn.TEXTJOIN(", ",TRUE,_xlfn.UNIQUE(_xlfn._xlws.FILTER('T10'!$A$3:$A$1500,'T10'!$V$3:$V$1500=G164,"None")))</f>
        <v>None</v>
      </c>
      <c r="BX164" s="21" t="s">
        <v>4269</v>
      </c>
      <c r="BY164" s="21" t="s">
        <v>1760</v>
      </c>
    </row>
    <row r="165" spans="1:77" x14ac:dyDescent="0.3">
      <c r="A165" s="21" t="s">
        <v>3395</v>
      </c>
      <c r="B165" s="21" t="s">
        <v>4270</v>
      </c>
      <c r="C165" s="21" t="s">
        <v>4271</v>
      </c>
      <c r="D165" s="35">
        <v>46236.625</v>
      </c>
      <c r="E165" s="21" t="s">
        <v>3347</v>
      </c>
      <c r="F165" s="21" t="str">
        <f ca="1">IF(S165="Paid","Completed","Pending payment")</f>
        <v>Completed</v>
      </c>
      <c r="G165" s="21" t="s">
        <v>4272</v>
      </c>
      <c r="H165" s="21" t="s">
        <v>3399</v>
      </c>
      <c r="I165" s="29">
        <v>46234</v>
      </c>
      <c r="J165" s="29">
        <v>46234</v>
      </c>
      <c r="K165" s="21" t="str">
        <f>TEXT(I165,"mmm-yyyy")</f>
        <v>Jul-2026</v>
      </c>
      <c r="L165" s="21" t="s">
        <v>1797</v>
      </c>
      <c r="M165" s="21">
        <v>1</v>
      </c>
      <c r="N165" s="21" t="s">
        <v>743</v>
      </c>
      <c r="O165" s="21" t="s">
        <v>3400</v>
      </c>
      <c r="P165" s="21" t="s">
        <v>3401</v>
      </c>
      <c r="Q165" s="21" t="s">
        <v>844</v>
      </c>
      <c r="R165" s="21" t="s">
        <v>4265</v>
      </c>
      <c r="S165" s="21" t="str">
        <f ca="1">IF(BN165&lt;1,"Paid",IF(BM165&gt;0,"Partially paid",IF(ISNUMBER(SEARCH("hold",BU165)),"On hold",IF(BQ165&lt;TODAY(),"Overdue","Approved - unpaid"))))</f>
        <v>Paid</v>
      </c>
      <c r="T165" s="21" t="s">
        <v>3403</v>
      </c>
      <c r="U165" s="21" t="s">
        <v>3404</v>
      </c>
      <c r="V165" s="21" t="s">
        <v>967</v>
      </c>
      <c r="W165" s="21" t="s">
        <v>746</v>
      </c>
      <c r="X165" s="21" t="s">
        <v>846</v>
      </c>
      <c r="Y165" s="21" t="s">
        <v>3405</v>
      </c>
      <c r="Z165" s="21" t="s">
        <v>3406</v>
      </c>
      <c r="AA165" s="21" t="s">
        <v>1062</v>
      </c>
      <c r="AB165" s="37">
        <v>0</v>
      </c>
      <c r="AC165" s="21" t="s">
        <v>4273</v>
      </c>
      <c r="AD165" s="21" t="s">
        <v>4274</v>
      </c>
      <c r="AE165" s="21" t="s">
        <v>3409</v>
      </c>
      <c r="AF165" s="21">
        <v>1</v>
      </c>
      <c r="AG165" s="21" t="s">
        <v>788</v>
      </c>
      <c r="AH165" s="21" t="s">
        <v>790</v>
      </c>
      <c r="AI165" s="21" t="s">
        <v>1804</v>
      </c>
      <c r="AJ165" s="37">
        <v>1400</v>
      </c>
      <c r="AK165" s="37">
        <v>1397</v>
      </c>
      <c r="AL165" s="37">
        <v>1505</v>
      </c>
      <c r="AM165" s="37">
        <f>AK165*AL165</f>
        <v>2102485</v>
      </c>
      <c r="AN165" s="37">
        <f>AM165</f>
        <v>2102485</v>
      </c>
      <c r="AO165" s="23">
        <f>_xlfn.XLOOKUP(AG165,'T13'!$A$3:$A$1500,'T13'!$O$3:$O$1500)</f>
        <v>0.18</v>
      </c>
      <c r="AP165" s="37">
        <f>AK165*IF(AI165="MT",1000,IF(AI165="Jumbo bag (1.5 MT)",1500,IF(AI165="Bag (40 kg)",40,50)))*3</f>
        <v>209550</v>
      </c>
      <c r="AQ165" s="37">
        <f>SUMIFS($AN$3:$AN$1500,$G$3:$G$1500,G165)</f>
        <v>2102485</v>
      </c>
      <c r="AR165" s="37">
        <f>SUMIFS($AP$3:$AP$1500,$G$3:$G$1500,G165)</f>
        <v>209550</v>
      </c>
      <c r="AS165" s="21" t="s">
        <v>3410</v>
      </c>
      <c r="AT165" s="37">
        <f>ROUND(BH165*0.05,0)</f>
        <v>134524</v>
      </c>
      <c r="AU165" s="21" t="s">
        <v>846</v>
      </c>
      <c r="AV165" s="37" cm="1">
        <f t="array" ref="AV165">SUMPRODUCT(($G$3:$G$1500=G165)*$AN$3:$AN$1500*$AO$3:$AO$1500)+AR165</f>
        <v>587997.30000000005</v>
      </c>
      <c r="AW165" s="37">
        <f>AT165</f>
        <v>134524</v>
      </c>
      <c r="AX165" s="21" t="str">
        <f>TEXT(EOMONTH(I165,0)+15,"dd-mmm-yyyy")&amp;" / "&amp;IF(BM165&gt;0,"CPR-IT-"&amp;TEXT(I165,"yymm")&amp;"-"&amp;RIGHT(G165,4),"Pending payment")</f>
        <v>15-Aug-2026 / CPR-IT-2607-0137</v>
      </c>
      <c r="AY165" s="21" t="str">
        <f>IF(BM165&gt;0,"Issued","Not yet")</f>
        <v>Issued</v>
      </c>
      <c r="AZ165" s="37">
        <v>0</v>
      </c>
      <c r="BA165" s="37">
        <v>0</v>
      </c>
      <c r="BB165" s="37">
        <v>0</v>
      </c>
      <c r="BC165" s="37">
        <v>0</v>
      </c>
      <c r="BD165" s="37">
        <v>0</v>
      </c>
      <c r="BE165" s="37">
        <f>AQ165</f>
        <v>2102485</v>
      </c>
      <c r="BF165" s="37">
        <f>AV165</f>
        <v>587997.30000000005</v>
      </c>
      <c r="BG165" s="37">
        <f>AZ165</f>
        <v>0</v>
      </c>
      <c r="BH165" s="37">
        <f>BE165+BF165+BG165</f>
        <v>2690482.3</v>
      </c>
      <c r="BI165" s="37">
        <f>AW165</f>
        <v>134524</v>
      </c>
      <c r="BJ165" s="37">
        <f>BA165+BB165+BC165+BD165</f>
        <v>0</v>
      </c>
      <c r="BK165" s="37">
        <f>BH165-BI165-BJ165</f>
        <v>2555958.2999999998</v>
      </c>
      <c r="BL165" s="21" t="str">
        <f>"PKR "&amp;TEXT(BK165,"#,##0")&amp;" only"</f>
        <v>PKR 2,555,958 only</v>
      </c>
      <c r="BM165" s="37">
        <f>SUMIFS('T10'!$AK$3:$AK$1500,'T10'!$V$3:$V$1500,G165)</f>
        <v>2555958.2999999998</v>
      </c>
      <c r="BN165" s="37">
        <f>BK165-BM165</f>
        <v>0</v>
      </c>
      <c r="BO165" s="21" t="str">
        <f>IF(BF165&gt;0,TEXT(I165,"mmm-yyyy")&amp;" sales tax return","N/A")</f>
        <v>Jul-2026 sales tax return</v>
      </c>
      <c r="BP165" s="21" t="s">
        <v>1062</v>
      </c>
      <c r="BQ165" s="29">
        <f>J165+15</f>
        <v>46249</v>
      </c>
      <c r="BR165" s="29">
        <f>BQ165</f>
        <v>46249</v>
      </c>
      <c r="BS165" s="21" t="s">
        <v>3095</v>
      </c>
      <c r="BT165" s="21" t="s">
        <v>3411</v>
      </c>
      <c r="BU165" s="21" t="s">
        <v>844</v>
      </c>
      <c r="BV165" s="21" t="s">
        <v>846</v>
      </c>
      <c r="BW165" s="21" t="str" cm="1">
        <f t="array" ref="BW165">_xlfn.TEXTJOIN(", ",TRUE,_xlfn.UNIQUE(_xlfn._xlws.FILTER('T10'!$A$3:$A$1500,'T10'!$V$3:$V$1500=G165,"None")))</f>
        <v>PV-0067</v>
      </c>
      <c r="BX165" s="21" t="s">
        <v>4269</v>
      </c>
      <c r="BY165" s="21" t="s">
        <v>4275</v>
      </c>
    </row>
    <row r="166" spans="1:77" x14ac:dyDescent="0.3">
      <c r="A166" s="21" t="s">
        <v>3438</v>
      </c>
      <c r="B166" s="21" t="s">
        <v>2824</v>
      </c>
      <c r="C166" s="21" t="s">
        <v>4276</v>
      </c>
      <c r="D166" s="35">
        <v>46236.708333333336</v>
      </c>
      <c r="E166" s="21" t="s">
        <v>3347</v>
      </c>
      <c r="F166" s="21" t="str">
        <f ca="1">IF(S166="Paid","Completed","Pending payment")</f>
        <v>Completed</v>
      </c>
      <c r="G166" s="21" t="s">
        <v>4277</v>
      </c>
      <c r="H166" s="21" t="s">
        <v>3428</v>
      </c>
      <c r="I166" s="29">
        <v>46237</v>
      </c>
      <c r="J166" s="29">
        <v>46235</v>
      </c>
      <c r="K166" s="21" t="str">
        <f>TEXT(I166,"mmm-yyyy")</f>
        <v>Aug-2026</v>
      </c>
      <c r="L166" s="21" t="s">
        <v>1797</v>
      </c>
      <c r="M166" s="21">
        <v>1</v>
      </c>
      <c r="N166" s="21" t="s">
        <v>743</v>
      </c>
      <c r="O166" s="21" t="s">
        <v>3350</v>
      </c>
      <c r="P166" s="21" t="s">
        <v>3429</v>
      </c>
      <c r="Q166" s="21" t="s">
        <v>844</v>
      </c>
      <c r="R166" s="21" t="s">
        <v>4278</v>
      </c>
      <c r="S166" s="21" t="str">
        <f ca="1">IF(BN166&lt;1,"Paid",IF(BM166&gt;0,"Partially paid",IF(ISNUMBER(SEARCH("hold",BU166)),"On hold",IF(BQ166&lt;TODAY(),"Overdue","Approved - unpaid"))))</f>
        <v>Paid</v>
      </c>
      <c r="T166" s="21" t="s">
        <v>3431</v>
      </c>
      <c r="U166" s="21" t="s">
        <v>1278</v>
      </c>
      <c r="V166" s="21" t="s">
        <v>1200</v>
      </c>
      <c r="W166" s="21" t="s">
        <v>746</v>
      </c>
      <c r="X166" s="21" t="s">
        <v>4241</v>
      </c>
      <c r="Y166" s="21" t="s">
        <v>3441</v>
      </c>
      <c r="Z166" s="21" t="s">
        <v>3442</v>
      </c>
      <c r="AA166" s="21" t="s">
        <v>1051</v>
      </c>
      <c r="AB166" s="37">
        <v>0</v>
      </c>
      <c r="AC166" s="21" t="s">
        <v>844</v>
      </c>
      <c r="AD166" s="21" t="s">
        <v>844</v>
      </c>
      <c r="AE166" s="21" t="s">
        <v>3443</v>
      </c>
      <c r="AF166" s="21">
        <v>1</v>
      </c>
      <c r="AG166" s="21" t="s">
        <v>837</v>
      </c>
      <c r="AH166" s="21" t="s">
        <v>840</v>
      </c>
      <c r="AI166" s="21" t="s">
        <v>842</v>
      </c>
      <c r="AJ166" s="37">
        <f>COUNTIFS('T14'!$AQ$3:$AQ$1500,B166,'T14'!$Z$3:$Z$1500,1,'T14'!$F$3:$F$1500,"Bag")</f>
        <v>5</v>
      </c>
      <c r="AK166" s="37">
        <f>AJ166</f>
        <v>5</v>
      </c>
      <c r="AL166" s="37">
        <v>42000</v>
      </c>
      <c r="AM166" s="37">
        <f>AK166*AL166</f>
        <v>210000</v>
      </c>
      <c r="AN166" s="37">
        <f>AM166</f>
        <v>210000</v>
      </c>
      <c r="AO166" s="23">
        <f>_xlfn.XLOOKUP(AG166,'T13'!$A$3:$A$1500,'T13'!$O$3:$O$1500)</f>
        <v>0.16</v>
      </c>
      <c r="AP166" s="37">
        <v>0</v>
      </c>
      <c r="AQ166" s="37">
        <f>SUMIFS($AN$3:$AN$1500,$G$3:$G$1500,G166)</f>
        <v>210000</v>
      </c>
      <c r="AR166" s="37">
        <f>SUMIFS($AP$3:$AP$1500,$G$3:$G$1500,G166)</f>
        <v>0</v>
      </c>
      <c r="AS166" s="21" t="s">
        <v>4242</v>
      </c>
      <c r="AT166" s="37">
        <f>ROUND(BH166*0.02,0)</f>
        <v>4872</v>
      </c>
      <c r="AU166" s="21" t="s">
        <v>3816</v>
      </c>
      <c r="AV166" s="37" cm="1">
        <f t="array" ref="AV166">SUMPRODUCT(($G$3:$G$1500=G166)*$AN$3:$AN$1500*$AO$3:$AO$1500)+AR166</f>
        <v>33600</v>
      </c>
      <c r="AW166" s="37">
        <f>AT166</f>
        <v>4872</v>
      </c>
      <c r="AX166" s="21" t="str">
        <f>TEXT(EOMONTH(I166,0)+15,"dd-mmm-yyyy")&amp;" / "&amp;IF(BM166&gt;0,"CPR-IT-"&amp;TEXT(I166,"yymm")&amp;"-"&amp;RIGHT(G166,4),"Pending payment")</f>
        <v>15-Sep-2026 / CPR-IT-2608-0138</v>
      </c>
      <c r="AY166" s="21" t="str">
        <f>IF(BM166&gt;0,"Issued","Not yet")</f>
        <v>Issued</v>
      </c>
      <c r="AZ166" s="37">
        <v>0</v>
      </c>
      <c r="BA166" s="37">
        <v>0</v>
      </c>
      <c r="BB166" s="37">
        <v>0</v>
      </c>
      <c r="BC166" s="37">
        <v>0</v>
      </c>
      <c r="BD166" s="37">
        <v>0</v>
      </c>
      <c r="BE166" s="37">
        <f>AQ166</f>
        <v>210000</v>
      </c>
      <c r="BF166" s="37">
        <f>AV166</f>
        <v>33600</v>
      </c>
      <c r="BG166" s="37">
        <f>AZ166</f>
        <v>0</v>
      </c>
      <c r="BH166" s="37">
        <f>BE166+BF166+BG166</f>
        <v>243600</v>
      </c>
      <c r="BI166" s="37">
        <f>AW166</f>
        <v>4872</v>
      </c>
      <c r="BJ166" s="37">
        <f>BA166+BB166+BC166+BD166</f>
        <v>0</v>
      </c>
      <c r="BK166" s="37">
        <f>BH166-BI166-BJ166</f>
        <v>238728</v>
      </c>
      <c r="BL166" s="21" t="str">
        <f>"PKR "&amp;TEXT(BK166,"#,##0")&amp;" only"</f>
        <v>PKR 238,728 only</v>
      </c>
      <c r="BM166" s="37">
        <f>SUMIFS('T10'!$AK$3:$AK$1500,'T10'!$V$3:$V$1500,G166)</f>
        <v>238728</v>
      </c>
      <c r="BN166" s="37">
        <f>BK166-BM166</f>
        <v>0</v>
      </c>
      <c r="BO166" s="21" t="str">
        <f>IF(BF166&gt;0,TEXT(I166,"mmm-yyyy")&amp;" sales tax return","N/A")</f>
        <v>Aug-2026 sales tax return</v>
      </c>
      <c r="BP166" s="21" t="s">
        <v>1051</v>
      </c>
      <c r="BQ166" s="29">
        <f>J166+30</f>
        <v>46265</v>
      </c>
      <c r="BR166" s="29">
        <f>BQ166</f>
        <v>46265</v>
      </c>
      <c r="BS166" s="21" t="s">
        <v>3095</v>
      </c>
      <c r="BT166" s="21" t="s">
        <v>3360</v>
      </c>
      <c r="BU166" s="21" t="s">
        <v>844</v>
      </c>
      <c r="BV166" s="21" t="s">
        <v>846</v>
      </c>
      <c r="BW166" s="21" t="str" cm="1">
        <f t="array" ref="BW166">_xlfn.TEXTJOIN(", ",TRUE,_xlfn.UNIQUE(_xlfn._xlws.FILTER('T10'!$A$3:$A$1500,'T10'!$V$3:$V$1500=G166,"None")))</f>
        <v>PV-0070</v>
      </c>
      <c r="BX166" s="21" t="s">
        <v>4279</v>
      </c>
      <c r="BY166" s="21" t="s">
        <v>4280</v>
      </c>
    </row>
    <row r="167" spans="1:77" x14ac:dyDescent="0.3">
      <c r="A167" s="21" t="s">
        <v>3489</v>
      </c>
      <c r="B167" s="21" t="s">
        <v>2833</v>
      </c>
      <c r="C167" s="21" t="s">
        <v>4281</v>
      </c>
      <c r="D167" s="35">
        <v>46236.708333333336</v>
      </c>
      <c r="E167" s="21" t="s">
        <v>3347</v>
      </c>
      <c r="F167" s="21" t="str">
        <f ca="1">IF(S167="Paid","Completed","Pending payment")</f>
        <v>Completed</v>
      </c>
      <c r="G167" s="21" t="s">
        <v>4282</v>
      </c>
      <c r="H167" s="21" t="s">
        <v>3428</v>
      </c>
      <c r="I167" s="29">
        <v>46237</v>
      </c>
      <c r="J167" s="29">
        <v>46235</v>
      </c>
      <c r="K167" s="21" t="str">
        <f>TEXT(I167,"mmm-yyyy")</f>
        <v>Aug-2026</v>
      </c>
      <c r="L167" s="21" t="s">
        <v>1797</v>
      </c>
      <c r="M167" s="21">
        <v>1</v>
      </c>
      <c r="N167" s="21" t="s">
        <v>743</v>
      </c>
      <c r="O167" s="21" t="s">
        <v>3350</v>
      </c>
      <c r="P167" s="21" t="s">
        <v>3429</v>
      </c>
      <c r="Q167" s="21" t="s">
        <v>844</v>
      </c>
      <c r="R167" s="21" t="s">
        <v>4278</v>
      </c>
      <c r="S167" s="21" t="str">
        <f ca="1">IF(BN167&lt;1,"Paid",IF(BM167&gt;0,"Partially paid",IF(ISNUMBER(SEARCH("hold",BU167)),"On hold",IF(BQ167&lt;TODAY(),"Overdue","Approved - unpaid"))))</f>
        <v>Paid</v>
      </c>
      <c r="T167" s="21" t="s">
        <v>3431</v>
      </c>
      <c r="U167" s="21" t="s">
        <v>1213</v>
      </c>
      <c r="V167" s="21" t="s">
        <v>1194</v>
      </c>
      <c r="W167" s="21" t="s">
        <v>746</v>
      </c>
      <c r="X167" s="21" t="s">
        <v>846</v>
      </c>
      <c r="Y167" s="21" t="s">
        <v>3493</v>
      </c>
      <c r="Z167" s="21" t="s">
        <v>3494</v>
      </c>
      <c r="AA167" s="21" t="s">
        <v>1051</v>
      </c>
      <c r="AB167" s="37">
        <v>0</v>
      </c>
      <c r="AC167" s="21" t="s">
        <v>844</v>
      </c>
      <c r="AD167" s="21" t="s">
        <v>844</v>
      </c>
      <c r="AE167" s="21" t="s">
        <v>3495</v>
      </c>
      <c r="AF167" s="21">
        <v>1</v>
      </c>
      <c r="AG167" s="21" t="s">
        <v>837</v>
      </c>
      <c r="AH167" s="21" t="s">
        <v>840</v>
      </c>
      <c r="AI167" s="21" t="s">
        <v>842</v>
      </c>
      <c r="AJ167" s="37">
        <f>COUNTIFS('T14'!$AQ$3:$AQ$1500,B167,'T14'!$Z$3:$Z$1500,1,'T14'!$F$3:$F$1500,"Bag")</f>
        <v>8</v>
      </c>
      <c r="AK167" s="37">
        <f>AJ167</f>
        <v>8</v>
      </c>
      <c r="AL167" s="37">
        <v>42000</v>
      </c>
      <c r="AM167" s="37">
        <f>AK167*AL167</f>
        <v>336000</v>
      </c>
      <c r="AN167" s="37">
        <f>AM167</f>
        <v>336000</v>
      </c>
      <c r="AO167" s="23">
        <f>_xlfn.XLOOKUP(AG167,'T13'!$A$3:$A$1500,'T13'!$O$3:$O$1500)</f>
        <v>0.16</v>
      </c>
      <c r="AP167" s="37">
        <v>0</v>
      </c>
      <c r="AQ167" s="37">
        <f>SUMIFS($AN$3:$AN$1500,$G$3:$G$1500,G167)</f>
        <v>336000</v>
      </c>
      <c r="AR167" s="37">
        <f>SUMIFS($AP$3:$AP$1500,$G$3:$G$1500,G167)</f>
        <v>0</v>
      </c>
      <c r="AS167" s="21" t="s">
        <v>3444</v>
      </c>
      <c r="AT167" s="37">
        <f>ROUND(BH167*0.04,0)</f>
        <v>15590</v>
      </c>
      <c r="AU167" s="21" t="s">
        <v>846</v>
      </c>
      <c r="AV167" s="37" cm="1">
        <f t="array" ref="AV167">SUMPRODUCT(($G$3:$G$1500=G167)*$AN$3:$AN$1500*$AO$3:$AO$1500)+AR167</f>
        <v>53760</v>
      </c>
      <c r="AW167" s="37">
        <f>AT167</f>
        <v>15590</v>
      </c>
      <c r="AX167" s="21" t="str">
        <f>TEXT(EOMONTH(I167,0)+15,"dd-mmm-yyyy")&amp;" / "&amp;IF(BM167&gt;0,"CPR-IT-"&amp;TEXT(I167,"yymm")&amp;"-"&amp;RIGHT(G167,4),"Pending payment")</f>
        <v>15-Sep-2026 / CPR-IT-2608-0139</v>
      </c>
      <c r="AY167" s="21" t="str">
        <f>IF(BM167&gt;0,"Issued","Not yet")</f>
        <v>Issued</v>
      </c>
      <c r="AZ167" s="37">
        <v>0</v>
      </c>
      <c r="BA167" s="37">
        <v>0</v>
      </c>
      <c r="BB167" s="37">
        <v>0</v>
      </c>
      <c r="BC167" s="37">
        <v>0</v>
      </c>
      <c r="BD167" s="37">
        <v>0</v>
      </c>
      <c r="BE167" s="37">
        <f>AQ167</f>
        <v>336000</v>
      </c>
      <c r="BF167" s="37">
        <f>AV167</f>
        <v>53760</v>
      </c>
      <c r="BG167" s="37">
        <f>AZ167</f>
        <v>0</v>
      </c>
      <c r="BH167" s="37">
        <f>BE167+BF167+BG167</f>
        <v>389760</v>
      </c>
      <c r="BI167" s="37">
        <f>AW167</f>
        <v>15590</v>
      </c>
      <c r="BJ167" s="37">
        <f>BA167+BB167+BC167+BD167</f>
        <v>0</v>
      </c>
      <c r="BK167" s="37">
        <f>BH167-BI167-BJ167</f>
        <v>374170</v>
      </c>
      <c r="BL167" s="21" t="str">
        <f>"PKR "&amp;TEXT(BK167,"#,##0")&amp;" only"</f>
        <v>PKR 374,170 only</v>
      </c>
      <c r="BM167" s="37">
        <f>SUMIFS('T10'!$AK$3:$AK$1500,'T10'!$V$3:$V$1500,G167)</f>
        <v>374170</v>
      </c>
      <c r="BN167" s="37">
        <f>BK167-BM167</f>
        <v>0</v>
      </c>
      <c r="BO167" s="21" t="str">
        <f>IF(BF167&gt;0,TEXT(I167,"mmm-yyyy")&amp;" sales tax return","N/A")</f>
        <v>Aug-2026 sales tax return</v>
      </c>
      <c r="BP167" s="21" t="s">
        <v>1051</v>
      </c>
      <c r="BQ167" s="29">
        <f>J167+30</f>
        <v>46265</v>
      </c>
      <c r="BR167" s="29">
        <f>BQ167</f>
        <v>46265</v>
      </c>
      <c r="BS167" s="21" t="s">
        <v>3095</v>
      </c>
      <c r="BT167" s="21" t="s">
        <v>3360</v>
      </c>
      <c r="BU167" s="21" t="s">
        <v>844</v>
      </c>
      <c r="BV167" s="21" t="s">
        <v>846</v>
      </c>
      <c r="BW167" s="21" t="str" cm="1">
        <f t="array" ref="BW167">_xlfn.TEXTJOIN(", ",TRUE,_xlfn.UNIQUE(_xlfn._xlws.FILTER('T10'!$A$3:$A$1500,'T10'!$V$3:$V$1500=G167,"None")))</f>
        <v>PV-0072</v>
      </c>
      <c r="BX167" s="21" t="s">
        <v>4279</v>
      </c>
      <c r="BY167" s="21" t="s">
        <v>4280</v>
      </c>
    </row>
    <row r="168" spans="1:77" x14ac:dyDescent="0.3">
      <c r="A168" s="21" t="s">
        <v>3562</v>
      </c>
      <c r="B168" s="21" t="s">
        <v>4283</v>
      </c>
      <c r="C168" s="21" t="s">
        <v>4284</v>
      </c>
      <c r="D168" s="35">
        <v>46238.708333333336</v>
      </c>
      <c r="E168" s="21" t="s">
        <v>3347</v>
      </c>
      <c r="F168" s="21" t="str">
        <f ca="1">IF(S168="Paid","Completed","Pending payment")</f>
        <v>Completed</v>
      </c>
      <c r="G168" s="21" t="s">
        <v>4285</v>
      </c>
      <c r="H168" s="21" t="s">
        <v>3385</v>
      </c>
      <c r="I168" s="29">
        <v>46239</v>
      </c>
      <c r="J168" s="29">
        <v>46237</v>
      </c>
      <c r="K168" s="21" t="str">
        <f>TEXT(I168,"mmm-yyyy")</f>
        <v>Aug-2026</v>
      </c>
      <c r="L168" s="21" t="s">
        <v>1797</v>
      </c>
      <c r="M168" s="21">
        <v>1</v>
      </c>
      <c r="N168" s="21" t="s">
        <v>743</v>
      </c>
      <c r="O168" s="21" t="s">
        <v>3350</v>
      </c>
      <c r="P168" s="21" t="s">
        <v>3429</v>
      </c>
      <c r="Q168" s="21" t="s">
        <v>844</v>
      </c>
      <c r="R168" s="21" t="s">
        <v>4286</v>
      </c>
      <c r="S168" s="21" t="str">
        <f ca="1">IF(BN168&lt;1,"Paid",IF(BM168&gt;0,"Partially paid",IF(ISNUMBER(SEARCH("hold",BU168)),"On hold",IF(BQ168&lt;TODAY(),"Overdue","Approved - unpaid"))))</f>
        <v>Paid</v>
      </c>
      <c r="T168" s="21" t="s">
        <v>3387</v>
      </c>
      <c r="U168" s="21" t="s">
        <v>3567</v>
      </c>
      <c r="V168" s="21" t="s">
        <v>3568</v>
      </c>
      <c r="W168" s="21" t="s">
        <v>746</v>
      </c>
      <c r="X168" s="21" t="s">
        <v>846</v>
      </c>
      <c r="Y168" s="21" t="s">
        <v>3569</v>
      </c>
      <c r="Z168" s="21" t="s">
        <v>3570</v>
      </c>
      <c r="AA168" s="21" t="s">
        <v>1051</v>
      </c>
      <c r="AB168" s="37">
        <v>0</v>
      </c>
      <c r="AC168" s="21" t="s">
        <v>844</v>
      </c>
      <c r="AD168" s="21" t="s">
        <v>844</v>
      </c>
      <c r="AE168" s="21" t="s">
        <v>844</v>
      </c>
      <c r="AF168" s="21">
        <v>1</v>
      </c>
      <c r="AG168" s="21" t="s">
        <v>943</v>
      </c>
      <c r="AH168" s="21" t="s">
        <v>945</v>
      </c>
      <c r="AI168" s="21" t="s">
        <v>946</v>
      </c>
      <c r="AJ168" s="37">
        <v>1</v>
      </c>
      <c r="AK168" s="37">
        <v>1</v>
      </c>
      <c r="AL168" s="37">
        <v>38080</v>
      </c>
      <c r="AM168" s="37">
        <f>AK168*AL168</f>
        <v>38080</v>
      </c>
      <c r="AN168" s="37">
        <f>AM168</f>
        <v>38080</v>
      </c>
      <c r="AO168" s="23">
        <f>_xlfn.XLOOKUP(AG168,'T13'!$A$3:$A$1500,'T13'!$O$3:$O$1500)</f>
        <v>0.16</v>
      </c>
      <c r="AP168" s="37">
        <v>0</v>
      </c>
      <c r="AQ168" s="37">
        <f>SUMIFS($AN$3:$AN$1500,$G$3:$G$1500,G168)</f>
        <v>38080</v>
      </c>
      <c r="AR168" s="37">
        <f>SUMIFS($AP$3:$AP$1500,$G$3:$G$1500,G168)</f>
        <v>0</v>
      </c>
      <c r="AS168" s="21" t="s">
        <v>3392</v>
      </c>
      <c r="AT168" s="37">
        <f>ROUND(BH168*0.11,0)</f>
        <v>4859</v>
      </c>
      <c r="AU168" s="21" t="s">
        <v>846</v>
      </c>
      <c r="AV168" s="37" cm="1">
        <f t="array" ref="AV168">SUMPRODUCT(($G$3:$G$1500=G168)*$AN$3:$AN$1500*$AO$3:$AO$1500)+AR168</f>
        <v>6092.8</v>
      </c>
      <c r="AW168" s="37">
        <f>AT168</f>
        <v>4859</v>
      </c>
      <c r="AX168" s="21" t="str">
        <f>TEXT(EOMONTH(I168,0)+15,"dd-mmm-yyyy")&amp;" / "&amp;IF(BM168&gt;0,"CPR-IT-"&amp;TEXT(I168,"yymm")&amp;"-"&amp;RIGHT(G168,4),"Pending payment")</f>
        <v>15-Sep-2026 / CPR-IT-2608-0140</v>
      </c>
      <c r="AY168" s="21" t="str">
        <f>IF(BM168&gt;0,"Issued","Not yet")</f>
        <v>Issued</v>
      </c>
      <c r="AZ168" s="37">
        <v>0</v>
      </c>
      <c r="BA168" s="37">
        <v>0</v>
      </c>
      <c r="BB168" s="37">
        <v>0</v>
      </c>
      <c r="BC168" s="37">
        <v>0</v>
      </c>
      <c r="BD168" s="37">
        <v>0</v>
      </c>
      <c r="BE168" s="37">
        <f>AQ168</f>
        <v>38080</v>
      </c>
      <c r="BF168" s="37">
        <f>AV168</f>
        <v>6092.8</v>
      </c>
      <c r="BG168" s="37">
        <f>AZ168</f>
        <v>0</v>
      </c>
      <c r="BH168" s="37">
        <f>BE168+BF168+BG168</f>
        <v>44172.800000000003</v>
      </c>
      <c r="BI168" s="37">
        <f>AW168</f>
        <v>4859</v>
      </c>
      <c r="BJ168" s="37">
        <f>BA168+BB168+BC168+BD168</f>
        <v>0</v>
      </c>
      <c r="BK168" s="37">
        <f>BH168-BI168-BJ168</f>
        <v>39313.800000000003</v>
      </c>
      <c r="BL168" s="21" t="str">
        <f>"PKR "&amp;TEXT(BK168,"#,##0")&amp;" only"</f>
        <v>PKR 39,314 only</v>
      </c>
      <c r="BM168" s="37">
        <f>SUMIFS('T10'!$AK$3:$AK$1500,'T10'!$V$3:$V$1500,G168)</f>
        <v>39313.800000000003</v>
      </c>
      <c r="BN168" s="37">
        <f>BK168-BM168</f>
        <v>0</v>
      </c>
      <c r="BO168" s="21" t="str">
        <f>IF(BF168&gt;0,TEXT(I168,"mmm-yyyy")&amp;" sales tax return","N/A")</f>
        <v>Aug-2026 sales tax return</v>
      </c>
      <c r="BP168" s="21" t="s">
        <v>1051</v>
      </c>
      <c r="BQ168" s="29">
        <f>J168+30</f>
        <v>46267</v>
      </c>
      <c r="BR168" s="29">
        <f>BQ168</f>
        <v>46267</v>
      </c>
      <c r="BS168" s="21" t="s">
        <v>3095</v>
      </c>
      <c r="BT168" s="21" t="s">
        <v>3360</v>
      </c>
      <c r="BU168" s="21" t="s">
        <v>844</v>
      </c>
      <c r="BV168" s="21" t="s">
        <v>846</v>
      </c>
      <c r="BW168" s="21" t="str" cm="1">
        <f t="array" ref="BW168">_xlfn.TEXTJOIN(", ",TRUE,_xlfn.UNIQUE(_xlfn._xlws.FILTER('T10'!$A$3:$A$1500,'T10'!$V$3:$V$1500=G168,"None")))</f>
        <v>PV-0071</v>
      </c>
      <c r="BX168" s="21" t="s">
        <v>4287</v>
      </c>
      <c r="BY168" s="21" t="s">
        <v>4288</v>
      </c>
    </row>
    <row r="169" spans="1:77" x14ac:dyDescent="0.3">
      <c r="A169" s="21" t="s">
        <v>3344</v>
      </c>
      <c r="B169" s="21" t="s">
        <v>4289</v>
      </c>
      <c r="C169" s="21" t="s">
        <v>4290</v>
      </c>
      <c r="D169" s="35">
        <v>46240.541666666664</v>
      </c>
      <c r="E169" s="21" t="s">
        <v>3347</v>
      </c>
      <c r="F169" s="21" t="str">
        <f ca="1">IF(S169="Paid","Completed","Pending payment")</f>
        <v>Completed</v>
      </c>
      <c r="G169" s="21" t="s">
        <v>4291</v>
      </c>
      <c r="H169" s="21" t="s">
        <v>3349</v>
      </c>
      <c r="I169" s="29">
        <v>46241</v>
      </c>
      <c r="J169" s="29">
        <v>46239</v>
      </c>
      <c r="K169" s="21" t="str">
        <f>TEXT(I169,"mmm-yyyy")</f>
        <v>Aug-2026</v>
      </c>
      <c r="L169" s="21" t="s">
        <v>1797</v>
      </c>
      <c r="M169" s="21">
        <v>1</v>
      </c>
      <c r="N169" s="21" t="s">
        <v>743</v>
      </c>
      <c r="O169" s="21" t="s">
        <v>3350</v>
      </c>
      <c r="P169" s="21" t="s">
        <v>3351</v>
      </c>
      <c r="Q169" s="21" t="s">
        <v>844</v>
      </c>
      <c r="R169" s="21" t="s">
        <v>4292</v>
      </c>
      <c r="S169" s="21" t="str">
        <f ca="1">IF(BN169&lt;1,"Paid",IF(BM169&gt;0,"Partially paid",IF(ISNUMBER(SEARCH("hold",BU169)),"On hold",IF(BQ169&lt;TODAY(),"Overdue","Approved - unpaid"))))</f>
        <v>Paid</v>
      </c>
      <c r="T169" s="21" t="s">
        <v>3353</v>
      </c>
      <c r="U169" s="21" t="s">
        <v>3354</v>
      </c>
      <c r="V169" s="21" t="s">
        <v>3355</v>
      </c>
      <c r="W169" s="21" t="s">
        <v>746</v>
      </c>
      <c r="X169" s="21" t="s">
        <v>846</v>
      </c>
      <c r="Y169" s="21" t="s">
        <v>3356</v>
      </c>
      <c r="Z169" s="21" t="s">
        <v>3357</v>
      </c>
      <c r="AA169" s="21" t="s">
        <v>3358</v>
      </c>
      <c r="AB169" s="37">
        <v>0</v>
      </c>
      <c r="AC169" s="21" t="s">
        <v>844</v>
      </c>
      <c r="AD169" s="21" t="s">
        <v>844</v>
      </c>
      <c r="AE169" s="21" t="s">
        <v>844</v>
      </c>
      <c r="AF169" s="21">
        <v>1</v>
      </c>
      <c r="AG169" s="21" t="s">
        <v>911</v>
      </c>
      <c r="AH169" s="21" t="s">
        <v>913</v>
      </c>
      <c r="AI169" s="21" t="s">
        <v>905</v>
      </c>
      <c r="AJ169" s="37">
        <v>1</v>
      </c>
      <c r="AK169" s="37">
        <v>1</v>
      </c>
      <c r="AL169" s="37">
        <v>92480</v>
      </c>
      <c r="AM169" s="37">
        <f>AK169*AL169</f>
        <v>92480</v>
      </c>
      <c r="AN169" s="37">
        <f>AM169</f>
        <v>92480</v>
      </c>
      <c r="AO169" s="23">
        <f>_xlfn.XLOOKUP(AG169,'T13'!$A$3:$A$1500,'T13'!$O$3:$O$1500)</f>
        <v>0.18</v>
      </c>
      <c r="AP169" s="37">
        <v>0</v>
      </c>
      <c r="AQ169" s="37">
        <f>SUMIFS($AN$3:$AN$1500,$G$3:$G$1500,G169)</f>
        <v>92480</v>
      </c>
      <c r="AR169" s="37">
        <f>SUMIFS($AP$3:$AP$1500,$G$3:$G$1500,G169)</f>
        <v>0</v>
      </c>
      <c r="AS169" s="21" t="s">
        <v>3359</v>
      </c>
      <c r="AT169" s="37">
        <f>ROUND(BH169*0,0)</f>
        <v>0</v>
      </c>
      <c r="AU169" s="21" t="s">
        <v>846</v>
      </c>
      <c r="AV169" s="37" cm="1">
        <f t="array" ref="AV169">SUMPRODUCT(($G$3:$G$1500=G169)*$AN$3:$AN$1500*$AO$3:$AO$1500)+AR169</f>
        <v>16646.399999999998</v>
      </c>
      <c r="AW169" s="37">
        <f>AT169</f>
        <v>0</v>
      </c>
      <c r="AX169" s="21" t="str">
        <f>TEXT(EOMONTH(I169,0)+15,"dd-mmm-yyyy")&amp;" / "&amp;IF(BM169&gt;0,"CPR-IT-"&amp;TEXT(I169,"yymm")&amp;"-"&amp;RIGHT(G169,4),"Pending payment")</f>
        <v>15-Sep-2026 / CPR-IT-2608-0141</v>
      </c>
      <c r="AY169" s="21" t="str">
        <f>IF(BM169&gt;0,"Issued","Not yet")</f>
        <v>Issued</v>
      </c>
      <c r="AZ169" s="37">
        <v>0</v>
      </c>
      <c r="BA169" s="37">
        <v>0</v>
      </c>
      <c r="BB169" s="37">
        <v>0</v>
      </c>
      <c r="BC169" s="37">
        <v>0</v>
      </c>
      <c r="BD169" s="37">
        <v>0</v>
      </c>
      <c r="BE169" s="37">
        <f>AQ169</f>
        <v>92480</v>
      </c>
      <c r="BF169" s="37">
        <f>AV169</f>
        <v>16646.399999999998</v>
      </c>
      <c r="BG169" s="37">
        <f>AZ169</f>
        <v>0</v>
      </c>
      <c r="BH169" s="37">
        <f>BE169+BF169+BG169</f>
        <v>109126.39999999999</v>
      </c>
      <c r="BI169" s="37">
        <f>AW169</f>
        <v>0</v>
      </c>
      <c r="BJ169" s="37">
        <f>BA169+BB169+BC169+BD169</f>
        <v>0</v>
      </c>
      <c r="BK169" s="37">
        <f>BH169-BI169-BJ169</f>
        <v>109126.39999999999</v>
      </c>
      <c r="BL169" s="21" t="str">
        <f>"PKR "&amp;TEXT(BK169,"#,##0")&amp;" only"</f>
        <v>PKR 109,126 only</v>
      </c>
      <c r="BM169" s="37">
        <f>SUMIFS('T10'!$AK$3:$AK$1500,'T10'!$V$3:$V$1500,G169)</f>
        <v>109126.39999999999</v>
      </c>
      <c r="BN169" s="37">
        <f>BK169-BM169</f>
        <v>0</v>
      </c>
      <c r="BO169" s="21" t="str">
        <f>IF(BF169&gt;0,TEXT(I169,"mmm-yyyy")&amp;" sales tax return","N/A")</f>
        <v>Aug-2026 sales tax return</v>
      </c>
      <c r="BP169" s="21" t="s">
        <v>3358</v>
      </c>
      <c r="BQ169" s="29">
        <f>J169+10</f>
        <v>46249</v>
      </c>
      <c r="BR169" s="29">
        <f>BQ169</f>
        <v>46249</v>
      </c>
      <c r="BS169" s="21" t="s">
        <v>3095</v>
      </c>
      <c r="BT169" s="21" t="s">
        <v>3360</v>
      </c>
      <c r="BU169" s="21" t="s">
        <v>844</v>
      </c>
      <c r="BV169" s="21" t="s">
        <v>846</v>
      </c>
      <c r="BW169" s="21" t="str" cm="1">
        <f t="array" ref="BW169">_xlfn.TEXTJOIN(", ",TRUE,_xlfn.UNIQUE(_xlfn._xlws.FILTER('T10'!$A$3:$A$1500,'T10'!$V$3:$V$1500=G169,"None")))</f>
        <v>PV-0068</v>
      </c>
      <c r="BX169" s="21" t="s">
        <v>4293</v>
      </c>
      <c r="BY169" s="21" t="s">
        <v>4294</v>
      </c>
    </row>
    <row r="170" spans="1:77" x14ac:dyDescent="0.3">
      <c r="A170" s="21" t="s">
        <v>3527</v>
      </c>
      <c r="B170" s="21" t="s">
        <v>4295</v>
      </c>
      <c r="C170" s="21" t="s">
        <v>4296</v>
      </c>
      <c r="D170" s="35">
        <v>46253.458333333336</v>
      </c>
      <c r="E170" s="21" t="s">
        <v>3347</v>
      </c>
      <c r="F170" s="21" t="str">
        <f ca="1">IF(S170="Paid","Completed","Pending payment")</f>
        <v>Completed</v>
      </c>
      <c r="G170" s="21" t="s">
        <v>4297</v>
      </c>
      <c r="H170" s="21" t="s">
        <v>3531</v>
      </c>
      <c r="I170" s="29">
        <v>46253</v>
      </c>
      <c r="J170" s="29">
        <v>46251</v>
      </c>
      <c r="K170" s="21" t="str">
        <f>TEXT(I170,"mmm-yyyy")</f>
        <v>Aug-2026</v>
      </c>
      <c r="L170" s="21" t="s">
        <v>1797</v>
      </c>
      <c r="M170" s="21">
        <v>1</v>
      </c>
      <c r="N170" s="21" t="s">
        <v>743</v>
      </c>
      <c r="O170" s="21" t="s">
        <v>3368</v>
      </c>
      <c r="P170" s="21" t="s">
        <v>3369</v>
      </c>
      <c r="Q170" s="21" t="s">
        <v>844</v>
      </c>
      <c r="R170" s="21" t="s">
        <v>4298</v>
      </c>
      <c r="S170" s="21" t="str">
        <f ca="1">IF(BN170&lt;1,"Paid",IF(BM170&gt;0,"Partially paid",IF(ISNUMBER(SEARCH("hold",BU170)),"On hold",IF(BQ170&lt;TODAY(),"Overdue","Approved - unpaid"))))</f>
        <v>Paid</v>
      </c>
      <c r="T170" s="21" t="s">
        <v>3533</v>
      </c>
      <c r="U170" s="21" t="s">
        <v>3534</v>
      </c>
      <c r="V170" s="21" t="s">
        <v>3535</v>
      </c>
      <c r="W170" s="21" t="s">
        <v>746</v>
      </c>
      <c r="X170" s="21" t="s">
        <v>846</v>
      </c>
      <c r="Y170" s="21" t="s">
        <v>3536</v>
      </c>
      <c r="Z170" s="21" t="s">
        <v>3537</v>
      </c>
      <c r="AA170" s="21" t="s">
        <v>1051</v>
      </c>
      <c r="AB170" s="37">
        <v>0</v>
      </c>
      <c r="AC170" s="21" t="s">
        <v>4299</v>
      </c>
      <c r="AD170" s="21" t="s">
        <v>4300</v>
      </c>
      <c r="AE170" s="21" t="s">
        <v>844</v>
      </c>
      <c r="AF170" s="21">
        <v>1</v>
      </c>
      <c r="AG170" s="21" t="s">
        <v>879</v>
      </c>
      <c r="AH170" s="21" t="s">
        <v>881</v>
      </c>
      <c r="AI170" s="21" t="s">
        <v>882</v>
      </c>
      <c r="AJ170" s="37">
        <v>70</v>
      </c>
      <c r="AK170" s="37">
        <v>70</v>
      </c>
      <c r="AL170" s="37">
        <v>3050</v>
      </c>
      <c r="AM170" s="37">
        <f>AK170*AL170</f>
        <v>213500</v>
      </c>
      <c r="AN170" s="37">
        <f>AM170</f>
        <v>213500</v>
      </c>
      <c r="AO170" s="23">
        <f>_xlfn.XLOOKUP(AG170,'T13'!$A$3:$A$1500,'T13'!$O$3:$O$1500)</f>
        <v>0.18</v>
      </c>
      <c r="AP170" s="37">
        <v>0</v>
      </c>
      <c r="AQ170" s="37">
        <f>SUMIFS($AN$3:$AN$1500,$G$3:$G$1500,G170)</f>
        <v>236000</v>
      </c>
      <c r="AR170" s="37">
        <f>SUMIFS($AP$3:$AP$1500,$G$3:$G$1500,G170)</f>
        <v>0</v>
      </c>
      <c r="AS170" s="21" t="s">
        <v>3410</v>
      </c>
      <c r="AT170" s="37">
        <f>ROUND(BH170*0.05,0)</f>
        <v>13924</v>
      </c>
      <c r="AU170" s="21" t="s">
        <v>846</v>
      </c>
      <c r="AV170" s="37" cm="1">
        <f t="array" ref="AV170">SUMPRODUCT(($G$3:$G$1500=G170)*$AN$3:$AN$1500*$AO$3:$AO$1500)+AR170</f>
        <v>42480</v>
      </c>
      <c r="AW170" s="37">
        <f>AT170</f>
        <v>13924</v>
      </c>
      <c r="AX170" s="21" t="str">
        <f>TEXT(EOMONTH(I170,0)+15,"dd-mmm-yyyy")&amp;" / "&amp;IF(BM170&gt;0,"CPR-IT-"&amp;TEXT(I170,"yymm")&amp;"-"&amp;RIGHT(G170,4),"Pending payment")</f>
        <v>15-Sep-2026 / CPR-IT-2608-0142</v>
      </c>
      <c r="AY170" s="21" t="str">
        <f>IF(BM170&gt;0,"Issued","Not yet")</f>
        <v>Issued</v>
      </c>
      <c r="AZ170" s="37">
        <v>0</v>
      </c>
      <c r="BA170" s="37">
        <v>0</v>
      </c>
      <c r="BB170" s="37">
        <v>0</v>
      </c>
      <c r="BC170" s="37">
        <v>0</v>
      </c>
      <c r="BD170" s="37">
        <v>0</v>
      </c>
      <c r="BE170" s="37">
        <f>AQ170</f>
        <v>236000</v>
      </c>
      <c r="BF170" s="37">
        <f>AV170</f>
        <v>42480</v>
      </c>
      <c r="BG170" s="37">
        <f>AZ170</f>
        <v>0</v>
      </c>
      <c r="BH170" s="37">
        <f>BE170+BF170+BG170</f>
        <v>278480</v>
      </c>
      <c r="BI170" s="37">
        <f>AW170</f>
        <v>13924</v>
      </c>
      <c r="BJ170" s="37">
        <f>BA170+BB170+BC170+BD170</f>
        <v>0</v>
      </c>
      <c r="BK170" s="37">
        <f>BH170-BI170-BJ170</f>
        <v>264556</v>
      </c>
      <c r="BL170" s="21" t="str">
        <f>"PKR "&amp;TEXT(BK170,"#,##0")&amp;" only"</f>
        <v>PKR 264,556 only</v>
      </c>
      <c r="BM170" s="37">
        <f>SUMIFS('T10'!$AK$3:$AK$1500,'T10'!$V$3:$V$1500,G170)</f>
        <v>264556</v>
      </c>
      <c r="BN170" s="37">
        <f>BK170-BM170</f>
        <v>0</v>
      </c>
      <c r="BO170" s="21" t="str">
        <f>IF(BF170&gt;0,TEXT(I170,"mmm-yyyy")&amp;" sales tax return","N/A")</f>
        <v>Aug-2026 sales tax return</v>
      </c>
      <c r="BP170" s="21" t="s">
        <v>1051</v>
      </c>
      <c r="BQ170" s="29">
        <f>J170+30</f>
        <v>46281</v>
      </c>
      <c r="BR170" s="29">
        <f>BQ170</f>
        <v>46281</v>
      </c>
      <c r="BS170" s="21" t="s">
        <v>3095</v>
      </c>
      <c r="BT170" s="21" t="s">
        <v>3360</v>
      </c>
      <c r="BU170" s="21" t="s">
        <v>844</v>
      </c>
      <c r="BV170" s="21" t="s">
        <v>846</v>
      </c>
      <c r="BW170" s="21" t="str" cm="1">
        <f t="array" ref="BW170">_xlfn.TEXTJOIN(", ",TRUE,_xlfn.UNIQUE(_xlfn._xlws.FILTER('T10'!$A$3:$A$1500,'T10'!$V$3:$V$1500=G170,"None")))</f>
        <v>PV-0074</v>
      </c>
      <c r="BX170" s="21" t="s">
        <v>4301</v>
      </c>
      <c r="BY170" s="21" t="s">
        <v>4302</v>
      </c>
    </row>
    <row r="171" spans="1:77" x14ac:dyDescent="0.3">
      <c r="A171" s="21" t="s">
        <v>3527</v>
      </c>
      <c r="B171" s="21" t="s">
        <v>4295</v>
      </c>
      <c r="C171" s="21" t="s">
        <v>4296</v>
      </c>
      <c r="D171" s="35">
        <v>46253.458333333336</v>
      </c>
      <c r="E171" s="21" t="s">
        <v>3347</v>
      </c>
      <c r="F171" s="21" t="str">
        <f ca="1">IF(S171="Paid","Completed","Pending payment")</f>
        <v>Completed</v>
      </c>
      <c r="G171" s="21" t="s">
        <v>4297</v>
      </c>
      <c r="H171" s="21" t="s">
        <v>3531</v>
      </c>
      <c r="I171" s="29">
        <v>46253</v>
      </c>
      <c r="J171" s="29">
        <v>46251</v>
      </c>
      <c r="K171" s="21" t="str">
        <f>TEXT(I171,"mmm-yyyy")</f>
        <v>Aug-2026</v>
      </c>
      <c r="L171" s="21" t="s">
        <v>1797</v>
      </c>
      <c r="M171" s="21">
        <v>1</v>
      </c>
      <c r="N171" s="21" t="s">
        <v>743</v>
      </c>
      <c r="O171" s="21" t="s">
        <v>3368</v>
      </c>
      <c r="P171" s="21" t="s">
        <v>3369</v>
      </c>
      <c r="Q171" s="21" t="s">
        <v>844</v>
      </c>
      <c r="R171" s="21" t="s">
        <v>4298</v>
      </c>
      <c r="S171" s="21" t="str">
        <f ca="1">IF(BN171&lt;1,"Paid",IF(BM171&gt;0,"Partially paid",IF(ISNUMBER(SEARCH("hold",BU171)),"On hold",IF(BQ171&lt;TODAY(),"Overdue","Approved - unpaid"))))</f>
        <v>Paid</v>
      </c>
      <c r="T171" s="21" t="s">
        <v>3533</v>
      </c>
      <c r="U171" s="21" t="s">
        <v>3534</v>
      </c>
      <c r="V171" s="21" t="s">
        <v>3535</v>
      </c>
      <c r="W171" s="21" t="s">
        <v>746</v>
      </c>
      <c r="X171" s="21" t="s">
        <v>846</v>
      </c>
      <c r="Y171" s="21" t="s">
        <v>3536</v>
      </c>
      <c r="Z171" s="21" t="s">
        <v>3537</v>
      </c>
      <c r="AA171" s="21" t="s">
        <v>1051</v>
      </c>
      <c r="AB171" s="37">
        <v>0</v>
      </c>
      <c r="AC171" s="21" t="s">
        <v>4299</v>
      </c>
      <c r="AD171" s="21" t="s">
        <v>4303</v>
      </c>
      <c r="AE171" s="21" t="s">
        <v>844</v>
      </c>
      <c r="AF171" s="21">
        <v>2</v>
      </c>
      <c r="AG171" s="21" t="s">
        <v>888</v>
      </c>
      <c r="AH171" s="21" t="s">
        <v>890</v>
      </c>
      <c r="AI171" s="21" t="s">
        <v>882</v>
      </c>
      <c r="AJ171" s="37">
        <v>5</v>
      </c>
      <c r="AK171" s="37">
        <v>5</v>
      </c>
      <c r="AL171" s="37">
        <v>4500</v>
      </c>
      <c r="AM171" s="37">
        <f>AK171*AL171</f>
        <v>22500</v>
      </c>
      <c r="AN171" s="37">
        <f>AM171</f>
        <v>22500</v>
      </c>
      <c r="AO171" s="23">
        <f>_xlfn.XLOOKUP(AG171,'T13'!$A$3:$A$1500,'T13'!$O$3:$O$1500)</f>
        <v>0.18</v>
      </c>
      <c r="AP171" s="37">
        <v>0</v>
      </c>
      <c r="AQ171" s="37">
        <f>SUMIFS($AN$3:$AN$1500,$G$3:$G$1500,G171)</f>
        <v>236000</v>
      </c>
      <c r="AR171" s="37">
        <f>SUMIFS($AP$3:$AP$1500,$G$3:$G$1500,G171)</f>
        <v>0</v>
      </c>
      <c r="AS171" s="21" t="s">
        <v>3410</v>
      </c>
      <c r="AT171" s="37">
        <f>ROUND(BH171*0.05,0)</f>
        <v>13924</v>
      </c>
      <c r="AU171" s="21" t="s">
        <v>846</v>
      </c>
      <c r="AV171" s="37" cm="1">
        <f t="array" ref="AV171">SUMPRODUCT(($G$3:$G$1500=G171)*$AN$3:$AN$1500*$AO$3:$AO$1500)+AR171</f>
        <v>42480</v>
      </c>
      <c r="AW171" s="37">
        <f>AT171</f>
        <v>13924</v>
      </c>
      <c r="AX171" s="21" t="str">
        <f>TEXT(EOMONTH(I171,0)+15,"dd-mmm-yyyy")&amp;" / "&amp;IF(BM171&gt;0,"CPR-IT-"&amp;TEXT(I171,"yymm")&amp;"-"&amp;RIGHT(G171,4),"Pending payment")</f>
        <v>15-Sep-2026 / CPR-IT-2608-0142</v>
      </c>
      <c r="AY171" s="21" t="str">
        <f>IF(BM171&gt;0,"Issued","Not yet")</f>
        <v>Issued</v>
      </c>
      <c r="AZ171" s="37">
        <v>0</v>
      </c>
      <c r="BA171" s="37">
        <v>0</v>
      </c>
      <c r="BB171" s="37">
        <v>0</v>
      </c>
      <c r="BC171" s="37">
        <v>0</v>
      </c>
      <c r="BD171" s="37">
        <v>0</v>
      </c>
      <c r="BE171" s="37">
        <f>AQ171</f>
        <v>236000</v>
      </c>
      <c r="BF171" s="37">
        <f>AV171</f>
        <v>42480</v>
      </c>
      <c r="BG171" s="37">
        <f>AZ171</f>
        <v>0</v>
      </c>
      <c r="BH171" s="37">
        <f>BE171+BF171+BG171</f>
        <v>278480</v>
      </c>
      <c r="BI171" s="37">
        <f>AW171</f>
        <v>13924</v>
      </c>
      <c r="BJ171" s="37">
        <f>BA171+BB171+BC171+BD171</f>
        <v>0</v>
      </c>
      <c r="BK171" s="37">
        <f>BH171-BI171-BJ171</f>
        <v>264556</v>
      </c>
      <c r="BL171" s="21" t="str">
        <f>"PKR "&amp;TEXT(BK171,"#,##0")&amp;" only"</f>
        <v>PKR 264,556 only</v>
      </c>
      <c r="BM171" s="37">
        <f>SUMIFS('T10'!$AK$3:$AK$1500,'T10'!$V$3:$V$1500,G171)</f>
        <v>264556</v>
      </c>
      <c r="BN171" s="37">
        <f>BK171-BM171</f>
        <v>0</v>
      </c>
      <c r="BO171" s="21" t="str">
        <f>IF(BF171&gt;0,TEXT(I171,"mmm-yyyy")&amp;" sales tax return","N/A")</f>
        <v>Aug-2026 sales tax return</v>
      </c>
      <c r="BP171" s="21" t="s">
        <v>1051</v>
      </c>
      <c r="BQ171" s="29">
        <f>J171+30</f>
        <v>46281</v>
      </c>
      <c r="BR171" s="29">
        <f>BQ171</f>
        <v>46281</v>
      </c>
      <c r="BS171" s="21" t="s">
        <v>3095</v>
      </c>
      <c r="BT171" s="21" t="s">
        <v>3360</v>
      </c>
      <c r="BU171" s="21" t="s">
        <v>844</v>
      </c>
      <c r="BV171" s="21" t="s">
        <v>846</v>
      </c>
      <c r="BW171" s="21" t="str" cm="1">
        <f t="array" ref="BW171">_xlfn.TEXTJOIN(", ",TRUE,_xlfn.UNIQUE(_xlfn._xlws.FILTER('T10'!$A$3:$A$1500,'T10'!$V$3:$V$1500=G171,"None")))</f>
        <v>PV-0074</v>
      </c>
      <c r="BX171" s="21" t="s">
        <v>4301</v>
      </c>
      <c r="BY171" s="21" t="s">
        <v>4302</v>
      </c>
    </row>
    <row r="172" spans="1:77" x14ac:dyDescent="0.3">
      <c r="A172" s="21" t="s">
        <v>3573</v>
      </c>
      <c r="B172" s="21" t="s">
        <v>4304</v>
      </c>
      <c r="C172" s="21" t="s">
        <v>4305</v>
      </c>
      <c r="D172" s="35">
        <v>46267.5</v>
      </c>
      <c r="E172" s="21" t="s">
        <v>3347</v>
      </c>
      <c r="F172" s="21" t="str">
        <f ca="1">IF(S172="Paid","Completed","Pending payment")</f>
        <v>Completed</v>
      </c>
      <c r="G172" s="21" t="s">
        <v>4306</v>
      </c>
      <c r="H172" s="21" t="s">
        <v>3399</v>
      </c>
      <c r="I172" s="29">
        <v>46265</v>
      </c>
      <c r="J172" s="29">
        <v>46265</v>
      </c>
      <c r="K172" s="21" t="str">
        <f>TEXT(I172,"mmm-yyyy")</f>
        <v>Aug-2026</v>
      </c>
      <c r="L172" s="21" t="s">
        <v>1797</v>
      </c>
      <c r="M172" s="21">
        <v>1</v>
      </c>
      <c r="N172" s="21" t="s">
        <v>743</v>
      </c>
      <c r="O172" s="21" t="s">
        <v>3400</v>
      </c>
      <c r="P172" s="21" t="s">
        <v>3401</v>
      </c>
      <c r="Q172" s="21" t="s">
        <v>844</v>
      </c>
      <c r="R172" s="21" t="s">
        <v>4307</v>
      </c>
      <c r="S172" s="21" t="str">
        <f ca="1">IF(BN172&lt;1,"Paid",IF(BM172&gt;0,"Partially paid",IF(ISNUMBER(SEARCH("hold",BU172)),"On hold",IF(BQ172&lt;TODAY(),"Overdue","Approved - unpaid"))))</f>
        <v>Paid</v>
      </c>
      <c r="T172" s="21" t="s">
        <v>3403</v>
      </c>
      <c r="U172" s="21" t="s">
        <v>3578</v>
      </c>
      <c r="V172" s="21" t="s">
        <v>1021</v>
      </c>
      <c r="W172" s="21" t="s">
        <v>746</v>
      </c>
      <c r="X172" s="21" t="s">
        <v>846</v>
      </c>
      <c r="Y172" s="21" t="s">
        <v>3579</v>
      </c>
      <c r="Z172" s="21" t="s">
        <v>3580</v>
      </c>
      <c r="AA172" s="21" t="s">
        <v>1062</v>
      </c>
      <c r="AB172" s="37">
        <v>0</v>
      </c>
      <c r="AC172" s="21" t="s">
        <v>4308</v>
      </c>
      <c r="AD172" s="21" t="s">
        <v>4309</v>
      </c>
      <c r="AE172" s="21" t="s">
        <v>3583</v>
      </c>
      <c r="AF172" s="21">
        <v>1</v>
      </c>
      <c r="AG172" s="21" t="s">
        <v>812</v>
      </c>
      <c r="AH172" s="21" t="s">
        <v>814</v>
      </c>
      <c r="AI172" s="21" t="s">
        <v>1841</v>
      </c>
      <c r="AJ172" s="37">
        <v>2800</v>
      </c>
      <c r="AK172" s="37">
        <v>2800</v>
      </c>
      <c r="AL172" s="37">
        <v>2610</v>
      </c>
      <c r="AM172" s="37">
        <f>AK172*AL172</f>
        <v>7308000</v>
      </c>
      <c r="AN172" s="37">
        <f>AM172</f>
        <v>7308000</v>
      </c>
      <c r="AO172" s="23">
        <f>_xlfn.XLOOKUP(AG172,'T13'!$A$3:$A$1500,'T13'!$O$3:$O$1500)</f>
        <v>0.18</v>
      </c>
      <c r="AP172" s="37">
        <f>AK172*IF(AI172="MT",1000,IF(AI172="Jumbo bag (1.5 MT)",1500,IF(AI172="Bag (40 kg)",40,50)))*3</f>
        <v>336000</v>
      </c>
      <c r="AQ172" s="37">
        <f>SUMIFS($AN$3:$AN$1500,$G$3:$G$1500,G172)</f>
        <v>7308000</v>
      </c>
      <c r="AR172" s="37">
        <f>SUMIFS($AP$3:$AP$1500,$G$3:$G$1500,G172)</f>
        <v>336000</v>
      </c>
      <c r="AS172" s="21" t="s">
        <v>3410</v>
      </c>
      <c r="AT172" s="37">
        <f>ROUND(BH172*0.05,0)</f>
        <v>447972</v>
      </c>
      <c r="AU172" s="21" t="s">
        <v>846</v>
      </c>
      <c r="AV172" s="37" cm="1">
        <f t="array" ref="AV172">SUMPRODUCT(($G$3:$G$1500=G172)*$AN$3:$AN$1500*$AO$3:$AO$1500)+AR172</f>
        <v>1651440</v>
      </c>
      <c r="AW172" s="37">
        <f>AT172</f>
        <v>447972</v>
      </c>
      <c r="AX172" s="21" t="str">
        <f>TEXT(EOMONTH(I172,0)+15,"dd-mmm-yyyy")&amp;" / "&amp;IF(BM172&gt;0,"CPR-IT-"&amp;TEXT(I172,"yymm")&amp;"-"&amp;RIGHT(G172,4),"Pending payment")</f>
        <v>15-Sep-2026 / CPR-IT-2608-0143</v>
      </c>
      <c r="AY172" s="21" t="str">
        <f>IF(BM172&gt;0,"Issued","Not yet")</f>
        <v>Issued</v>
      </c>
      <c r="AZ172" s="37">
        <v>0</v>
      </c>
      <c r="BA172" s="37">
        <v>0</v>
      </c>
      <c r="BB172" s="37">
        <v>0</v>
      </c>
      <c r="BC172" s="37">
        <v>0</v>
      </c>
      <c r="BD172" s="37">
        <v>0</v>
      </c>
      <c r="BE172" s="37">
        <f>AQ172</f>
        <v>7308000</v>
      </c>
      <c r="BF172" s="37">
        <f>AV172</f>
        <v>1651440</v>
      </c>
      <c r="BG172" s="37">
        <f>AZ172</f>
        <v>0</v>
      </c>
      <c r="BH172" s="37">
        <f>BE172+BF172+BG172</f>
        <v>8959440</v>
      </c>
      <c r="BI172" s="37">
        <f>AW172</f>
        <v>447972</v>
      </c>
      <c r="BJ172" s="37">
        <f>BA172+BB172+BC172+BD172</f>
        <v>0</v>
      </c>
      <c r="BK172" s="37">
        <f>BH172-BI172-BJ172</f>
        <v>8511468</v>
      </c>
      <c r="BL172" s="21" t="str">
        <f>"PKR "&amp;TEXT(BK172,"#,##0")&amp;" only"</f>
        <v>PKR 8,511,468 only</v>
      </c>
      <c r="BM172" s="37">
        <f>SUMIFS('T10'!$AK$3:$AK$1500,'T10'!$V$3:$V$1500,G172)</f>
        <v>8511468</v>
      </c>
      <c r="BN172" s="37">
        <f>BK172-BM172</f>
        <v>0</v>
      </c>
      <c r="BO172" s="21" t="str">
        <f>IF(BF172&gt;0,TEXT(I172,"mmm-yyyy")&amp;" sales tax return","N/A")</f>
        <v>Aug-2026 sales tax return</v>
      </c>
      <c r="BP172" s="21" t="s">
        <v>1062</v>
      </c>
      <c r="BQ172" s="29">
        <f>J172+15</f>
        <v>46280</v>
      </c>
      <c r="BR172" s="29">
        <f>BQ172</f>
        <v>46280</v>
      </c>
      <c r="BS172" s="21" t="s">
        <v>3095</v>
      </c>
      <c r="BT172" s="21" t="s">
        <v>3411</v>
      </c>
      <c r="BU172" s="21" t="s">
        <v>844</v>
      </c>
      <c r="BV172" s="21" t="s">
        <v>846</v>
      </c>
      <c r="BW172" s="21" t="str" cm="1">
        <f t="array" ref="BW172">_xlfn.TEXTJOIN(", ",TRUE,_xlfn.UNIQUE(_xlfn._xlws.FILTER('T10'!$A$3:$A$1500,'T10'!$V$3:$V$1500=G172,"None")))</f>
        <v>PV-0073</v>
      </c>
      <c r="BX172" s="21" t="s">
        <v>4310</v>
      </c>
      <c r="BY172" s="21" t="s">
        <v>4311</v>
      </c>
    </row>
    <row r="173" spans="1:77" x14ac:dyDescent="0.3">
      <c r="A173" s="21" t="s">
        <v>3395</v>
      </c>
      <c r="B173" s="21" t="s">
        <v>4312</v>
      </c>
      <c r="C173" s="21" t="s">
        <v>4313</v>
      </c>
      <c r="D173" s="35">
        <v>46267.625</v>
      </c>
      <c r="E173" s="21" t="s">
        <v>3347</v>
      </c>
      <c r="F173" s="21" t="str">
        <f ca="1">IF(S173="Paid","Completed","Pending payment")</f>
        <v>Completed</v>
      </c>
      <c r="G173" s="21" t="s">
        <v>4314</v>
      </c>
      <c r="H173" s="21" t="s">
        <v>3399</v>
      </c>
      <c r="I173" s="29">
        <v>46265</v>
      </c>
      <c r="J173" s="29">
        <v>46265</v>
      </c>
      <c r="K173" s="21" t="str">
        <f>TEXT(I173,"mmm-yyyy")</f>
        <v>Aug-2026</v>
      </c>
      <c r="L173" s="21" t="s">
        <v>1797</v>
      </c>
      <c r="M173" s="21">
        <v>1</v>
      </c>
      <c r="N173" s="21" t="s">
        <v>743</v>
      </c>
      <c r="O173" s="21" t="s">
        <v>3400</v>
      </c>
      <c r="P173" s="21" t="s">
        <v>3401</v>
      </c>
      <c r="Q173" s="21" t="s">
        <v>844</v>
      </c>
      <c r="R173" s="21" t="s">
        <v>4307</v>
      </c>
      <c r="S173" s="21" t="str">
        <f ca="1">IF(BN173&lt;1,"Paid",IF(BM173&gt;0,"Partially paid",IF(ISNUMBER(SEARCH("hold",BU173)),"On hold",IF(BQ173&lt;TODAY(),"Overdue","Approved - unpaid"))))</f>
        <v>Paid</v>
      </c>
      <c r="T173" s="21" t="s">
        <v>3403</v>
      </c>
      <c r="U173" s="21" t="s">
        <v>3404</v>
      </c>
      <c r="V173" s="21" t="s">
        <v>967</v>
      </c>
      <c r="W173" s="21" t="s">
        <v>746</v>
      </c>
      <c r="X173" s="21" t="s">
        <v>846</v>
      </c>
      <c r="Y173" s="21" t="s">
        <v>3405</v>
      </c>
      <c r="Z173" s="21" t="s">
        <v>3406</v>
      </c>
      <c r="AA173" s="21" t="s">
        <v>1062</v>
      </c>
      <c r="AB173" s="37">
        <v>0</v>
      </c>
      <c r="AC173" s="21" t="s">
        <v>4315</v>
      </c>
      <c r="AD173" s="21" t="s">
        <v>4316</v>
      </c>
      <c r="AE173" s="21" t="s">
        <v>3409</v>
      </c>
      <c r="AF173" s="21">
        <v>1</v>
      </c>
      <c r="AG173" s="21" t="s">
        <v>763</v>
      </c>
      <c r="AH173" s="21" t="s">
        <v>766</v>
      </c>
      <c r="AI173" s="21" t="s">
        <v>1804</v>
      </c>
      <c r="AJ173" s="37">
        <v>1050</v>
      </c>
      <c r="AK173" s="37">
        <v>1050</v>
      </c>
      <c r="AL173" s="37">
        <v>1430</v>
      </c>
      <c r="AM173" s="37">
        <f>AK173*AL173</f>
        <v>1501500</v>
      </c>
      <c r="AN173" s="37">
        <f>AM173</f>
        <v>1501500</v>
      </c>
      <c r="AO173" s="23">
        <f>_xlfn.XLOOKUP(AG173,'T13'!$A$3:$A$1500,'T13'!$O$3:$O$1500)</f>
        <v>0.18</v>
      </c>
      <c r="AP173" s="37">
        <f>AK173*IF(AI173="MT",1000,IF(AI173="Jumbo bag (1.5 MT)",1500,IF(AI173="Bag (40 kg)",40,50)))*3</f>
        <v>157500</v>
      </c>
      <c r="AQ173" s="37">
        <f>SUMIFS($AN$3:$AN$1500,$G$3:$G$1500,G173)</f>
        <v>4144000</v>
      </c>
      <c r="AR173" s="37">
        <f>SUMIFS($AP$3:$AP$1500,$G$3:$G$1500,G173)</f>
        <v>420000</v>
      </c>
      <c r="AS173" s="21" t="s">
        <v>3410</v>
      </c>
      <c r="AT173" s="37">
        <f>ROUND(BH173*0.05,0)</f>
        <v>265496</v>
      </c>
      <c r="AU173" s="21" t="s">
        <v>846</v>
      </c>
      <c r="AV173" s="37" cm="1">
        <f t="array" ref="AV173">SUMPRODUCT(($G$3:$G$1500=G173)*$AN$3:$AN$1500*$AO$3:$AO$1500)+AR173</f>
        <v>1165920</v>
      </c>
      <c r="AW173" s="37">
        <f>AT173</f>
        <v>265496</v>
      </c>
      <c r="AX173" s="21" t="str">
        <f>TEXT(EOMONTH(I173,0)+15,"dd-mmm-yyyy")&amp;" / "&amp;IF(BM173&gt;0,"CPR-IT-"&amp;TEXT(I173,"yymm")&amp;"-"&amp;RIGHT(G173,4),"Pending payment")</f>
        <v>15-Sep-2026 / CPR-IT-2608-0144</v>
      </c>
      <c r="AY173" s="21" t="str">
        <f>IF(BM173&gt;0,"Issued","Not yet")</f>
        <v>Issued</v>
      </c>
      <c r="AZ173" s="37">
        <v>0</v>
      </c>
      <c r="BA173" s="37">
        <v>0</v>
      </c>
      <c r="BB173" s="37">
        <v>0</v>
      </c>
      <c r="BC173" s="37">
        <v>0</v>
      </c>
      <c r="BD173" s="37">
        <v>0</v>
      </c>
      <c r="BE173" s="37">
        <f>AQ173</f>
        <v>4144000</v>
      </c>
      <c r="BF173" s="37">
        <f>AV173</f>
        <v>1165920</v>
      </c>
      <c r="BG173" s="37">
        <f>AZ173</f>
        <v>0</v>
      </c>
      <c r="BH173" s="37">
        <f>BE173+BF173+BG173</f>
        <v>5309920</v>
      </c>
      <c r="BI173" s="37">
        <f>AW173</f>
        <v>265496</v>
      </c>
      <c r="BJ173" s="37">
        <f>BA173+BB173+BC173+BD173</f>
        <v>0</v>
      </c>
      <c r="BK173" s="37">
        <f>BH173-BI173-BJ173</f>
        <v>5044424</v>
      </c>
      <c r="BL173" s="21" t="str">
        <f>"PKR "&amp;TEXT(BK173,"#,##0")&amp;" only"</f>
        <v>PKR 5,044,424 only</v>
      </c>
      <c r="BM173" s="37">
        <f>SUMIFS('T10'!$AK$3:$AK$1500,'T10'!$V$3:$V$1500,G173)</f>
        <v>5044424</v>
      </c>
      <c r="BN173" s="37">
        <f>BK173-BM173</f>
        <v>0</v>
      </c>
      <c r="BO173" s="21" t="str">
        <f>IF(BF173&gt;0,TEXT(I173,"mmm-yyyy")&amp;" sales tax return","N/A")</f>
        <v>Aug-2026 sales tax return</v>
      </c>
      <c r="BP173" s="21" t="s">
        <v>1062</v>
      </c>
      <c r="BQ173" s="29">
        <f>J173+15</f>
        <v>46280</v>
      </c>
      <c r="BR173" s="29">
        <f>BQ173</f>
        <v>46280</v>
      </c>
      <c r="BS173" s="21" t="s">
        <v>3095</v>
      </c>
      <c r="BT173" s="21" t="s">
        <v>3411</v>
      </c>
      <c r="BU173" s="21" t="s">
        <v>844</v>
      </c>
      <c r="BV173" s="21" t="s">
        <v>846</v>
      </c>
      <c r="BW173" s="21" t="str" cm="1">
        <f t="array" ref="BW173">_xlfn.TEXTJOIN(", ",TRUE,_xlfn.UNIQUE(_xlfn._xlws.FILTER('T10'!$A$3:$A$1500,'T10'!$V$3:$V$1500=G173,"None")))</f>
        <v>PV-0075</v>
      </c>
      <c r="BX173" s="21" t="s">
        <v>4310</v>
      </c>
      <c r="BY173" s="21" t="s">
        <v>4311</v>
      </c>
    </row>
    <row r="174" spans="1:77" x14ac:dyDescent="0.3">
      <c r="A174" s="21" t="s">
        <v>3395</v>
      </c>
      <c r="B174" s="21" t="s">
        <v>4312</v>
      </c>
      <c r="C174" s="21" t="s">
        <v>4313</v>
      </c>
      <c r="D174" s="35">
        <v>46267.625</v>
      </c>
      <c r="E174" s="21" t="s">
        <v>3347</v>
      </c>
      <c r="F174" s="21" t="str">
        <f ca="1">IF(S174="Paid","Completed","Pending payment")</f>
        <v>Completed</v>
      </c>
      <c r="G174" s="21" t="s">
        <v>4314</v>
      </c>
      <c r="H174" s="21" t="s">
        <v>3399</v>
      </c>
      <c r="I174" s="29">
        <v>46265</v>
      </c>
      <c r="J174" s="29">
        <v>46265</v>
      </c>
      <c r="K174" s="21" t="str">
        <f>TEXT(I174,"mmm-yyyy")</f>
        <v>Aug-2026</v>
      </c>
      <c r="L174" s="21" t="s">
        <v>1797</v>
      </c>
      <c r="M174" s="21">
        <v>1</v>
      </c>
      <c r="N174" s="21" t="s">
        <v>743</v>
      </c>
      <c r="O174" s="21" t="s">
        <v>3400</v>
      </c>
      <c r="P174" s="21" t="s">
        <v>3401</v>
      </c>
      <c r="Q174" s="21" t="s">
        <v>844</v>
      </c>
      <c r="R174" s="21" t="s">
        <v>4307</v>
      </c>
      <c r="S174" s="21" t="str">
        <f ca="1">IF(BN174&lt;1,"Paid",IF(BM174&gt;0,"Partially paid",IF(ISNUMBER(SEARCH("hold",BU174)),"On hold",IF(BQ174&lt;TODAY(),"Overdue","Approved - unpaid"))))</f>
        <v>Paid</v>
      </c>
      <c r="T174" s="21" t="s">
        <v>3403</v>
      </c>
      <c r="U174" s="21" t="s">
        <v>3404</v>
      </c>
      <c r="V174" s="21" t="s">
        <v>967</v>
      </c>
      <c r="W174" s="21" t="s">
        <v>746</v>
      </c>
      <c r="X174" s="21" t="s">
        <v>846</v>
      </c>
      <c r="Y174" s="21" t="s">
        <v>3405</v>
      </c>
      <c r="Z174" s="21" t="s">
        <v>3406</v>
      </c>
      <c r="AA174" s="21" t="s">
        <v>1062</v>
      </c>
      <c r="AB174" s="37">
        <v>0</v>
      </c>
      <c r="AC174" s="21" t="s">
        <v>4315</v>
      </c>
      <c r="AD174" s="21" t="s">
        <v>4317</v>
      </c>
      <c r="AE174" s="21" t="s">
        <v>3409</v>
      </c>
      <c r="AF174" s="21">
        <v>2</v>
      </c>
      <c r="AG174" s="21" t="s">
        <v>788</v>
      </c>
      <c r="AH174" s="21" t="s">
        <v>790</v>
      </c>
      <c r="AI174" s="21" t="s">
        <v>1804</v>
      </c>
      <c r="AJ174" s="37">
        <v>1750</v>
      </c>
      <c r="AK174" s="37">
        <v>1750</v>
      </c>
      <c r="AL174" s="37">
        <v>1510</v>
      </c>
      <c r="AM174" s="37">
        <f>AK174*AL174</f>
        <v>2642500</v>
      </c>
      <c r="AN174" s="37">
        <f>AM174</f>
        <v>2642500</v>
      </c>
      <c r="AO174" s="23">
        <f>_xlfn.XLOOKUP(AG174,'T13'!$A$3:$A$1500,'T13'!$O$3:$O$1500)</f>
        <v>0.18</v>
      </c>
      <c r="AP174" s="37">
        <f>AK174*IF(AI174="MT",1000,IF(AI174="Jumbo bag (1.5 MT)",1500,IF(AI174="Bag (40 kg)",40,50)))*3</f>
        <v>262500</v>
      </c>
      <c r="AQ174" s="37">
        <f>SUMIFS($AN$3:$AN$1500,$G$3:$G$1500,G174)</f>
        <v>4144000</v>
      </c>
      <c r="AR174" s="37">
        <f>SUMIFS($AP$3:$AP$1500,$G$3:$G$1500,G174)</f>
        <v>420000</v>
      </c>
      <c r="AS174" s="21" t="s">
        <v>3410</v>
      </c>
      <c r="AT174" s="37">
        <f>ROUND(BH174*0.05,0)</f>
        <v>265496</v>
      </c>
      <c r="AU174" s="21" t="s">
        <v>846</v>
      </c>
      <c r="AV174" s="37" cm="1">
        <f t="array" ref="AV174">SUMPRODUCT(($G$3:$G$1500=G174)*$AN$3:$AN$1500*$AO$3:$AO$1500)+AR174</f>
        <v>1165920</v>
      </c>
      <c r="AW174" s="37">
        <f>AT174</f>
        <v>265496</v>
      </c>
      <c r="AX174" s="21" t="str">
        <f>TEXT(EOMONTH(I174,0)+15,"dd-mmm-yyyy")&amp;" / "&amp;IF(BM174&gt;0,"CPR-IT-"&amp;TEXT(I174,"yymm")&amp;"-"&amp;RIGHT(G174,4),"Pending payment")</f>
        <v>15-Sep-2026 / CPR-IT-2608-0144</v>
      </c>
      <c r="AY174" s="21" t="str">
        <f>IF(BM174&gt;0,"Issued","Not yet")</f>
        <v>Issued</v>
      </c>
      <c r="AZ174" s="37">
        <v>0</v>
      </c>
      <c r="BA174" s="37">
        <v>0</v>
      </c>
      <c r="BB174" s="37">
        <v>0</v>
      </c>
      <c r="BC174" s="37">
        <v>0</v>
      </c>
      <c r="BD174" s="37">
        <v>0</v>
      </c>
      <c r="BE174" s="37">
        <f>AQ174</f>
        <v>4144000</v>
      </c>
      <c r="BF174" s="37">
        <f>AV174</f>
        <v>1165920</v>
      </c>
      <c r="BG174" s="37">
        <f>AZ174</f>
        <v>0</v>
      </c>
      <c r="BH174" s="37">
        <f>BE174+BF174+BG174</f>
        <v>5309920</v>
      </c>
      <c r="BI174" s="37">
        <f>AW174</f>
        <v>265496</v>
      </c>
      <c r="BJ174" s="37">
        <f>BA174+BB174+BC174+BD174</f>
        <v>0</v>
      </c>
      <c r="BK174" s="37">
        <f>BH174-BI174-BJ174</f>
        <v>5044424</v>
      </c>
      <c r="BL174" s="21" t="str">
        <f>"PKR "&amp;TEXT(BK174,"#,##0")&amp;" only"</f>
        <v>PKR 5,044,424 only</v>
      </c>
      <c r="BM174" s="37">
        <f>SUMIFS('T10'!$AK$3:$AK$1500,'T10'!$V$3:$V$1500,G174)</f>
        <v>5044424</v>
      </c>
      <c r="BN174" s="37">
        <f>BK174-BM174</f>
        <v>0</v>
      </c>
      <c r="BO174" s="21" t="str">
        <f>IF(BF174&gt;0,TEXT(I174,"mmm-yyyy")&amp;" sales tax return","N/A")</f>
        <v>Aug-2026 sales tax return</v>
      </c>
      <c r="BP174" s="21" t="s">
        <v>1062</v>
      </c>
      <c r="BQ174" s="29">
        <f>J174+15</f>
        <v>46280</v>
      </c>
      <c r="BR174" s="29">
        <f>BQ174</f>
        <v>46280</v>
      </c>
      <c r="BS174" s="21" t="s">
        <v>3095</v>
      </c>
      <c r="BT174" s="21" t="s">
        <v>3411</v>
      </c>
      <c r="BU174" s="21" t="s">
        <v>844</v>
      </c>
      <c r="BV174" s="21" t="s">
        <v>846</v>
      </c>
      <c r="BW174" s="21" t="str" cm="1">
        <f t="array" ref="BW174">_xlfn.TEXTJOIN(", ",TRUE,_xlfn.UNIQUE(_xlfn._xlws.FILTER('T10'!$A$3:$A$1500,'T10'!$V$3:$V$1500=G174,"None")))</f>
        <v>PV-0075</v>
      </c>
      <c r="BX174" s="21" t="s">
        <v>4310</v>
      </c>
      <c r="BY174" s="21" t="s">
        <v>4311</v>
      </c>
    </row>
    <row r="175" spans="1:77" x14ac:dyDescent="0.3">
      <c r="A175" s="21" t="s">
        <v>3438</v>
      </c>
      <c r="B175" s="21" t="s">
        <v>2884</v>
      </c>
      <c r="C175" s="21" t="s">
        <v>4318</v>
      </c>
      <c r="D175" s="35">
        <v>46267.416666666664</v>
      </c>
      <c r="E175" s="21" t="s">
        <v>3347</v>
      </c>
      <c r="F175" s="21" t="str">
        <f ca="1">IF(S175="Paid","Completed","Pending payment")</f>
        <v>Pending payment</v>
      </c>
      <c r="G175" s="21" t="s">
        <v>4319</v>
      </c>
      <c r="H175" s="21" t="s">
        <v>3428</v>
      </c>
      <c r="I175" s="29">
        <v>46268</v>
      </c>
      <c r="J175" s="29">
        <v>46266</v>
      </c>
      <c r="K175" s="21" t="str">
        <f>TEXT(I175,"mmm-yyyy")</f>
        <v>Sep-2026</v>
      </c>
      <c r="L175" s="21" t="s">
        <v>1797</v>
      </c>
      <c r="M175" s="21">
        <v>1</v>
      </c>
      <c r="N175" s="21" t="s">
        <v>743</v>
      </c>
      <c r="O175" s="21" t="s">
        <v>3350</v>
      </c>
      <c r="P175" s="21" t="s">
        <v>3429</v>
      </c>
      <c r="Q175" s="21" t="s">
        <v>844</v>
      </c>
      <c r="R175" s="21" t="s">
        <v>4320</v>
      </c>
      <c r="S175" s="21" t="str">
        <f ca="1">IF(BN175&lt;1,"Paid",IF(BM175&gt;0,"Partially paid",IF(ISNUMBER(SEARCH("hold",BU175)),"On hold",IF(BQ175&lt;TODAY(),"Overdue","Approved - unpaid"))))</f>
        <v>Approved - unpaid</v>
      </c>
      <c r="T175" s="21" t="s">
        <v>3431</v>
      </c>
      <c r="U175" s="21" t="s">
        <v>1278</v>
      </c>
      <c r="V175" s="21" t="s">
        <v>1200</v>
      </c>
      <c r="W175" s="21" t="s">
        <v>746</v>
      </c>
      <c r="X175" s="21" t="s">
        <v>4241</v>
      </c>
      <c r="Y175" s="21" t="s">
        <v>3441</v>
      </c>
      <c r="Z175" s="21" t="s">
        <v>3442</v>
      </c>
      <c r="AA175" s="21" t="s">
        <v>1051</v>
      </c>
      <c r="AB175" s="37">
        <v>0</v>
      </c>
      <c r="AC175" s="21" t="s">
        <v>844</v>
      </c>
      <c r="AD175" s="21" t="s">
        <v>844</v>
      </c>
      <c r="AE175" s="21" t="s">
        <v>3443</v>
      </c>
      <c r="AF175" s="21">
        <v>1</v>
      </c>
      <c r="AG175" s="21" t="s">
        <v>837</v>
      </c>
      <c r="AH175" s="21" t="s">
        <v>840</v>
      </c>
      <c r="AI175" s="21" t="s">
        <v>842</v>
      </c>
      <c r="AJ175" s="37">
        <f>COUNTIFS('T14'!$AQ$3:$AQ$1500,B175,'T14'!$Z$3:$Z$1500,1,'T14'!$F$3:$F$1500,"Bag")</f>
        <v>3</v>
      </c>
      <c r="AK175" s="37">
        <f>AJ175</f>
        <v>3</v>
      </c>
      <c r="AL175" s="37">
        <v>42200</v>
      </c>
      <c r="AM175" s="37">
        <f>AK175*AL175</f>
        <v>126600</v>
      </c>
      <c r="AN175" s="37">
        <f>AM175</f>
        <v>126600</v>
      </c>
      <c r="AO175" s="23">
        <f>_xlfn.XLOOKUP(AG175,'T13'!$A$3:$A$1500,'T13'!$O$3:$O$1500)</f>
        <v>0.16</v>
      </c>
      <c r="AP175" s="37">
        <v>0</v>
      </c>
      <c r="AQ175" s="37">
        <f>SUMIFS($AN$3:$AN$1500,$G$3:$G$1500,G175)</f>
        <v>126600</v>
      </c>
      <c r="AR175" s="37">
        <f>SUMIFS($AP$3:$AP$1500,$G$3:$G$1500,G175)</f>
        <v>0</v>
      </c>
      <c r="AS175" s="21" t="s">
        <v>4242</v>
      </c>
      <c r="AT175" s="37">
        <f>ROUND(BH175*0.02,0)</f>
        <v>2937</v>
      </c>
      <c r="AU175" s="21" t="s">
        <v>3816</v>
      </c>
      <c r="AV175" s="37" cm="1">
        <f t="array" ref="AV175">SUMPRODUCT(($G$3:$G$1500=G175)*$AN$3:$AN$1500*$AO$3:$AO$1500)+AR175</f>
        <v>20256</v>
      </c>
      <c r="AW175" s="37">
        <f>AT175</f>
        <v>2937</v>
      </c>
      <c r="AX175" s="21" t="str">
        <f>TEXT(EOMONTH(I175,0)+15,"dd-mmm-yyyy")&amp;" / "&amp;IF(BM175&gt;0,"CPR-IT-"&amp;TEXT(I175,"yymm")&amp;"-"&amp;RIGHT(G175,4),"Pending payment")</f>
        <v>15-Oct-2026 / Pending payment</v>
      </c>
      <c r="AY175" s="21" t="str">
        <f>IF(BM175&gt;0,"Issued","Not yet")</f>
        <v>Not yet</v>
      </c>
      <c r="AZ175" s="37">
        <v>0</v>
      </c>
      <c r="BA175" s="37">
        <v>0</v>
      </c>
      <c r="BB175" s="37">
        <v>0</v>
      </c>
      <c r="BC175" s="37">
        <v>0</v>
      </c>
      <c r="BD175" s="37">
        <v>0</v>
      </c>
      <c r="BE175" s="37">
        <f>AQ175</f>
        <v>126600</v>
      </c>
      <c r="BF175" s="37">
        <f>AV175</f>
        <v>20256</v>
      </c>
      <c r="BG175" s="37">
        <f>AZ175</f>
        <v>0</v>
      </c>
      <c r="BH175" s="37">
        <f>BE175+BF175+BG175</f>
        <v>146856</v>
      </c>
      <c r="BI175" s="37">
        <f>AW175</f>
        <v>2937</v>
      </c>
      <c r="BJ175" s="37">
        <f>BA175+BB175+BC175+BD175</f>
        <v>0</v>
      </c>
      <c r="BK175" s="37">
        <f>BH175-BI175-BJ175</f>
        <v>143919</v>
      </c>
      <c r="BL175" s="21" t="str">
        <f>"PKR "&amp;TEXT(BK175,"#,##0")&amp;" only"</f>
        <v>PKR 143,919 only</v>
      </c>
      <c r="BM175" s="37">
        <f>SUMIFS('T10'!$AK$3:$AK$1500,'T10'!$V$3:$V$1500,G175)</f>
        <v>0</v>
      </c>
      <c r="BN175" s="37">
        <f>BK175-BM175</f>
        <v>143919</v>
      </c>
      <c r="BO175" s="21" t="str">
        <f>IF(BF175&gt;0,TEXT(I175,"mmm-yyyy")&amp;" sales tax return","N/A")</f>
        <v>Sep-2026 sales tax return</v>
      </c>
      <c r="BP175" s="21" t="s">
        <v>1051</v>
      </c>
      <c r="BQ175" s="29">
        <f>J175+30</f>
        <v>46296</v>
      </c>
      <c r="BR175" s="29">
        <f>BQ175</f>
        <v>46296</v>
      </c>
      <c r="BS175" s="21" t="s">
        <v>3095</v>
      </c>
      <c r="BT175" s="21" t="s">
        <v>3360</v>
      </c>
      <c r="BU175" s="21" t="s">
        <v>844</v>
      </c>
      <c r="BV175" s="21" t="s">
        <v>846</v>
      </c>
      <c r="BW175" s="21" t="str" cm="1">
        <f t="array" ref="BW175">_xlfn.TEXTJOIN(", ",TRUE,_xlfn.UNIQUE(_xlfn._xlws.FILTER('T10'!$A$3:$A$1500,'T10'!$V$3:$V$1500=G175,"None")))</f>
        <v>None</v>
      </c>
      <c r="BX175" s="21" t="s">
        <v>4321</v>
      </c>
      <c r="BY175" s="21" t="s">
        <v>4322</v>
      </c>
    </row>
    <row r="176" spans="1:77" x14ac:dyDescent="0.3">
      <c r="A176" s="21" t="s">
        <v>3489</v>
      </c>
      <c r="B176" s="21" t="s">
        <v>2900</v>
      </c>
      <c r="C176" s="21" t="s">
        <v>4323</v>
      </c>
      <c r="D176" s="35">
        <v>46268.666666666664</v>
      </c>
      <c r="E176" s="21" t="s">
        <v>3347</v>
      </c>
      <c r="F176" s="21" t="str">
        <f ca="1">IF(S176="Paid","Completed","Pending payment")</f>
        <v>Pending payment</v>
      </c>
      <c r="G176" s="21" t="s">
        <v>4324</v>
      </c>
      <c r="H176" s="21" t="s">
        <v>3428</v>
      </c>
      <c r="I176" s="29">
        <v>46268</v>
      </c>
      <c r="J176" s="29">
        <v>46266</v>
      </c>
      <c r="K176" s="21" t="str">
        <f>TEXT(I176,"mmm-yyyy")</f>
        <v>Sep-2026</v>
      </c>
      <c r="L176" s="21" t="s">
        <v>1797</v>
      </c>
      <c r="M176" s="21">
        <v>1</v>
      </c>
      <c r="N176" s="21" t="s">
        <v>743</v>
      </c>
      <c r="O176" s="21" t="s">
        <v>3350</v>
      </c>
      <c r="P176" s="21" t="s">
        <v>3429</v>
      </c>
      <c r="Q176" s="21" t="s">
        <v>844</v>
      </c>
      <c r="R176" s="21" t="s">
        <v>4325</v>
      </c>
      <c r="S176" s="21" t="str">
        <f ca="1">IF(BN176&lt;1,"Paid",IF(BM176&gt;0,"Partially paid",IF(ISNUMBER(SEARCH("hold",BU176)),"On hold",IF(BQ176&lt;TODAY(),"Overdue","Approved - unpaid"))))</f>
        <v>Approved - unpaid</v>
      </c>
      <c r="T176" s="21" t="s">
        <v>3431</v>
      </c>
      <c r="U176" s="21" t="s">
        <v>1213</v>
      </c>
      <c r="V176" s="21" t="s">
        <v>1194</v>
      </c>
      <c r="W176" s="21" t="s">
        <v>746</v>
      </c>
      <c r="X176" s="21" t="s">
        <v>846</v>
      </c>
      <c r="Y176" s="21" t="s">
        <v>3493</v>
      </c>
      <c r="Z176" s="21" t="s">
        <v>3494</v>
      </c>
      <c r="AA176" s="21" t="s">
        <v>1051</v>
      </c>
      <c r="AB176" s="37">
        <v>0</v>
      </c>
      <c r="AC176" s="21" t="s">
        <v>844</v>
      </c>
      <c r="AD176" s="21" t="s">
        <v>844</v>
      </c>
      <c r="AE176" s="21" t="s">
        <v>3495</v>
      </c>
      <c r="AF176" s="21">
        <v>1</v>
      </c>
      <c r="AG176" s="21" t="s">
        <v>837</v>
      </c>
      <c r="AH176" s="21" t="s">
        <v>840</v>
      </c>
      <c r="AI176" s="21" t="s">
        <v>842</v>
      </c>
      <c r="AJ176" s="37">
        <f>COUNTIFS('T14'!$AQ$3:$AQ$1500,B176,'T14'!$Z$3:$Z$1500,1,'T14'!$F$3:$F$1500,"Bag")</f>
        <v>2</v>
      </c>
      <c r="AK176" s="37">
        <f>AJ176</f>
        <v>2</v>
      </c>
      <c r="AL176" s="37">
        <v>42200</v>
      </c>
      <c r="AM176" s="37">
        <f>AK176*AL176</f>
        <v>84400</v>
      </c>
      <c r="AN176" s="37">
        <f>AM176</f>
        <v>84400</v>
      </c>
      <c r="AO176" s="23">
        <f>_xlfn.XLOOKUP(AG176,'T13'!$A$3:$A$1500,'T13'!$O$3:$O$1500)</f>
        <v>0.16</v>
      </c>
      <c r="AP176" s="37">
        <v>0</v>
      </c>
      <c r="AQ176" s="37">
        <f>SUMIFS($AN$3:$AN$1500,$G$3:$G$1500,G176)</f>
        <v>84400</v>
      </c>
      <c r="AR176" s="37">
        <f>SUMIFS($AP$3:$AP$1500,$G$3:$G$1500,G176)</f>
        <v>0</v>
      </c>
      <c r="AS176" s="21" t="s">
        <v>3444</v>
      </c>
      <c r="AT176" s="37">
        <f>ROUND(BH176*0.04,0)</f>
        <v>3916</v>
      </c>
      <c r="AU176" s="21" t="s">
        <v>846</v>
      </c>
      <c r="AV176" s="37" cm="1">
        <f t="array" ref="AV176">SUMPRODUCT(($G$3:$G$1500=G176)*$AN$3:$AN$1500*$AO$3:$AO$1500)+AR176</f>
        <v>13504</v>
      </c>
      <c r="AW176" s="37">
        <f>AT176</f>
        <v>3916</v>
      </c>
      <c r="AX176" s="21" t="str">
        <f>TEXT(EOMONTH(I176,0)+15,"dd-mmm-yyyy")&amp;" / "&amp;IF(BM176&gt;0,"CPR-IT-"&amp;TEXT(I176,"yymm")&amp;"-"&amp;RIGHT(G176,4),"Pending payment")</f>
        <v>15-Oct-2026 / Pending payment</v>
      </c>
      <c r="AY176" s="21" t="str">
        <f>IF(BM176&gt;0,"Issued","Not yet")</f>
        <v>Not yet</v>
      </c>
      <c r="AZ176" s="37">
        <v>0</v>
      </c>
      <c r="BA176" s="37">
        <v>0</v>
      </c>
      <c r="BB176" s="37">
        <v>0</v>
      </c>
      <c r="BC176" s="37">
        <v>0</v>
      </c>
      <c r="BD176" s="37">
        <v>0</v>
      </c>
      <c r="BE176" s="37">
        <f>AQ176</f>
        <v>84400</v>
      </c>
      <c r="BF176" s="37">
        <f>AV176</f>
        <v>13504</v>
      </c>
      <c r="BG176" s="37">
        <f>AZ176</f>
        <v>0</v>
      </c>
      <c r="BH176" s="37">
        <f>BE176+BF176+BG176</f>
        <v>97904</v>
      </c>
      <c r="BI176" s="37">
        <f>AW176</f>
        <v>3916</v>
      </c>
      <c r="BJ176" s="37">
        <f>BA176+BB176+BC176+BD176</f>
        <v>0</v>
      </c>
      <c r="BK176" s="37">
        <f>BH176-BI176-BJ176</f>
        <v>93988</v>
      </c>
      <c r="BL176" s="21" t="str">
        <f>"PKR "&amp;TEXT(BK176,"#,##0")&amp;" only"</f>
        <v>PKR 93,988 only</v>
      </c>
      <c r="BM176" s="37">
        <f>SUMIFS('T10'!$AK$3:$AK$1500,'T10'!$V$3:$V$1500,G176)</f>
        <v>0</v>
      </c>
      <c r="BN176" s="37">
        <f>BK176-BM176</f>
        <v>93988</v>
      </c>
      <c r="BO176" s="21" t="str">
        <f>IF(BF176&gt;0,TEXT(I176,"mmm-yyyy")&amp;" sales tax return","N/A")</f>
        <v>Sep-2026 sales tax return</v>
      </c>
      <c r="BP176" s="21" t="s">
        <v>1051</v>
      </c>
      <c r="BQ176" s="29">
        <f>J176+30</f>
        <v>46296</v>
      </c>
      <c r="BR176" s="29">
        <f>BQ176</f>
        <v>46296</v>
      </c>
      <c r="BS176" s="21" t="s">
        <v>3095</v>
      </c>
      <c r="BT176" s="21" t="s">
        <v>3360</v>
      </c>
      <c r="BU176" s="21" t="s">
        <v>844</v>
      </c>
      <c r="BV176" s="21" t="s">
        <v>846</v>
      </c>
      <c r="BW176" s="21" t="str" cm="1">
        <f t="array" ref="BW176">_xlfn.TEXTJOIN(", ",TRUE,_xlfn.UNIQUE(_xlfn._xlws.FILTER('T10'!$A$3:$A$1500,'T10'!$V$3:$V$1500=G176,"None")))</f>
        <v>None</v>
      </c>
      <c r="BX176" s="21" t="s">
        <v>4321</v>
      </c>
      <c r="BY176" s="21" t="s">
        <v>4322</v>
      </c>
    </row>
    <row r="177" spans="1:77" x14ac:dyDescent="0.3">
      <c r="A177" s="21" t="s">
        <v>3381</v>
      </c>
      <c r="B177" s="21" t="s">
        <v>4326</v>
      </c>
      <c r="C177" s="21" t="s">
        <v>4327</v>
      </c>
      <c r="D177" s="35">
        <v>46286.708333333336</v>
      </c>
      <c r="E177" s="21" t="s">
        <v>3347</v>
      </c>
      <c r="F177" s="21" t="str">
        <f ca="1">IF(S177="Paid","Completed","Pending payment")</f>
        <v>Pending payment</v>
      </c>
      <c r="G177" s="21" t="s">
        <v>4328</v>
      </c>
      <c r="H177" s="21" t="s">
        <v>3385</v>
      </c>
      <c r="I177" s="29">
        <v>46286</v>
      </c>
      <c r="J177" s="29">
        <v>46284</v>
      </c>
      <c r="K177" s="21" t="str">
        <f>TEXT(I177,"mmm-yyyy")</f>
        <v>Sep-2026</v>
      </c>
      <c r="L177" s="21" t="s">
        <v>1797</v>
      </c>
      <c r="M177" s="21">
        <v>1</v>
      </c>
      <c r="N177" s="21" t="s">
        <v>743</v>
      </c>
      <c r="O177" s="21" t="s">
        <v>3350</v>
      </c>
      <c r="P177" s="21" t="s">
        <v>3351</v>
      </c>
      <c r="Q177" s="21" t="s">
        <v>844</v>
      </c>
      <c r="R177" s="21" t="s">
        <v>4329</v>
      </c>
      <c r="S177" s="21" t="str">
        <f ca="1">IF(BN177&lt;1,"Paid",IF(BM177&gt;0,"Partially paid",IF(ISNUMBER(SEARCH("hold",BU177)),"On hold",IF(BQ177&lt;TODAY(),"Overdue","Approved - unpaid"))))</f>
        <v>Approved - unpaid</v>
      </c>
      <c r="T177" s="21" t="s">
        <v>3387</v>
      </c>
      <c r="U177" s="21" t="s">
        <v>3388</v>
      </c>
      <c r="V177" s="21" t="s">
        <v>3389</v>
      </c>
      <c r="W177" s="21" t="s">
        <v>746</v>
      </c>
      <c r="X177" s="21" t="s">
        <v>846</v>
      </c>
      <c r="Y177" s="21" t="s">
        <v>3390</v>
      </c>
      <c r="Z177" s="21" t="s">
        <v>3391</v>
      </c>
      <c r="AA177" s="21" t="s">
        <v>1051</v>
      </c>
      <c r="AB177" s="37">
        <v>0</v>
      </c>
      <c r="AC177" s="21" t="s">
        <v>844</v>
      </c>
      <c r="AD177" s="21" t="s">
        <v>844</v>
      </c>
      <c r="AE177" s="21" t="s">
        <v>844</v>
      </c>
      <c r="AF177" s="21">
        <v>1</v>
      </c>
      <c r="AG177" s="21" t="s">
        <v>959</v>
      </c>
      <c r="AH177" s="21" t="s">
        <v>961</v>
      </c>
      <c r="AI177" s="21" t="s">
        <v>905</v>
      </c>
      <c r="AJ177" s="37">
        <v>1</v>
      </c>
      <c r="AK177" s="37">
        <v>1</v>
      </c>
      <c r="AL177" s="37">
        <v>196560</v>
      </c>
      <c r="AM177" s="37">
        <f>AK177*AL177</f>
        <v>196560</v>
      </c>
      <c r="AN177" s="37">
        <f>AM177</f>
        <v>196560</v>
      </c>
      <c r="AO177" s="23">
        <f>_xlfn.XLOOKUP(AG177,'T13'!$A$3:$A$1500,'T13'!$O$3:$O$1500)</f>
        <v>0.16</v>
      </c>
      <c r="AP177" s="37">
        <v>0</v>
      </c>
      <c r="AQ177" s="37">
        <f>SUMIFS($AN$3:$AN$1500,$G$3:$G$1500,G177)</f>
        <v>196560</v>
      </c>
      <c r="AR177" s="37">
        <f>SUMIFS($AP$3:$AP$1500,$G$3:$G$1500,G177)</f>
        <v>0</v>
      </c>
      <c r="AS177" s="21" t="s">
        <v>3392</v>
      </c>
      <c r="AT177" s="37">
        <f>ROUND(BH177*0.11,0)</f>
        <v>25081</v>
      </c>
      <c r="AU177" s="21" t="s">
        <v>846</v>
      </c>
      <c r="AV177" s="37" cm="1">
        <f t="array" ref="AV177">SUMPRODUCT(($G$3:$G$1500=G177)*$AN$3:$AN$1500*$AO$3:$AO$1500)+AR177</f>
        <v>31449.600000000002</v>
      </c>
      <c r="AW177" s="37">
        <f>AT177</f>
        <v>25081</v>
      </c>
      <c r="AX177" s="21" t="str">
        <f>TEXT(EOMONTH(I177,0)+15,"dd-mmm-yyyy")&amp;" / "&amp;IF(BM177&gt;0,"CPR-IT-"&amp;TEXT(I177,"yymm")&amp;"-"&amp;RIGHT(G177,4),"Pending payment")</f>
        <v>15-Oct-2026 / Pending payment</v>
      </c>
      <c r="AY177" s="21" t="str">
        <f>IF(BM177&gt;0,"Issued","Not yet")</f>
        <v>Not yet</v>
      </c>
      <c r="AZ177" s="37">
        <v>0</v>
      </c>
      <c r="BA177" s="37">
        <v>0</v>
      </c>
      <c r="BB177" s="37">
        <v>0</v>
      </c>
      <c r="BC177" s="37">
        <v>0</v>
      </c>
      <c r="BD177" s="37">
        <v>0</v>
      </c>
      <c r="BE177" s="37">
        <f>AQ177</f>
        <v>196560</v>
      </c>
      <c r="BF177" s="37">
        <f>AV177</f>
        <v>31449.600000000002</v>
      </c>
      <c r="BG177" s="37">
        <f>AZ177</f>
        <v>0</v>
      </c>
      <c r="BH177" s="37">
        <f>BE177+BF177+BG177</f>
        <v>228009.60000000001</v>
      </c>
      <c r="BI177" s="37">
        <f>AW177</f>
        <v>25081</v>
      </c>
      <c r="BJ177" s="37">
        <f>BA177+BB177+BC177+BD177</f>
        <v>0</v>
      </c>
      <c r="BK177" s="37">
        <f>BH177-BI177-BJ177</f>
        <v>202928.6</v>
      </c>
      <c r="BL177" s="21" t="str">
        <f>"PKR "&amp;TEXT(BK177,"#,##0")&amp;" only"</f>
        <v>PKR 202,929 only</v>
      </c>
      <c r="BM177" s="37">
        <f>SUMIFS('T10'!$AK$3:$AK$1500,'T10'!$V$3:$V$1500,G177)</f>
        <v>0</v>
      </c>
      <c r="BN177" s="37">
        <f>BK177-BM177</f>
        <v>202928.6</v>
      </c>
      <c r="BO177" s="21" t="str">
        <f>IF(BF177&gt;0,TEXT(I177,"mmm-yyyy")&amp;" sales tax return","N/A")</f>
        <v>Sep-2026 sales tax return</v>
      </c>
      <c r="BP177" s="21" t="s">
        <v>1051</v>
      </c>
      <c r="BQ177" s="29">
        <f>J177+30</f>
        <v>46314</v>
      </c>
      <c r="BR177" s="29">
        <f>BQ177</f>
        <v>46314</v>
      </c>
      <c r="BS177" s="21" t="s">
        <v>3095</v>
      </c>
      <c r="BT177" s="21" t="s">
        <v>3360</v>
      </c>
      <c r="BU177" s="21" t="s">
        <v>844</v>
      </c>
      <c r="BV177" s="21" t="s">
        <v>846</v>
      </c>
      <c r="BW177" s="21" t="str" cm="1">
        <f t="array" ref="BW177">_xlfn.TEXTJOIN(", ",TRUE,_xlfn.UNIQUE(_xlfn._xlws.FILTER('T10'!$A$3:$A$1500,'T10'!$V$3:$V$1500=G177,"None")))</f>
        <v>None</v>
      </c>
      <c r="BX177" s="21" t="s">
        <v>4330</v>
      </c>
      <c r="BY177" s="21" t="s">
        <v>4331</v>
      </c>
    </row>
    <row r="178" spans="1:77" x14ac:dyDescent="0.3">
      <c r="A178" s="21" t="s">
        <v>3395</v>
      </c>
      <c r="B178" s="21" t="s">
        <v>4332</v>
      </c>
      <c r="C178" s="21" t="s">
        <v>4333</v>
      </c>
      <c r="D178" s="35">
        <v>46290.5</v>
      </c>
      <c r="E178" s="21" t="s">
        <v>3347</v>
      </c>
      <c r="F178" s="21" t="str">
        <f ca="1">IF(S178="Paid","Completed","Pending payment")</f>
        <v>Pending payment</v>
      </c>
      <c r="G178" s="21" t="s">
        <v>4334</v>
      </c>
      <c r="H178" s="21" t="s">
        <v>3399</v>
      </c>
      <c r="I178" s="29">
        <v>46288</v>
      </c>
      <c r="J178" s="29">
        <v>46288</v>
      </c>
      <c r="K178" s="21" t="str">
        <f>TEXT(I178,"mmm-yyyy")</f>
        <v>Sep-2026</v>
      </c>
      <c r="L178" s="21" t="s">
        <v>1797</v>
      </c>
      <c r="M178" s="21">
        <v>1</v>
      </c>
      <c r="N178" s="21" t="s">
        <v>743</v>
      </c>
      <c r="O178" s="21" t="s">
        <v>3400</v>
      </c>
      <c r="P178" s="21" t="s">
        <v>3401</v>
      </c>
      <c r="Q178" s="21" t="s">
        <v>844</v>
      </c>
      <c r="R178" s="21" t="s">
        <v>4335</v>
      </c>
      <c r="S178" s="21" t="str">
        <f ca="1">IF(BN178&lt;1,"Paid",IF(BM178&gt;0,"Partially paid",IF(ISNUMBER(SEARCH("hold",BU178)),"On hold",IF(BQ178&lt;TODAY(),"Overdue","Approved - unpaid"))))</f>
        <v>Approved - unpaid</v>
      </c>
      <c r="T178" s="21" t="s">
        <v>3403</v>
      </c>
      <c r="U178" s="21" t="s">
        <v>3404</v>
      </c>
      <c r="V178" s="21" t="s">
        <v>967</v>
      </c>
      <c r="W178" s="21" t="s">
        <v>746</v>
      </c>
      <c r="X178" s="21" t="s">
        <v>846</v>
      </c>
      <c r="Y178" s="21" t="s">
        <v>3405</v>
      </c>
      <c r="Z178" s="21" t="s">
        <v>3406</v>
      </c>
      <c r="AA178" s="21" t="s">
        <v>1062</v>
      </c>
      <c r="AB178" s="37">
        <v>0</v>
      </c>
      <c r="AC178" s="21" t="s">
        <v>4336</v>
      </c>
      <c r="AD178" s="21" t="s">
        <v>4337</v>
      </c>
      <c r="AE178" s="21" t="s">
        <v>3409</v>
      </c>
      <c r="AF178" s="21">
        <v>1</v>
      </c>
      <c r="AG178" s="21" t="s">
        <v>763</v>
      </c>
      <c r="AH178" s="21" t="s">
        <v>766</v>
      </c>
      <c r="AI178" s="21" t="s">
        <v>1804</v>
      </c>
      <c r="AJ178" s="37">
        <v>3150</v>
      </c>
      <c r="AK178" s="37">
        <v>3150</v>
      </c>
      <c r="AL178" s="37">
        <v>1440</v>
      </c>
      <c r="AM178" s="37">
        <f>AK178*AL178</f>
        <v>4536000</v>
      </c>
      <c r="AN178" s="37">
        <f>AM178</f>
        <v>4536000</v>
      </c>
      <c r="AO178" s="23">
        <f>_xlfn.XLOOKUP(AG178,'T13'!$A$3:$A$1500,'T13'!$O$3:$O$1500)</f>
        <v>0.18</v>
      </c>
      <c r="AP178" s="37">
        <f>AK178*IF(AI178="MT",1000,IF(AI178="Jumbo bag (1.5 MT)",1500,IF(AI178="Bag (40 kg)",40,50)))*3</f>
        <v>472500</v>
      </c>
      <c r="AQ178" s="37">
        <f>SUMIFS($AN$3:$AN$1500,$G$3:$G$1500,G178)</f>
        <v>16731750</v>
      </c>
      <c r="AR178" s="37">
        <f>SUMIFS($AP$3:$AP$1500,$G$3:$G$1500,G178)</f>
        <v>1680000</v>
      </c>
      <c r="AS178" s="21" t="s">
        <v>3410</v>
      </c>
      <c r="AT178" s="37">
        <f>ROUND(BH178*0.05,0)</f>
        <v>1071173</v>
      </c>
      <c r="AU178" s="21" t="s">
        <v>846</v>
      </c>
      <c r="AV178" s="37" cm="1">
        <f t="array" ref="AV178">SUMPRODUCT(($G$3:$G$1500=G178)*$AN$3:$AN$1500*$AO$3:$AO$1500)+AR178</f>
        <v>4691715</v>
      </c>
      <c r="AW178" s="37">
        <f>AT178</f>
        <v>1071173</v>
      </c>
      <c r="AX178" s="21" t="str">
        <f>TEXT(EOMONTH(I178,0)+15,"dd-mmm-yyyy")&amp;" / "&amp;IF(BM178&gt;0,"CPR-IT-"&amp;TEXT(I178,"yymm")&amp;"-"&amp;RIGHT(G178,4),"Pending payment")</f>
        <v>15-Oct-2026 / Pending payment</v>
      </c>
      <c r="AY178" s="21" t="str">
        <f>IF(BM178&gt;0,"Issued","Not yet")</f>
        <v>Not yet</v>
      </c>
      <c r="AZ178" s="37">
        <v>0</v>
      </c>
      <c r="BA178" s="37">
        <v>0</v>
      </c>
      <c r="BB178" s="37">
        <v>0</v>
      </c>
      <c r="BC178" s="37">
        <v>0</v>
      </c>
      <c r="BD178" s="37">
        <v>0</v>
      </c>
      <c r="BE178" s="37">
        <f>AQ178</f>
        <v>16731750</v>
      </c>
      <c r="BF178" s="37">
        <f>AV178</f>
        <v>4691715</v>
      </c>
      <c r="BG178" s="37">
        <f>AZ178</f>
        <v>0</v>
      </c>
      <c r="BH178" s="37">
        <f>BE178+BF178+BG178</f>
        <v>21423465</v>
      </c>
      <c r="BI178" s="37">
        <f>AW178</f>
        <v>1071173</v>
      </c>
      <c r="BJ178" s="37">
        <f>BA178+BB178+BC178+BD178</f>
        <v>0</v>
      </c>
      <c r="BK178" s="37">
        <f>BH178-BI178-BJ178</f>
        <v>20352292</v>
      </c>
      <c r="BL178" s="21" t="str">
        <f>"PKR "&amp;TEXT(BK178,"#,##0")&amp;" only"</f>
        <v>PKR 20,352,292 only</v>
      </c>
      <c r="BM178" s="37">
        <f>SUMIFS('T10'!$AK$3:$AK$1500,'T10'!$V$3:$V$1500,G178)</f>
        <v>0</v>
      </c>
      <c r="BN178" s="37">
        <f>BK178-BM178</f>
        <v>20352292</v>
      </c>
      <c r="BO178" s="21" t="str">
        <f>IF(BF178&gt;0,TEXT(I178,"mmm-yyyy")&amp;" sales tax return","N/A")</f>
        <v>Sep-2026 sales tax return</v>
      </c>
      <c r="BP178" s="21" t="s">
        <v>1062</v>
      </c>
      <c r="BQ178" s="29">
        <f>J178+15</f>
        <v>46303</v>
      </c>
      <c r="BR178" s="29">
        <f>BQ178</f>
        <v>46303</v>
      </c>
      <c r="BS178" s="21" t="s">
        <v>3095</v>
      </c>
      <c r="BT178" s="21" t="s">
        <v>3411</v>
      </c>
      <c r="BU178" s="21" t="s">
        <v>844</v>
      </c>
      <c r="BV178" s="21" t="s">
        <v>846</v>
      </c>
      <c r="BW178" s="21" t="str" cm="1">
        <f t="array" ref="BW178">_xlfn.TEXTJOIN(", ",TRUE,_xlfn.UNIQUE(_xlfn._xlws.FILTER('T10'!$A$3:$A$1500,'T10'!$V$3:$V$1500=G178,"None")))</f>
        <v>None</v>
      </c>
      <c r="BX178" s="21" t="s">
        <v>4338</v>
      </c>
      <c r="BY178" s="21" t="s">
        <v>4339</v>
      </c>
    </row>
    <row r="179" spans="1:77" x14ac:dyDescent="0.3">
      <c r="A179" s="21" t="s">
        <v>3395</v>
      </c>
      <c r="B179" s="21" t="s">
        <v>4332</v>
      </c>
      <c r="C179" s="21" t="s">
        <v>4333</v>
      </c>
      <c r="D179" s="35">
        <v>46290.5</v>
      </c>
      <c r="E179" s="21" t="s">
        <v>3347</v>
      </c>
      <c r="F179" s="21" t="str">
        <f ca="1">IF(S179="Paid","Completed","Pending payment")</f>
        <v>Pending payment</v>
      </c>
      <c r="G179" s="21" t="s">
        <v>4334</v>
      </c>
      <c r="H179" s="21" t="s">
        <v>3399</v>
      </c>
      <c r="I179" s="29">
        <v>46288</v>
      </c>
      <c r="J179" s="29">
        <v>46288</v>
      </c>
      <c r="K179" s="21" t="str">
        <f>TEXT(I179,"mmm-yyyy")</f>
        <v>Sep-2026</v>
      </c>
      <c r="L179" s="21" t="s">
        <v>1797</v>
      </c>
      <c r="M179" s="21">
        <v>1</v>
      </c>
      <c r="N179" s="21" t="s">
        <v>743</v>
      </c>
      <c r="O179" s="21" t="s">
        <v>3400</v>
      </c>
      <c r="P179" s="21" t="s">
        <v>3401</v>
      </c>
      <c r="Q179" s="21" t="s">
        <v>844</v>
      </c>
      <c r="R179" s="21" t="s">
        <v>4335</v>
      </c>
      <c r="S179" s="21" t="str">
        <f ca="1">IF(BN179&lt;1,"Paid",IF(BM179&gt;0,"Partially paid",IF(ISNUMBER(SEARCH("hold",BU179)),"On hold",IF(BQ179&lt;TODAY(),"Overdue","Approved - unpaid"))))</f>
        <v>Approved - unpaid</v>
      </c>
      <c r="T179" s="21" t="s">
        <v>3403</v>
      </c>
      <c r="U179" s="21" t="s">
        <v>3404</v>
      </c>
      <c r="V179" s="21" t="s">
        <v>967</v>
      </c>
      <c r="W179" s="21" t="s">
        <v>746</v>
      </c>
      <c r="X179" s="21" t="s">
        <v>846</v>
      </c>
      <c r="Y179" s="21" t="s">
        <v>3405</v>
      </c>
      <c r="Z179" s="21" t="s">
        <v>3406</v>
      </c>
      <c r="AA179" s="21" t="s">
        <v>1062</v>
      </c>
      <c r="AB179" s="37">
        <v>0</v>
      </c>
      <c r="AC179" s="21" t="s">
        <v>4336</v>
      </c>
      <c r="AD179" s="21" t="s">
        <v>4340</v>
      </c>
      <c r="AE179" s="21" t="s">
        <v>3409</v>
      </c>
      <c r="AF179" s="21">
        <v>2</v>
      </c>
      <c r="AG179" s="21" t="s">
        <v>788</v>
      </c>
      <c r="AH179" s="21" t="s">
        <v>790</v>
      </c>
      <c r="AI179" s="21" t="s">
        <v>1804</v>
      </c>
      <c r="AJ179" s="37">
        <v>8050</v>
      </c>
      <c r="AK179" s="37">
        <v>8050</v>
      </c>
      <c r="AL179" s="37">
        <v>1515</v>
      </c>
      <c r="AM179" s="37">
        <f>AK179*AL179</f>
        <v>12195750</v>
      </c>
      <c r="AN179" s="37">
        <f>AM179</f>
        <v>12195750</v>
      </c>
      <c r="AO179" s="23">
        <f>_xlfn.XLOOKUP(AG179,'T13'!$A$3:$A$1500,'T13'!$O$3:$O$1500)</f>
        <v>0.18</v>
      </c>
      <c r="AP179" s="37">
        <f>AK179*IF(AI179="MT",1000,IF(AI179="Jumbo bag (1.5 MT)",1500,IF(AI179="Bag (40 kg)",40,50)))*3</f>
        <v>1207500</v>
      </c>
      <c r="AQ179" s="37">
        <f>SUMIFS($AN$3:$AN$1500,$G$3:$G$1500,G179)</f>
        <v>16731750</v>
      </c>
      <c r="AR179" s="37">
        <f>SUMIFS($AP$3:$AP$1500,$G$3:$G$1500,G179)</f>
        <v>1680000</v>
      </c>
      <c r="AS179" s="21" t="s">
        <v>3410</v>
      </c>
      <c r="AT179" s="37">
        <f>ROUND(BH179*0.05,0)</f>
        <v>1071173</v>
      </c>
      <c r="AU179" s="21" t="s">
        <v>846</v>
      </c>
      <c r="AV179" s="37" cm="1">
        <f t="array" ref="AV179">SUMPRODUCT(($G$3:$G$1500=G179)*$AN$3:$AN$1500*$AO$3:$AO$1500)+AR179</f>
        <v>4691715</v>
      </c>
      <c r="AW179" s="37">
        <f>AT179</f>
        <v>1071173</v>
      </c>
      <c r="AX179" s="21" t="str">
        <f>TEXT(EOMONTH(I179,0)+15,"dd-mmm-yyyy")&amp;" / "&amp;IF(BM179&gt;0,"CPR-IT-"&amp;TEXT(I179,"yymm")&amp;"-"&amp;RIGHT(G179,4),"Pending payment")</f>
        <v>15-Oct-2026 / Pending payment</v>
      </c>
      <c r="AY179" s="21" t="str">
        <f>IF(BM179&gt;0,"Issued","Not yet")</f>
        <v>Not yet</v>
      </c>
      <c r="AZ179" s="37">
        <v>0</v>
      </c>
      <c r="BA179" s="37">
        <v>0</v>
      </c>
      <c r="BB179" s="37">
        <v>0</v>
      </c>
      <c r="BC179" s="37">
        <v>0</v>
      </c>
      <c r="BD179" s="37">
        <v>0</v>
      </c>
      <c r="BE179" s="37">
        <f>AQ179</f>
        <v>16731750</v>
      </c>
      <c r="BF179" s="37">
        <f>AV179</f>
        <v>4691715</v>
      </c>
      <c r="BG179" s="37">
        <f>AZ179</f>
        <v>0</v>
      </c>
      <c r="BH179" s="37">
        <f>BE179+BF179+BG179</f>
        <v>21423465</v>
      </c>
      <c r="BI179" s="37">
        <f>AW179</f>
        <v>1071173</v>
      </c>
      <c r="BJ179" s="37">
        <f>BA179+BB179+BC179+BD179</f>
        <v>0</v>
      </c>
      <c r="BK179" s="37">
        <f>BH179-BI179-BJ179</f>
        <v>20352292</v>
      </c>
      <c r="BL179" s="21" t="str">
        <f>"PKR "&amp;TEXT(BK179,"#,##0")&amp;" only"</f>
        <v>PKR 20,352,292 only</v>
      </c>
      <c r="BM179" s="37">
        <f>SUMIFS('T10'!$AK$3:$AK$1500,'T10'!$V$3:$V$1500,G179)</f>
        <v>0</v>
      </c>
      <c r="BN179" s="37">
        <f>BK179-BM179</f>
        <v>20352292</v>
      </c>
      <c r="BO179" s="21" t="str">
        <f>IF(BF179&gt;0,TEXT(I179,"mmm-yyyy")&amp;" sales tax return","N/A")</f>
        <v>Sep-2026 sales tax return</v>
      </c>
      <c r="BP179" s="21" t="s">
        <v>1062</v>
      </c>
      <c r="BQ179" s="29">
        <f>J179+15</f>
        <v>46303</v>
      </c>
      <c r="BR179" s="29">
        <f>BQ179</f>
        <v>46303</v>
      </c>
      <c r="BS179" s="21" t="s">
        <v>3095</v>
      </c>
      <c r="BT179" s="21" t="s">
        <v>3411</v>
      </c>
      <c r="BU179" s="21" t="s">
        <v>844</v>
      </c>
      <c r="BV179" s="21" t="s">
        <v>846</v>
      </c>
      <c r="BW179" s="21" t="str" cm="1">
        <f t="array" ref="BW179">_xlfn.TEXTJOIN(", ",TRUE,_xlfn.UNIQUE(_xlfn._xlws.FILTER('T10'!$A$3:$A$1500,'T10'!$V$3:$V$1500=G179,"None")))</f>
        <v>None</v>
      </c>
      <c r="BX179" s="21" t="s">
        <v>4338</v>
      </c>
      <c r="BY179" s="21" t="s">
        <v>4339</v>
      </c>
    </row>
    <row r="180" spans="1:77" x14ac:dyDescent="0.3">
      <c r="A180" s="21" t="s">
        <v>3415</v>
      </c>
      <c r="B180" s="21" t="s">
        <v>4341</v>
      </c>
      <c r="C180" s="21" t="s">
        <v>4342</v>
      </c>
      <c r="D180" s="35">
        <v>46289.375</v>
      </c>
      <c r="E180" s="21" t="s">
        <v>3347</v>
      </c>
      <c r="F180" s="21" t="str">
        <f ca="1">IF(S180="Paid","Completed","Pending payment")</f>
        <v>Pending payment</v>
      </c>
      <c r="G180" s="21" t="s">
        <v>4343</v>
      </c>
      <c r="H180" s="21" t="s">
        <v>3399</v>
      </c>
      <c r="I180" s="29">
        <v>46288</v>
      </c>
      <c r="J180" s="29">
        <v>46288</v>
      </c>
      <c r="K180" s="21" t="str">
        <f>TEXT(I180,"mmm-yyyy")</f>
        <v>Sep-2026</v>
      </c>
      <c r="L180" s="21" t="s">
        <v>1797</v>
      </c>
      <c r="M180" s="21">
        <v>1</v>
      </c>
      <c r="N180" s="21" t="s">
        <v>743</v>
      </c>
      <c r="O180" s="21" t="s">
        <v>3400</v>
      </c>
      <c r="P180" s="21" t="s">
        <v>3401</v>
      </c>
      <c r="Q180" s="21" t="s">
        <v>844</v>
      </c>
      <c r="R180" s="21" t="s">
        <v>4344</v>
      </c>
      <c r="S180" s="21" t="str">
        <f ca="1">IF(BN180&lt;1,"Paid",IF(BM180&gt;0,"Partially paid",IF(ISNUMBER(SEARCH("hold",BU180)),"On hold",IF(BQ180&lt;TODAY(),"Overdue","Approved - unpaid"))))</f>
        <v>Approved - unpaid</v>
      </c>
      <c r="T180" s="21" t="s">
        <v>3403</v>
      </c>
      <c r="U180" s="21" t="s">
        <v>3419</v>
      </c>
      <c r="V180" s="21" t="s">
        <v>999</v>
      </c>
      <c r="W180" s="21" t="s">
        <v>746</v>
      </c>
      <c r="X180" s="21" t="s">
        <v>846</v>
      </c>
      <c r="Y180" s="21" t="s">
        <v>3420</v>
      </c>
      <c r="Z180" s="21" t="s">
        <v>3421</v>
      </c>
      <c r="AA180" s="21" t="s">
        <v>1062</v>
      </c>
      <c r="AB180" s="37">
        <v>0</v>
      </c>
      <c r="AC180" s="21" t="s">
        <v>4345</v>
      </c>
      <c r="AD180" s="21" t="s">
        <v>4346</v>
      </c>
      <c r="AE180" s="21" t="s">
        <v>3424</v>
      </c>
      <c r="AF180" s="21">
        <v>1</v>
      </c>
      <c r="AG180" s="21" t="s">
        <v>820</v>
      </c>
      <c r="AH180" s="21" t="s">
        <v>822</v>
      </c>
      <c r="AI180" s="21" t="s">
        <v>1804</v>
      </c>
      <c r="AJ180" s="37">
        <v>1450</v>
      </c>
      <c r="AK180" s="37">
        <v>1450</v>
      </c>
      <c r="AL180" s="37">
        <v>1360</v>
      </c>
      <c r="AM180" s="37">
        <f>AK180*AL180</f>
        <v>1972000</v>
      </c>
      <c r="AN180" s="37">
        <f>AM180</f>
        <v>1972000</v>
      </c>
      <c r="AO180" s="23">
        <f>_xlfn.XLOOKUP(AG180,'T13'!$A$3:$A$1500,'T13'!$O$3:$O$1500)</f>
        <v>0.18</v>
      </c>
      <c r="AP180" s="37">
        <f>AK180*IF(AI180="MT",1000,IF(AI180="Jumbo bag (1.5 MT)",1500,IF(AI180="Bag (40 kg)",40,50)))*3</f>
        <v>217500</v>
      </c>
      <c r="AQ180" s="37">
        <f>SUMIFS($AN$3:$AN$1500,$G$3:$G$1500,G180)</f>
        <v>3937400</v>
      </c>
      <c r="AR180" s="37">
        <f>SUMIFS($AP$3:$AP$1500,$G$3:$G$1500,G180)</f>
        <v>403500</v>
      </c>
      <c r="AS180" s="21" t="s">
        <v>3410</v>
      </c>
      <c r="AT180" s="37">
        <f>ROUND(BH180*0.05,0)</f>
        <v>252482</v>
      </c>
      <c r="AU180" s="21" t="s">
        <v>846</v>
      </c>
      <c r="AV180" s="37" cm="1">
        <f t="array" ref="AV180">SUMPRODUCT(($G$3:$G$1500=G180)*$AN$3:$AN$1500*$AO$3:$AO$1500)+AR180</f>
        <v>1112232</v>
      </c>
      <c r="AW180" s="37">
        <f>AT180</f>
        <v>252482</v>
      </c>
      <c r="AX180" s="21" t="str">
        <f>TEXT(EOMONTH(I180,0)+15,"dd-mmm-yyyy")&amp;" / "&amp;IF(BM180&gt;0,"CPR-IT-"&amp;TEXT(I180,"yymm")&amp;"-"&amp;RIGHT(G180,4),"Pending payment")</f>
        <v>15-Oct-2026 / Pending payment</v>
      </c>
      <c r="AY180" s="21" t="str">
        <f>IF(BM180&gt;0,"Issued","Not yet")</f>
        <v>Not yet</v>
      </c>
      <c r="AZ180" s="37">
        <v>0</v>
      </c>
      <c r="BA180" s="37">
        <v>0</v>
      </c>
      <c r="BB180" s="37">
        <v>0</v>
      </c>
      <c r="BC180" s="37">
        <v>0</v>
      </c>
      <c r="BD180" s="37">
        <v>0</v>
      </c>
      <c r="BE180" s="37">
        <f>AQ180</f>
        <v>3937400</v>
      </c>
      <c r="BF180" s="37">
        <f>AV180</f>
        <v>1112232</v>
      </c>
      <c r="BG180" s="37">
        <f>AZ180</f>
        <v>0</v>
      </c>
      <c r="BH180" s="37">
        <f>BE180+BF180+BG180</f>
        <v>5049632</v>
      </c>
      <c r="BI180" s="37">
        <f>AW180</f>
        <v>252482</v>
      </c>
      <c r="BJ180" s="37">
        <f>BA180+BB180+BC180+BD180</f>
        <v>0</v>
      </c>
      <c r="BK180" s="37">
        <f>BH180-BI180-BJ180</f>
        <v>4797150</v>
      </c>
      <c r="BL180" s="21" t="str">
        <f>"PKR "&amp;TEXT(BK180,"#,##0")&amp;" only"</f>
        <v>PKR 4,797,150 only</v>
      </c>
      <c r="BM180" s="37">
        <f>SUMIFS('T10'!$AK$3:$AK$1500,'T10'!$V$3:$V$1500,G180)</f>
        <v>0</v>
      </c>
      <c r="BN180" s="37">
        <f>BK180-BM180</f>
        <v>4797150</v>
      </c>
      <c r="BO180" s="21" t="str">
        <f>IF(BF180&gt;0,TEXT(I180,"mmm-yyyy")&amp;" sales tax return","N/A")</f>
        <v>Sep-2026 sales tax return</v>
      </c>
      <c r="BP180" s="21" t="s">
        <v>1062</v>
      </c>
      <c r="BQ180" s="29">
        <f>J180+15</f>
        <v>46303</v>
      </c>
      <c r="BR180" s="29">
        <f>BQ180</f>
        <v>46303</v>
      </c>
      <c r="BS180" s="21" t="s">
        <v>3095</v>
      </c>
      <c r="BT180" s="21" t="s">
        <v>3411</v>
      </c>
      <c r="BU180" s="21" t="s">
        <v>844</v>
      </c>
      <c r="BV180" s="21" t="s">
        <v>846</v>
      </c>
      <c r="BW180" s="21" t="str" cm="1">
        <f t="array" ref="BW180">_xlfn.TEXTJOIN(", ",TRUE,_xlfn.UNIQUE(_xlfn._xlws.FILTER('T10'!$A$3:$A$1500,'T10'!$V$3:$V$1500=G180,"None")))</f>
        <v>None</v>
      </c>
      <c r="BX180" s="21" t="s">
        <v>4338</v>
      </c>
      <c r="BY180" s="21" t="s">
        <v>4339</v>
      </c>
    </row>
    <row r="181" spans="1:77" x14ac:dyDescent="0.3">
      <c r="A181" s="21" t="s">
        <v>3415</v>
      </c>
      <c r="B181" s="21" t="s">
        <v>4341</v>
      </c>
      <c r="C181" s="21" t="s">
        <v>4342</v>
      </c>
      <c r="D181" s="35">
        <v>46289.375</v>
      </c>
      <c r="E181" s="21" t="s">
        <v>3347</v>
      </c>
      <c r="F181" s="21" t="str">
        <f ca="1">IF(S181="Paid","Completed","Pending payment")</f>
        <v>Pending payment</v>
      </c>
      <c r="G181" s="21" t="s">
        <v>4343</v>
      </c>
      <c r="H181" s="21" t="s">
        <v>3399</v>
      </c>
      <c r="I181" s="29">
        <v>46288</v>
      </c>
      <c r="J181" s="29">
        <v>46288</v>
      </c>
      <c r="K181" s="21" t="str">
        <f>TEXT(I181,"mmm-yyyy")</f>
        <v>Sep-2026</v>
      </c>
      <c r="L181" s="21" t="s">
        <v>1797</v>
      </c>
      <c r="M181" s="21">
        <v>1</v>
      </c>
      <c r="N181" s="21" t="s">
        <v>743</v>
      </c>
      <c r="O181" s="21" t="s">
        <v>3400</v>
      </c>
      <c r="P181" s="21" t="s">
        <v>3401</v>
      </c>
      <c r="Q181" s="21" t="s">
        <v>844</v>
      </c>
      <c r="R181" s="21" t="s">
        <v>4344</v>
      </c>
      <c r="S181" s="21" t="str">
        <f ca="1">IF(BN181&lt;1,"Paid",IF(BM181&gt;0,"Partially paid",IF(ISNUMBER(SEARCH("hold",BU181)),"On hold",IF(BQ181&lt;TODAY(),"Overdue","Approved - unpaid"))))</f>
        <v>Approved - unpaid</v>
      </c>
      <c r="T181" s="21" t="s">
        <v>3403</v>
      </c>
      <c r="U181" s="21" t="s">
        <v>3419</v>
      </c>
      <c r="V181" s="21" t="s">
        <v>999</v>
      </c>
      <c r="W181" s="21" t="s">
        <v>746</v>
      </c>
      <c r="X181" s="21" t="s">
        <v>846</v>
      </c>
      <c r="Y181" s="21" t="s">
        <v>3420</v>
      </c>
      <c r="Z181" s="21" t="s">
        <v>3421</v>
      </c>
      <c r="AA181" s="21" t="s">
        <v>1062</v>
      </c>
      <c r="AB181" s="37">
        <v>0</v>
      </c>
      <c r="AC181" s="21" t="s">
        <v>4345</v>
      </c>
      <c r="AD181" s="21" t="s">
        <v>4347</v>
      </c>
      <c r="AE181" s="21" t="s">
        <v>3424</v>
      </c>
      <c r="AF181" s="21">
        <v>2</v>
      </c>
      <c r="AG181" s="21" t="s">
        <v>831</v>
      </c>
      <c r="AH181" s="21" t="s">
        <v>833</v>
      </c>
      <c r="AI181" s="21" t="s">
        <v>1804</v>
      </c>
      <c r="AJ181" s="37">
        <v>1250</v>
      </c>
      <c r="AK181" s="37">
        <v>1240</v>
      </c>
      <c r="AL181" s="37">
        <v>1585</v>
      </c>
      <c r="AM181" s="37">
        <f>AK181*AL181</f>
        <v>1965400</v>
      </c>
      <c r="AN181" s="37">
        <f>AM181</f>
        <v>1965400</v>
      </c>
      <c r="AO181" s="23">
        <f>_xlfn.XLOOKUP(AG181,'T13'!$A$3:$A$1500,'T13'!$O$3:$O$1500)</f>
        <v>0.18</v>
      </c>
      <c r="AP181" s="37">
        <f>AK181*IF(AI181="MT",1000,IF(AI181="Jumbo bag (1.5 MT)",1500,IF(AI181="Bag (40 kg)",40,50)))*3</f>
        <v>186000</v>
      </c>
      <c r="AQ181" s="37">
        <f>SUMIFS($AN$3:$AN$1500,$G$3:$G$1500,G181)</f>
        <v>3937400</v>
      </c>
      <c r="AR181" s="37">
        <f>SUMIFS($AP$3:$AP$1500,$G$3:$G$1500,G181)</f>
        <v>403500</v>
      </c>
      <c r="AS181" s="21" t="s">
        <v>3410</v>
      </c>
      <c r="AT181" s="37">
        <f>ROUND(BH181*0.05,0)</f>
        <v>252482</v>
      </c>
      <c r="AU181" s="21" t="s">
        <v>846</v>
      </c>
      <c r="AV181" s="37" cm="1">
        <f t="array" ref="AV181">SUMPRODUCT(($G$3:$G$1500=G181)*$AN$3:$AN$1500*$AO$3:$AO$1500)+AR181</f>
        <v>1112232</v>
      </c>
      <c r="AW181" s="37">
        <f>AT181</f>
        <v>252482</v>
      </c>
      <c r="AX181" s="21" t="str">
        <f>TEXT(EOMONTH(I181,0)+15,"dd-mmm-yyyy")&amp;" / "&amp;IF(BM181&gt;0,"CPR-IT-"&amp;TEXT(I181,"yymm")&amp;"-"&amp;RIGHT(G181,4),"Pending payment")</f>
        <v>15-Oct-2026 / Pending payment</v>
      </c>
      <c r="AY181" s="21" t="str">
        <f>IF(BM181&gt;0,"Issued","Not yet")</f>
        <v>Not yet</v>
      </c>
      <c r="AZ181" s="37">
        <v>0</v>
      </c>
      <c r="BA181" s="37">
        <v>0</v>
      </c>
      <c r="BB181" s="37">
        <v>0</v>
      </c>
      <c r="BC181" s="37">
        <v>0</v>
      </c>
      <c r="BD181" s="37">
        <v>0</v>
      </c>
      <c r="BE181" s="37">
        <f>AQ181</f>
        <v>3937400</v>
      </c>
      <c r="BF181" s="37">
        <f>AV181</f>
        <v>1112232</v>
      </c>
      <c r="BG181" s="37">
        <f>AZ181</f>
        <v>0</v>
      </c>
      <c r="BH181" s="37">
        <f>BE181+BF181+BG181</f>
        <v>5049632</v>
      </c>
      <c r="BI181" s="37">
        <f>AW181</f>
        <v>252482</v>
      </c>
      <c r="BJ181" s="37">
        <f>BA181+BB181+BC181+BD181</f>
        <v>0</v>
      </c>
      <c r="BK181" s="37">
        <f>BH181-BI181-BJ181</f>
        <v>4797150</v>
      </c>
      <c r="BL181" s="21" t="str">
        <f>"PKR "&amp;TEXT(BK181,"#,##0")&amp;" only"</f>
        <v>PKR 4,797,150 only</v>
      </c>
      <c r="BM181" s="37">
        <f>SUMIFS('T10'!$AK$3:$AK$1500,'T10'!$V$3:$V$1500,G181)</f>
        <v>0</v>
      </c>
      <c r="BN181" s="37">
        <f>BK181-BM181</f>
        <v>4797150</v>
      </c>
      <c r="BO181" s="21" t="str">
        <f>IF(BF181&gt;0,TEXT(I181,"mmm-yyyy")&amp;" sales tax return","N/A")</f>
        <v>Sep-2026 sales tax return</v>
      </c>
      <c r="BP181" s="21" t="s">
        <v>1062</v>
      </c>
      <c r="BQ181" s="29">
        <f>J181+15</f>
        <v>46303</v>
      </c>
      <c r="BR181" s="29">
        <f>BQ181</f>
        <v>46303</v>
      </c>
      <c r="BS181" s="21" t="s">
        <v>3095</v>
      </c>
      <c r="BT181" s="21" t="s">
        <v>3411</v>
      </c>
      <c r="BU181" s="21" t="s">
        <v>844</v>
      </c>
      <c r="BV181" s="21" t="s">
        <v>846</v>
      </c>
      <c r="BW181" s="21" t="str" cm="1">
        <f t="array" ref="BW181">_xlfn.TEXTJOIN(", ",TRUE,_xlfn.UNIQUE(_xlfn._xlws.FILTER('T10'!$A$3:$A$1500,'T10'!$V$3:$V$1500=G181,"None")))</f>
        <v>None</v>
      </c>
      <c r="BX181" s="21" t="s">
        <v>4338</v>
      </c>
      <c r="BY181" s="21" t="s">
        <v>4339</v>
      </c>
    </row>
    <row r="182" spans="1:77" x14ac:dyDescent="0.3">
      <c r="A182" s="21" t="s">
        <v>3445</v>
      </c>
      <c r="B182" s="21" t="s">
        <v>4348</v>
      </c>
      <c r="C182" s="21" t="s">
        <v>4349</v>
      </c>
      <c r="D182" s="35">
        <v>46289.625</v>
      </c>
      <c r="E182" s="21" t="s">
        <v>3347</v>
      </c>
      <c r="F182" s="21" t="str">
        <f ca="1">IF(S182="Paid","Completed","Pending payment")</f>
        <v>Pending payment</v>
      </c>
      <c r="G182" s="21" t="s">
        <v>4350</v>
      </c>
      <c r="H182" s="21" t="s">
        <v>3349</v>
      </c>
      <c r="I182" s="29">
        <v>46289</v>
      </c>
      <c r="J182" s="29">
        <v>46287</v>
      </c>
      <c r="K182" s="21" t="str">
        <f>TEXT(I182,"mmm-yyyy")</f>
        <v>Sep-2026</v>
      </c>
      <c r="L182" s="21" t="s">
        <v>1797</v>
      </c>
      <c r="M182" s="21">
        <v>1</v>
      </c>
      <c r="N182" s="21" t="s">
        <v>743</v>
      </c>
      <c r="O182" s="21" t="s">
        <v>3350</v>
      </c>
      <c r="P182" s="21" t="s">
        <v>3351</v>
      </c>
      <c r="Q182" s="21" t="s">
        <v>844</v>
      </c>
      <c r="R182" s="21" t="s">
        <v>4344</v>
      </c>
      <c r="S182" s="21" t="str">
        <f ca="1">IF(BN182&lt;1,"Paid",IF(BM182&gt;0,"Partially paid",IF(ISNUMBER(SEARCH("hold",BU182)),"On hold",IF(BQ182&lt;TODAY(),"Overdue","Approved - unpaid"))))</f>
        <v>Approved - unpaid</v>
      </c>
      <c r="T182" s="21" t="s">
        <v>3353</v>
      </c>
      <c r="U182" s="21" t="s">
        <v>3450</v>
      </c>
      <c r="V182" s="21" t="s">
        <v>3451</v>
      </c>
      <c r="W182" s="21" t="s">
        <v>746</v>
      </c>
      <c r="X182" s="21" t="s">
        <v>846</v>
      </c>
      <c r="Y182" s="21" t="s">
        <v>3452</v>
      </c>
      <c r="Z182" s="21" t="s">
        <v>3453</v>
      </c>
      <c r="AA182" s="21" t="s">
        <v>1062</v>
      </c>
      <c r="AB182" s="37">
        <v>0</v>
      </c>
      <c r="AC182" s="21" t="s">
        <v>844</v>
      </c>
      <c r="AD182" s="21" t="s">
        <v>844</v>
      </c>
      <c r="AE182" s="21" t="s">
        <v>844</v>
      </c>
      <c r="AF182" s="21">
        <v>1</v>
      </c>
      <c r="AG182" s="21" t="s">
        <v>919</v>
      </c>
      <c r="AH182" s="21" t="s">
        <v>921</v>
      </c>
      <c r="AI182" s="21" t="s">
        <v>905</v>
      </c>
      <c r="AJ182" s="37">
        <v>1</v>
      </c>
      <c r="AK182" s="37">
        <v>1</v>
      </c>
      <c r="AL182" s="37">
        <v>27300</v>
      </c>
      <c r="AM182" s="37">
        <f>AK182*AL182</f>
        <v>27300</v>
      </c>
      <c r="AN182" s="37">
        <f>AM182</f>
        <v>27300</v>
      </c>
      <c r="AO182" s="23">
        <f>_xlfn.XLOOKUP(AG182,'T13'!$A$3:$A$1500,'T13'!$O$3:$O$1500)</f>
        <v>0.16</v>
      </c>
      <c r="AP182" s="37">
        <v>0</v>
      </c>
      <c r="AQ182" s="37">
        <f>SUMIFS($AN$3:$AN$1500,$G$3:$G$1500,G182)</f>
        <v>27300</v>
      </c>
      <c r="AR182" s="37">
        <f>SUMIFS($AP$3:$AP$1500,$G$3:$G$1500,G182)</f>
        <v>0</v>
      </c>
      <c r="AS182" s="21" t="s">
        <v>3359</v>
      </c>
      <c r="AT182" s="37">
        <f>ROUND(BH182*0,0)</f>
        <v>0</v>
      </c>
      <c r="AU182" s="21" t="s">
        <v>846</v>
      </c>
      <c r="AV182" s="37" cm="1">
        <f t="array" ref="AV182">SUMPRODUCT(($G$3:$G$1500=G182)*$AN$3:$AN$1500*$AO$3:$AO$1500)+AR182</f>
        <v>4368</v>
      </c>
      <c r="AW182" s="37">
        <f>AT182</f>
        <v>0</v>
      </c>
      <c r="AX182" s="21" t="str">
        <f>TEXT(EOMONTH(I182,0)+15,"dd-mmm-yyyy")&amp;" / "&amp;IF(BM182&gt;0,"CPR-IT-"&amp;TEXT(I182,"yymm")&amp;"-"&amp;RIGHT(G182,4),"Pending payment")</f>
        <v>15-Oct-2026 / Pending payment</v>
      </c>
      <c r="AY182" s="21" t="str">
        <f>IF(BM182&gt;0,"Issued","Not yet")</f>
        <v>Not yet</v>
      </c>
      <c r="AZ182" s="37">
        <v>0</v>
      </c>
      <c r="BA182" s="37">
        <v>0</v>
      </c>
      <c r="BB182" s="37">
        <v>0</v>
      </c>
      <c r="BC182" s="37">
        <v>0</v>
      </c>
      <c r="BD182" s="37">
        <v>0</v>
      </c>
      <c r="BE182" s="37">
        <f>AQ182</f>
        <v>27300</v>
      </c>
      <c r="BF182" s="37">
        <f>AV182</f>
        <v>4368</v>
      </c>
      <c r="BG182" s="37">
        <f>AZ182</f>
        <v>0</v>
      </c>
      <c r="BH182" s="37">
        <f>BE182+BF182+BG182</f>
        <v>31668</v>
      </c>
      <c r="BI182" s="37">
        <f>AW182</f>
        <v>0</v>
      </c>
      <c r="BJ182" s="37">
        <f>BA182+BB182+BC182+BD182</f>
        <v>0</v>
      </c>
      <c r="BK182" s="37">
        <f>BH182-BI182-BJ182</f>
        <v>31668</v>
      </c>
      <c r="BL182" s="21" t="str">
        <f>"PKR "&amp;TEXT(BK182,"#,##0")&amp;" only"</f>
        <v>PKR 31,668 only</v>
      </c>
      <c r="BM182" s="37">
        <f>SUMIFS('T10'!$AK$3:$AK$1500,'T10'!$V$3:$V$1500,G182)</f>
        <v>0</v>
      </c>
      <c r="BN182" s="37">
        <f>BK182-BM182</f>
        <v>31668</v>
      </c>
      <c r="BO182" s="21" t="str">
        <f>IF(BF182&gt;0,TEXT(I182,"mmm-yyyy")&amp;" sales tax return","N/A")</f>
        <v>Sep-2026 sales tax return</v>
      </c>
      <c r="BP182" s="21" t="s">
        <v>1062</v>
      </c>
      <c r="BQ182" s="29">
        <f>J182+15</f>
        <v>46302</v>
      </c>
      <c r="BR182" s="29">
        <f>BQ182</f>
        <v>46302</v>
      </c>
      <c r="BS182" s="21" t="s">
        <v>3095</v>
      </c>
      <c r="BT182" s="21" t="s">
        <v>3360</v>
      </c>
      <c r="BU182" s="21" t="s">
        <v>844</v>
      </c>
      <c r="BV182" s="21" t="s">
        <v>846</v>
      </c>
      <c r="BW182" s="21" t="str" cm="1">
        <f t="array" ref="BW182">_xlfn.TEXTJOIN(", ",TRUE,_xlfn.UNIQUE(_xlfn._xlws.FILTER('T10'!$A$3:$A$1500,'T10'!$V$3:$V$1500=G182,"None")))</f>
        <v>None</v>
      </c>
      <c r="BX182" s="21" t="s">
        <v>4351</v>
      </c>
      <c r="BY182" s="21" t="s">
        <v>4352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4167-5151-424D-849B-557ADF7982D0}">
  <dimension ref="A1:AM88"/>
  <sheetViews>
    <sheetView workbookViewId="0">
      <pane ySplit="2" topLeftCell="A3" activePane="bottomLeft" state="frozen"/>
      <selection activeCell="B16" sqref="B16"/>
      <selection pane="bottomLeft" activeCell="B16" sqref="B16"/>
    </sheetView>
  </sheetViews>
  <sheetFormatPr defaultRowHeight="16.5" x14ac:dyDescent="0.3"/>
  <cols>
    <col min="1" max="39" width="18.375" customWidth="1"/>
  </cols>
  <sheetData>
    <row r="1" spans="1:39" s="12" customFormat="1" ht="30" customHeight="1" x14ac:dyDescent="0.3">
      <c r="A1" s="15" t="s">
        <v>406</v>
      </c>
      <c r="B1" s="14" t="s">
        <v>60</v>
      </c>
      <c r="C1" s="14" t="s">
        <v>60</v>
      </c>
      <c r="D1" s="14" t="s">
        <v>60</v>
      </c>
      <c r="E1" s="14" t="s">
        <v>60</v>
      </c>
      <c r="F1" s="14" t="s">
        <v>60</v>
      </c>
      <c r="G1" s="14" t="s">
        <v>60</v>
      </c>
      <c r="H1" s="14" t="s">
        <v>60</v>
      </c>
      <c r="I1" s="14" t="s">
        <v>60</v>
      </c>
      <c r="J1" s="14" t="s">
        <v>60</v>
      </c>
      <c r="K1" s="14" t="s">
        <v>405</v>
      </c>
      <c r="L1" s="14" t="s">
        <v>60</v>
      </c>
      <c r="M1" s="14" t="s">
        <v>60</v>
      </c>
      <c r="N1" s="14" t="s">
        <v>60</v>
      </c>
      <c r="O1" s="14" t="s">
        <v>60</v>
      </c>
      <c r="P1" s="14" t="s">
        <v>60</v>
      </c>
      <c r="Q1" s="14" t="s">
        <v>60</v>
      </c>
      <c r="R1" s="14" t="s">
        <v>60</v>
      </c>
      <c r="S1" s="14" t="s">
        <v>404</v>
      </c>
      <c r="T1" s="14" t="s">
        <v>60</v>
      </c>
      <c r="U1" s="14" t="s">
        <v>60</v>
      </c>
      <c r="V1" s="14" t="s">
        <v>60</v>
      </c>
      <c r="W1" s="14" t="s">
        <v>60</v>
      </c>
      <c r="X1" s="14" t="s">
        <v>60</v>
      </c>
      <c r="Y1" s="14" t="s">
        <v>60</v>
      </c>
      <c r="Z1" s="14" t="s">
        <v>60</v>
      </c>
      <c r="AA1" s="14" t="s">
        <v>403</v>
      </c>
      <c r="AB1" s="14" t="s">
        <v>60</v>
      </c>
      <c r="AC1" s="14" t="s">
        <v>60</v>
      </c>
      <c r="AD1" s="14" t="s">
        <v>60</v>
      </c>
      <c r="AE1" s="14" t="s">
        <v>60</v>
      </c>
      <c r="AF1" s="14" t="s">
        <v>60</v>
      </c>
      <c r="AG1" s="14" t="s">
        <v>60</v>
      </c>
      <c r="AH1" s="14" t="s">
        <v>402</v>
      </c>
      <c r="AI1" s="14" t="s">
        <v>60</v>
      </c>
      <c r="AJ1" s="14" t="s">
        <v>60</v>
      </c>
      <c r="AK1" s="14" t="s">
        <v>60</v>
      </c>
      <c r="AL1" s="14" t="s">
        <v>60</v>
      </c>
      <c r="AM1" s="13" t="s">
        <v>401</v>
      </c>
    </row>
    <row r="2" spans="1:39" ht="45" customHeight="1" x14ac:dyDescent="0.3">
      <c r="A2" s="11" t="s">
        <v>400</v>
      </c>
      <c r="B2" s="10" t="s">
        <v>399</v>
      </c>
      <c r="C2" s="10" t="s">
        <v>398</v>
      </c>
      <c r="D2" s="10" t="s">
        <v>397</v>
      </c>
      <c r="E2" s="10" t="s">
        <v>396</v>
      </c>
      <c r="F2" s="10" t="s">
        <v>395</v>
      </c>
      <c r="G2" s="10" t="s">
        <v>394</v>
      </c>
      <c r="H2" s="10" t="s">
        <v>393</v>
      </c>
      <c r="I2" s="10" t="s">
        <v>392</v>
      </c>
      <c r="J2" s="10" t="s">
        <v>391</v>
      </c>
      <c r="K2" s="10" t="s">
        <v>390</v>
      </c>
      <c r="L2" s="10" t="s">
        <v>389</v>
      </c>
      <c r="M2" s="10" t="s">
        <v>388</v>
      </c>
      <c r="N2" s="10" t="s">
        <v>387</v>
      </c>
      <c r="O2" s="10" t="s">
        <v>386</v>
      </c>
      <c r="P2" s="10" t="s">
        <v>385</v>
      </c>
      <c r="Q2" s="10" t="s">
        <v>384</v>
      </c>
      <c r="R2" s="10" t="s">
        <v>383</v>
      </c>
      <c r="S2" s="10" t="s">
        <v>382</v>
      </c>
      <c r="T2" s="10" t="s">
        <v>381</v>
      </c>
      <c r="U2" s="10" t="s">
        <v>380</v>
      </c>
      <c r="V2" s="10" t="s">
        <v>379</v>
      </c>
      <c r="W2" s="10" t="s">
        <v>378</v>
      </c>
      <c r="X2" s="10" t="s">
        <v>377</v>
      </c>
      <c r="Y2" s="10" t="s">
        <v>376</v>
      </c>
      <c r="Z2" s="10" t="s">
        <v>375</v>
      </c>
      <c r="AA2" s="10" t="s">
        <v>374</v>
      </c>
      <c r="AB2" s="10" t="s">
        <v>373</v>
      </c>
      <c r="AC2" s="10" t="s">
        <v>372</v>
      </c>
      <c r="AD2" s="10" t="s">
        <v>371</v>
      </c>
      <c r="AE2" s="10" t="s">
        <v>370</v>
      </c>
      <c r="AF2" s="10" t="s">
        <v>369</v>
      </c>
      <c r="AG2" s="10" t="s">
        <v>368</v>
      </c>
      <c r="AH2" s="10" t="s">
        <v>367</v>
      </c>
      <c r="AI2" s="10" t="s">
        <v>366</v>
      </c>
      <c r="AJ2" s="10" t="s">
        <v>365</v>
      </c>
      <c r="AK2" s="10" t="s">
        <v>364</v>
      </c>
      <c r="AL2" s="10" t="s">
        <v>363</v>
      </c>
      <c r="AM2" s="9" t="s">
        <v>362</v>
      </c>
    </row>
    <row r="3" spans="1:39" x14ac:dyDescent="0.3">
      <c r="A3" s="20" t="s">
        <v>1794</v>
      </c>
      <c r="B3" s="20">
        <v>1</v>
      </c>
      <c r="C3" s="28">
        <v>45560</v>
      </c>
      <c r="D3" s="20" t="s">
        <v>1795</v>
      </c>
      <c r="E3" s="20" t="s">
        <v>743</v>
      </c>
      <c r="F3" s="20" t="s">
        <v>1796</v>
      </c>
      <c r="G3" s="20" t="s">
        <v>1797</v>
      </c>
      <c r="H3" s="28">
        <f>C3</f>
        <v>45560</v>
      </c>
      <c r="I3" s="28">
        <f>H3+30</f>
        <v>45590</v>
      </c>
      <c r="J3" s="20" t="s">
        <v>1798</v>
      </c>
      <c r="K3" s="20" t="s">
        <v>1799</v>
      </c>
      <c r="L3" s="20" t="s">
        <v>1800</v>
      </c>
      <c r="M3" s="20" t="s">
        <v>746</v>
      </c>
      <c r="N3" s="20" t="s">
        <v>1801</v>
      </c>
      <c r="O3" s="20" t="s">
        <v>1802</v>
      </c>
      <c r="P3" s="20" t="s">
        <v>1076</v>
      </c>
      <c r="Q3" s="24" cm="1">
        <f t="array" ref="Q3">MAX(0,SUMPRODUCT(('T11'!$G$3:$G$1500=L3)*('T11'!$AG$3:$AG$1500&lt;C3)*('T11'!$W$3:$W$1500*(1+'T11'!$X$3:$X$1500)+'T11'!$Y$3:$Y$1500))-SUMPRODUCT(('T15'!$L$3:$L$1499=L3)*('T15'!$B$3:$B$1499&lt;C3)*('T15'!$BC$3:$BC$1499+'T15'!$BD$3:$BD$1499+'T15'!$BE$3:$BE$1499)))</f>
        <v>0</v>
      </c>
      <c r="R3" s="20" t="str">
        <f>IF(Q3&gt;0,"Active - overdue balance","Active")</f>
        <v>Active</v>
      </c>
      <c r="S3" s="20">
        <v>1</v>
      </c>
      <c r="T3" s="20" t="s">
        <v>1803</v>
      </c>
      <c r="U3" s="20" t="s">
        <v>1804</v>
      </c>
      <c r="V3" s="20">
        <v>1000</v>
      </c>
      <c r="W3" s="24">
        <v>1365</v>
      </c>
      <c r="X3" s="24">
        <f>V3*W3</f>
        <v>1365000</v>
      </c>
      <c r="Y3" s="22">
        <f>_xlfn.XLOOKUP(LEFT(T3,FIND(" - ",T3)-1),'T13'!$A$3:$A$1500,'T13'!$O$3:$O$1500)</f>
        <v>0.18</v>
      </c>
      <c r="Z3" s="24">
        <f>V3*IF(U3="MT",1000,IF(U3="Jumbo bag (1.5 MT)",1500,IF(U3="Bag (40 kg)",40,50)))*3</f>
        <v>150000</v>
      </c>
      <c r="AA3" s="32">
        <f>SUMIFS($V$3:$V$1500,$A$3:$A$1500,A3,$U$3:$U$1500,"Bag (50 kg)")*0.05+SUMIFS($V$3:$V$1500,$A$3:$A$1500,A3,$U$3:$U$1500,"Bag (40 kg)")*0.04+SUMIFS($V$3:$V$1500,$A$3:$A$1500,A3,$U$3:$U$1500,"MT")+SUMIFS($V$3:$V$1500,$A$3:$A$1500,A3,$U$3:$U$1500,"Jumbo bag (1.5 MT)")*1.5</f>
        <v>200</v>
      </c>
      <c r="AB3" s="24">
        <f>SUMIFS($X$3:$X$1500,$A$3:$A$1500,A3)</f>
        <v>5820000</v>
      </c>
      <c r="AC3" s="24" cm="1">
        <f t="array" ref="AC3">SUMPRODUCT(($A$3:$A$1500=A3)*$X$3:$X$1500*$Y$3:$Y$1500)</f>
        <v>1047600</v>
      </c>
      <c r="AD3" s="24">
        <f>SUMIFS($Z$3:$Z$1500,$A$3:$A$1500,A3)</f>
        <v>600000</v>
      </c>
      <c r="AE3" s="24">
        <f>AB3+AC3+AD3</f>
        <v>7467600</v>
      </c>
      <c r="AF3" s="20" t="str">
        <f>"PKR "&amp;TEXT(AE3,"#,##0")&amp;" only"</f>
        <v>PKR 7,467,600 only</v>
      </c>
      <c r="AG3" s="20" t="s">
        <v>1805</v>
      </c>
      <c r="AH3" s="20" t="s">
        <v>1091</v>
      </c>
      <c r="AI3" s="20" t="s">
        <v>1806</v>
      </c>
      <c r="AJ3" s="20" t="s">
        <v>768</v>
      </c>
      <c r="AK3" s="20" t="s">
        <v>1092</v>
      </c>
      <c r="AL3" s="20" t="s">
        <v>1807</v>
      </c>
      <c r="AM3" s="20" t="s">
        <v>1051</v>
      </c>
    </row>
    <row r="4" spans="1:39" x14ac:dyDescent="0.3">
      <c r="A4" s="21" t="s">
        <v>1794</v>
      </c>
      <c r="B4" s="21">
        <v>1</v>
      </c>
      <c r="C4" s="29">
        <v>45560</v>
      </c>
      <c r="D4" s="21" t="s">
        <v>1795</v>
      </c>
      <c r="E4" s="21" t="s">
        <v>743</v>
      </c>
      <c r="F4" s="21" t="s">
        <v>1796</v>
      </c>
      <c r="G4" s="21" t="s">
        <v>1797</v>
      </c>
      <c r="H4" s="29">
        <f>C4</f>
        <v>45560</v>
      </c>
      <c r="I4" s="29">
        <f>H4+30</f>
        <v>45590</v>
      </c>
      <c r="J4" s="21" t="s">
        <v>1798</v>
      </c>
      <c r="K4" s="21" t="s">
        <v>1799</v>
      </c>
      <c r="L4" s="21" t="s">
        <v>1800</v>
      </c>
      <c r="M4" s="21" t="s">
        <v>746</v>
      </c>
      <c r="N4" s="21" t="s">
        <v>1801</v>
      </c>
      <c r="O4" s="21" t="s">
        <v>1802</v>
      </c>
      <c r="P4" s="21" t="s">
        <v>1076</v>
      </c>
      <c r="Q4" s="25" cm="1">
        <f t="array" ref="Q4">MAX(0,SUMPRODUCT(('T11'!$G$3:$G$1500=L4)*('T11'!$AG$3:$AG$1500&lt;C4)*('T11'!$W$3:$W$1500*(1+'T11'!$X$3:$X$1500)+'T11'!$Y$3:$Y$1500))-SUMPRODUCT(('T15'!$L$3:$L$1499=L4)*('T15'!$B$3:$B$1499&lt;C4)*('T15'!$BC$3:$BC$1499+'T15'!$BD$3:$BD$1499+'T15'!$BE$3:$BE$1499)))</f>
        <v>0</v>
      </c>
      <c r="R4" s="21" t="str">
        <f>IF(Q4&gt;0,"Active - overdue balance","Active")</f>
        <v>Active</v>
      </c>
      <c r="S4" s="21">
        <v>2</v>
      </c>
      <c r="T4" s="21" t="s">
        <v>1808</v>
      </c>
      <c r="U4" s="21" t="s">
        <v>1804</v>
      </c>
      <c r="V4" s="21">
        <v>3000</v>
      </c>
      <c r="W4" s="25">
        <v>1485</v>
      </c>
      <c r="X4" s="25">
        <f>V4*W4</f>
        <v>4455000</v>
      </c>
      <c r="Y4" s="23">
        <f>_xlfn.XLOOKUP(LEFT(T4,FIND(" - ",T4)-1),'T13'!$A$3:$A$1500,'T13'!$O$3:$O$1500)</f>
        <v>0.18</v>
      </c>
      <c r="Z4" s="25">
        <f>V4*IF(U4="MT",1000,IF(U4="Jumbo bag (1.5 MT)",1500,IF(U4="Bag (40 kg)",40,50)))*3</f>
        <v>450000</v>
      </c>
      <c r="AA4" s="33">
        <f>SUMIFS($V$3:$V$1500,$A$3:$A$1500,A4,$U$3:$U$1500,"Bag (50 kg)")*0.05+SUMIFS($V$3:$V$1500,$A$3:$A$1500,A4,$U$3:$U$1500,"Bag (40 kg)")*0.04+SUMIFS($V$3:$V$1500,$A$3:$A$1500,A4,$U$3:$U$1500,"MT")+SUMIFS($V$3:$V$1500,$A$3:$A$1500,A4,$U$3:$U$1500,"Jumbo bag (1.5 MT)")*1.5</f>
        <v>200</v>
      </c>
      <c r="AB4" s="25">
        <f>SUMIFS($X$3:$X$1500,$A$3:$A$1500,A4)</f>
        <v>5820000</v>
      </c>
      <c r="AC4" s="25" cm="1">
        <f t="array" ref="AC4">SUMPRODUCT(($A$3:$A$1500=A4)*$X$3:$X$1500*$Y$3:$Y$1500)</f>
        <v>1047600</v>
      </c>
      <c r="AD4" s="25">
        <f>SUMIFS($Z$3:$Z$1500,$A$3:$A$1500,A4)</f>
        <v>600000</v>
      </c>
      <c r="AE4" s="25">
        <f>AB4+AC4+AD4</f>
        <v>7467600</v>
      </c>
      <c r="AF4" s="21" t="str">
        <f>"PKR "&amp;TEXT(AE4,"#,##0")&amp;" only"</f>
        <v>PKR 7,467,600 only</v>
      </c>
      <c r="AG4" s="21" t="s">
        <v>1805</v>
      </c>
      <c r="AH4" s="21" t="s">
        <v>1091</v>
      </c>
      <c r="AI4" s="21" t="s">
        <v>1806</v>
      </c>
      <c r="AJ4" s="21" t="s">
        <v>768</v>
      </c>
      <c r="AK4" s="21" t="s">
        <v>1092</v>
      </c>
      <c r="AL4" s="21" t="s">
        <v>1807</v>
      </c>
      <c r="AM4" s="21" t="s">
        <v>1051</v>
      </c>
    </row>
    <row r="5" spans="1:39" x14ac:dyDescent="0.3">
      <c r="A5" s="21" t="s">
        <v>1809</v>
      </c>
      <c r="B5" s="21">
        <v>1</v>
      </c>
      <c r="C5" s="29">
        <v>45562</v>
      </c>
      <c r="D5" s="21" t="s">
        <v>1810</v>
      </c>
      <c r="E5" s="21" t="s">
        <v>743</v>
      </c>
      <c r="F5" s="21" t="s">
        <v>1811</v>
      </c>
      <c r="G5" s="21" t="s">
        <v>1797</v>
      </c>
      <c r="H5" s="29">
        <f>C5</f>
        <v>45562</v>
      </c>
      <c r="I5" s="29">
        <f>H5+30</f>
        <v>45592</v>
      </c>
      <c r="J5" s="21" t="s">
        <v>1798</v>
      </c>
      <c r="K5" s="21" t="s">
        <v>1812</v>
      </c>
      <c r="L5" s="21" t="s">
        <v>1813</v>
      </c>
      <c r="M5" s="21" t="s">
        <v>746</v>
      </c>
      <c r="N5" s="21" t="s">
        <v>1105</v>
      </c>
      <c r="O5" s="21" t="s">
        <v>1814</v>
      </c>
      <c r="P5" s="21" t="s">
        <v>1111</v>
      </c>
      <c r="Q5" s="25" cm="1">
        <f t="array" ref="Q5">MAX(0,SUMPRODUCT(('T11'!$G$3:$G$1500=L5)*('T11'!$AG$3:$AG$1500&lt;C5)*('T11'!$W$3:$W$1500*(1+'T11'!$X$3:$X$1500)+'T11'!$Y$3:$Y$1500))-SUMPRODUCT(('T15'!$L$3:$L$1499=L5)*('T15'!$B$3:$B$1499&lt;C5)*('T15'!$BC$3:$BC$1499+'T15'!$BD$3:$BD$1499+'T15'!$BE$3:$BE$1499)))</f>
        <v>0</v>
      </c>
      <c r="R5" s="21" t="str">
        <f>IF(Q5&gt;0,"Active - overdue balance","Active")</f>
        <v>Active</v>
      </c>
      <c r="S5" s="21">
        <v>1</v>
      </c>
      <c r="T5" s="21" t="s">
        <v>1815</v>
      </c>
      <c r="U5" s="21" t="s">
        <v>783</v>
      </c>
      <c r="V5" s="21">
        <v>230</v>
      </c>
      <c r="W5" s="25">
        <v>27150</v>
      </c>
      <c r="X5" s="25">
        <f>V5*W5</f>
        <v>6244500</v>
      </c>
      <c r="Y5" s="23">
        <f>_xlfn.XLOOKUP(LEFT(T5,FIND(" - ",T5)-1),'T13'!$A$3:$A$1500,'T13'!$O$3:$O$1500)</f>
        <v>0.18</v>
      </c>
      <c r="Z5" s="25">
        <f>V5*IF(U5="MT",1000,IF(U5="Jumbo bag (1.5 MT)",1500,IF(U5="Bag (40 kg)",40,50)))*3</f>
        <v>690000</v>
      </c>
      <c r="AA5" s="33">
        <f>SUMIFS($V$3:$V$1500,$A$3:$A$1500,A5,$U$3:$U$1500,"Bag (50 kg)")*0.05+SUMIFS($V$3:$V$1500,$A$3:$A$1500,A5,$U$3:$U$1500,"Bag (40 kg)")*0.04+SUMIFS($V$3:$V$1500,$A$3:$A$1500,A5,$U$3:$U$1500,"MT")+SUMIFS($V$3:$V$1500,$A$3:$A$1500,A5,$U$3:$U$1500,"Jumbo bag (1.5 MT)")*1.5</f>
        <v>230</v>
      </c>
      <c r="AB5" s="25">
        <f>SUMIFS($X$3:$X$1500,$A$3:$A$1500,A5)</f>
        <v>6244500</v>
      </c>
      <c r="AC5" s="25" cm="1">
        <f t="array" ref="AC5">SUMPRODUCT(($A$3:$A$1500=A5)*$X$3:$X$1500*$Y$3:$Y$1500)</f>
        <v>1124010</v>
      </c>
      <c r="AD5" s="25">
        <f>SUMIFS($Z$3:$Z$1500,$A$3:$A$1500,A5)</f>
        <v>690000</v>
      </c>
      <c r="AE5" s="25">
        <f>AB5+AC5+AD5</f>
        <v>8058510</v>
      </c>
      <c r="AF5" s="21" t="str">
        <f>"PKR "&amp;TEXT(AE5,"#,##0")&amp;" only"</f>
        <v>PKR 8,058,510 only</v>
      </c>
      <c r="AG5" s="21" t="s">
        <v>1805</v>
      </c>
      <c r="AH5" s="21" t="s">
        <v>1091</v>
      </c>
      <c r="AI5" s="21" t="s">
        <v>1816</v>
      </c>
      <c r="AJ5" s="21" t="s">
        <v>1817</v>
      </c>
      <c r="AK5" s="21" t="s">
        <v>1092</v>
      </c>
      <c r="AL5" s="21" t="s">
        <v>1807</v>
      </c>
      <c r="AM5" s="21" t="s">
        <v>1051</v>
      </c>
    </row>
    <row r="6" spans="1:39" x14ac:dyDescent="0.3">
      <c r="A6" s="21" t="s">
        <v>1818</v>
      </c>
      <c r="B6" s="21">
        <v>0</v>
      </c>
      <c r="C6" s="29">
        <v>45591</v>
      </c>
      <c r="D6" s="21" t="s">
        <v>1795</v>
      </c>
      <c r="E6" s="21" t="s">
        <v>743</v>
      </c>
      <c r="F6" s="21" t="s">
        <v>1811</v>
      </c>
      <c r="G6" s="21" t="s">
        <v>1797</v>
      </c>
      <c r="H6" s="29">
        <f>C6</f>
        <v>45591</v>
      </c>
      <c r="I6" s="29">
        <f>H6+30</f>
        <v>45621</v>
      </c>
      <c r="J6" s="21" t="s">
        <v>1798</v>
      </c>
      <c r="K6" s="21" t="s">
        <v>1812</v>
      </c>
      <c r="L6" s="21" t="s">
        <v>1819</v>
      </c>
      <c r="M6" s="21" t="s">
        <v>746</v>
      </c>
      <c r="N6" s="21" t="s">
        <v>1161</v>
      </c>
      <c r="O6" s="21" t="s">
        <v>1820</v>
      </c>
      <c r="P6" s="21" t="s">
        <v>1173</v>
      </c>
      <c r="Q6" s="25" cm="1">
        <f t="array" ref="Q6">MAX(0,SUMPRODUCT(('T11'!$G$3:$G$1500=L6)*('T11'!$AG$3:$AG$1500&lt;C6)*('T11'!$W$3:$W$1500*(1+'T11'!$X$3:$X$1500)+'T11'!$Y$3:$Y$1500))-SUMPRODUCT(('T15'!$L$3:$L$1499=L6)*('T15'!$B$3:$B$1499&lt;C6)*('T15'!$BC$3:$BC$1499+'T15'!$BD$3:$BD$1499+'T15'!$BE$3:$BE$1499)))</f>
        <v>0</v>
      </c>
      <c r="R6" s="21" t="str">
        <f>IF(Q6&gt;0,"Active - overdue balance","Active")</f>
        <v>Active</v>
      </c>
      <c r="S6" s="21">
        <v>1</v>
      </c>
      <c r="T6" s="21" t="s">
        <v>1803</v>
      </c>
      <c r="U6" s="21" t="s">
        <v>1804</v>
      </c>
      <c r="V6" s="21">
        <v>5000</v>
      </c>
      <c r="W6" s="25">
        <v>1370</v>
      </c>
      <c r="X6" s="25">
        <f>V6*W6</f>
        <v>6850000</v>
      </c>
      <c r="Y6" s="23">
        <f>_xlfn.XLOOKUP(LEFT(T6,FIND(" - ",T6)-1),'T13'!$A$3:$A$1500,'T13'!$O$3:$O$1500)</f>
        <v>0.18</v>
      </c>
      <c r="Z6" s="25">
        <f>V6*IF(U6="MT",1000,IF(U6="Jumbo bag (1.5 MT)",1500,IF(U6="Bag (40 kg)",40,50)))*3</f>
        <v>750000</v>
      </c>
      <c r="AA6" s="33">
        <f>SUMIFS($V$3:$V$1500,$A$3:$A$1500,A6,$U$3:$U$1500,"Bag (50 kg)")*0.05+SUMIFS($V$3:$V$1500,$A$3:$A$1500,A6,$U$3:$U$1500,"Bag (40 kg)")*0.04+SUMIFS($V$3:$V$1500,$A$3:$A$1500,A6,$U$3:$U$1500,"MT")+SUMIFS($V$3:$V$1500,$A$3:$A$1500,A6,$U$3:$U$1500,"Jumbo bag (1.5 MT)")*1.5</f>
        <v>250</v>
      </c>
      <c r="AB6" s="25">
        <f>SUMIFS($X$3:$X$1500,$A$3:$A$1500,A6)</f>
        <v>6850000</v>
      </c>
      <c r="AC6" s="25" cm="1">
        <f t="array" ref="AC6">SUMPRODUCT(($A$3:$A$1500=A6)*$X$3:$X$1500*$Y$3:$Y$1500)</f>
        <v>1233000</v>
      </c>
      <c r="AD6" s="25">
        <f>SUMIFS($Z$3:$Z$1500,$A$3:$A$1500,A6)</f>
        <v>750000</v>
      </c>
      <c r="AE6" s="25">
        <f>AB6+AC6+AD6</f>
        <v>8833000</v>
      </c>
      <c r="AF6" s="21" t="str">
        <f>"PKR "&amp;TEXT(AE6,"#,##0")&amp;" only"</f>
        <v>PKR 8,833,000 only</v>
      </c>
      <c r="AG6" s="21" t="s">
        <v>1805</v>
      </c>
      <c r="AH6" s="21" t="s">
        <v>1091</v>
      </c>
      <c r="AI6" s="21" t="s">
        <v>1821</v>
      </c>
      <c r="AJ6" s="21" t="s">
        <v>768</v>
      </c>
      <c r="AK6" s="21" t="s">
        <v>1092</v>
      </c>
      <c r="AL6" s="21" t="s">
        <v>1807</v>
      </c>
      <c r="AM6" s="21" t="s">
        <v>1051</v>
      </c>
    </row>
    <row r="7" spans="1:39" x14ac:dyDescent="0.3">
      <c r="A7" s="21" t="s">
        <v>1822</v>
      </c>
      <c r="B7" s="21">
        <v>0</v>
      </c>
      <c r="C7" s="29">
        <v>45594</v>
      </c>
      <c r="D7" s="21" t="s">
        <v>1795</v>
      </c>
      <c r="E7" s="21" t="s">
        <v>743</v>
      </c>
      <c r="F7" s="21" t="s">
        <v>1796</v>
      </c>
      <c r="G7" s="21" t="s">
        <v>1797</v>
      </c>
      <c r="H7" s="29">
        <f>C7</f>
        <v>45594</v>
      </c>
      <c r="I7" s="29">
        <f>H7+30</f>
        <v>45624</v>
      </c>
      <c r="J7" s="21" t="s">
        <v>1798</v>
      </c>
      <c r="K7" s="21" t="s">
        <v>1799</v>
      </c>
      <c r="L7" s="21" t="s">
        <v>1823</v>
      </c>
      <c r="M7" s="21" t="s">
        <v>746</v>
      </c>
      <c r="N7" s="21" t="s">
        <v>1824</v>
      </c>
      <c r="O7" s="21" t="s">
        <v>1825</v>
      </c>
      <c r="P7" s="21" t="s">
        <v>1083</v>
      </c>
      <c r="Q7" s="25" cm="1">
        <f t="array" ref="Q7">MAX(0,SUMPRODUCT(('T11'!$G$3:$G$1500=L7)*('T11'!$AG$3:$AG$1500&lt;C7)*('T11'!$W$3:$W$1500*(1+'T11'!$X$3:$X$1500)+'T11'!$Y$3:$Y$1500))-SUMPRODUCT(('T15'!$L$3:$L$1499=L7)*('T15'!$B$3:$B$1499&lt;C7)*('T15'!$BC$3:$BC$1499+'T15'!$BD$3:$BD$1499+'T15'!$BE$3:$BE$1499)))</f>
        <v>0</v>
      </c>
      <c r="R7" s="21" t="str">
        <f>IF(Q7&gt;0,"Active - overdue balance","Active")</f>
        <v>Active</v>
      </c>
      <c r="S7" s="21">
        <v>1</v>
      </c>
      <c r="T7" s="21" t="s">
        <v>1826</v>
      </c>
      <c r="U7" s="21" t="s">
        <v>1804</v>
      </c>
      <c r="V7" s="21">
        <v>500</v>
      </c>
      <c r="W7" s="25">
        <v>1420</v>
      </c>
      <c r="X7" s="25">
        <f>V7*W7</f>
        <v>710000</v>
      </c>
      <c r="Y7" s="23">
        <f>_xlfn.XLOOKUP(LEFT(T7,FIND(" - ",T7)-1),'T13'!$A$3:$A$1500,'T13'!$O$3:$O$1500)</f>
        <v>0.18</v>
      </c>
      <c r="Z7" s="25">
        <f>V7*IF(U7="MT",1000,IF(U7="Jumbo bag (1.5 MT)",1500,IF(U7="Bag (40 kg)",40,50)))*3</f>
        <v>75000</v>
      </c>
      <c r="AA7" s="33">
        <f>SUMIFS($V$3:$V$1500,$A$3:$A$1500,A7,$U$3:$U$1500,"Bag (50 kg)")*0.05+SUMIFS($V$3:$V$1500,$A$3:$A$1500,A7,$U$3:$U$1500,"Bag (40 kg)")*0.04+SUMIFS($V$3:$V$1500,$A$3:$A$1500,A7,$U$3:$U$1500,"MT")+SUMIFS($V$3:$V$1500,$A$3:$A$1500,A7,$U$3:$U$1500,"Jumbo bag (1.5 MT)")*1.5</f>
        <v>150</v>
      </c>
      <c r="AB7" s="25">
        <f>SUMIFS($X$3:$X$1500,$A$3:$A$1500,A7)</f>
        <v>4085000</v>
      </c>
      <c r="AC7" s="25" cm="1">
        <f t="array" ref="AC7">SUMPRODUCT(($A$3:$A$1500=A7)*$X$3:$X$1500*$Y$3:$Y$1500)</f>
        <v>735300</v>
      </c>
      <c r="AD7" s="25">
        <f>SUMIFS($Z$3:$Z$1500,$A$3:$A$1500,A7)</f>
        <v>450000</v>
      </c>
      <c r="AE7" s="25">
        <f>AB7+AC7+AD7</f>
        <v>5270300</v>
      </c>
      <c r="AF7" s="21" t="str">
        <f>"PKR "&amp;TEXT(AE7,"#,##0")&amp;" only"</f>
        <v>PKR 5,270,300 only</v>
      </c>
      <c r="AG7" s="21" t="s">
        <v>1805</v>
      </c>
      <c r="AH7" s="21" t="s">
        <v>1091</v>
      </c>
      <c r="AI7" s="21" t="s">
        <v>1827</v>
      </c>
      <c r="AJ7" s="21" t="s">
        <v>768</v>
      </c>
      <c r="AK7" s="21" t="s">
        <v>1092</v>
      </c>
      <c r="AL7" s="21" t="s">
        <v>1807</v>
      </c>
      <c r="AM7" s="21" t="s">
        <v>1087</v>
      </c>
    </row>
    <row r="8" spans="1:39" x14ac:dyDescent="0.3">
      <c r="A8" s="21" t="s">
        <v>1822</v>
      </c>
      <c r="B8" s="21">
        <v>0</v>
      </c>
      <c r="C8" s="29">
        <v>45594</v>
      </c>
      <c r="D8" s="21" t="s">
        <v>1795</v>
      </c>
      <c r="E8" s="21" t="s">
        <v>743</v>
      </c>
      <c r="F8" s="21" t="s">
        <v>1796</v>
      </c>
      <c r="G8" s="21" t="s">
        <v>1797</v>
      </c>
      <c r="H8" s="29">
        <f>C8</f>
        <v>45594</v>
      </c>
      <c r="I8" s="29">
        <f>H8+30</f>
        <v>45624</v>
      </c>
      <c r="J8" s="21" t="s">
        <v>1798</v>
      </c>
      <c r="K8" s="21" t="s">
        <v>1799</v>
      </c>
      <c r="L8" s="21" t="s">
        <v>1823</v>
      </c>
      <c r="M8" s="21" t="s">
        <v>746</v>
      </c>
      <c r="N8" s="21" t="s">
        <v>1824</v>
      </c>
      <c r="O8" s="21" t="s">
        <v>1825</v>
      </c>
      <c r="P8" s="21" t="s">
        <v>1083</v>
      </c>
      <c r="Q8" s="25" cm="1">
        <f t="array" ref="Q8">MAX(0,SUMPRODUCT(('T11'!$G$3:$G$1500=L8)*('T11'!$AG$3:$AG$1500&lt;C8)*('T11'!$W$3:$W$1500*(1+'T11'!$X$3:$X$1500)+'T11'!$Y$3:$Y$1500))-SUMPRODUCT(('T15'!$L$3:$L$1499=L8)*('T15'!$B$3:$B$1499&lt;C8)*('T15'!$BC$3:$BC$1499+'T15'!$BD$3:$BD$1499+'T15'!$BE$3:$BE$1499)))</f>
        <v>0</v>
      </c>
      <c r="R8" s="21" t="str">
        <f>IF(Q8&gt;0,"Active - overdue balance","Active")</f>
        <v>Active</v>
      </c>
      <c r="S8" s="21">
        <v>2</v>
      </c>
      <c r="T8" s="21" t="s">
        <v>1828</v>
      </c>
      <c r="U8" s="21" t="s">
        <v>1804</v>
      </c>
      <c r="V8" s="21">
        <v>2500</v>
      </c>
      <c r="W8" s="25">
        <v>1350</v>
      </c>
      <c r="X8" s="25">
        <f>V8*W8</f>
        <v>3375000</v>
      </c>
      <c r="Y8" s="23">
        <f>_xlfn.XLOOKUP(LEFT(T8,FIND(" - ",T8)-1),'T13'!$A$3:$A$1500,'T13'!$O$3:$O$1500)</f>
        <v>0.18</v>
      </c>
      <c r="Z8" s="25">
        <f>V8*IF(U8="MT",1000,IF(U8="Jumbo bag (1.5 MT)",1500,IF(U8="Bag (40 kg)",40,50)))*3</f>
        <v>375000</v>
      </c>
      <c r="AA8" s="33">
        <f>SUMIFS($V$3:$V$1500,$A$3:$A$1500,A8,$U$3:$U$1500,"Bag (50 kg)")*0.05+SUMIFS($V$3:$V$1500,$A$3:$A$1500,A8,$U$3:$U$1500,"Bag (40 kg)")*0.04+SUMIFS($V$3:$V$1500,$A$3:$A$1500,A8,$U$3:$U$1500,"MT")+SUMIFS($V$3:$V$1500,$A$3:$A$1500,A8,$U$3:$U$1500,"Jumbo bag (1.5 MT)")*1.5</f>
        <v>150</v>
      </c>
      <c r="AB8" s="25">
        <f>SUMIFS($X$3:$X$1500,$A$3:$A$1500,A8)</f>
        <v>4085000</v>
      </c>
      <c r="AC8" s="25" cm="1">
        <f t="array" ref="AC8">SUMPRODUCT(($A$3:$A$1500=A8)*$X$3:$X$1500*$Y$3:$Y$1500)</f>
        <v>735300</v>
      </c>
      <c r="AD8" s="25">
        <f>SUMIFS($Z$3:$Z$1500,$A$3:$A$1500,A8)</f>
        <v>450000</v>
      </c>
      <c r="AE8" s="25">
        <f>AB8+AC8+AD8</f>
        <v>5270300</v>
      </c>
      <c r="AF8" s="21" t="str">
        <f>"PKR "&amp;TEXT(AE8,"#,##0")&amp;" only"</f>
        <v>PKR 5,270,300 only</v>
      </c>
      <c r="AG8" s="21" t="s">
        <v>1805</v>
      </c>
      <c r="AH8" s="21" t="s">
        <v>1091</v>
      </c>
      <c r="AI8" s="21" t="s">
        <v>1827</v>
      </c>
      <c r="AJ8" s="21" t="s">
        <v>768</v>
      </c>
      <c r="AK8" s="21" t="s">
        <v>1092</v>
      </c>
      <c r="AL8" s="21" t="s">
        <v>1807</v>
      </c>
      <c r="AM8" s="21" t="s">
        <v>1087</v>
      </c>
    </row>
    <row r="9" spans="1:39" x14ac:dyDescent="0.3">
      <c r="A9" s="21" t="s">
        <v>1829</v>
      </c>
      <c r="B9" s="21">
        <v>0</v>
      </c>
      <c r="C9" s="29">
        <v>45619</v>
      </c>
      <c r="D9" s="21" t="s">
        <v>1810</v>
      </c>
      <c r="E9" s="21" t="s">
        <v>743</v>
      </c>
      <c r="F9" s="21" t="s">
        <v>1811</v>
      </c>
      <c r="G9" s="21" t="s">
        <v>1797</v>
      </c>
      <c r="H9" s="29">
        <f>C9</f>
        <v>45619</v>
      </c>
      <c r="I9" s="29">
        <f>H9+30</f>
        <v>45649</v>
      </c>
      <c r="J9" s="21" t="s">
        <v>1798</v>
      </c>
      <c r="K9" s="21" t="s">
        <v>1812</v>
      </c>
      <c r="L9" s="21" t="s">
        <v>1830</v>
      </c>
      <c r="M9" s="21" t="s">
        <v>746</v>
      </c>
      <c r="N9" s="21" t="s">
        <v>1139</v>
      </c>
      <c r="O9" s="21" t="s">
        <v>1831</v>
      </c>
      <c r="P9" s="21" t="s">
        <v>1145</v>
      </c>
      <c r="Q9" s="25" cm="1">
        <f t="array" ref="Q9">MAX(0,SUMPRODUCT(('T11'!$G$3:$G$1500=L9)*('T11'!$AG$3:$AG$1500&lt;C9)*('T11'!$W$3:$W$1500*(1+'T11'!$X$3:$X$1500)+'T11'!$Y$3:$Y$1500))-SUMPRODUCT(('T15'!$L$3:$L$1499=L9)*('T15'!$B$3:$B$1499&lt;C9)*('T15'!$BC$3:$BC$1499+'T15'!$BD$3:$BD$1499+'T15'!$BE$3:$BE$1499)))</f>
        <v>0</v>
      </c>
      <c r="R9" s="21" t="str">
        <f>IF(Q9&gt;0,"Active - overdue balance","Active")</f>
        <v>Active</v>
      </c>
      <c r="S9" s="21">
        <v>1</v>
      </c>
      <c r="T9" s="21" t="s">
        <v>1815</v>
      </c>
      <c r="U9" s="21" t="s">
        <v>783</v>
      </c>
      <c r="V9" s="21">
        <v>260</v>
      </c>
      <c r="W9" s="25">
        <v>27450</v>
      </c>
      <c r="X9" s="25">
        <f>V9*W9</f>
        <v>7137000</v>
      </c>
      <c r="Y9" s="23">
        <f>_xlfn.XLOOKUP(LEFT(T9,FIND(" - ",T9)-1),'T13'!$A$3:$A$1500,'T13'!$O$3:$O$1500)</f>
        <v>0.18</v>
      </c>
      <c r="Z9" s="25">
        <f>V9*IF(U9="MT",1000,IF(U9="Jumbo bag (1.5 MT)",1500,IF(U9="Bag (40 kg)",40,50)))*3</f>
        <v>780000</v>
      </c>
      <c r="AA9" s="33">
        <f>SUMIFS($V$3:$V$1500,$A$3:$A$1500,A9,$U$3:$U$1500,"Bag (50 kg)")*0.05+SUMIFS($V$3:$V$1500,$A$3:$A$1500,A9,$U$3:$U$1500,"Bag (40 kg)")*0.04+SUMIFS($V$3:$V$1500,$A$3:$A$1500,A9,$U$3:$U$1500,"MT")+SUMIFS($V$3:$V$1500,$A$3:$A$1500,A9,$U$3:$U$1500,"Jumbo bag (1.5 MT)")*1.5</f>
        <v>260</v>
      </c>
      <c r="AB9" s="25">
        <f>SUMIFS($X$3:$X$1500,$A$3:$A$1500,A9)</f>
        <v>7137000</v>
      </c>
      <c r="AC9" s="25" cm="1">
        <f t="array" ref="AC9">SUMPRODUCT(($A$3:$A$1500=A9)*$X$3:$X$1500*$Y$3:$Y$1500)</f>
        <v>1284660</v>
      </c>
      <c r="AD9" s="25">
        <f>SUMIFS($Z$3:$Z$1500,$A$3:$A$1500,A9)</f>
        <v>780000</v>
      </c>
      <c r="AE9" s="25">
        <f>AB9+AC9+AD9</f>
        <v>9201660</v>
      </c>
      <c r="AF9" s="21" t="str">
        <f>"PKR "&amp;TEXT(AE9,"#,##0")&amp;" only"</f>
        <v>PKR 9,201,660 only</v>
      </c>
      <c r="AG9" s="21" t="s">
        <v>1805</v>
      </c>
      <c r="AH9" s="21" t="s">
        <v>1091</v>
      </c>
      <c r="AI9" s="21" t="s">
        <v>1832</v>
      </c>
      <c r="AJ9" s="21" t="s">
        <v>1817</v>
      </c>
      <c r="AK9" s="21" t="s">
        <v>1092</v>
      </c>
      <c r="AL9" s="21" t="s">
        <v>1807</v>
      </c>
      <c r="AM9" s="21" t="s">
        <v>1051</v>
      </c>
    </row>
    <row r="10" spans="1:39" x14ac:dyDescent="0.3">
      <c r="A10" s="21" t="s">
        <v>1833</v>
      </c>
      <c r="B10" s="21">
        <v>0</v>
      </c>
      <c r="C10" s="29">
        <v>45640</v>
      </c>
      <c r="D10" s="21" t="s">
        <v>1795</v>
      </c>
      <c r="E10" s="21" t="s">
        <v>743</v>
      </c>
      <c r="F10" s="21" t="s">
        <v>1796</v>
      </c>
      <c r="G10" s="21" t="s">
        <v>1797</v>
      </c>
      <c r="H10" s="29">
        <f>C10</f>
        <v>45640</v>
      </c>
      <c r="I10" s="29">
        <f>H10+30</f>
        <v>45670</v>
      </c>
      <c r="J10" s="21" t="s">
        <v>1834</v>
      </c>
      <c r="K10" s="21" t="s">
        <v>1799</v>
      </c>
      <c r="L10" s="21" t="s">
        <v>1835</v>
      </c>
      <c r="M10" s="21" t="s">
        <v>746</v>
      </c>
      <c r="N10" s="21" t="s">
        <v>1836</v>
      </c>
      <c r="O10" s="21" t="s">
        <v>1837</v>
      </c>
      <c r="P10" s="21" t="s">
        <v>1058</v>
      </c>
      <c r="Q10" s="25" cm="1">
        <f t="array" ref="Q10">MAX(0,SUMPRODUCT(('T11'!$G$3:$G$1500=L10)*('T11'!$AG$3:$AG$1500&lt;C10)*('T11'!$W$3:$W$1500*(1+'T11'!$X$3:$X$1500)+'T11'!$Y$3:$Y$1500))-SUMPRODUCT(('T15'!$L$3:$L$1499=L10)*('T15'!$B$3:$B$1499&lt;C10)*('T15'!$BC$3:$BC$1499+'T15'!$BD$3:$BD$1499+'T15'!$BE$3:$BE$1499)))</f>
        <v>0</v>
      </c>
      <c r="R10" s="21" t="str">
        <f>IF(Q10&gt;0,"Active - overdue balance","Active")</f>
        <v>Active</v>
      </c>
      <c r="S10" s="21">
        <v>1</v>
      </c>
      <c r="T10" s="21" t="s">
        <v>1826</v>
      </c>
      <c r="U10" s="21" t="s">
        <v>1804</v>
      </c>
      <c r="V10" s="21">
        <v>5500</v>
      </c>
      <c r="W10" s="25">
        <v>1435</v>
      </c>
      <c r="X10" s="25">
        <f>V10*W10</f>
        <v>7892500</v>
      </c>
      <c r="Y10" s="23">
        <f>_xlfn.XLOOKUP(LEFT(T10,FIND(" - ",T10)-1),'T13'!$A$3:$A$1500,'T13'!$O$3:$O$1500)</f>
        <v>0.18</v>
      </c>
      <c r="Z10" s="25">
        <f>V10*IF(U10="MT",1000,IF(U10="Jumbo bag (1.5 MT)",1500,IF(U10="Bag (40 kg)",40,50)))*3</f>
        <v>825000</v>
      </c>
      <c r="AA10" s="33">
        <f>SUMIFS($V$3:$V$1500,$A$3:$A$1500,A10,$U$3:$U$1500,"Bag (50 kg)")*0.05+SUMIFS($V$3:$V$1500,$A$3:$A$1500,A10,$U$3:$U$1500,"Bag (40 kg)")*0.04+SUMIFS($V$3:$V$1500,$A$3:$A$1500,A10,$U$3:$U$1500,"MT")+SUMIFS($V$3:$V$1500,$A$3:$A$1500,A10,$U$3:$U$1500,"Jumbo bag (1.5 MT)")*1.5</f>
        <v>275</v>
      </c>
      <c r="AB10" s="25">
        <f>SUMIFS($X$3:$X$1500,$A$3:$A$1500,A10)</f>
        <v>7892500</v>
      </c>
      <c r="AC10" s="25" cm="1">
        <f t="array" ref="AC10">SUMPRODUCT(($A$3:$A$1500=A10)*$X$3:$X$1500*$Y$3:$Y$1500)</f>
        <v>1420650</v>
      </c>
      <c r="AD10" s="25">
        <f>SUMIFS($Z$3:$Z$1500,$A$3:$A$1500,A10)</f>
        <v>825000</v>
      </c>
      <c r="AE10" s="25">
        <f>AB10+AC10+AD10</f>
        <v>10138150</v>
      </c>
      <c r="AF10" s="21" t="str">
        <f>"PKR "&amp;TEXT(AE10,"#,##0")&amp;" only"</f>
        <v>PKR 10,138,150 only</v>
      </c>
      <c r="AG10" s="21" t="s">
        <v>1805</v>
      </c>
      <c r="AH10" s="21" t="s">
        <v>1091</v>
      </c>
      <c r="AI10" s="21" t="s">
        <v>1838</v>
      </c>
      <c r="AJ10" s="21" t="s">
        <v>768</v>
      </c>
      <c r="AK10" s="21" t="s">
        <v>1092</v>
      </c>
      <c r="AL10" s="21" t="s">
        <v>1807</v>
      </c>
      <c r="AM10" s="21" t="s">
        <v>1062</v>
      </c>
    </row>
    <row r="11" spans="1:39" x14ac:dyDescent="0.3">
      <c r="A11" s="21" t="s">
        <v>1839</v>
      </c>
      <c r="B11" s="21">
        <v>0</v>
      </c>
      <c r="C11" s="29">
        <v>45650</v>
      </c>
      <c r="D11" s="21" t="s">
        <v>1795</v>
      </c>
      <c r="E11" s="21" t="s">
        <v>743</v>
      </c>
      <c r="F11" s="21" t="s">
        <v>1796</v>
      </c>
      <c r="G11" s="21" t="s">
        <v>1797</v>
      </c>
      <c r="H11" s="29">
        <f>C11</f>
        <v>45650</v>
      </c>
      <c r="I11" s="29">
        <f>H11+30</f>
        <v>45680</v>
      </c>
      <c r="J11" s="21" t="s">
        <v>1798</v>
      </c>
      <c r="K11" s="21" t="s">
        <v>1799</v>
      </c>
      <c r="L11" s="21" t="s">
        <v>1823</v>
      </c>
      <c r="M11" s="21" t="s">
        <v>746</v>
      </c>
      <c r="N11" s="21" t="s">
        <v>1824</v>
      </c>
      <c r="O11" s="21" t="s">
        <v>1825</v>
      </c>
      <c r="P11" s="21" t="s">
        <v>1083</v>
      </c>
      <c r="Q11" s="25" cm="1">
        <f t="array" ref="Q11">MAX(0,SUMPRODUCT(('T11'!$G$3:$G$1500=L11)*('T11'!$AG$3:$AG$1500&lt;C11)*('T11'!$W$3:$W$1500*(1+'T11'!$X$3:$X$1500)+'T11'!$Y$3:$Y$1500))-SUMPRODUCT(('T15'!$L$3:$L$1499=L11)*('T15'!$B$3:$B$1499&lt;C11)*('T15'!$BC$3:$BC$1499+'T15'!$BD$3:$BD$1499+'T15'!$BE$3:$BE$1499)))</f>
        <v>0</v>
      </c>
      <c r="R11" s="21" t="str">
        <f>IF(Q11&gt;0,"Active - overdue balance","Active")</f>
        <v>Active</v>
      </c>
      <c r="S11" s="21">
        <v>1</v>
      </c>
      <c r="T11" s="21" t="s">
        <v>1840</v>
      </c>
      <c r="U11" s="21" t="s">
        <v>1841</v>
      </c>
      <c r="V11" s="21">
        <v>1000</v>
      </c>
      <c r="W11" s="25">
        <v>2650</v>
      </c>
      <c r="X11" s="25">
        <f>V11*W11</f>
        <v>2650000</v>
      </c>
      <c r="Y11" s="23">
        <f>_xlfn.XLOOKUP(LEFT(T11,FIND(" - ",T11)-1),'T13'!$A$3:$A$1500,'T13'!$O$3:$O$1500)</f>
        <v>0.18</v>
      </c>
      <c r="Z11" s="25">
        <f>V11*IF(U11="MT",1000,IF(U11="Jumbo bag (1.5 MT)",1500,IF(U11="Bag (40 kg)",40,50)))*3</f>
        <v>120000</v>
      </c>
      <c r="AA11" s="33">
        <f>SUMIFS($V$3:$V$1500,$A$3:$A$1500,A11,$U$3:$U$1500,"Bag (50 kg)")*0.05+SUMIFS($V$3:$V$1500,$A$3:$A$1500,A11,$U$3:$U$1500,"Bag (40 kg)")*0.04+SUMIFS($V$3:$V$1500,$A$3:$A$1500,A11,$U$3:$U$1500,"MT")+SUMIFS($V$3:$V$1500,$A$3:$A$1500,A11,$U$3:$U$1500,"Jumbo bag (1.5 MT)")*1.5</f>
        <v>165</v>
      </c>
      <c r="AB11" s="25">
        <f>SUMIFS($X$3:$X$1500,$A$3:$A$1500,A11)</f>
        <v>6550000</v>
      </c>
      <c r="AC11" s="25" cm="1">
        <f t="array" ref="AC11">SUMPRODUCT(($A$3:$A$1500=A11)*$X$3:$X$1500*$Y$3:$Y$1500)</f>
        <v>1179000</v>
      </c>
      <c r="AD11" s="25">
        <f>SUMIFS($Z$3:$Z$1500,$A$3:$A$1500,A11)</f>
        <v>495000</v>
      </c>
      <c r="AE11" s="25">
        <f>AB11+AC11+AD11</f>
        <v>8224000</v>
      </c>
      <c r="AF11" s="21" t="str">
        <f>"PKR "&amp;TEXT(AE11,"#,##0")&amp;" only"</f>
        <v>PKR 8,224,000 only</v>
      </c>
      <c r="AG11" s="21" t="s">
        <v>1805</v>
      </c>
      <c r="AH11" s="21" t="s">
        <v>1091</v>
      </c>
      <c r="AI11" s="21" t="s">
        <v>1827</v>
      </c>
      <c r="AJ11" s="21" t="s">
        <v>768</v>
      </c>
      <c r="AK11" s="21" t="s">
        <v>1092</v>
      </c>
      <c r="AL11" s="21" t="s">
        <v>1807</v>
      </c>
      <c r="AM11" s="21" t="s">
        <v>1087</v>
      </c>
    </row>
    <row r="12" spans="1:39" x14ac:dyDescent="0.3">
      <c r="A12" s="21" t="s">
        <v>1839</v>
      </c>
      <c r="B12" s="21">
        <v>0</v>
      </c>
      <c r="C12" s="29">
        <v>45650</v>
      </c>
      <c r="D12" s="21" t="s">
        <v>1795</v>
      </c>
      <c r="E12" s="21" t="s">
        <v>743</v>
      </c>
      <c r="F12" s="21" t="s">
        <v>1796</v>
      </c>
      <c r="G12" s="21" t="s">
        <v>1797</v>
      </c>
      <c r="H12" s="29">
        <f>C12</f>
        <v>45650</v>
      </c>
      <c r="I12" s="29">
        <f>H12+30</f>
        <v>45680</v>
      </c>
      <c r="J12" s="21" t="s">
        <v>1798</v>
      </c>
      <c r="K12" s="21" t="s">
        <v>1799</v>
      </c>
      <c r="L12" s="21" t="s">
        <v>1823</v>
      </c>
      <c r="M12" s="21" t="s">
        <v>746</v>
      </c>
      <c r="N12" s="21" t="s">
        <v>1824</v>
      </c>
      <c r="O12" s="21" t="s">
        <v>1825</v>
      </c>
      <c r="P12" s="21" t="s">
        <v>1083</v>
      </c>
      <c r="Q12" s="25" cm="1">
        <f t="array" ref="Q12">MAX(0,SUMPRODUCT(('T11'!$G$3:$G$1500=L12)*('T11'!$AG$3:$AG$1500&lt;C12)*('T11'!$W$3:$W$1500*(1+'T11'!$X$3:$X$1500)+'T11'!$Y$3:$Y$1500))-SUMPRODUCT(('T15'!$L$3:$L$1499=L12)*('T15'!$B$3:$B$1499&lt;C12)*('T15'!$BC$3:$BC$1499+'T15'!$BD$3:$BD$1499+'T15'!$BE$3:$BE$1499)))</f>
        <v>0</v>
      </c>
      <c r="R12" s="21" t="str">
        <f>IF(Q12&gt;0,"Active - overdue balance","Active")</f>
        <v>Active</v>
      </c>
      <c r="S12" s="21">
        <v>2</v>
      </c>
      <c r="T12" s="21" t="s">
        <v>1842</v>
      </c>
      <c r="U12" s="21" t="s">
        <v>1804</v>
      </c>
      <c r="V12" s="21">
        <v>2500</v>
      </c>
      <c r="W12" s="25">
        <v>1560</v>
      </c>
      <c r="X12" s="25">
        <f>V12*W12</f>
        <v>3900000</v>
      </c>
      <c r="Y12" s="23">
        <f>_xlfn.XLOOKUP(LEFT(T12,FIND(" - ",T12)-1),'T13'!$A$3:$A$1500,'T13'!$O$3:$O$1500)</f>
        <v>0.18</v>
      </c>
      <c r="Z12" s="25">
        <f>V12*IF(U12="MT",1000,IF(U12="Jumbo bag (1.5 MT)",1500,IF(U12="Bag (40 kg)",40,50)))*3</f>
        <v>375000</v>
      </c>
      <c r="AA12" s="33">
        <f>SUMIFS($V$3:$V$1500,$A$3:$A$1500,A12,$U$3:$U$1500,"Bag (50 kg)")*0.05+SUMIFS($V$3:$V$1500,$A$3:$A$1500,A12,$U$3:$U$1500,"Bag (40 kg)")*0.04+SUMIFS($V$3:$V$1500,$A$3:$A$1500,A12,$U$3:$U$1500,"MT")+SUMIFS($V$3:$V$1500,$A$3:$A$1500,A12,$U$3:$U$1500,"Jumbo bag (1.5 MT)")*1.5</f>
        <v>165</v>
      </c>
      <c r="AB12" s="25">
        <f>SUMIFS($X$3:$X$1500,$A$3:$A$1500,A12)</f>
        <v>6550000</v>
      </c>
      <c r="AC12" s="25" cm="1">
        <f t="array" ref="AC12">SUMPRODUCT(($A$3:$A$1500=A12)*$X$3:$X$1500*$Y$3:$Y$1500)</f>
        <v>1179000</v>
      </c>
      <c r="AD12" s="25">
        <f>SUMIFS($Z$3:$Z$1500,$A$3:$A$1500,A12)</f>
        <v>495000</v>
      </c>
      <c r="AE12" s="25">
        <f>AB12+AC12+AD12</f>
        <v>8224000</v>
      </c>
      <c r="AF12" s="21" t="str">
        <f>"PKR "&amp;TEXT(AE12,"#,##0")&amp;" only"</f>
        <v>PKR 8,224,000 only</v>
      </c>
      <c r="AG12" s="21" t="s">
        <v>1805</v>
      </c>
      <c r="AH12" s="21" t="s">
        <v>1091</v>
      </c>
      <c r="AI12" s="21" t="s">
        <v>1827</v>
      </c>
      <c r="AJ12" s="21" t="s">
        <v>768</v>
      </c>
      <c r="AK12" s="21" t="s">
        <v>1092</v>
      </c>
      <c r="AL12" s="21" t="s">
        <v>1807</v>
      </c>
      <c r="AM12" s="21" t="s">
        <v>1087</v>
      </c>
    </row>
    <row r="13" spans="1:39" x14ac:dyDescent="0.3">
      <c r="A13" s="21" t="s">
        <v>1843</v>
      </c>
      <c r="B13" s="21">
        <v>0</v>
      </c>
      <c r="C13" s="29">
        <v>45654</v>
      </c>
      <c r="D13" s="21" t="s">
        <v>1795</v>
      </c>
      <c r="E13" s="21" t="s">
        <v>743</v>
      </c>
      <c r="F13" s="21" t="s">
        <v>1796</v>
      </c>
      <c r="G13" s="21" t="s">
        <v>1797</v>
      </c>
      <c r="H13" s="29">
        <f>C13</f>
        <v>45654</v>
      </c>
      <c r="I13" s="29">
        <f>H13+30</f>
        <v>45684</v>
      </c>
      <c r="J13" s="21" t="s">
        <v>1798</v>
      </c>
      <c r="K13" s="21" t="s">
        <v>1799</v>
      </c>
      <c r="L13" s="21" t="s">
        <v>1844</v>
      </c>
      <c r="M13" s="21" t="s">
        <v>1066</v>
      </c>
      <c r="N13" s="21" t="s">
        <v>1845</v>
      </c>
      <c r="O13" s="21" t="s">
        <v>1846</v>
      </c>
      <c r="P13" s="21" t="s">
        <v>1068</v>
      </c>
      <c r="Q13" s="25" cm="1">
        <f t="array" ref="Q13">MAX(0,SUMPRODUCT(('T11'!$G$3:$G$1500=L13)*('T11'!$AG$3:$AG$1500&lt;C13)*('T11'!$W$3:$W$1500*(1+'T11'!$X$3:$X$1500)+'T11'!$Y$3:$Y$1500))-SUMPRODUCT(('T15'!$L$3:$L$1499=L13)*('T15'!$B$3:$B$1499&lt;C13)*('T15'!$BC$3:$BC$1499+'T15'!$BD$3:$BD$1499+'T15'!$BE$3:$BE$1499)))</f>
        <v>0</v>
      </c>
      <c r="R13" s="21" t="str">
        <f>IF(Q13&gt;0,"Active - overdue balance","Active")</f>
        <v>Active</v>
      </c>
      <c r="S13" s="21">
        <v>1</v>
      </c>
      <c r="T13" s="21" t="s">
        <v>1842</v>
      </c>
      <c r="U13" s="21" t="s">
        <v>1804</v>
      </c>
      <c r="V13" s="21">
        <v>3500</v>
      </c>
      <c r="W13" s="25">
        <v>1560</v>
      </c>
      <c r="X13" s="25">
        <f>V13*W13</f>
        <v>5460000</v>
      </c>
      <c r="Y13" s="23">
        <f>_xlfn.XLOOKUP(LEFT(T13,FIND(" - ",T13)-1),'T13'!$A$3:$A$1500,'T13'!$O$3:$O$1500)</f>
        <v>0.18</v>
      </c>
      <c r="Z13" s="25">
        <f>V13*IF(U13="MT",1000,IF(U13="Jumbo bag (1.5 MT)",1500,IF(U13="Bag (40 kg)",40,50)))*3</f>
        <v>525000</v>
      </c>
      <c r="AA13" s="33">
        <f>SUMIFS($V$3:$V$1500,$A$3:$A$1500,A13,$U$3:$U$1500,"Bag (50 kg)")*0.05+SUMIFS($V$3:$V$1500,$A$3:$A$1500,A13,$U$3:$U$1500,"Bag (40 kg)")*0.04+SUMIFS($V$3:$V$1500,$A$3:$A$1500,A13,$U$3:$U$1500,"MT")+SUMIFS($V$3:$V$1500,$A$3:$A$1500,A13,$U$3:$U$1500,"Jumbo bag (1.5 MT)")*1.5</f>
        <v>175</v>
      </c>
      <c r="AB13" s="25">
        <f>SUMIFS($X$3:$X$1500,$A$3:$A$1500,A13)</f>
        <v>5460000</v>
      </c>
      <c r="AC13" s="25" cm="1">
        <f t="array" ref="AC13">SUMPRODUCT(($A$3:$A$1500=A13)*$X$3:$X$1500*$Y$3:$Y$1500)</f>
        <v>982800</v>
      </c>
      <c r="AD13" s="25">
        <f>SUMIFS($Z$3:$Z$1500,$A$3:$A$1500,A13)</f>
        <v>525000</v>
      </c>
      <c r="AE13" s="25">
        <f>AB13+AC13+AD13</f>
        <v>6967800</v>
      </c>
      <c r="AF13" s="21" t="str">
        <f>"PKR "&amp;TEXT(AE13,"#,##0")&amp;" only"</f>
        <v>PKR 6,967,800 only</v>
      </c>
      <c r="AG13" s="21" t="s">
        <v>1805</v>
      </c>
      <c r="AH13" s="21" t="s">
        <v>1091</v>
      </c>
      <c r="AI13" s="21" t="s">
        <v>1847</v>
      </c>
      <c r="AJ13" s="21" t="s">
        <v>768</v>
      </c>
      <c r="AK13" s="21" t="s">
        <v>1092</v>
      </c>
      <c r="AL13" s="21" t="s">
        <v>1807</v>
      </c>
      <c r="AM13" s="21" t="s">
        <v>1071</v>
      </c>
    </row>
    <row r="14" spans="1:39" x14ac:dyDescent="0.3">
      <c r="A14" s="21" t="s">
        <v>1848</v>
      </c>
      <c r="B14" s="21">
        <v>0</v>
      </c>
      <c r="C14" s="29">
        <v>45681</v>
      </c>
      <c r="D14" s="21" t="s">
        <v>1795</v>
      </c>
      <c r="E14" s="21" t="s">
        <v>743</v>
      </c>
      <c r="F14" s="21" t="s">
        <v>1811</v>
      </c>
      <c r="G14" s="21" t="s">
        <v>1797</v>
      </c>
      <c r="H14" s="29">
        <f>C14</f>
        <v>45681</v>
      </c>
      <c r="I14" s="29">
        <f>H14+30</f>
        <v>45711</v>
      </c>
      <c r="J14" s="21" t="s">
        <v>1798</v>
      </c>
      <c r="K14" s="21" t="s">
        <v>1812</v>
      </c>
      <c r="L14" s="21" t="s">
        <v>1849</v>
      </c>
      <c r="M14" s="21" t="s">
        <v>746</v>
      </c>
      <c r="N14" s="21" t="s">
        <v>1183</v>
      </c>
      <c r="O14" s="21" t="s">
        <v>1850</v>
      </c>
      <c r="P14" s="21" t="s">
        <v>1190</v>
      </c>
      <c r="Q14" s="25" cm="1">
        <f t="array" ref="Q14">MAX(0,SUMPRODUCT(('T11'!$G$3:$G$1500=L14)*('T11'!$AG$3:$AG$1500&lt;C14)*('T11'!$W$3:$W$1500*(1+'T11'!$X$3:$X$1500)+'T11'!$Y$3:$Y$1500))-SUMPRODUCT(('T15'!$L$3:$L$1499=L14)*('T15'!$B$3:$B$1499&lt;C14)*('T15'!$BC$3:$BC$1499+'T15'!$BD$3:$BD$1499+'T15'!$BE$3:$BE$1499)))</f>
        <v>0</v>
      </c>
      <c r="R14" s="21" t="str">
        <f>IF(Q14&gt;0,"Active - overdue balance","Active")</f>
        <v>Active</v>
      </c>
      <c r="S14" s="21">
        <v>1</v>
      </c>
      <c r="T14" s="21" t="s">
        <v>1826</v>
      </c>
      <c r="U14" s="21" t="s">
        <v>1804</v>
      </c>
      <c r="V14" s="21">
        <v>1500</v>
      </c>
      <c r="W14" s="25">
        <v>1440</v>
      </c>
      <c r="X14" s="25">
        <f>V14*W14</f>
        <v>2160000</v>
      </c>
      <c r="Y14" s="23">
        <f>_xlfn.XLOOKUP(LEFT(T14,FIND(" - ",T14)-1),'T13'!$A$3:$A$1500,'T13'!$O$3:$O$1500)</f>
        <v>0.18</v>
      </c>
      <c r="Z14" s="25">
        <f>V14*IF(U14="MT",1000,IF(U14="Jumbo bag (1.5 MT)",1500,IF(U14="Bag (40 kg)",40,50)))*3</f>
        <v>225000</v>
      </c>
      <c r="AA14" s="33">
        <f>SUMIFS($V$3:$V$1500,$A$3:$A$1500,A14,$U$3:$U$1500,"Bag (50 kg)")*0.05+SUMIFS($V$3:$V$1500,$A$3:$A$1500,A14,$U$3:$U$1500,"Bag (40 kg)")*0.04+SUMIFS($V$3:$V$1500,$A$3:$A$1500,A14,$U$3:$U$1500,"MT")+SUMIFS($V$3:$V$1500,$A$3:$A$1500,A14,$U$3:$U$1500,"Jumbo bag (1.5 MT)")*1.5</f>
        <v>175</v>
      </c>
      <c r="AB14" s="25">
        <f>SUMIFS($X$3:$X$1500,$A$3:$A$1500,A14)</f>
        <v>5190000</v>
      </c>
      <c r="AC14" s="25" cm="1">
        <f t="array" ref="AC14">SUMPRODUCT(($A$3:$A$1500=A14)*$X$3:$X$1500*$Y$3:$Y$1500)</f>
        <v>934200</v>
      </c>
      <c r="AD14" s="25">
        <f>SUMIFS($Z$3:$Z$1500,$A$3:$A$1500,A14)</f>
        <v>525000</v>
      </c>
      <c r="AE14" s="25">
        <f>AB14+AC14+AD14</f>
        <v>6649200</v>
      </c>
      <c r="AF14" s="21" t="str">
        <f>"PKR "&amp;TEXT(AE14,"#,##0")&amp;" only"</f>
        <v>PKR 6,649,200 only</v>
      </c>
      <c r="AG14" s="21" t="s">
        <v>1805</v>
      </c>
      <c r="AH14" s="21" t="s">
        <v>1091</v>
      </c>
      <c r="AI14" s="21" t="s">
        <v>1851</v>
      </c>
      <c r="AJ14" s="21" t="s">
        <v>768</v>
      </c>
      <c r="AK14" s="21" t="s">
        <v>1092</v>
      </c>
      <c r="AL14" s="21" t="s">
        <v>1807</v>
      </c>
      <c r="AM14" s="21" t="s">
        <v>1062</v>
      </c>
    </row>
    <row r="15" spans="1:39" x14ac:dyDescent="0.3">
      <c r="A15" s="21" t="s">
        <v>1848</v>
      </c>
      <c r="B15" s="21">
        <v>0</v>
      </c>
      <c r="C15" s="29">
        <v>45681</v>
      </c>
      <c r="D15" s="21" t="s">
        <v>1795</v>
      </c>
      <c r="E15" s="21" t="s">
        <v>743</v>
      </c>
      <c r="F15" s="21" t="s">
        <v>1811</v>
      </c>
      <c r="G15" s="21" t="s">
        <v>1797</v>
      </c>
      <c r="H15" s="29">
        <f>C15</f>
        <v>45681</v>
      </c>
      <c r="I15" s="29">
        <f>H15+30</f>
        <v>45711</v>
      </c>
      <c r="J15" s="21" t="s">
        <v>1798</v>
      </c>
      <c r="K15" s="21" t="s">
        <v>1812</v>
      </c>
      <c r="L15" s="21" t="s">
        <v>1849</v>
      </c>
      <c r="M15" s="21" t="s">
        <v>746</v>
      </c>
      <c r="N15" s="21" t="s">
        <v>1183</v>
      </c>
      <c r="O15" s="21" t="s">
        <v>1850</v>
      </c>
      <c r="P15" s="21" t="s">
        <v>1190</v>
      </c>
      <c r="Q15" s="25" cm="1">
        <f t="array" ref="Q15">MAX(0,SUMPRODUCT(('T11'!$G$3:$G$1500=L15)*('T11'!$AG$3:$AG$1500&lt;C15)*('T11'!$W$3:$W$1500*(1+'T11'!$X$3:$X$1500)+'T11'!$Y$3:$Y$1500))-SUMPRODUCT(('T15'!$L$3:$L$1499=L15)*('T15'!$B$3:$B$1499&lt;C15)*('T15'!$BC$3:$BC$1499+'T15'!$BD$3:$BD$1499+'T15'!$BE$3:$BE$1499)))</f>
        <v>0</v>
      </c>
      <c r="R15" s="21" t="str">
        <f>IF(Q15&gt;0,"Active - overdue balance","Active")</f>
        <v>Active</v>
      </c>
      <c r="S15" s="21">
        <v>2</v>
      </c>
      <c r="T15" s="21" t="s">
        <v>1808</v>
      </c>
      <c r="U15" s="21" t="s">
        <v>1804</v>
      </c>
      <c r="V15" s="21">
        <v>2000</v>
      </c>
      <c r="W15" s="25">
        <v>1515</v>
      </c>
      <c r="X15" s="25">
        <f>V15*W15</f>
        <v>3030000</v>
      </c>
      <c r="Y15" s="23">
        <f>_xlfn.XLOOKUP(LEFT(T15,FIND(" - ",T15)-1),'T13'!$A$3:$A$1500,'T13'!$O$3:$O$1500)</f>
        <v>0.18</v>
      </c>
      <c r="Z15" s="25">
        <f>V15*IF(U15="MT",1000,IF(U15="Jumbo bag (1.5 MT)",1500,IF(U15="Bag (40 kg)",40,50)))*3</f>
        <v>300000</v>
      </c>
      <c r="AA15" s="33">
        <f>SUMIFS($V$3:$V$1500,$A$3:$A$1500,A15,$U$3:$U$1500,"Bag (50 kg)")*0.05+SUMIFS($V$3:$V$1500,$A$3:$A$1500,A15,$U$3:$U$1500,"Bag (40 kg)")*0.04+SUMIFS($V$3:$V$1500,$A$3:$A$1500,A15,$U$3:$U$1500,"MT")+SUMIFS($V$3:$V$1500,$A$3:$A$1500,A15,$U$3:$U$1500,"Jumbo bag (1.5 MT)")*1.5</f>
        <v>175</v>
      </c>
      <c r="AB15" s="25">
        <f>SUMIFS($X$3:$X$1500,$A$3:$A$1500,A15)</f>
        <v>5190000</v>
      </c>
      <c r="AC15" s="25" cm="1">
        <f t="array" ref="AC15">SUMPRODUCT(($A$3:$A$1500=A15)*$X$3:$X$1500*$Y$3:$Y$1500)</f>
        <v>934200</v>
      </c>
      <c r="AD15" s="25">
        <f>SUMIFS($Z$3:$Z$1500,$A$3:$A$1500,A15)</f>
        <v>525000</v>
      </c>
      <c r="AE15" s="25">
        <f>AB15+AC15+AD15</f>
        <v>6649200</v>
      </c>
      <c r="AF15" s="21" t="str">
        <f>"PKR "&amp;TEXT(AE15,"#,##0")&amp;" only"</f>
        <v>PKR 6,649,200 only</v>
      </c>
      <c r="AG15" s="21" t="s">
        <v>1805</v>
      </c>
      <c r="AH15" s="21" t="s">
        <v>1091</v>
      </c>
      <c r="AI15" s="21" t="s">
        <v>1851</v>
      </c>
      <c r="AJ15" s="21" t="s">
        <v>768</v>
      </c>
      <c r="AK15" s="21" t="s">
        <v>1092</v>
      </c>
      <c r="AL15" s="21" t="s">
        <v>1807</v>
      </c>
      <c r="AM15" s="21" t="s">
        <v>1062</v>
      </c>
    </row>
    <row r="16" spans="1:39" x14ac:dyDescent="0.3">
      <c r="A16" s="21" t="s">
        <v>1852</v>
      </c>
      <c r="B16" s="21">
        <v>0</v>
      </c>
      <c r="C16" s="29">
        <v>45686</v>
      </c>
      <c r="D16" s="21" t="s">
        <v>1795</v>
      </c>
      <c r="E16" s="21" t="s">
        <v>743</v>
      </c>
      <c r="F16" s="21" t="s">
        <v>1796</v>
      </c>
      <c r="G16" s="21" t="s">
        <v>1797</v>
      </c>
      <c r="H16" s="29">
        <f>C16</f>
        <v>45686</v>
      </c>
      <c r="I16" s="29">
        <f>H16+30</f>
        <v>45716</v>
      </c>
      <c r="J16" s="21" t="s">
        <v>1798</v>
      </c>
      <c r="K16" s="21" t="s">
        <v>1799</v>
      </c>
      <c r="L16" s="21" t="s">
        <v>1800</v>
      </c>
      <c r="M16" s="21" t="s">
        <v>746</v>
      </c>
      <c r="N16" s="21" t="s">
        <v>1801</v>
      </c>
      <c r="O16" s="21" t="s">
        <v>1802</v>
      </c>
      <c r="P16" s="21" t="s">
        <v>1076</v>
      </c>
      <c r="Q16" s="25" cm="1">
        <f t="array" ref="Q16">MAX(0,SUMPRODUCT(('T11'!$G$3:$G$1500=L16)*('T11'!$AG$3:$AG$1500&lt;C16)*('T11'!$W$3:$W$1500*(1+'T11'!$X$3:$X$1500)+'T11'!$Y$3:$Y$1500))-SUMPRODUCT(('T15'!$L$3:$L$1499=L16)*('T15'!$B$3:$B$1499&lt;C16)*('T15'!$BC$3:$BC$1499+'T15'!$BD$3:$BD$1499+'T15'!$BE$3:$BE$1499)))</f>
        <v>0</v>
      </c>
      <c r="R16" s="21" t="str">
        <f>IF(Q16&gt;0,"Active - overdue balance","Active")</f>
        <v>Active</v>
      </c>
      <c r="S16" s="21">
        <v>1</v>
      </c>
      <c r="T16" s="21" t="s">
        <v>1826</v>
      </c>
      <c r="U16" s="21" t="s">
        <v>1804</v>
      </c>
      <c r="V16" s="21">
        <v>3000</v>
      </c>
      <c r="W16" s="25">
        <v>1440</v>
      </c>
      <c r="X16" s="25">
        <f>V16*W16</f>
        <v>4320000</v>
      </c>
      <c r="Y16" s="23">
        <f>_xlfn.XLOOKUP(LEFT(T16,FIND(" - ",T16)-1),'T13'!$A$3:$A$1500,'T13'!$O$3:$O$1500)</f>
        <v>0.18</v>
      </c>
      <c r="Z16" s="25">
        <f>V16*IF(U16="MT",1000,IF(U16="Jumbo bag (1.5 MT)",1500,IF(U16="Bag (40 kg)",40,50)))*3</f>
        <v>450000</v>
      </c>
      <c r="AA16" s="33">
        <f>SUMIFS($V$3:$V$1500,$A$3:$A$1500,A16,$U$3:$U$1500,"Bag (50 kg)")*0.05+SUMIFS($V$3:$V$1500,$A$3:$A$1500,A16,$U$3:$U$1500,"Bag (40 kg)")*0.04+SUMIFS($V$3:$V$1500,$A$3:$A$1500,A16,$U$3:$U$1500,"MT")+SUMIFS($V$3:$V$1500,$A$3:$A$1500,A16,$U$3:$U$1500,"Jumbo bag (1.5 MT)")*1.5</f>
        <v>225</v>
      </c>
      <c r="AB16" s="25">
        <f>SUMIFS($X$3:$X$1500,$A$3:$A$1500,A16)</f>
        <v>6405000</v>
      </c>
      <c r="AC16" s="25" cm="1">
        <f t="array" ref="AC16">SUMPRODUCT(($A$3:$A$1500=A16)*$X$3:$X$1500*$Y$3:$Y$1500)</f>
        <v>1152900</v>
      </c>
      <c r="AD16" s="25">
        <f>SUMIFS($Z$3:$Z$1500,$A$3:$A$1500,A16)</f>
        <v>675000</v>
      </c>
      <c r="AE16" s="25">
        <f>AB16+AC16+AD16</f>
        <v>8232900</v>
      </c>
      <c r="AF16" s="21" t="str">
        <f>"PKR "&amp;TEXT(AE16,"#,##0")&amp;" only"</f>
        <v>PKR 8,232,900 only</v>
      </c>
      <c r="AG16" s="21" t="s">
        <v>1805</v>
      </c>
      <c r="AH16" s="21" t="s">
        <v>1091</v>
      </c>
      <c r="AI16" s="21" t="s">
        <v>1806</v>
      </c>
      <c r="AJ16" s="21" t="s">
        <v>768</v>
      </c>
      <c r="AK16" s="21" t="s">
        <v>1092</v>
      </c>
      <c r="AL16" s="21" t="s">
        <v>1807</v>
      </c>
      <c r="AM16" s="21" t="s">
        <v>1051</v>
      </c>
    </row>
    <row r="17" spans="1:39" x14ac:dyDescent="0.3">
      <c r="A17" s="21" t="s">
        <v>1852</v>
      </c>
      <c r="B17" s="21">
        <v>0</v>
      </c>
      <c r="C17" s="29">
        <v>45686</v>
      </c>
      <c r="D17" s="21" t="s">
        <v>1795</v>
      </c>
      <c r="E17" s="21" t="s">
        <v>743</v>
      </c>
      <c r="F17" s="21" t="s">
        <v>1796</v>
      </c>
      <c r="G17" s="21" t="s">
        <v>1797</v>
      </c>
      <c r="H17" s="29">
        <f>C17</f>
        <v>45686</v>
      </c>
      <c r="I17" s="29">
        <f>H17+30</f>
        <v>45716</v>
      </c>
      <c r="J17" s="21" t="s">
        <v>1798</v>
      </c>
      <c r="K17" s="21" t="s">
        <v>1799</v>
      </c>
      <c r="L17" s="21" t="s">
        <v>1800</v>
      </c>
      <c r="M17" s="21" t="s">
        <v>746</v>
      </c>
      <c r="N17" s="21" t="s">
        <v>1801</v>
      </c>
      <c r="O17" s="21" t="s">
        <v>1802</v>
      </c>
      <c r="P17" s="21" t="s">
        <v>1076</v>
      </c>
      <c r="Q17" s="25" cm="1">
        <f t="array" ref="Q17">MAX(0,SUMPRODUCT(('T11'!$G$3:$G$1500=L17)*('T11'!$AG$3:$AG$1500&lt;C17)*('T11'!$W$3:$W$1500*(1+'T11'!$X$3:$X$1500)+'T11'!$Y$3:$Y$1500))-SUMPRODUCT(('T15'!$L$3:$L$1499=L17)*('T15'!$B$3:$B$1499&lt;C17)*('T15'!$BC$3:$BC$1499+'T15'!$BD$3:$BD$1499+'T15'!$BE$3:$BE$1499)))</f>
        <v>0</v>
      </c>
      <c r="R17" s="21" t="str">
        <f>IF(Q17&gt;0,"Active - overdue balance","Active")</f>
        <v>Active</v>
      </c>
      <c r="S17" s="21">
        <v>2</v>
      </c>
      <c r="T17" s="21" t="s">
        <v>1803</v>
      </c>
      <c r="U17" s="21" t="s">
        <v>1804</v>
      </c>
      <c r="V17" s="21">
        <v>1500</v>
      </c>
      <c r="W17" s="25">
        <v>1390</v>
      </c>
      <c r="X17" s="25">
        <f>V17*W17</f>
        <v>2085000</v>
      </c>
      <c r="Y17" s="23">
        <f>_xlfn.XLOOKUP(LEFT(T17,FIND(" - ",T17)-1),'T13'!$A$3:$A$1500,'T13'!$O$3:$O$1500)</f>
        <v>0.18</v>
      </c>
      <c r="Z17" s="25">
        <f>V17*IF(U17="MT",1000,IF(U17="Jumbo bag (1.5 MT)",1500,IF(U17="Bag (40 kg)",40,50)))*3</f>
        <v>225000</v>
      </c>
      <c r="AA17" s="33">
        <f>SUMIFS($V$3:$V$1500,$A$3:$A$1500,A17,$U$3:$U$1500,"Bag (50 kg)")*0.05+SUMIFS($V$3:$V$1500,$A$3:$A$1500,A17,$U$3:$U$1500,"Bag (40 kg)")*0.04+SUMIFS($V$3:$V$1500,$A$3:$A$1500,A17,$U$3:$U$1500,"MT")+SUMIFS($V$3:$V$1500,$A$3:$A$1500,A17,$U$3:$U$1500,"Jumbo bag (1.5 MT)")*1.5</f>
        <v>225</v>
      </c>
      <c r="AB17" s="25">
        <f>SUMIFS($X$3:$X$1500,$A$3:$A$1500,A17)</f>
        <v>6405000</v>
      </c>
      <c r="AC17" s="25" cm="1">
        <f t="array" ref="AC17">SUMPRODUCT(($A$3:$A$1500=A17)*$X$3:$X$1500*$Y$3:$Y$1500)</f>
        <v>1152900</v>
      </c>
      <c r="AD17" s="25">
        <f>SUMIFS($Z$3:$Z$1500,$A$3:$A$1500,A17)</f>
        <v>675000</v>
      </c>
      <c r="AE17" s="25">
        <f>AB17+AC17+AD17</f>
        <v>8232900</v>
      </c>
      <c r="AF17" s="21" t="str">
        <f>"PKR "&amp;TEXT(AE17,"#,##0")&amp;" only"</f>
        <v>PKR 8,232,900 only</v>
      </c>
      <c r="AG17" s="21" t="s">
        <v>1805</v>
      </c>
      <c r="AH17" s="21" t="s">
        <v>1091</v>
      </c>
      <c r="AI17" s="21" t="s">
        <v>1806</v>
      </c>
      <c r="AJ17" s="21" t="s">
        <v>768</v>
      </c>
      <c r="AK17" s="21" t="s">
        <v>1092</v>
      </c>
      <c r="AL17" s="21" t="s">
        <v>1807</v>
      </c>
      <c r="AM17" s="21" t="s">
        <v>1051</v>
      </c>
    </row>
    <row r="18" spans="1:39" x14ac:dyDescent="0.3">
      <c r="A18" s="21" t="s">
        <v>1853</v>
      </c>
      <c r="B18" s="21">
        <v>0</v>
      </c>
      <c r="C18" s="29">
        <v>45714</v>
      </c>
      <c r="D18" s="21" t="s">
        <v>1795</v>
      </c>
      <c r="E18" s="21" t="s">
        <v>743</v>
      </c>
      <c r="F18" s="21" t="s">
        <v>1811</v>
      </c>
      <c r="G18" s="21" t="s">
        <v>1797</v>
      </c>
      <c r="H18" s="29">
        <f>C18</f>
        <v>45714</v>
      </c>
      <c r="I18" s="29">
        <f>H18+30</f>
        <v>45744</v>
      </c>
      <c r="J18" s="21" t="s">
        <v>1798</v>
      </c>
      <c r="K18" s="21" t="s">
        <v>1812</v>
      </c>
      <c r="L18" s="21" t="s">
        <v>1813</v>
      </c>
      <c r="M18" s="21" t="s">
        <v>746</v>
      </c>
      <c r="N18" s="21" t="s">
        <v>1097</v>
      </c>
      <c r="O18" s="21" t="s">
        <v>1814</v>
      </c>
      <c r="P18" s="21" t="s">
        <v>1111</v>
      </c>
      <c r="Q18" s="25" cm="1">
        <f t="array" ref="Q18">MAX(0,SUMPRODUCT(('T11'!$G$3:$G$1500=L18)*('T11'!$AG$3:$AG$1500&lt;C18)*('T11'!$W$3:$W$1500*(1+'T11'!$X$3:$X$1500)+'T11'!$Y$3:$Y$1500))-SUMPRODUCT(('T15'!$L$3:$L$1499=L18)*('T15'!$B$3:$B$1499&lt;C18)*('T15'!$BC$3:$BC$1499+'T15'!$BD$3:$BD$1499+'T15'!$BE$3:$BE$1499)))</f>
        <v>0</v>
      </c>
      <c r="R18" s="21" t="str">
        <f>IF(Q18&gt;0,"Active - overdue balance","Active")</f>
        <v>Active</v>
      </c>
      <c r="S18" s="21">
        <v>1</v>
      </c>
      <c r="T18" s="21" t="s">
        <v>1803</v>
      </c>
      <c r="U18" s="21" t="s">
        <v>1804</v>
      </c>
      <c r="V18" s="21">
        <v>2500</v>
      </c>
      <c r="W18" s="25">
        <v>1395</v>
      </c>
      <c r="X18" s="25">
        <f>V18*W18</f>
        <v>3487500</v>
      </c>
      <c r="Y18" s="23">
        <f>_xlfn.XLOOKUP(LEFT(T18,FIND(" - ",T18)-1),'T13'!$A$3:$A$1500,'T13'!$O$3:$O$1500)</f>
        <v>0.18</v>
      </c>
      <c r="Z18" s="25">
        <f>V18*IF(U18="MT",1000,IF(U18="Jumbo bag (1.5 MT)",1500,IF(U18="Bag (40 kg)",40,50)))*3</f>
        <v>375000</v>
      </c>
      <c r="AA18" s="33">
        <f>SUMIFS($V$3:$V$1500,$A$3:$A$1500,A18,$U$3:$U$1500,"Bag (50 kg)")*0.05+SUMIFS($V$3:$V$1500,$A$3:$A$1500,A18,$U$3:$U$1500,"Bag (40 kg)")*0.04+SUMIFS($V$3:$V$1500,$A$3:$A$1500,A18,$U$3:$U$1500,"MT")+SUMIFS($V$3:$V$1500,$A$3:$A$1500,A18,$U$3:$U$1500,"Jumbo bag (1.5 MT)")*1.5</f>
        <v>225</v>
      </c>
      <c r="AB18" s="25">
        <f>SUMIFS($X$3:$X$1500,$A$3:$A$1500,A18)</f>
        <v>6350000</v>
      </c>
      <c r="AC18" s="25" cm="1">
        <f t="array" ref="AC18">SUMPRODUCT(($A$3:$A$1500=A18)*$X$3:$X$1500*$Y$3:$Y$1500)</f>
        <v>1143000</v>
      </c>
      <c r="AD18" s="25">
        <f>SUMIFS($Z$3:$Z$1500,$A$3:$A$1500,A18)</f>
        <v>675000</v>
      </c>
      <c r="AE18" s="25">
        <f>AB18+AC18+AD18</f>
        <v>8168000</v>
      </c>
      <c r="AF18" s="21" t="str">
        <f>"PKR "&amp;TEXT(AE18,"#,##0")&amp;" only"</f>
        <v>PKR 8,168,000 only</v>
      </c>
      <c r="AG18" s="21" t="s">
        <v>1805</v>
      </c>
      <c r="AH18" s="21" t="s">
        <v>1091</v>
      </c>
      <c r="AI18" s="21" t="s">
        <v>1854</v>
      </c>
      <c r="AJ18" s="21" t="s">
        <v>768</v>
      </c>
      <c r="AK18" s="21" t="s">
        <v>1092</v>
      </c>
      <c r="AL18" s="21" t="s">
        <v>1807</v>
      </c>
      <c r="AM18" s="21" t="s">
        <v>1051</v>
      </c>
    </row>
    <row r="19" spans="1:39" x14ac:dyDescent="0.3">
      <c r="A19" s="21" t="s">
        <v>1853</v>
      </c>
      <c r="B19" s="21">
        <v>0</v>
      </c>
      <c r="C19" s="29">
        <v>45714</v>
      </c>
      <c r="D19" s="21" t="s">
        <v>1795</v>
      </c>
      <c r="E19" s="21" t="s">
        <v>743</v>
      </c>
      <c r="F19" s="21" t="s">
        <v>1811</v>
      </c>
      <c r="G19" s="21" t="s">
        <v>1797</v>
      </c>
      <c r="H19" s="29">
        <f>C19</f>
        <v>45714</v>
      </c>
      <c r="I19" s="29">
        <f>H19+30</f>
        <v>45744</v>
      </c>
      <c r="J19" s="21" t="s">
        <v>1798</v>
      </c>
      <c r="K19" s="21" t="s">
        <v>1812</v>
      </c>
      <c r="L19" s="21" t="s">
        <v>1813</v>
      </c>
      <c r="M19" s="21" t="s">
        <v>746</v>
      </c>
      <c r="N19" s="21" t="s">
        <v>1097</v>
      </c>
      <c r="O19" s="21" t="s">
        <v>1814</v>
      </c>
      <c r="P19" s="21" t="s">
        <v>1111</v>
      </c>
      <c r="Q19" s="25" cm="1">
        <f t="array" ref="Q19">MAX(0,SUMPRODUCT(('T11'!$G$3:$G$1500=L19)*('T11'!$AG$3:$AG$1500&lt;C19)*('T11'!$W$3:$W$1500*(1+'T11'!$X$3:$X$1500)+'T11'!$Y$3:$Y$1500))-SUMPRODUCT(('T15'!$L$3:$L$1499=L19)*('T15'!$B$3:$B$1499&lt;C19)*('T15'!$BC$3:$BC$1499+'T15'!$BD$3:$BD$1499+'T15'!$BE$3:$BE$1499)))</f>
        <v>0</v>
      </c>
      <c r="R19" s="21" t="str">
        <f>IF(Q19&gt;0,"Active - overdue balance","Active")</f>
        <v>Active</v>
      </c>
      <c r="S19" s="21">
        <v>2</v>
      </c>
      <c r="T19" s="21" t="s">
        <v>1828</v>
      </c>
      <c r="U19" s="21" t="s">
        <v>1804</v>
      </c>
      <c r="V19" s="21">
        <v>500</v>
      </c>
      <c r="W19" s="25">
        <v>1375</v>
      </c>
      <c r="X19" s="25">
        <f>V19*W19</f>
        <v>687500</v>
      </c>
      <c r="Y19" s="23">
        <f>_xlfn.XLOOKUP(LEFT(T19,FIND(" - ",T19)-1),'T13'!$A$3:$A$1500,'T13'!$O$3:$O$1500)</f>
        <v>0.18</v>
      </c>
      <c r="Z19" s="25">
        <f>V19*IF(U19="MT",1000,IF(U19="Jumbo bag (1.5 MT)",1500,IF(U19="Bag (40 kg)",40,50)))*3</f>
        <v>75000</v>
      </c>
      <c r="AA19" s="33">
        <f>SUMIFS($V$3:$V$1500,$A$3:$A$1500,A19,$U$3:$U$1500,"Bag (50 kg)")*0.05+SUMIFS($V$3:$V$1500,$A$3:$A$1500,A19,$U$3:$U$1500,"Bag (40 kg)")*0.04+SUMIFS($V$3:$V$1500,$A$3:$A$1500,A19,$U$3:$U$1500,"MT")+SUMIFS($V$3:$V$1500,$A$3:$A$1500,A19,$U$3:$U$1500,"Jumbo bag (1.5 MT)")*1.5</f>
        <v>225</v>
      </c>
      <c r="AB19" s="25">
        <f>SUMIFS($X$3:$X$1500,$A$3:$A$1500,A19)</f>
        <v>6350000</v>
      </c>
      <c r="AC19" s="25" cm="1">
        <f t="array" ref="AC19">SUMPRODUCT(($A$3:$A$1500=A19)*$X$3:$X$1500*$Y$3:$Y$1500)</f>
        <v>1143000</v>
      </c>
      <c r="AD19" s="25">
        <f>SUMIFS($Z$3:$Z$1500,$A$3:$A$1500,A19)</f>
        <v>675000</v>
      </c>
      <c r="AE19" s="25">
        <f>AB19+AC19+AD19</f>
        <v>8168000</v>
      </c>
      <c r="AF19" s="21" t="str">
        <f>"PKR "&amp;TEXT(AE19,"#,##0")&amp;" only"</f>
        <v>PKR 8,168,000 only</v>
      </c>
      <c r="AG19" s="21" t="s">
        <v>1805</v>
      </c>
      <c r="AH19" s="21" t="s">
        <v>1091</v>
      </c>
      <c r="AI19" s="21" t="s">
        <v>1854</v>
      </c>
      <c r="AJ19" s="21" t="s">
        <v>768</v>
      </c>
      <c r="AK19" s="21" t="s">
        <v>1092</v>
      </c>
      <c r="AL19" s="21" t="s">
        <v>1807</v>
      </c>
      <c r="AM19" s="21" t="s">
        <v>1051</v>
      </c>
    </row>
    <row r="20" spans="1:39" x14ac:dyDescent="0.3">
      <c r="A20" s="21" t="s">
        <v>1853</v>
      </c>
      <c r="B20" s="21">
        <v>0</v>
      </c>
      <c r="C20" s="29">
        <v>45714</v>
      </c>
      <c r="D20" s="21" t="s">
        <v>1795</v>
      </c>
      <c r="E20" s="21" t="s">
        <v>743</v>
      </c>
      <c r="F20" s="21" t="s">
        <v>1811</v>
      </c>
      <c r="G20" s="21" t="s">
        <v>1797</v>
      </c>
      <c r="H20" s="29">
        <f>C20</f>
        <v>45714</v>
      </c>
      <c r="I20" s="29">
        <f>H20+30</f>
        <v>45744</v>
      </c>
      <c r="J20" s="21" t="s">
        <v>1798</v>
      </c>
      <c r="K20" s="21" t="s">
        <v>1812</v>
      </c>
      <c r="L20" s="21" t="s">
        <v>1813</v>
      </c>
      <c r="M20" s="21" t="s">
        <v>746</v>
      </c>
      <c r="N20" s="21" t="s">
        <v>1097</v>
      </c>
      <c r="O20" s="21" t="s">
        <v>1814</v>
      </c>
      <c r="P20" s="21" t="s">
        <v>1111</v>
      </c>
      <c r="Q20" s="25" cm="1">
        <f t="array" ref="Q20">MAX(0,SUMPRODUCT(('T11'!$G$3:$G$1500=L20)*('T11'!$AG$3:$AG$1500&lt;C20)*('T11'!$W$3:$W$1500*(1+'T11'!$X$3:$X$1500)+'T11'!$Y$3:$Y$1500))-SUMPRODUCT(('T15'!$L$3:$L$1499=L20)*('T15'!$B$3:$B$1499&lt;C20)*('T15'!$BC$3:$BC$1499+'T15'!$BD$3:$BD$1499+'T15'!$BE$3:$BE$1499)))</f>
        <v>0</v>
      </c>
      <c r="R20" s="21" t="str">
        <f>IF(Q20&gt;0,"Active - overdue balance","Active")</f>
        <v>Active</v>
      </c>
      <c r="S20" s="21">
        <v>3</v>
      </c>
      <c r="T20" s="21" t="s">
        <v>1826</v>
      </c>
      <c r="U20" s="21" t="s">
        <v>1804</v>
      </c>
      <c r="V20" s="21">
        <v>1500</v>
      </c>
      <c r="W20" s="25">
        <v>1450</v>
      </c>
      <c r="X20" s="25">
        <f>V20*W20</f>
        <v>2175000</v>
      </c>
      <c r="Y20" s="23">
        <f>_xlfn.XLOOKUP(LEFT(T20,FIND(" - ",T20)-1),'T13'!$A$3:$A$1500,'T13'!$O$3:$O$1500)</f>
        <v>0.18</v>
      </c>
      <c r="Z20" s="25">
        <f>V20*IF(U20="MT",1000,IF(U20="Jumbo bag (1.5 MT)",1500,IF(U20="Bag (40 kg)",40,50)))*3</f>
        <v>225000</v>
      </c>
      <c r="AA20" s="33">
        <f>SUMIFS($V$3:$V$1500,$A$3:$A$1500,A20,$U$3:$U$1500,"Bag (50 kg)")*0.05+SUMIFS($V$3:$V$1500,$A$3:$A$1500,A20,$U$3:$U$1500,"Bag (40 kg)")*0.04+SUMIFS($V$3:$V$1500,$A$3:$A$1500,A20,$U$3:$U$1500,"MT")+SUMIFS($V$3:$V$1500,$A$3:$A$1500,A20,$U$3:$U$1500,"Jumbo bag (1.5 MT)")*1.5</f>
        <v>225</v>
      </c>
      <c r="AB20" s="25">
        <f>SUMIFS($X$3:$X$1500,$A$3:$A$1500,A20)</f>
        <v>6350000</v>
      </c>
      <c r="AC20" s="25" cm="1">
        <f t="array" ref="AC20">SUMPRODUCT(($A$3:$A$1500=A20)*$X$3:$X$1500*$Y$3:$Y$1500)</f>
        <v>1143000</v>
      </c>
      <c r="AD20" s="25">
        <f>SUMIFS($Z$3:$Z$1500,$A$3:$A$1500,A20)</f>
        <v>675000</v>
      </c>
      <c r="AE20" s="25">
        <f>AB20+AC20+AD20</f>
        <v>8168000</v>
      </c>
      <c r="AF20" s="21" t="str">
        <f>"PKR "&amp;TEXT(AE20,"#,##0")&amp;" only"</f>
        <v>PKR 8,168,000 only</v>
      </c>
      <c r="AG20" s="21" t="s">
        <v>1805</v>
      </c>
      <c r="AH20" s="21" t="s">
        <v>1091</v>
      </c>
      <c r="AI20" s="21" t="s">
        <v>1854</v>
      </c>
      <c r="AJ20" s="21" t="s">
        <v>768</v>
      </c>
      <c r="AK20" s="21" t="s">
        <v>1092</v>
      </c>
      <c r="AL20" s="21" t="s">
        <v>1807</v>
      </c>
      <c r="AM20" s="21" t="s">
        <v>1051</v>
      </c>
    </row>
    <row r="21" spans="1:39" x14ac:dyDescent="0.3">
      <c r="A21" s="21" t="s">
        <v>1855</v>
      </c>
      <c r="B21" s="21">
        <v>0</v>
      </c>
      <c r="C21" s="29">
        <v>45726</v>
      </c>
      <c r="D21" s="21" t="s">
        <v>1795</v>
      </c>
      <c r="E21" s="21" t="s">
        <v>743</v>
      </c>
      <c r="F21" s="21" t="s">
        <v>1811</v>
      </c>
      <c r="G21" s="21" t="s">
        <v>1797</v>
      </c>
      <c r="H21" s="29">
        <f>C21</f>
        <v>45726</v>
      </c>
      <c r="I21" s="29">
        <f>H21+30</f>
        <v>45756</v>
      </c>
      <c r="J21" s="21" t="s">
        <v>1834</v>
      </c>
      <c r="K21" s="21" t="s">
        <v>1812</v>
      </c>
      <c r="L21" s="21" t="s">
        <v>1849</v>
      </c>
      <c r="M21" s="21" t="s">
        <v>746</v>
      </c>
      <c r="N21" s="21" t="s">
        <v>1183</v>
      </c>
      <c r="O21" s="21" t="s">
        <v>1850</v>
      </c>
      <c r="P21" s="21" t="s">
        <v>1190</v>
      </c>
      <c r="Q21" s="25" cm="1">
        <f t="array" ref="Q21">MAX(0,SUMPRODUCT(('T11'!$G$3:$G$1500=L21)*('T11'!$AG$3:$AG$1500&lt;C21)*('T11'!$W$3:$W$1500*(1+'T11'!$X$3:$X$1500)+'T11'!$Y$3:$Y$1500))-SUMPRODUCT(('T15'!$L$3:$L$1499=L21)*('T15'!$B$3:$B$1499&lt;C21)*('T15'!$BC$3:$BC$1499+'T15'!$BD$3:$BD$1499+'T15'!$BE$3:$BE$1499)))</f>
        <v>0</v>
      </c>
      <c r="R21" s="21" t="str">
        <f>IF(Q21&gt;0,"Active - overdue balance","Active")</f>
        <v>Active</v>
      </c>
      <c r="S21" s="21">
        <v>1</v>
      </c>
      <c r="T21" s="21" t="s">
        <v>1803</v>
      </c>
      <c r="U21" s="21" t="s">
        <v>1804</v>
      </c>
      <c r="V21" s="21">
        <v>5500</v>
      </c>
      <c r="W21" s="25">
        <v>1405</v>
      </c>
      <c r="X21" s="25">
        <f>V21*W21</f>
        <v>7727500</v>
      </c>
      <c r="Y21" s="23">
        <f>_xlfn.XLOOKUP(LEFT(T21,FIND(" - ",T21)-1),'T13'!$A$3:$A$1500,'T13'!$O$3:$O$1500)</f>
        <v>0.18</v>
      </c>
      <c r="Z21" s="25">
        <f>V21*IF(U21="MT",1000,IF(U21="Jumbo bag (1.5 MT)",1500,IF(U21="Bag (40 kg)",40,50)))*3</f>
        <v>825000</v>
      </c>
      <c r="AA21" s="33">
        <f>SUMIFS($V$3:$V$1500,$A$3:$A$1500,A21,$U$3:$U$1500,"Bag (50 kg)")*0.05+SUMIFS($V$3:$V$1500,$A$3:$A$1500,A21,$U$3:$U$1500,"Bag (40 kg)")*0.04+SUMIFS($V$3:$V$1500,$A$3:$A$1500,A21,$U$3:$U$1500,"MT")+SUMIFS($V$3:$V$1500,$A$3:$A$1500,A21,$U$3:$U$1500,"Jumbo bag (1.5 MT)")*1.5</f>
        <v>375</v>
      </c>
      <c r="AB21" s="25">
        <f>SUMIFS($X$3:$X$1500,$A$3:$A$1500,A21)</f>
        <v>10487500</v>
      </c>
      <c r="AC21" s="25" cm="1">
        <f t="array" ref="AC21">SUMPRODUCT(($A$3:$A$1500=A21)*$X$3:$X$1500*$Y$3:$Y$1500)</f>
        <v>1887750</v>
      </c>
      <c r="AD21" s="25">
        <f>SUMIFS($Z$3:$Z$1500,$A$3:$A$1500,A21)</f>
        <v>1125000</v>
      </c>
      <c r="AE21" s="25">
        <f>AB21+AC21+AD21</f>
        <v>13500250</v>
      </c>
      <c r="AF21" s="21" t="str">
        <f>"PKR "&amp;TEXT(AE21,"#,##0")&amp;" only"</f>
        <v>PKR 13,500,250 only</v>
      </c>
      <c r="AG21" s="21" t="s">
        <v>1805</v>
      </c>
      <c r="AH21" s="21" t="s">
        <v>1091</v>
      </c>
      <c r="AI21" s="21" t="s">
        <v>1851</v>
      </c>
      <c r="AJ21" s="21" t="s">
        <v>768</v>
      </c>
      <c r="AK21" s="21" t="s">
        <v>1092</v>
      </c>
      <c r="AL21" s="21" t="s">
        <v>1807</v>
      </c>
      <c r="AM21" s="21" t="s">
        <v>1062</v>
      </c>
    </row>
    <row r="22" spans="1:39" x14ac:dyDescent="0.3">
      <c r="A22" s="21" t="s">
        <v>1855</v>
      </c>
      <c r="B22" s="21">
        <v>0</v>
      </c>
      <c r="C22" s="29">
        <v>45726</v>
      </c>
      <c r="D22" s="21" t="s">
        <v>1795</v>
      </c>
      <c r="E22" s="21" t="s">
        <v>743</v>
      </c>
      <c r="F22" s="21" t="s">
        <v>1811</v>
      </c>
      <c r="G22" s="21" t="s">
        <v>1797</v>
      </c>
      <c r="H22" s="29">
        <f>C22</f>
        <v>45726</v>
      </c>
      <c r="I22" s="29">
        <f>H22+30</f>
        <v>45756</v>
      </c>
      <c r="J22" s="21" t="s">
        <v>1834</v>
      </c>
      <c r="K22" s="21" t="s">
        <v>1812</v>
      </c>
      <c r="L22" s="21" t="s">
        <v>1849</v>
      </c>
      <c r="M22" s="21" t="s">
        <v>746</v>
      </c>
      <c r="N22" s="21" t="s">
        <v>1183</v>
      </c>
      <c r="O22" s="21" t="s">
        <v>1850</v>
      </c>
      <c r="P22" s="21" t="s">
        <v>1190</v>
      </c>
      <c r="Q22" s="25" cm="1">
        <f t="array" ref="Q22">MAX(0,SUMPRODUCT(('T11'!$G$3:$G$1500=L22)*('T11'!$AG$3:$AG$1500&lt;C22)*('T11'!$W$3:$W$1500*(1+'T11'!$X$3:$X$1500)+'T11'!$Y$3:$Y$1500))-SUMPRODUCT(('T15'!$L$3:$L$1499=L22)*('T15'!$B$3:$B$1499&lt;C22)*('T15'!$BC$3:$BC$1499+'T15'!$BD$3:$BD$1499+'T15'!$BE$3:$BE$1499)))</f>
        <v>0</v>
      </c>
      <c r="R22" s="21" t="str">
        <f>IF(Q22&gt;0,"Active - overdue balance","Active")</f>
        <v>Active</v>
      </c>
      <c r="S22" s="21">
        <v>2</v>
      </c>
      <c r="T22" s="21" t="s">
        <v>1828</v>
      </c>
      <c r="U22" s="21" t="s">
        <v>1804</v>
      </c>
      <c r="V22" s="21">
        <v>2000</v>
      </c>
      <c r="W22" s="25">
        <v>1380</v>
      </c>
      <c r="X22" s="25">
        <f>V22*W22</f>
        <v>2760000</v>
      </c>
      <c r="Y22" s="23">
        <f>_xlfn.XLOOKUP(LEFT(T22,FIND(" - ",T22)-1),'T13'!$A$3:$A$1500,'T13'!$O$3:$O$1500)</f>
        <v>0.18</v>
      </c>
      <c r="Z22" s="25">
        <f>V22*IF(U22="MT",1000,IF(U22="Jumbo bag (1.5 MT)",1500,IF(U22="Bag (40 kg)",40,50)))*3</f>
        <v>300000</v>
      </c>
      <c r="AA22" s="33">
        <f>SUMIFS($V$3:$V$1500,$A$3:$A$1500,A22,$U$3:$U$1500,"Bag (50 kg)")*0.05+SUMIFS($V$3:$V$1500,$A$3:$A$1500,A22,$U$3:$U$1500,"Bag (40 kg)")*0.04+SUMIFS($V$3:$V$1500,$A$3:$A$1500,A22,$U$3:$U$1500,"MT")+SUMIFS($V$3:$V$1500,$A$3:$A$1500,A22,$U$3:$U$1500,"Jumbo bag (1.5 MT)")*1.5</f>
        <v>375</v>
      </c>
      <c r="AB22" s="25">
        <f>SUMIFS($X$3:$X$1500,$A$3:$A$1500,A22)</f>
        <v>10487500</v>
      </c>
      <c r="AC22" s="25" cm="1">
        <f t="array" ref="AC22">SUMPRODUCT(($A$3:$A$1500=A22)*$X$3:$X$1500*$Y$3:$Y$1500)</f>
        <v>1887750</v>
      </c>
      <c r="AD22" s="25">
        <f>SUMIFS($Z$3:$Z$1500,$A$3:$A$1500,A22)</f>
        <v>1125000</v>
      </c>
      <c r="AE22" s="25">
        <f>AB22+AC22+AD22</f>
        <v>13500250</v>
      </c>
      <c r="AF22" s="21" t="str">
        <f>"PKR "&amp;TEXT(AE22,"#,##0")&amp;" only"</f>
        <v>PKR 13,500,250 only</v>
      </c>
      <c r="AG22" s="21" t="s">
        <v>1805</v>
      </c>
      <c r="AH22" s="21" t="s">
        <v>1091</v>
      </c>
      <c r="AI22" s="21" t="s">
        <v>1851</v>
      </c>
      <c r="AJ22" s="21" t="s">
        <v>768</v>
      </c>
      <c r="AK22" s="21" t="s">
        <v>1092</v>
      </c>
      <c r="AL22" s="21" t="s">
        <v>1807</v>
      </c>
      <c r="AM22" s="21" t="s">
        <v>1062</v>
      </c>
    </row>
    <row r="23" spans="1:39" x14ac:dyDescent="0.3">
      <c r="A23" s="21" t="s">
        <v>1856</v>
      </c>
      <c r="B23" s="21">
        <v>0</v>
      </c>
      <c r="C23" s="29">
        <v>45744</v>
      </c>
      <c r="D23" s="21" t="s">
        <v>1795</v>
      </c>
      <c r="E23" s="21" t="s">
        <v>743</v>
      </c>
      <c r="F23" s="21" t="s">
        <v>1811</v>
      </c>
      <c r="G23" s="21" t="s">
        <v>1797</v>
      </c>
      <c r="H23" s="29">
        <f>C23</f>
        <v>45744</v>
      </c>
      <c r="I23" s="29">
        <f>H23+30</f>
        <v>45774</v>
      </c>
      <c r="J23" s="21" t="s">
        <v>1798</v>
      </c>
      <c r="K23" s="21" t="s">
        <v>1812</v>
      </c>
      <c r="L23" s="21" t="s">
        <v>1857</v>
      </c>
      <c r="M23" s="21" t="s">
        <v>746</v>
      </c>
      <c r="N23" s="21" t="s">
        <v>1121</v>
      </c>
      <c r="O23" s="21" t="s">
        <v>1858</v>
      </c>
      <c r="P23" s="21" t="s">
        <v>1129</v>
      </c>
      <c r="Q23" s="25" cm="1">
        <f t="array" ref="Q23">MAX(0,SUMPRODUCT(('T11'!$G$3:$G$1500=L23)*('T11'!$AG$3:$AG$1500&lt;C23)*('T11'!$W$3:$W$1500*(1+'T11'!$X$3:$X$1500)+'T11'!$Y$3:$Y$1500))-SUMPRODUCT(('T15'!$L$3:$L$1499=L23)*('T15'!$B$3:$B$1499&lt;C23)*('T15'!$BC$3:$BC$1499+'T15'!$BD$3:$BD$1499+'T15'!$BE$3:$BE$1499)))</f>
        <v>0</v>
      </c>
      <c r="R23" s="21" t="str">
        <f>IF(Q23&gt;0,"Active - overdue balance","Active")</f>
        <v>Active</v>
      </c>
      <c r="S23" s="21">
        <v>1</v>
      </c>
      <c r="T23" s="21" t="s">
        <v>1859</v>
      </c>
      <c r="U23" s="21" t="s">
        <v>1860</v>
      </c>
      <c r="V23" s="21">
        <v>30</v>
      </c>
      <c r="W23" s="25">
        <v>42750</v>
      </c>
      <c r="X23" s="25">
        <f>V23*W23</f>
        <v>1282500</v>
      </c>
      <c r="Y23" s="23">
        <f>_xlfn.XLOOKUP(LEFT(T23,FIND(" - ",T23)-1),'T13'!$A$3:$A$1500,'T13'!$O$3:$O$1500)</f>
        <v>0.18</v>
      </c>
      <c r="Z23" s="25">
        <f>V23*IF(U23="MT",1000,IF(U23="Jumbo bag (1.5 MT)",1500,IF(U23="Bag (40 kg)",40,50)))*3</f>
        <v>135000</v>
      </c>
      <c r="AA23" s="33">
        <f>SUMIFS($V$3:$V$1500,$A$3:$A$1500,A23,$U$3:$U$1500,"Bag (50 kg)")*0.05+SUMIFS($V$3:$V$1500,$A$3:$A$1500,A23,$U$3:$U$1500,"Bag (40 kg)")*0.04+SUMIFS($V$3:$V$1500,$A$3:$A$1500,A23,$U$3:$U$1500,"MT")+SUMIFS($V$3:$V$1500,$A$3:$A$1500,A23,$U$3:$U$1500,"Jumbo bag (1.5 MT)")*1.5</f>
        <v>95</v>
      </c>
      <c r="AB23" s="25">
        <f>SUMIFS($X$3:$X$1500,$A$3:$A$1500,A23)</f>
        <v>2802500</v>
      </c>
      <c r="AC23" s="25" cm="1">
        <f t="array" ref="AC23">SUMPRODUCT(($A$3:$A$1500=A23)*$X$3:$X$1500*$Y$3:$Y$1500)</f>
        <v>504450</v>
      </c>
      <c r="AD23" s="25">
        <f>SUMIFS($Z$3:$Z$1500,$A$3:$A$1500,A23)</f>
        <v>285000</v>
      </c>
      <c r="AE23" s="25">
        <f>AB23+AC23+AD23</f>
        <v>3591950</v>
      </c>
      <c r="AF23" s="21" t="str">
        <f>"PKR "&amp;TEXT(AE23,"#,##0")&amp;" only"</f>
        <v>PKR 3,591,950 only</v>
      </c>
      <c r="AG23" s="21" t="s">
        <v>1861</v>
      </c>
      <c r="AH23" s="21" t="s">
        <v>1117</v>
      </c>
      <c r="AI23" s="21" t="s">
        <v>1862</v>
      </c>
      <c r="AJ23" s="21" t="s">
        <v>768</v>
      </c>
      <c r="AK23" s="21" t="s">
        <v>1118</v>
      </c>
      <c r="AL23" s="21" t="s">
        <v>1807</v>
      </c>
      <c r="AM23" s="21" t="s">
        <v>1062</v>
      </c>
    </row>
    <row r="24" spans="1:39" x14ac:dyDescent="0.3">
      <c r="A24" s="21" t="s">
        <v>1856</v>
      </c>
      <c r="B24" s="21">
        <v>0</v>
      </c>
      <c r="C24" s="29">
        <v>45744</v>
      </c>
      <c r="D24" s="21" t="s">
        <v>1795</v>
      </c>
      <c r="E24" s="21" t="s">
        <v>743</v>
      </c>
      <c r="F24" s="21" t="s">
        <v>1811</v>
      </c>
      <c r="G24" s="21" t="s">
        <v>1797</v>
      </c>
      <c r="H24" s="29">
        <f>C24</f>
        <v>45744</v>
      </c>
      <c r="I24" s="29">
        <f>H24+30</f>
        <v>45774</v>
      </c>
      <c r="J24" s="21" t="s">
        <v>1798</v>
      </c>
      <c r="K24" s="21" t="s">
        <v>1812</v>
      </c>
      <c r="L24" s="21" t="s">
        <v>1857</v>
      </c>
      <c r="M24" s="21" t="s">
        <v>746</v>
      </c>
      <c r="N24" s="21" t="s">
        <v>1121</v>
      </c>
      <c r="O24" s="21" t="s">
        <v>1858</v>
      </c>
      <c r="P24" s="21" t="s">
        <v>1129</v>
      </c>
      <c r="Q24" s="25" cm="1">
        <f t="array" ref="Q24">MAX(0,SUMPRODUCT(('T11'!$G$3:$G$1500=L24)*('T11'!$AG$3:$AG$1500&lt;C24)*('T11'!$W$3:$W$1500*(1+'T11'!$X$3:$X$1500)+'T11'!$Y$3:$Y$1500))-SUMPRODUCT(('T15'!$L$3:$L$1499=L24)*('T15'!$B$3:$B$1499&lt;C24)*('T15'!$BC$3:$BC$1499+'T15'!$BD$3:$BD$1499+'T15'!$BE$3:$BE$1499)))</f>
        <v>0</v>
      </c>
      <c r="R24" s="21" t="str">
        <f>IF(Q24&gt;0,"Active - overdue balance","Active")</f>
        <v>Active</v>
      </c>
      <c r="S24" s="21">
        <v>2</v>
      </c>
      <c r="T24" s="21" t="s">
        <v>1826</v>
      </c>
      <c r="U24" s="21" t="s">
        <v>1804</v>
      </c>
      <c r="V24" s="21">
        <v>500</v>
      </c>
      <c r="W24" s="25">
        <v>1455</v>
      </c>
      <c r="X24" s="25">
        <f>V24*W24</f>
        <v>727500</v>
      </c>
      <c r="Y24" s="23">
        <f>_xlfn.XLOOKUP(LEFT(T24,FIND(" - ",T24)-1),'T13'!$A$3:$A$1500,'T13'!$O$3:$O$1500)</f>
        <v>0.18</v>
      </c>
      <c r="Z24" s="25">
        <f>V24*IF(U24="MT",1000,IF(U24="Jumbo bag (1.5 MT)",1500,IF(U24="Bag (40 kg)",40,50)))*3</f>
        <v>75000</v>
      </c>
      <c r="AA24" s="33">
        <f>SUMIFS($V$3:$V$1500,$A$3:$A$1500,A24,$U$3:$U$1500,"Bag (50 kg)")*0.05+SUMIFS($V$3:$V$1500,$A$3:$A$1500,A24,$U$3:$U$1500,"Bag (40 kg)")*0.04+SUMIFS($V$3:$V$1500,$A$3:$A$1500,A24,$U$3:$U$1500,"MT")+SUMIFS($V$3:$V$1500,$A$3:$A$1500,A24,$U$3:$U$1500,"Jumbo bag (1.5 MT)")*1.5</f>
        <v>95</v>
      </c>
      <c r="AB24" s="25">
        <f>SUMIFS($X$3:$X$1500,$A$3:$A$1500,A24)</f>
        <v>2802500</v>
      </c>
      <c r="AC24" s="25" cm="1">
        <f t="array" ref="AC24">SUMPRODUCT(($A$3:$A$1500=A24)*$X$3:$X$1500*$Y$3:$Y$1500)</f>
        <v>504450</v>
      </c>
      <c r="AD24" s="25">
        <f>SUMIFS($Z$3:$Z$1500,$A$3:$A$1500,A24)</f>
        <v>285000</v>
      </c>
      <c r="AE24" s="25">
        <f>AB24+AC24+AD24</f>
        <v>3591950</v>
      </c>
      <c r="AF24" s="21" t="str">
        <f>"PKR "&amp;TEXT(AE24,"#,##0")&amp;" only"</f>
        <v>PKR 3,591,950 only</v>
      </c>
      <c r="AG24" s="21" t="s">
        <v>1861</v>
      </c>
      <c r="AH24" s="21" t="s">
        <v>1117</v>
      </c>
      <c r="AI24" s="21" t="s">
        <v>1862</v>
      </c>
      <c r="AJ24" s="21" t="s">
        <v>768</v>
      </c>
      <c r="AK24" s="21" t="s">
        <v>1118</v>
      </c>
      <c r="AL24" s="21" t="s">
        <v>1807</v>
      </c>
      <c r="AM24" s="21" t="s">
        <v>1062</v>
      </c>
    </row>
    <row r="25" spans="1:39" x14ac:dyDescent="0.3">
      <c r="A25" s="21" t="s">
        <v>1856</v>
      </c>
      <c r="B25" s="21">
        <v>0</v>
      </c>
      <c r="C25" s="29">
        <v>45744</v>
      </c>
      <c r="D25" s="21" t="s">
        <v>1795</v>
      </c>
      <c r="E25" s="21" t="s">
        <v>743</v>
      </c>
      <c r="F25" s="21" t="s">
        <v>1811</v>
      </c>
      <c r="G25" s="21" t="s">
        <v>1797</v>
      </c>
      <c r="H25" s="29">
        <f>C25</f>
        <v>45744</v>
      </c>
      <c r="I25" s="29">
        <f>H25+30</f>
        <v>45774</v>
      </c>
      <c r="J25" s="21" t="s">
        <v>1798</v>
      </c>
      <c r="K25" s="21" t="s">
        <v>1812</v>
      </c>
      <c r="L25" s="21" t="s">
        <v>1857</v>
      </c>
      <c r="M25" s="21" t="s">
        <v>746</v>
      </c>
      <c r="N25" s="21" t="s">
        <v>1121</v>
      </c>
      <c r="O25" s="21" t="s">
        <v>1858</v>
      </c>
      <c r="P25" s="21" t="s">
        <v>1129</v>
      </c>
      <c r="Q25" s="25" cm="1">
        <f t="array" ref="Q25">MAX(0,SUMPRODUCT(('T11'!$G$3:$G$1500=L25)*('T11'!$AG$3:$AG$1500&lt;C25)*('T11'!$W$3:$W$1500*(1+'T11'!$X$3:$X$1500)+'T11'!$Y$3:$Y$1500))-SUMPRODUCT(('T15'!$L$3:$L$1499=L25)*('T15'!$B$3:$B$1499&lt;C25)*('T15'!$BC$3:$BC$1499+'T15'!$BD$3:$BD$1499+'T15'!$BE$3:$BE$1499)))</f>
        <v>0</v>
      </c>
      <c r="R25" s="21" t="str">
        <f>IF(Q25&gt;0,"Active - overdue balance","Active")</f>
        <v>Active</v>
      </c>
      <c r="S25" s="21">
        <v>3</v>
      </c>
      <c r="T25" s="21" t="s">
        <v>1842</v>
      </c>
      <c r="U25" s="21" t="s">
        <v>1804</v>
      </c>
      <c r="V25" s="21">
        <v>500</v>
      </c>
      <c r="W25" s="25">
        <v>1585</v>
      </c>
      <c r="X25" s="25">
        <f>V25*W25</f>
        <v>792500</v>
      </c>
      <c r="Y25" s="23">
        <f>_xlfn.XLOOKUP(LEFT(T25,FIND(" - ",T25)-1),'T13'!$A$3:$A$1500,'T13'!$O$3:$O$1500)</f>
        <v>0.18</v>
      </c>
      <c r="Z25" s="25">
        <f>V25*IF(U25="MT",1000,IF(U25="Jumbo bag (1.5 MT)",1500,IF(U25="Bag (40 kg)",40,50)))*3</f>
        <v>75000</v>
      </c>
      <c r="AA25" s="33">
        <f>SUMIFS($V$3:$V$1500,$A$3:$A$1500,A25,$U$3:$U$1500,"Bag (50 kg)")*0.05+SUMIFS($V$3:$V$1500,$A$3:$A$1500,A25,$U$3:$U$1500,"Bag (40 kg)")*0.04+SUMIFS($V$3:$V$1500,$A$3:$A$1500,A25,$U$3:$U$1500,"MT")+SUMIFS($V$3:$V$1500,$A$3:$A$1500,A25,$U$3:$U$1500,"Jumbo bag (1.5 MT)")*1.5</f>
        <v>95</v>
      </c>
      <c r="AB25" s="25">
        <f>SUMIFS($X$3:$X$1500,$A$3:$A$1500,A25)</f>
        <v>2802500</v>
      </c>
      <c r="AC25" s="25" cm="1">
        <f t="array" ref="AC25">SUMPRODUCT(($A$3:$A$1500=A25)*$X$3:$X$1500*$Y$3:$Y$1500)</f>
        <v>504450</v>
      </c>
      <c r="AD25" s="25">
        <f>SUMIFS($Z$3:$Z$1500,$A$3:$A$1500,A25)</f>
        <v>285000</v>
      </c>
      <c r="AE25" s="25">
        <f>AB25+AC25+AD25</f>
        <v>3591950</v>
      </c>
      <c r="AF25" s="21" t="str">
        <f>"PKR "&amp;TEXT(AE25,"#,##0")&amp;" only"</f>
        <v>PKR 3,591,950 only</v>
      </c>
      <c r="AG25" s="21" t="s">
        <v>1861</v>
      </c>
      <c r="AH25" s="21" t="s">
        <v>1117</v>
      </c>
      <c r="AI25" s="21" t="s">
        <v>1862</v>
      </c>
      <c r="AJ25" s="21" t="s">
        <v>768</v>
      </c>
      <c r="AK25" s="21" t="s">
        <v>1118</v>
      </c>
      <c r="AL25" s="21" t="s">
        <v>1807</v>
      </c>
      <c r="AM25" s="21" t="s">
        <v>1062</v>
      </c>
    </row>
    <row r="26" spans="1:39" x14ac:dyDescent="0.3">
      <c r="A26" s="21" t="s">
        <v>1863</v>
      </c>
      <c r="B26" s="21">
        <v>0</v>
      </c>
      <c r="C26" s="29">
        <v>45744</v>
      </c>
      <c r="D26" s="21" t="s">
        <v>1795</v>
      </c>
      <c r="E26" s="21" t="s">
        <v>743</v>
      </c>
      <c r="F26" s="21" t="s">
        <v>1796</v>
      </c>
      <c r="G26" s="21" t="s">
        <v>1797</v>
      </c>
      <c r="H26" s="29">
        <f>C26</f>
        <v>45744</v>
      </c>
      <c r="I26" s="29">
        <f>H26+30</f>
        <v>45774</v>
      </c>
      <c r="J26" s="21" t="s">
        <v>1798</v>
      </c>
      <c r="K26" s="21" t="s">
        <v>1799</v>
      </c>
      <c r="L26" s="21" t="s">
        <v>1835</v>
      </c>
      <c r="M26" s="21" t="s">
        <v>746</v>
      </c>
      <c r="N26" s="21" t="s">
        <v>1836</v>
      </c>
      <c r="O26" s="21" t="s">
        <v>1837</v>
      </c>
      <c r="P26" s="21" t="s">
        <v>1058</v>
      </c>
      <c r="Q26" s="25" cm="1">
        <f t="array" ref="Q26">MAX(0,SUMPRODUCT(('T11'!$G$3:$G$1500=L26)*('T11'!$AG$3:$AG$1500&lt;C26)*('T11'!$W$3:$W$1500*(1+'T11'!$X$3:$X$1500)+'T11'!$Y$3:$Y$1500))-SUMPRODUCT(('T15'!$L$3:$L$1499=L26)*('T15'!$B$3:$B$1499&lt;C26)*('T15'!$BC$3:$BC$1499+'T15'!$BD$3:$BD$1499+'T15'!$BE$3:$BE$1499)))</f>
        <v>0</v>
      </c>
      <c r="R26" s="21" t="str">
        <f>IF(Q26&gt;0,"Active - overdue balance","Active")</f>
        <v>Active</v>
      </c>
      <c r="S26" s="21">
        <v>1</v>
      </c>
      <c r="T26" s="21" t="s">
        <v>1842</v>
      </c>
      <c r="U26" s="21" t="s">
        <v>1804</v>
      </c>
      <c r="V26" s="21">
        <v>500</v>
      </c>
      <c r="W26" s="25">
        <v>1585</v>
      </c>
      <c r="X26" s="25">
        <f>V26*W26</f>
        <v>792500</v>
      </c>
      <c r="Y26" s="23">
        <f>_xlfn.XLOOKUP(LEFT(T26,FIND(" - ",T26)-1),'T13'!$A$3:$A$1500,'T13'!$O$3:$O$1500)</f>
        <v>0.18</v>
      </c>
      <c r="Z26" s="25">
        <f>V26*IF(U26="MT",1000,IF(U26="Jumbo bag (1.5 MT)",1500,IF(U26="Bag (40 kg)",40,50)))*3</f>
        <v>75000</v>
      </c>
      <c r="AA26" s="33">
        <f>SUMIFS($V$3:$V$1500,$A$3:$A$1500,A26,$U$3:$U$1500,"Bag (50 kg)")*0.05+SUMIFS($V$3:$V$1500,$A$3:$A$1500,A26,$U$3:$U$1500,"Bag (40 kg)")*0.04+SUMIFS($V$3:$V$1500,$A$3:$A$1500,A26,$U$3:$U$1500,"MT")+SUMIFS($V$3:$V$1500,$A$3:$A$1500,A26,$U$3:$U$1500,"Jumbo bag (1.5 MT)")*1.5</f>
        <v>95</v>
      </c>
      <c r="AB26" s="25">
        <f>SUMIFS($X$3:$X$1500,$A$3:$A$1500,A26)</f>
        <v>2840000</v>
      </c>
      <c r="AC26" s="25" cm="1">
        <f t="array" ref="AC26">SUMPRODUCT(($A$3:$A$1500=A26)*$X$3:$X$1500*$Y$3:$Y$1500)</f>
        <v>511200</v>
      </c>
      <c r="AD26" s="25">
        <f>SUMIFS($Z$3:$Z$1500,$A$3:$A$1500,A26)</f>
        <v>285000</v>
      </c>
      <c r="AE26" s="25">
        <f>AB26+AC26+AD26</f>
        <v>3636200</v>
      </c>
      <c r="AF26" s="21" t="str">
        <f>"PKR "&amp;TEXT(AE26,"#,##0")&amp;" only"</f>
        <v>PKR 3,636,200 only</v>
      </c>
      <c r="AG26" s="21" t="s">
        <v>1805</v>
      </c>
      <c r="AH26" s="21" t="s">
        <v>1091</v>
      </c>
      <c r="AI26" s="21" t="s">
        <v>1838</v>
      </c>
      <c r="AJ26" s="21" t="s">
        <v>768</v>
      </c>
      <c r="AK26" s="21" t="s">
        <v>1092</v>
      </c>
      <c r="AL26" s="21" t="s">
        <v>1807</v>
      </c>
      <c r="AM26" s="21" t="s">
        <v>1062</v>
      </c>
    </row>
    <row r="27" spans="1:39" x14ac:dyDescent="0.3">
      <c r="A27" s="21" t="s">
        <v>1863</v>
      </c>
      <c r="B27" s="21">
        <v>0</v>
      </c>
      <c r="C27" s="29">
        <v>45744</v>
      </c>
      <c r="D27" s="21" t="s">
        <v>1795</v>
      </c>
      <c r="E27" s="21" t="s">
        <v>743</v>
      </c>
      <c r="F27" s="21" t="s">
        <v>1796</v>
      </c>
      <c r="G27" s="21" t="s">
        <v>1797</v>
      </c>
      <c r="H27" s="29">
        <f>C27</f>
        <v>45744</v>
      </c>
      <c r="I27" s="29">
        <f>H27+30</f>
        <v>45774</v>
      </c>
      <c r="J27" s="21" t="s">
        <v>1798</v>
      </c>
      <c r="K27" s="21" t="s">
        <v>1799</v>
      </c>
      <c r="L27" s="21" t="s">
        <v>1835</v>
      </c>
      <c r="M27" s="21" t="s">
        <v>746</v>
      </c>
      <c r="N27" s="21" t="s">
        <v>1836</v>
      </c>
      <c r="O27" s="21" t="s">
        <v>1837</v>
      </c>
      <c r="P27" s="21" t="s">
        <v>1058</v>
      </c>
      <c r="Q27" s="25" cm="1">
        <f t="array" ref="Q27">MAX(0,SUMPRODUCT(('T11'!$G$3:$G$1500=L27)*('T11'!$AG$3:$AG$1500&lt;C27)*('T11'!$W$3:$W$1500*(1+'T11'!$X$3:$X$1500)+'T11'!$Y$3:$Y$1500))-SUMPRODUCT(('T15'!$L$3:$L$1499=L27)*('T15'!$B$3:$B$1499&lt;C27)*('T15'!$BC$3:$BC$1499+'T15'!$BD$3:$BD$1499+'T15'!$BE$3:$BE$1499)))</f>
        <v>0</v>
      </c>
      <c r="R27" s="21" t="str">
        <f>IF(Q27&gt;0,"Active - overdue balance","Active")</f>
        <v>Active</v>
      </c>
      <c r="S27" s="21">
        <v>2</v>
      </c>
      <c r="T27" s="21" t="s">
        <v>1808</v>
      </c>
      <c r="U27" s="21" t="s">
        <v>1804</v>
      </c>
      <c r="V27" s="21">
        <v>500</v>
      </c>
      <c r="W27" s="25">
        <v>1530</v>
      </c>
      <c r="X27" s="25">
        <f>V27*W27</f>
        <v>765000</v>
      </c>
      <c r="Y27" s="23">
        <f>_xlfn.XLOOKUP(LEFT(T27,FIND(" - ",T27)-1),'T13'!$A$3:$A$1500,'T13'!$O$3:$O$1500)</f>
        <v>0.18</v>
      </c>
      <c r="Z27" s="25">
        <f>V27*IF(U27="MT",1000,IF(U27="Jumbo bag (1.5 MT)",1500,IF(U27="Bag (40 kg)",40,50)))*3</f>
        <v>75000</v>
      </c>
      <c r="AA27" s="33">
        <f>SUMIFS($V$3:$V$1500,$A$3:$A$1500,A27,$U$3:$U$1500,"Bag (50 kg)")*0.05+SUMIFS($V$3:$V$1500,$A$3:$A$1500,A27,$U$3:$U$1500,"Bag (40 kg)")*0.04+SUMIFS($V$3:$V$1500,$A$3:$A$1500,A27,$U$3:$U$1500,"MT")+SUMIFS($V$3:$V$1500,$A$3:$A$1500,A27,$U$3:$U$1500,"Jumbo bag (1.5 MT)")*1.5</f>
        <v>95</v>
      </c>
      <c r="AB27" s="25">
        <f>SUMIFS($X$3:$X$1500,$A$3:$A$1500,A27)</f>
        <v>2840000</v>
      </c>
      <c r="AC27" s="25" cm="1">
        <f t="array" ref="AC27">SUMPRODUCT(($A$3:$A$1500=A27)*$X$3:$X$1500*$Y$3:$Y$1500)</f>
        <v>511200</v>
      </c>
      <c r="AD27" s="25">
        <f>SUMIFS($Z$3:$Z$1500,$A$3:$A$1500,A27)</f>
        <v>285000</v>
      </c>
      <c r="AE27" s="25">
        <f>AB27+AC27+AD27</f>
        <v>3636200</v>
      </c>
      <c r="AF27" s="21" t="str">
        <f>"PKR "&amp;TEXT(AE27,"#,##0")&amp;" only"</f>
        <v>PKR 3,636,200 only</v>
      </c>
      <c r="AG27" s="21" t="s">
        <v>1805</v>
      </c>
      <c r="AH27" s="21" t="s">
        <v>1091</v>
      </c>
      <c r="AI27" s="21" t="s">
        <v>1838</v>
      </c>
      <c r="AJ27" s="21" t="s">
        <v>768</v>
      </c>
      <c r="AK27" s="21" t="s">
        <v>1092</v>
      </c>
      <c r="AL27" s="21" t="s">
        <v>1807</v>
      </c>
      <c r="AM27" s="21" t="s">
        <v>1062</v>
      </c>
    </row>
    <row r="28" spans="1:39" x14ac:dyDescent="0.3">
      <c r="A28" s="21" t="s">
        <v>1863</v>
      </c>
      <c r="B28" s="21">
        <v>0</v>
      </c>
      <c r="C28" s="29">
        <v>45744</v>
      </c>
      <c r="D28" s="21" t="s">
        <v>1795</v>
      </c>
      <c r="E28" s="21" t="s">
        <v>743</v>
      </c>
      <c r="F28" s="21" t="s">
        <v>1796</v>
      </c>
      <c r="G28" s="21" t="s">
        <v>1797</v>
      </c>
      <c r="H28" s="29">
        <f>C28</f>
        <v>45744</v>
      </c>
      <c r="I28" s="29">
        <f>H28+30</f>
        <v>45774</v>
      </c>
      <c r="J28" s="21" t="s">
        <v>1798</v>
      </c>
      <c r="K28" s="21" t="s">
        <v>1799</v>
      </c>
      <c r="L28" s="21" t="s">
        <v>1835</v>
      </c>
      <c r="M28" s="21" t="s">
        <v>746</v>
      </c>
      <c r="N28" s="21" t="s">
        <v>1836</v>
      </c>
      <c r="O28" s="21" t="s">
        <v>1837</v>
      </c>
      <c r="P28" s="21" t="s">
        <v>1058</v>
      </c>
      <c r="Q28" s="25" cm="1">
        <f t="array" ref="Q28">MAX(0,SUMPRODUCT(('T11'!$G$3:$G$1500=L28)*('T11'!$AG$3:$AG$1500&lt;C28)*('T11'!$W$3:$W$1500*(1+'T11'!$X$3:$X$1500)+'T11'!$Y$3:$Y$1500))-SUMPRODUCT(('T15'!$L$3:$L$1499=L28)*('T15'!$B$3:$B$1499&lt;C28)*('T15'!$BC$3:$BC$1499+'T15'!$BD$3:$BD$1499+'T15'!$BE$3:$BE$1499)))</f>
        <v>0</v>
      </c>
      <c r="R28" s="21" t="str">
        <f>IF(Q28&gt;0,"Active - overdue balance","Active")</f>
        <v>Active</v>
      </c>
      <c r="S28" s="21">
        <v>3</v>
      </c>
      <c r="T28" s="21" t="s">
        <v>1859</v>
      </c>
      <c r="U28" s="21" t="s">
        <v>1860</v>
      </c>
      <c r="V28" s="21">
        <v>30</v>
      </c>
      <c r="W28" s="25">
        <v>42750</v>
      </c>
      <c r="X28" s="25">
        <f>V28*W28</f>
        <v>1282500</v>
      </c>
      <c r="Y28" s="23">
        <f>_xlfn.XLOOKUP(LEFT(T28,FIND(" - ",T28)-1),'T13'!$A$3:$A$1500,'T13'!$O$3:$O$1500)</f>
        <v>0.18</v>
      </c>
      <c r="Z28" s="25">
        <f>V28*IF(U28="MT",1000,IF(U28="Jumbo bag (1.5 MT)",1500,IF(U28="Bag (40 kg)",40,50)))*3</f>
        <v>135000</v>
      </c>
      <c r="AA28" s="33">
        <f>SUMIFS($V$3:$V$1500,$A$3:$A$1500,A28,$U$3:$U$1500,"Bag (50 kg)")*0.05+SUMIFS($V$3:$V$1500,$A$3:$A$1500,A28,$U$3:$U$1500,"Bag (40 kg)")*0.04+SUMIFS($V$3:$V$1500,$A$3:$A$1500,A28,$U$3:$U$1500,"MT")+SUMIFS($V$3:$V$1500,$A$3:$A$1500,A28,$U$3:$U$1500,"Jumbo bag (1.5 MT)")*1.5</f>
        <v>95</v>
      </c>
      <c r="AB28" s="25">
        <f>SUMIFS($X$3:$X$1500,$A$3:$A$1500,A28)</f>
        <v>2840000</v>
      </c>
      <c r="AC28" s="25" cm="1">
        <f t="array" ref="AC28">SUMPRODUCT(($A$3:$A$1500=A28)*$X$3:$X$1500*$Y$3:$Y$1500)</f>
        <v>511200</v>
      </c>
      <c r="AD28" s="25">
        <f>SUMIFS($Z$3:$Z$1500,$A$3:$A$1500,A28)</f>
        <v>285000</v>
      </c>
      <c r="AE28" s="25">
        <f>AB28+AC28+AD28</f>
        <v>3636200</v>
      </c>
      <c r="AF28" s="21" t="str">
        <f>"PKR "&amp;TEXT(AE28,"#,##0")&amp;" only"</f>
        <v>PKR 3,636,200 only</v>
      </c>
      <c r="AG28" s="21" t="s">
        <v>1805</v>
      </c>
      <c r="AH28" s="21" t="s">
        <v>1091</v>
      </c>
      <c r="AI28" s="21" t="s">
        <v>1838</v>
      </c>
      <c r="AJ28" s="21" t="s">
        <v>768</v>
      </c>
      <c r="AK28" s="21" t="s">
        <v>1092</v>
      </c>
      <c r="AL28" s="21" t="s">
        <v>1807</v>
      </c>
      <c r="AM28" s="21" t="s">
        <v>1062</v>
      </c>
    </row>
    <row r="29" spans="1:39" x14ac:dyDescent="0.3">
      <c r="A29" s="21" t="s">
        <v>1864</v>
      </c>
      <c r="B29" s="21">
        <v>0</v>
      </c>
      <c r="C29" s="29">
        <v>45770</v>
      </c>
      <c r="D29" s="21" t="s">
        <v>1795</v>
      </c>
      <c r="E29" s="21" t="s">
        <v>743</v>
      </c>
      <c r="F29" s="21" t="s">
        <v>1811</v>
      </c>
      <c r="G29" s="21" t="s">
        <v>1797</v>
      </c>
      <c r="H29" s="29">
        <f>C29</f>
        <v>45770</v>
      </c>
      <c r="I29" s="29">
        <f>H29+30</f>
        <v>45800</v>
      </c>
      <c r="J29" s="21" t="s">
        <v>1798</v>
      </c>
      <c r="K29" s="21" t="s">
        <v>1812</v>
      </c>
      <c r="L29" s="21" t="s">
        <v>1857</v>
      </c>
      <c r="M29" s="21" t="s">
        <v>746</v>
      </c>
      <c r="N29" s="21" t="s">
        <v>1121</v>
      </c>
      <c r="O29" s="21" t="s">
        <v>1858</v>
      </c>
      <c r="P29" s="21" t="s">
        <v>1129</v>
      </c>
      <c r="Q29" s="25" cm="1">
        <f t="array" ref="Q29">MAX(0,SUMPRODUCT(('T11'!$G$3:$G$1500=L29)*('T11'!$AG$3:$AG$1500&lt;C29)*('T11'!$W$3:$W$1500*(1+'T11'!$X$3:$X$1500)+'T11'!$Y$3:$Y$1500))-SUMPRODUCT(('T15'!$L$3:$L$1499=L29)*('T15'!$B$3:$B$1499&lt;C29)*('T15'!$BC$3:$BC$1499+'T15'!$BD$3:$BD$1499+'T15'!$BE$3:$BE$1499)))</f>
        <v>0</v>
      </c>
      <c r="R29" s="21" t="str">
        <f>IF(Q29&gt;0,"Active - overdue balance","Active")</f>
        <v>Active</v>
      </c>
      <c r="S29" s="21">
        <v>1</v>
      </c>
      <c r="T29" s="21" t="s">
        <v>1842</v>
      </c>
      <c r="U29" s="21" t="s">
        <v>1804</v>
      </c>
      <c r="V29" s="21">
        <v>2500</v>
      </c>
      <c r="W29" s="25">
        <v>1590</v>
      </c>
      <c r="X29" s="25">
        <f>V29*W29</f>
        <v>3975000</v>
      </c>
      <c r="Y29" s="23">
        <f>_xlfn.XLOOKUP(LEFT(T29,FIND(" - ",T29)-1),'T13'!$A$3:$A$1500,'T13'!$O$3:$O$1500)</f>
        <v>0.18</v>
      </c>
      <c r="Z29" s="25">
        <f>V29*IF(U29="MT",1000,IF(U29="Jumbo bag (1.5 MT)",1500,IF(U29="Bag (40 kg)",40,50)))*3</f>
        <v>375000</v>
      </c>
      <c r="AA29" s="33">
        <f>SUMIFS($V$3:$V$1500,$A$3:$A$1500,A29,$U$3:$U$1500,"Bag (50 kg)")*0.05+SUMIFS($V$3:$V$1500,$A$3:$A$1500,A29,$U$3:$U$1500,"Bag (40 kg)")*0.04+SUMIFS($V$3:$V$1500,$A$3:$A$1500,A29,$U$3:$U$1500,"MT")+SUMIFS($V$3:$V$1500,$A$3:$A$1500,A29,$U$3:$U$1500,"Jumbo bag (1.5 MT)")*1.5</f>
        <v>200</v>
      </c>
      <c r="AB29" s="25">
        <f>SUMIFS($X$3:$X$1500,$A$3:$A$1500,A29)</f>
        <v>6390000</v>
      </c>
      <c r="AC29" s="25" cm="1">
        <f t="array" ref="AC29">SUMPRODUCT(($A$3:$A$1500=A29)*$X$3:$X$1500*$Y$3:$Y$1500)</f>
        <v>1150200</v>
      </c>
      <c r="AD29" s="25">
        <f>SUMIFS($Z$3:$Z$1500,$A$3:$A$1500,A29)</f>
        <v>600000</v>
      </c>
      <c r="AE29" s="25">
        <f>AB29+AC29+AD29</f>
        <v>8140200</v>
      </c>
      <c r="AF29" s="21" t="str">
        <f>"PKR "&amp;TEXT(AE29,"#,##0")&amp;" only"</f>
        <v>PKR 8,140,200 only</v>
      </c>
      <c r="AG29" s="21" t="s">
        <v>1861</v>
      </c>
      <c r="AH29" s="21" t="s">
        <v>1117</v>
      </c>
      <c r="AI29" s="21" t="s">
        <v>1862</v>
      </c>
      <c r="AJ29" s="21" t="s">
        <v>768</v>
      </c>
      <c r="AK29" s="21" t="s">
        <v>1118</v>
      </c>
      <c r="AL29" s="21" t="s">
        <v>1807</v>
      </c>
      <c r="AM29" s="21" t="s">
        <v>1062</v>
      </c>
    </row>
    <row r="30" spans="1:39" x14ac:dyDescent="0.3">
      <c r="A30" s="21" t="s">
        <v>1864</v>
      </c>
      <c r="B30" s="21">
        <v>0</v>
      </c>
      <c r="C30" s="29">
        <v>45770</v>
      </c>
      <c r="D30" s="21" t="s">
        <v>1795</v>
      </c>
      <c r="E30" s="21" t="s">
        <v>743</v>
      </c>
      <c r="F30" s="21" t="s">
        <v>1811</v>
      </c>
      <c r="G30" s="21" t="s">
        <v>1797</v>
      </c>
      <c r="H30" s="29">
        <f>C30</f>
        <v>45770</v>
      </c>
      <c r="I30" s="29">
        <f>H30+30</f>
        <v>45800</v>
      </c>
      <c r="J30" s="21" t="s">
        <v>1798</v>
      </c>
      <c r="K30" s="21" t="s">
        <v>1812</v>
      </c>
      <c r="L30" s="21" t="s">
        <v>1857</v>
      </c>
      <c r="M30" s="21" t="s">
        <v>746</v>
      </c>
      <c r="N30" s="21" t="s">
        <v>1121</v>
      </c>
      <c r="O30" s="21" t="s">
        <v>1858</v>
      </c>
      <c r="P30" s="21" t="s">
        <v>1129</v>
      </c>
      <c r="Q30" s="25" cm="1">
        <f t="array" ref="Q30">MAX(0,SUMPRODUCT(('T11'!$G$3:$G$1500=L30)*('T11'!$AG$3:$AG$1500&lt;C30)*('T11'!$W$3:$W$1500*(1+'T11'!$X$3:$X$1500)+'T11'!$Y$3:$Y$1500))-SUMPRODUCT(('T15'!$L$3:$L$1499=L30)*('T15'!$B$3:$B$1499&lt;C30)*('T15'!$BC$3:$BC$1499+'T15'!$BD$3:$BD$1499+'T15'!$BE$3:$BE$1499)))</f>
        <v>0</v>
      </c>
      <c r="R30" s="21" t="str">
        <f>IF(Q30&gt;0,"Active - overdue balance","Active")</f>
        <v>Active</v>
      </c>
      <c r="S30" s="21">
        <v>2</v>
      </c>
      <c r="T30" s="21" t="s">
        <v>1865</v>
      </c>
      <c r="U30" s="21" t="s">
        <v>1804</v>
      </c>
      <c r="V30" s="21">
        <v>1500</v>
      </c>
      <c r="W30" s="25">
        <v>1610</v>
      </c>
      <c r="X30" s="25">
        <f>V30*W30</f>
        <v>2415000</v>
      </c>
      <c r="Y30" s="23">
        <f>_xlfn.XLOOKUP(LEFT(T30,FIND(" - ",T30)-1),'T13'!$A$3:$A$1500,'T13'!$O$3:$O$1500)</f>
        <v>0.18</v>
      </c>
      <c r="Z30" s="25">
        <f>V30*IF(U30="MT",1000,IF(U30="Jumbo bag (1.5 MT)",1500,IF(U30="Bag (40 kg)",40,50)))*3</f>
        <v>225000</v>
      </c>
      <c r="AA30" s="33">
        <f>SUMIFS($V$3:$V$1500,$A$3:$A$1500,A30,$U$3:$U$1500,"Bag (50 kg)")*0.05+SUMIFS($V$3:$V$1500,$A$3:$A$1500,A30,$U$3:$U$1500,"Bag (40 kg)")*0.04+SUMIFS($V$3:$V$1500,$A$3:$A$1500,A30,$U$3:$U$1500,"MT")+SUMIFS($V$3:$V$1500,$A$3:$A$1500,A30,$U$3:$U$1500,"Jumbo bag (1.5 MT)")*1.5</f>
        <v>200</v>
      </c>
      <c r="AB30" s="25">
        <f>SUMIFS($X$3:$X$1500,$A$3:$A$1500,A30)</f>
        <v>6390000</v>
      </c>
      <c r="AC30" s="25" cm="1">
        <f t="array" ref="AC30">SUMPRODUCT(($A$3:$A$1500=A30)*$X$3:$X$1500*$Y$3:$Y$1500)</f>
        <v>1150200</v>
      </c>
      <c r="AD30" s="25">
        <f>SUMIFS($Z$3:$Z$1500,$A$3:$A$1500,A30)</f>
        <v>600000</v>
      </c>
      <c r="AE30" s="25">
        <f>AB30+AC30+AD30</f>
        <v>8140200</v>
      </c>
      <c r="AF30" s="21" t="str">
        <f>"PKR "&amp;TEXT(AE30,"#,##0")&amp;" only"</f>
        <v>PKR 8,140,200 only</v>
      </c>
      <c r="AG30" s="21" t="s">
        <v>1861</v>
      </c>
      <c r="AH30" s="21" t="s">
        <v>1117</v>
      </c>
      <c r="AI30" s="21" t="s">
        <v>1862</v>
      </c>
      <c r="AJ30" s="21" t="s">
        <v>768</v>
      </c>
      <c r="AK30" s="21" t="s">
        <v>1118</v>
      </c>
      <c r="AL30" s="21" t="s">
        <v>1807</v>
      </c>
      <c r="AM30" s="21" t="s">
        <v>1062</v>
      </c>
    </row>
    <row r="31" spans="1:39" x14ac:dyDescent="0.3">
      <c r="A31" s="21" t="s">
        <v>1866</v>
      </c>
      <c r="B31" s="21">
        <v>0</v>
      </c>
      <c r="C31" s="29">
        <v>45771</v>
      </c>
      <c r="D31" s="21" t="s">
        <v>1810</v>
      </c>
      <c r="E31" s="21" t="s">
        <v>743</v>
      </c>
      <c r="F31" s="21" t="s">
        <v>1811</v>
      </c>
      <c r="G31" s="21" t="s">
        <v>1797</v>
      </c>
      <c r="H31" s="29">
        <f>C31</f>
        <v>45771</v>
      </c>
      <c r="I31" s="29">
        <f>H31+30</f>
        <v>45801</v>
      </c>
      <c r="J31" s="21" t="s">
        <v>1798</v>
      </c>
      <c r="K31" s="21" t="s">
        <v>1812</v>
      </c>
      <c r="L31" s="21" t="s">
        <v>1813</v>
      </c>
      <c r="M31" s="21" t="s">
        <v>746</v>
      </c>
      <c r="N31" s="21" t="s">
        <v>1105</v>
      </c>
      <c r="O31" s="21" t="s">
        <v>1814</v>
      </c>
      <c r="P31" s="21" t="s">
        <v>1111</v>
      </c>
      <c r="Q31" s="25" cm="1">
        <f t="array" ref="Q31">MAX(0,SUMPRODUCT(('T11'!$G$3:$G$1500=L31)*('T11'!$AG$3:$AG$1500&lt;C31)*('T11'!$W$3:$W$1500*(1+'T11'!$X$3:$X$1500)+'T11'!$Y$3:$Y$1500))-SUMPRODUCT(('T15'!$L$3:$L$1499=L31)*('T15'!$B$3:$B$1499&lt;C31)*('T15'!$BC$3:$BC$1499+'T15'!$BD$3:$BD$1499+'T15'!$BE$3:$BE$1499)))</f>
        <v>0</v>
      </c>
      <c r="R31" s="21" t="str">
        <f>IF(Q31&gt;0,"Active - overdue balance","Active")</f>
        <v>Active</v>
      </c>
      <c r="S31" s="21">
        <v>1</v>
      </c>
      <c r="T31" s="21" t="s">
        <v>1815</v>
      </c>
      <c r="U31" s="21" t="s">
        <v>783</v>
      </c>
      <c r="V31" s="21">
        <v>270</v>
      </c>
      <c r="W31" s="25">
        <v>28100</v>
      </c>
      <c r="X31" s="25">
        <f>V31*W31</f>
        <v>7587000</v>
      </c>
      <c r="Y31" s="23">
        <f>_xlfn.XLOOKUP(LEFT(T31,FIND(" - ",T31)-1),'T13'!$A$3:$A$1500,'T13'!$O$3:$O$1500)</f>
        <v>0.18</v>
      </c>
      <c r="Z31" s="25">
        <f>V31*IF(U31="MT",1000,IF(U31="Jumbo bag (1.5 MT)",1500,IF(U31="Bag (40 kg)",40,50)))*3</f>
        <v>810000</v>
      </c>
      <c r="AA31" s="33">
        <f>SUMIFS($V$3:$V$1500,$A$3:$A$1500,A31,$U$3:$U$1500,"Bag (50 kg)")*0.05+SUMIFS($V$3:$V$1500,$A$3:$A$1500,A31,$U$3:$U$1500,"Bag (40 kg)")*0.04+SUMIFS($V$3:$V$1500,$A$3:$A$1500,A31,$U$3:$U$1500,"MT")+SUMIFS($V$3:$V$1500,$A$3:$A$1500,A31,$U$3:$U$1500,"Jumbo bag (1.5 MT)")*1.5</f>
        <v>270</v>
      </c>
      <c r="AB31" s="25">
        <f>SUMIFS($X$3:$X$1500,$A$3:$A$1500,A31)</f>
        <v>7587000</v>
      </c>
      <c r="AC31" s="25" cm="1">
        <f t="array" ref="AC31">SUMPRODUCT(($A$3:$A$1500=A31)*$X$3:$X$1500*$Y$3:$Y$1500)</f>
        <v>1365660</v>
      </c>
      <c r="AD31" s="25">
        <f>SUMIFS($Z$3:$Z$1500,$A$3:$A$1500,A31)</f>
        <v>810000</v>
      </c>
      <c r="AE31" s="25">
        <f>AB31+AC31+AD31</f>
        <v>9762660</v>
      </c>
      <c r="AF31" s="21" t="str">
        <f>"PKR "&amp;TEXT(AE31,"#,##0")&amp;" only"</f>
        <v>PKR 9,762,660 only</v>
      </c>
      <c r="AG31" s="21" t="s">
        <v>1805</v>
      </c>
      <c r="AH31" s="21" t="s">
        <v>1091</v>
      </c>
      <c r="AI31" s="21" t="s">
        <v>1816</v>
      </c>
      <c r="AJ31" s="21" t="s">
        <v>1817</v>
      </c>
      <c r="AK31" s="21" t="s">
        <v>1092</v>
      </c>
      <c r="AL31" s="21" t="s">
        <v>1807</v>
      </c>
      <c r="AM31" s="21" t="s">
        <v>1051</v>
      </c>
    </row>
    <row r="32" spans="1:39" x14ac:dyDescent="0.3">
      <c r="A32" s="21" t="s">
        <v>1867</v>
      </c>
      <c r="B32" s="21">
        <v>0</v>
      </c>
      <c r="C32" s="29">
        <v>45806</v>
      </c>
      <c r="D32" s="21" t="s">
        <v>1795</v>
      </c>
      <c r="E32" s="21" t="s">
        <v>743</v>
      </c>
      <c r="F32" s="21" t="s">
        <v>1796</v>
      </c>
      <c r="G32" s="21" t="s">
        <v>1797</v>
      </c>
      <c r="H32" s="29">
        <f>C32</f>
        <v>45806</v>
      </c>
      <c r="I32" s="29">
        <f>H32+30</f>
        <v>45836</v>
      </c>
      <c r="J32" s="21" t="s">
        <v>1798</v>
      </c>
      <c r="K32" s="21" t="s">
        <v>1799</v>
      </c>
      <c r="L32" s="21" t="s">
        <v>1823</v>
      </c>
      <c r="M32" s="21" t="s">
        <v>746</v>
      </c>
      <c r="N32" s="21" t="s">
        <v>1824</v>
      </c>
      <c r="O32" s="21" t="s">
        <v>1825</v>
      </c>
      <c r="P32" s="21" t="s">
        <v>1083</v>
      </c>
      <c r="Q32" s="25" cm="1">
        <f t="array" ref="Q32">MAX(0,SUMPRODUCT(('T11'!$G$3:$G$1500=L32)*('T11'!$AG$3:$AG$1500&lt;C32)*('T11'!$W$3:$W$1500*(1+'T11'!$X$3:$X$1500)+'T11'!$Y$3:$Y$1500))-SUMPRODUCT(('T15'!$L$3:$L$1499=L32)*('T15'!$B$3:$B$1499&lt;C32)*('T15'!$BC$3:$BC$1499+'T15'!$BD$3:$BD$1499+'T15'!$BE$3:$BE$1499)))</f>
        <v>0</v>
      </c>
      <c r="R32" s="21" t="str">
        <f>IF(Q32&gt;0,"Active - overdue balance","Active")</f>
        <v>Active</v>
      </c>
      <c r="S32" s="21">
        <v>1</v>
      </c>
      <c r="T32" s="21" t="s">
        <v>1842</v>
      </c>
      <c r="U32" s="21" t="s">
        <v>1804</v>
      </c>
      <c r="V32" s="21">
        <v>2000</v>
      </c>
      <c r="W32" s="25">
        <v>1600</v>
      </c>
      <c r="X32" s="25">
        <f>V32*W32</f>
        <v>3200000</v>
      </c>
      <c r="Y32" s="23">
        <f>_xlfn.XLOOKUP(LEFT(T32,FIND(" - ",T32)-1),'T13'!$A$3:$A$1500,'T13'!$O$3:$O$1500)</f>
        <v>0.18</v>
      </c>
      <c r="Z32" s="25">
        <f>V32*IF(U32="MT",1000,IF(U32="Jumbo bag (1.5 MT)",1500,IF(U32="Bag (40 kg)",40,50)))*3</f>
        <v>300000</v>
      </c>
      <c r="AA32" s="33">
        <f>SUMIFS($V$3:$V$1500,$A$3:$A$1500,A32,$U$3:$U$1500,"Bag (50 kg)")*0.05+SUMIFS($V$3:$V$1500,$A$3:$A$1500,A32,$U$3:$U$1500,"Bag (40 kg)")*0.04+SUMIFS($V$3:$V$1500,$A$3:$A$1500,A32,$U$3:$U$1500,"MT")+SUMIFS($V$3:$V$1500,$A$3:$A$1500,A32,$U$3:$U$1500,"Jumbo bag (1.5 MT)")*1.5</f>
        <v>180</v>
      </c>
      <c r="AB32" s="25">
        <f>SUMIFS($X$3:$X$1500,$A$3:$A$1500,A32)</f>
        <v>8630000</v>
      </c>
      <c r="AC32" s="25" cm="1">
        <f t="array" ref="AC32">SUMPRODUCT(($A$3:$A$1500=A32)*$X$3:$X$1500*$Y$3:$Y$1500)</f>
        <v>1553400</v>
      </c>
      <c r="AD32" s="25">
        <f>SUMIFS($Z$3:$Z$1500,$A$3:$A$1500,A32)</f>
        <v>540000</v>
      </c>
      <c r="AE32" s="25">
        <f>AB32+AC32+AD32</f>
        <v>10723400</v>
      </c>
      <c r="AF32" s="21" t="str">
        <f>"PKR "&amp;TEXT(AE32,"#,##0")&amp;" only"</f>
        <v>PKR 10,723,400 only</v>
      </c>
      <c r="AG32" s="21" t="s">
        <v>1805</v>
      </c>
      <c r="AH32" s="21" t="s">
        <v>1091</v>
      </c>
      <c r="AI32" s="21" t="s">
        <v>1827</v>
      </c>
      <c r="AJ32" s="21" t="s">
        <v>768</v>
      </c>
      <c r="AK32" s="21" t="s">
        <v>1092</v>
      </c>
      <c r="AL32" s="21" t="s">
        <v>1807</v>
      </c>
      <c r="AM32" s="21" t="s">
        <v>1087</v>
      </c>
    </row>
    <row r="33" spans="1:39" x14ac:dyDescent="0.3">
      <c r="A33" s="21" t="s">
        <v>1867</v>
      </c>
      <c r="B33" s="21">
        <v>0</v>
      </c>
      <c r="C33" s="29">
        <v>45806</v>
      </c>
      <c r="D33" s="21" t="s">
        <v>1795</v>
      </c>
      <c r="E33" s="21" t="s">
        <v>743</v>
      </c>
      <c r="F33" s="21" t="s">
        <v>1796</v>
      </c>
      <c r="G33" s="21" t="s">
        <v>1797</v>
      </c>
      <c r="H33" s="29">
        <f>C33</f>
        <v>45806</v>
      </c>
      <c r="I33" s="29">
        <f>H33+30</f>
        <v>45836</v>
      </c>
      <c r="J33" s="21" t="s">
        <v>1798</v>
      </c>
      <c r="K33" s="21" t="s">
        <v>1799</v>
      </c>
      <c r="L33" s="21" t="s">
        <v>1823</v>
      </c>
      <c r="M33" s="21" t="s">
        <v>746</v>
      </c>
      <c r="N33" s="21" t="s">
        <v>1824</v>
      </c>
      <c r="O33" s="21" t="s">
        <v>1825</v>
      </c>
      <c r="P33" s="21" t="s">
        <v>1083</v>
      </c>
      <c r="Q33" s="25" cm="1">
        <f t="array" ref="Q33">MAX(0,SUMPRODUCT(('T11'!$G$3:$G$1500=L33)*('T11'!$AG$3:$AG$1500&lt;C33)*('T11'!$W$3:$W$1500*(1+'T11'!$X$3:$X$1500)+'T11'!$Y$3:$Y$1500))-SUMPRODUCT(('T15'!$L$3:$L$1499=L33)*('T15'!$B$3:$B$1499&lt;C33)*('T15'!$BC$3:$BC$1499+'T15'!$BD$3:$BD$1499+'T15'!$BE$3:$BE$1499)))</f>
        <v>0</v>
      </c>
      <c r="R33" s="21" t="str">
        <f>IF(Q33&gt;0,"Active - overdue balance","Active")</f>
        <v>Active</v>
      </c>
      <c r="S33" s="21">
        <v>2</v>
      </c>
      <c r="T33" s="21" t="s">
        <v>1840</v>
      </c>
      <c r="U33" s="21" t="s">
        <v>1841</v>
      </c>
      <c r="V33" s="21">
        <v>2000</v>
      </c>
      <c r="W33" s="25">
        <v>2715</v>
      </c>
      <c r="X33" s="25">
        <f>V33*W33</f>
        <v>5430000</v>
      </c>
      <c r="Y33" s="23">
        <f>_xlfn.XLOOKUP(LEFT(T33,FIND(" - ",T33)-1),'T13'!$A$3:$A$1500,'T13'!$O$3:$O$1500)</f>
        <v>0.18</v>
      </c>
      <c r="Z33" s="25">
        <f>V33*IF(U33="MT",1000,IF(U33="Jumbo bag (1.5 MT)",1500,IF(U33="Bag (40 kg)",40,50)))*3</f>
        <v>240000</v>
      </c>
      <c r="AA33" s="33">
        <f>SUMIFS($V$3:$V$1500,$A$3:$A$1500,A33,$U$3:$U$1500,"Bag (50 kg)")*0.05+SUMIFS($V$3:$V$1500,$A$3:$A$1500,A33,$U$3:$U$1500,"Bag (40 kg)")*0.04+SUMIFS($V$3:$V$1500,$A$3:$A$1500,A33,$U$3:$U$1500,"MT")+SUMIFS($V$3:$V$1500,$A$3:$A$1500,A33,$U$3:$U$1500,"Jumbo bag (1.5 MT)")*1.5</f>
        <v>180</v>
      </c>
      <c r="AB33" s="25">
        <f>SUMIFS($X$3:$X$1500,$A$3:$A$1500,A33)</f>
        <v>8630000</v>
      </c>
      <c r="AC33" s="25" cm="1">
        <f t="array" ref="AC33">SUMPRODUCT(($A$3:$A$1500=A33)*$X$3:$X$1500*$Y$3:$Y$1500)</f>
        <v>1553400</v>
      </c>
      <c r="AD33" s="25">
        <f>SUMIFS($Z$3:$Z$1500,$A$3:$A$1500,A33)</f>
        <v>540000</v>
      </c>
      <c r="AE33" s="25">
        <f>AB33+AC33+AD33</f>
        <v>10723400</v>
      </c>
      <c r="AF33" s="21" t="str">
        <f>"PKR "&amp;TEXT(AE33,"#,##0")&amp;" only"</f>
        <v>PKR 10,723,400 only</v>
      </c>
      <c r="AG33" s="21" t="s">
        <v>1805</v>
      </c>
      <c r="AH33" s="21" t="s">
        <v>1091</v>
      </c>
      <c r="AI33" s="21" t="s">
        <v>1827</v>
      </c>
      <c r="AJ33" s="21" t="s">
        <v>768</v>
      </c>
      <c r="AK33" s="21" t="s">
        <v>1092</v>
      </c>
      <c r="AL33" s="21" t="s">
        <v>1807</v>
      </c>
      <c r="AM33" s="21" t="s">
        <v>1087</v>
      </c>
    </row>
    <row r="34" spans="1:39" x14ac:dyDescent="0.3">
      <c r="A34" s="21" t="s">
        <v>1868</v>
      </c>
      <c r="B34" s="21">
        <v>0</v>
      </c>
      <c r="C34" s="29">
        <v>45832</v>
      </c>
      <c r="D34" s="21" t="s">
        <v>1795</v>
      </c>
      <c r="E34" s="21" t="s">
        <v>743</v>
      </c>
      <c r="F34" s="21" t="s">
        <v>1796</v>
      </c>
      <c r="G34" s="21" t="s">
        <v>1797</v>
      </c>
      <c r="H34" s="29">
        <f>C34</f>
        <v>45832</v>
      </c>
      <c r="I34" s="29">
        <f>H34+30</f>
        <v>45862</v>
      </c>
      <c r="J34" s="21" t="s">
        <v>1798</v>
      </c>
      <c r="K34" s="21" t="s">
        <v>1799</v>
      </c>
      <c r="L34" s="21" t="s">
        <v>1835</v>
      </c>
      <c r="M34" s="21" t="s">
        <v>746</v>
      </c>
      <c r="N34" s="21" t="s">
        <v>1836</v>
      </c>
      <c r="O34" s="21" t="s">
        <v>1837</v>
      </c>
      <c r="P34" s="21" t="s">
        <v>1058</v>
      </c>
      <c r="Q34" s="25" cm="1">
        <f t="array" ref="Q34">MAX(0,SUMPRODUCT(('T11'!$G$3:$G$1500=L34)*('T11'!$AG$3:$AG$1500&lt;C34)*('T11'!$W$3:$W$1500*(1+'T11'!$X$3:$X$1500)+'T11'!$Y$3:$Y$1500))-SUMPRODUCT(('T15'!$L$3:$L$1499=L34)*('T15'!$B$3:$B$1499&lt;C34)*('T15'!$BC$3:$BC$1499+'T15'!$BD$3:$BD$1499+'T15'!$BE$3:$BE$1499)))</f>
        <v>0</v>
      </c>
      <c r="R34" s="21" t="str">
        <f>IF(Q34&gt;0,"Active - overdue balance","Active")</f>
        <v>Active</v>
      </c>
      <c r="S34" s="21">
        <v>1</v>
      </c>
      <c r="T34" s="21" t="s">
        <v>1859</v>
      </c>
      <c r="U34" s="21" t="s">
        <v>1860</v>
      </c>
      <c r="V34" s="21">
        <v>50</v>
      </c>
      <c r="W34" s="25">
        <v>43350</v>
      </c>
      <c r="X34" s="25">
        <f>V34*W34</f>
        <v>2167500</v>
      </c>
      <c r="Y34" s="23">
        <f>_xlfn.XLOOKUP(LEFT(T34,FIND(" - ",T34)-1),'T13'!$A$3:$A$1500,'T13'!$O$3:$O$1500)</f>
        <v>0.18</v>
      </c>
      <c r="Z34" s="25">
        <f>V34*IF(U34="MT",1000,IF(U34="Jumbo bag (1.5 MT)",1500,IF(U34="Bag (40 kg)",40,50)))*3</f>
        <v>225000</v>
      </c>
      <c r="AA34" s="33">
        <f>SUMIFS($V$3:$V$1500,$A$3:$A$1500,A34,$U$3:$U$1500,"Bag (50 kg)")*0.05+SUMIFS($V$3:$V$1500,$A$3:$A$1500,A34,$U$3:$U$1500,"Bag (40 kg)")*0.04+SUMIFS($V$3:$V$1500,$A$3:$A$1500,A34,$U$3:$U$1500,"MT")+SUMIFS($V$3:$V$1500,$A$3:$A$1500,A34,$U$3:$U$1500,"Jumbo bag (1.5 MT)")*1.5</f>
        <v>100</v>
      </c>
      <c r="AB34" s="25">
        <f>SUMIFS($X$3:$X$1500,$A$3:$A$1500,A34)</f>
        <v>2867500</v>
      </c>
      <c r="AC34" s="25" cm="1">
        <f t="array" ref="AC34">SUMPRODUCT(($A$3:$A$1500=A34)*$X$3:$X$1500*$Y$3:$Y$1500)</f>
        <v>516150</v>
      </c>
      <c r="AD34" s="25">
        <f>SUMIFS($Z$3:$Z$1500,$A$3:$A$1500,A34)</f>
        <v>300000</v>
      </c>
      <c r="AE34" s="25">
        <f>AB34+AC34+AD34</f>
        <v>3683650</v>
      </c>
      <c r="AF34" s="21" t="str">
        <f>"PKR "&amp;TEXT(AE34,"#,##0")&amp;" only"</f>
        <v>PKR 3,683,650 only</v>
      </c>
      <c r="AG34" s="21" t="s">
        <v>1805</v>
      </c>
      <c r="AH34" s="21" t="s">
        <v>1091</v>
      </c>
      <c r="AI34" s="21" t="s">
        <v>1838</v>
      </c>
      <c r="AJ34" s="21" t="s">
        <v>768</v>
      </c>
      <c r="AK34" s="21" t="s">
        <v>1092</v>
      </c>
      <c r="AL34" s="21" t="s">
        <v>1807</v>
      </c>
      <c r="AM34" s="21" t="s">
        <v>1062</v>
      </c>
    </row>
    <row r="35" spans="1:39" x14ac:dyDescent="0.3">
      <c r="A35" s="21" t="s">
        <v>1868</v>
      </c>
      <c r="B35" s="21">
        <v>0</v>
      </c>
      <c r="C35" s="29">
        <v>45832</v>
      </c>
      <c r="D35" s="21" t="s">
        <v>1795</v>
      </c>
      <c r="E35" s="21" t="s">
        <v>743</v>
      </c>
      <c r="F35" s="21" t="s">
        <v>1796</v>
      </c>
      <c r="G35" s="21" t="s">
        <v>1797</v>
      </c>
      <c r="H35" s="29">
        <f>C35</f>
        <v>45832</v>
      </c>
      <c r="I35" s="29">
        <f>H35+30</f>
        <v>45862</v>
      </c>
      <c r="J35" s="21" t="s">
        <v>1798</v>
      </c>
      <c r="K35" s="21" t="s">
        <v>1799</v>
      </c>
      <c r="L35" s="21" t="s">
        <v>1835</v>
      </c>
      <c r="M35" s="21" t="s">
        <v>746</v>
      </c>
      <c r="N35" s="21" t="s">
        <v>1836</v>
      </c>
      <c r="O35" s="21" t="s">
        <v>1837</v>
      </c>
      <c r="P35" s="21" t="s">
        <v>1058</v>
      </c>
      <c r="Q35" s="25" cm="1">
        <f t="array" ref="Q35">MAX(0,SUMPRODUCT(('T11'!$G$3:$G$1500=L35)*('T11'!$AG$3:$AG$1500&lt;C35)*('T11'!$W$3:$W$1500*(1+'T11'!$X$3:$X$1500)+'T11'!$Y$3:$Y$1500))-SUMPRODUCT(('T15'!$L$3:$L$1499=L35)*('T15'!$B$3:$B$1499&lt;C35)*('T15'!$BC$3:$BC$1499+'T15'!$BD$3:$BD$1499+'T15'!$BE$3:$BE$1499)))</f>
        <v>0</v>
      </c>
      <c r="R35" s="21" t="str">
        <f>IF(Q35&gt;0,"Active - overdue balance","Active")</f>
        <v>Active</v>
      </c>
      <c r="S35" s="21">
        <v>2</v>
      </c>
      <c r="T35" s="21" t="s">
        <v>1828</v>
      </c>
      <c r="U35" s="21" t="s">
        <v>1804</v>
      </c>
      <c r="V35" s="21">
        <v>500</v>
      </c>
      <c r="W35" s="25">
        <v>1400</v>
      </c>
      <c r="X35" s="25">
        <f>V35*W35</f>
        <v>700000</v>
      </c>
      <c r="Y35" s="23">
        <f>_xlfn.XLOOKUP(LEFT(T35,FIND(" - ",T35)-1),'T13'!$A$3:$A$1500,'T13'!$O$3:$O$1500)</f>
        <v>0.18</v>
      </c>
      <c r="Z35" s="25">
        <f>V35*IF(U35="MT",1000,IF(U35="Jumbo bag (1.5 MT)",1500,IF(U35="Bag (40 kg)",40,50)))*3</f>
        <v>75000</v>
      </c>
      <c r="AA35" s="33">
        <f>SUMIFS($V$3:$V$1500,$A$3:$A$1500,A35,$U$3:$U$1500,"Bag (50 kg)")*0.05+SUMIFS($V$3:$V$1500,$A$3:$A$1500,A35,$U$3:$U$1500,"Bag (40 kg)")*0.04+SUMIFS($V$3:$V$1500,$A$3:$A$1500,A35,$U$3:$U$1500,"MT")+SUMIFS($V$3:$V$1500,$A$3:$A$1500,A35,$U$3:$U$1500,"Jumbo bag (1.5 MT)")*1.5</f>
        <v>100</v>
      </c>
      <c r="AB35" s="25">
        <f>SUMIFS($X$3:$X$1500,$A$3:$A$1500,A35)</f>
        <v>2867500</v>
      </c>
      <c r="AC35" s="25" cm="1">
        <f t="array" ref="AC35">SUMPRODUCT(($A$3:$A$1500=A35)*$X$3:$X$1500*$Y$3:$Y$1500)</f>
        <v>516150</v>
      </c>
      <c r="AD35" s="25">
        <f>SUMIFS($Z$3:$Z$1500,$A$3:$A$1500,A35)</f>
        <v>300000</v>
      </c>
      <c r="AE35" s="25">
        <f>AB35+AC35+AD35</f>
        <v>3683650</v>
      </c>
      <c r="AF35" s="21" t="str">
        <f>"PKR "&amp;TEXT(AE35,"#,##0")&amp;" only"</f>
        <v>PKR 3,683,650 only</v>
      </c>
      <c r="AG35" s="21" t="s">
        <v>1805</v>
      </c>
      <c r="AH35" s="21" t="s">
        <v>1091</v>
      </c>
      <c r="AI35" s="21" t="s">
        <v>1838</v>
      </c>
      <c r="AJ35" s="21" t="s">
        <v>768</v>
      </c>
      <c r="AK35" s="21" t="s">
        <v>1092</v>
      </c>
      <c r="AL35" s="21" t="s">
        <v>1807</v>
      </c>
      <c r="AM35" s="21" t="s">
        <v>1062</v>
      </c>
    </row>
    <row r="36" spans="1:39" x14ac:dyDescent="0.3">
      <c r="A36" s="21" t="s">
        <v>1869</v>
      </c>
      <c r="B36" s="21">
        <v>0</v>
      </c>
      <c r="C36" s="29">
        <v>45834</v>
      </c>
      <c r="D36" s="21" t="s">
        <v>1795</v>
      </c>
      <c r="E36" s="21" t="s">
        <v>743</v>
      </c>
      <c r="F36" s="21" t="s">
        <v>1796</v>
      </c>
      <c r="G36" s="21" t="s">
        <v>1797</v>
      </c>
      <c r="H36" s="29">
        <f>C36</f>
        <v>45834</v>
      </c>
      <c r="I36" s="29">
        <f>H36+30</f>
        <v>45864</v>
      </c>
      <c r="J36" s="21" t="s">
        <v>1798</v>
      </c>
      <c r="K36" s="21" t="s">
        <v>1799</v>
      </c>
      <c r="L36" s="21" t="s">
        <v>1870</v>
      </c>
      <c r="M36" s="21" t="s">
        <v>746</v>
      </c>
      <c r="N36" s="21" t="s">
        <v>1871</v>
      </c>
      <c r="O36" s="21" t="s">
        <v>1872</v>
      </c>
      <c r="P36" s="21" t="s">
        <v>1048</v>
      </c>
      <c r="Q36" s="25" cm="1">
        <f t="array" ref="Q36">MAX(0,SUMPRODUCT(('T11'!$G$3:$G$1500=L36)*('T11'!$AG$3:$AG$1500&lt;C36)*('T11'!$W$3:$W$1500*(1+'T11'!$X$3:$X$1500)+'T11'!$Y$3:$Y$1500))-SUMPRODUCT(('T15'!$L$3:$L$1499=L36)*('T15'!$B$3:$B$1499&lt;C36)*('T15'!$BC$3:$BC$1499+'T15'!$BD$3:$BD$1499+'T15'!$BE$3:$BE$1499)))</f>
        <v>0</v>
      </c>
      <c r="R36" s="21" t="str">
        <f>IF(Q36&gt;0,"Active - overdue balance","Active")</f>
        <v>Active</v>
      </c>
      <c r="S36" s="21">
        <v>1</v>
      </c>
      <c r="T36" s="21" t="s">
        <v>1840</v>
      </c>
      <c r="U36" s="21" t="s">
        <v>1841</v>
      </c>
      <c r="V36" s="21">
        <v>500</v>
      </c>
      <c r="W36" s="25">
        <v>2730</v>
      </c>
      <c r="X36" s="25">
        <f>V36*W36</f>
        <v>1365000</v>
      </c>
      <c r="Y36" s="23">
        <f>_xlfn.XLOOKUP(LEFT(T36,FIND(" - ",T36)-1),'T13'!$A$3:$A$1500,'T13'!$O$3:$O$1500)</f>
        <v>0.18</v>
      </c>
      <c r="Z36" s="25">
        <f>V36*IF(U36="MT",1000,IF(U36="Jumbo bag (1.5 MT)",1500,IF(U36="Bag (40 kg)",40,50)))*3</f>
        <v>60000</v>
      </c>
      <c r="AA36" s="33">
        <f>SUMIFS($V$3:$V$1500,$A$3:$A$1500,A36,$U$3:$U$1500,"Bag (50 kg)")*0.05+SUMIFS($V$3:$V$1500,$A$3:$A$1500,A36,$U$3:$U$1500,"Bag (40 kg)")*0.04+SUMIFS($V$3:$V$1500,$A$3:$A$1500,A36,$U$3:$U$1500,"MT")+SUMIFS($V$3:$V$1500,$A$3:$A$1500,A36,$U$3:$U$1500,"Jumbo bag (1.5 MT)")*1.5</f>
        <v>75</v>
      </c>
      <c r="AB36" s="25">
        <f>SUMIFS($X$3:$X$1500,$A$3:$A$1500,A36)</f>
        <v>2944500</v>
      </c>
      <c r="AC36" s="25" cm="1">
        <f t="array" ref="AC36">SUMPRODUCT(($A$3:$A$1500=A36)*$X$3:$X$1500*$Y$3:$Y$1500)</f>
        <v>530010</v>
      </c>
      <c r="AD36" s="25">
        <f>SUMIFS($Z$3:$Z$1500,$A$3:$A$1500,A36)</f>
        <v>225000</v>
      </c>
      <c r="AE36" s="25">
        <f>AB36+AC36+AD36</f>
        <v>3699510</v>
      </c>
      <c r="AF36" s="21" t="str">
        <f>"PKR "&amp;TEXT(AE36,"#,##0")&amp;" only"</f>
        <v>PKR 3,699,510 only</v>
      </c>
      <c r="AG36" s="21" t="s">
        <v>1805</v>
      </c>
      <c r="AH36" s="21" t="s">
        <v>1091</v>
      </c>
      <c r="AI36" s="21" t="s">
        <v>1873</v>
      </c>
      <c r="AJ36" s="21" t="s">
        <v>768</v>
      </c>
      <c r="AK36" s="21" t="s">
        <v>1092</v>
      </c>
      <c r="AL36" s="21" t="s">
        <v>1807</v>
      </c>
      <c r="AM36" s="21" t="s">
        <v>1051</v>
      </c>
    </row>
    <row r="37" spans="1:39" x14ac:dyDescent="0.3">
      <c r="A37" s="21" t="s">
        <v>1869</v>
      </c>
      <c r="B37" s="21">
        <v>0</v>
      </c>
      <c r="C37" s="29">
        <v>45834</v>
      </c>
      <c r="D37" s="21" t="s">
        <v>1795</v>
      </c>
      <c r="E37" s="21" t="s">
        <v>743</v>
      </c>
      <c r="F37" s="21" t="s">
        <v>1796</v>
      </c>
      <c r="G37" s="21" t="s">
        <v>1797</v>
      </c>
      <c r="H37" s="29">
        <f>C37</f>
        <v>45834</v>
      </c>
      <c r="I37" s="29">
        <f>H37+30</f>
        <v>45864</v>
      </c>
      <c r="J37" s="21" t="s">
        <v>1798</v>
      </c>
      <c r="K37" s="21" t="s">
        <v>1799</v>
      </c>
      <c r="L37" s="21" t="s">
        <v>1870</v>
      </c>
      <c r="M37" s="21" t="s">
        <v>746</v>
      </c>
      <c r="N37" s="21" t="s">
        <v>1871</v>
      </c>
      <c r="O37" s="21" t="s">
        <v>1872</v>
      </c>
      <c r="P37" s="21" t="s">
        <v>1048</v>
      </c>
      <c r="Q37" s="25" cm="1">
        <f t="array" ref="Q37">MAX(0,SUMPRODUCT(('T11'!$G$3:$G$1500=L37)*('T11'!$AG$3:$AG$1500&lt;C37)*('T11'!$W$3:$W$1500*(1+'T11'!$X$3:$X$1500)+'T11'!$Y$3:$Y$1500))-SUMPRODUCT(('T15'!$L$3:$L$1499=L37)*('T15'!$B$3:$B$1499&lt;C37)*('T15'!$BC$3:$BC$1499+'T15'!$BD$3:$BD$1499+'T15'!$BE$3:$BE$1499)))</f>
        <v>0</v>
      </c>
      <c r="R37" s="21" t="str">
        <f>IF(Q37&gt;0,"Active - overdue balance","Active")</f>
        <v>Active</v>
      </c>
      <c r="S37" s="21">
        <v>2</v>
      </c>
      <c r="T37" s="21" t="s">
        <v>1803</v>
      </c>
      <c r="U37" s="21" t="s">
        <v>1804</v>
      </c>
      <c r="V37" s="21">
        <v>500</v>
      </c>
      <c r="W37" s="25">
        <v>1425</v>
      </c>
      <c r="X37" s="25">
        <f>V37*W37</f>
        <v>712500</v>
      </c>
      <c r="Y37" s="23">
        <f>_xlfn.XLOOKUP(LEFT(T37,FIND(" - ",T37)-1),'T13'!$A$3:$A$1500,'T13'!$O$3:$O$1500)</f>
        <v>0.18</v>
      </c>
      <c r="Z37" s="25">
        <f>V37*IF(U37="MT",1000,IF(U37="Jumbo bag (1.5 MT)",1500,IF(U37="Bag (40 kg)",40,50)))*3</f>
        <v>75000</v>
      </c>
      <c r="AA37" s="33">
        <f>SUMIFS($V$3:$V$1500,$A$3:$A$1500,A37,$U$3:$U$1500,"Bag (50 kg)")*0.05+SUMIFS($V$3:$V$1500,$A$3:$A$1500,A37,$U$3:$U$1500,"Bag (40 kg)")*0.04+SUMIFS($V$3:$V$1500,$A$3:$A$1500,A37,$U$3:$U$1500,"MT")+SUMIFS($V$3:$V$1500,$A$3:$A$1500,A37,$U$3:$U$1500,"Jumbo bag (1.5 MT)")*1.5</f>
        <v>75</v>
      </c>
      <c r="AB37" s="25">
        <f>SUMIFS($X$3:$X$1500,$A$3:$A$1500,A37)</f>
        <v>2944500</v>
      </c>
      <c r="AC37" s="25" cm="1">
        <f t="array" ref="AC37">SUMPRODUCT(($A$3:$A$1500=A37)*$X$3:$X$1500*$Y$3:$Y$1500)</f>
        <v>530010</v>
      </c>
      <c r="AD37" s="25">
        <f>SUMIFS($Z$3:$Z$1500,$A$3:$A$1500,A37)</f>
        <v>225000</v>
      </c>
      <c r="AE37" s="25">
        <f>AB37+AC37+AD37</f>
        <v>3699510</v>
      </c>
      <c r="AF37" s="21" t="str">
        <f>"PKR "&amp;TEXT(AE37,"#,##0")&amp;" only"</f>
        <v>PKR 3,699,510 only</v>
      </c>
      <c r="AG37" s="21" t="s">
        <v>1805</v>
      </c>
      <c r="AH37" s="21" t="s">
        <v>1091</v>
      </c>
      <c r="AI37" s="21" t="s">
        <v>1873</v>
      </c>
      <c r="AJ37" s="21" t="s">
        <v>768</v>
      </c>
      <c r="AK37" s="21" t="s">
        <v>1092</v>
      </c>
      <c r="AL37" s="21" t="s">
        <v>1807</v>
      </c>
      <c r="AM37" s="21" t="s">
        <v>1051</v>
      </c>
    </row>
    <row r="38" spans="1:39" x14ac:dyDescent="0.3">
      <c r="A38" s="21" t="s">
        <v>1869</v>
      </c>
      <c r="B38" s="21">
        <v>0</v>
      </c>
      <c r="C38" s="29">
        <v>45834</v>
      </c>
      <c r="D38" s="21" t="s">
        <v>1795</v>
      </c>
      <c r="E38" s="21" t="s">
        <v>743</v>
      </c>
      <c r="F38" s="21" t="s">
        <v>1796</v>
      </c>
      <c r="G38" s="21" t="s">
        <v>1797</v>
      </c>
      <c r="H38" s="29">
        <f>C38</f>
        <v>45834</v>
      </c>
      <c r="I38" s="29">
        <f>H38+30</f>
        <v>45864</v>
      </c>
      <c r="J38" s="21" t="s">
        <v>1798</v>
      </c>
      <c r="K38" s="21" t="s">
        <v>1799</v>
      </c>
      <c r="L38" s="21" t="s">
        <v>1870</v>
      </c>
      <c r="M38" s="21" t="s">
        <v>746</v>
      </c>
      <c r="N38" s="21" t="s">
        <v>1871</v>
      </c>
      <c r="O38" s="21" t="s">
        <v>1872</v>
      </c>
      <c r="P38" s="21" t="s">
        <v>1048</v>
      </c>
      <c r="Q38" s="25" cm="1">
        <f t="array" ref="Q38">MAX(0,SUMPRODUCT(('T11'!$G$3:$G$1500=L38)*('T11'!$AG$3:$AG$1500&lt;C38)*('T11'!$W$3:$W$1500*(1+'T11'!$X$3:$X$1500)+'T11'!$Y$3:$Y$1500))-SUMPRODUCT(('T15'!$L$3:$L$1499=L38)*('T15'!$B$3:$B$1499&lt;C38)*('T15'!$BC$3:$BC$1499+'T15'!$BD$3:$BD$1499+'T15'!$BE$3:$BE$1499)))</f>
        <v>0</v>
      </c>
      <c r="R38" s="21" t="str">
        <f>IF(Q38&gt;0,"Active - overdue balance","Active")</f>
        <v>Active</v>
      </c>
      <c r="S38" s="21">
        <v>3</v>
      </c>
      <c r="T38" s="21" t="s">
        <v>1859</v>
      </c>
      <c r="U38" s="21" t="s">
        <v>1860</v>
      </c>
      <c r="V38" s="21">
        <v>20</v>
      </c>
      <c r="W38" s="25">
        <v>43350</v>
      </c>
      <c r="X38" s="25">
        <f>V38*W38</f>
        <v>867000</v>
      </c>
      <c r="Y38" s="23">
        <f>_xlfn.XLOOKUP(LEFT(T38,FIND(" - ",T38)-1),'T13'!$A$3:$A$1500,'T13'!$O$3:$O$1500)</f>
        <v>0.18</v>
      </c>
      <c r="Z38" s="25">
        <f>V38*IF(U38="MT",1000,IF(U38="Jumbo bag (1.5 MT)",1500,IF(U38="Bag (40 kg)",40,50)))*3</f>
        <v>90000</v>
      </c>
      <c r="AA38" s="33">
        <f>SUMIFS($V$3:$V$1500,$A$3:$A$1500,A38,$U$3:$U$1500,"Bag (50 kg)")*0.05+SUMIFS($V$3:$V$1500,$A$3:$A$1500,A38,$U$3:$U$1500,"Bag (40 kg)")*0.04+SUMIFS($V$3:$V$1500,$A$3:$A$1500,A38,$U$3:$U$1500,"MT")+SUMIFS($V$3:$V$1500,$A$3:$A$1500,A38,$U$3:$U$1500,"Jumbo bag (1.5 MT)")*1.5</f>
        <v>75</v>
      </c>
      <c r="AB38" s="25">
        <f>SUMIFS($X$3:$X$1500,$A$3:$A$1500,A38)</f>
        <v>2944500</v>
      </c>
      <c r="AC38" s="25" cm="1">
        <f t="array" ref="AC38">SUMPRODUCT(($A$3:$A$1500=A38)*$X$3:$X$1500*$Y$3:$Y$1500)</f>
        <v>530010</v>
      </c>
      <c r="AD38" s="25">
        <f>SUMIFS($Z$3:$Z$1500,$A$3:$A$1500,A38)</f>
        <v>225000</v>
      </c>
      <c r="AE38" s="25">
        <f>AB38+AC38+AD38</f>
        <v>3699510</v>
      </c>
      <c r="AF38" s="21" t="str">
        <f>"PKR "&amp;TEXT(AE38,"#,##0")&amp;" only"</f>
        <v>PKR 3,699,510 only</v>
      </c>
      <c r="AG38" s="21" t="s">
        <v>1805</v>
      </c>
      <c r="AH38" s="21" t="s">
        <v>1091</v>
      </c>
      <c r="AI38" s="21" t="s">
        <v>1873</v>
      </c>
      <c r="AJ38" s="21" t="s">
        <v>768</v>
      </c>
      <c r="AK38" s="21" t="s">
        <v>1092</v>
      </c>
      <c r="AL38" s="21" t="s">
        <v>1807</v>
      </c>
      <c r="AM38" s="21" t="s">
        <v>1051</v>
      </c>
    </row>
    <row r="39" spans="1:39" x14ac:dyDescent="0.3">
      <c r="A39" s="21" t="s">
        <v>1874</v>
      </c>
      <c r="B39" s="21">
        <v>0</v>
      </c>
      <c r="C39" s="29">
        <v>45844</v>
      </c>
      <c r="D39" s="21" t="s">
        <v>1795</v>
      </c>
      <c r="E39" s="21" t="s">
        <v>743</v>
      </c>
      <c r="F39" s="21" t="s">
        <v>1811</v>
      </c>
      <c r="G39" s="21" t="s">
        <v>1797</v>
      </c>
      <c r="H39" s="29">
        <f>C39</f>
        <v>45844</v>
      </c>
      <c r="I39" s="29">
        <f>H39+30</f>
        <v>45874</v>
      </c>
      <c r="J39" s="21" t="str">
        <f ca="1">IF(I39&lt;TODAY(),"Expired","Open")</f>
        <v>Expired</v>
      </c>
      <c r="K39" s="21" t="s">
        <v>1812</v>
      </c>
      <c r="L39" s="21" t="s">
        <v>1857</v>
      </c>
      <c r="M39" s="21" t="s">
        <v>746</v>
      </c>
      <c r="N39" s="21" t="s">
        <v>1121</v>
      </c>
      <c r="O39" s="21" t="s">
        <v>1858</v>
      </c>
      <c r="P39" s="21" t="s">
        <v>1129</v>
      </c>
      <c r="Q39" s="25" cm="1">
        <f t="array" ref="Q39">MAX(0,SUMPRODUCT(('T11'!$G$3:$G$1500=L39)*('T11'!$AG$3:$AG$1500&lt;C39)*('T11'!$W$3:$W$1500*(1+'T11'!$X$3:$X$1500)+'T11'!$Y$3:$Y$1500))-SUMPRODUCT(('T15'!$L$3:$L$1499=L39)*('T15'!$B$3:$B$1499&lt;C39)*('T15'!$BC$3:$BC$1499+'T15'!$BD$3:$BD$1499+'T15'!$BE$3:$BE$1499)))</f>
        <v>0</v>
      </c>
      <c r="R39" s="21" t="str">
        <f>IF(Q39&gt;0,"Active - overdue balance","Active")</f>
        <v>Active</v>
      </c>
      <c r="S39" s="21">
        <v>1</v>
      </c>
      <c r="T39" s="21" t="s">
        <v>1826</v>
      </c>
      <c r="U39" s="21" t="s">
        <v>1804</v>
      </c>
      <c r="V39" s="21">
        <v>2000</v>
      </c>
      <c r="W39" s="25">
        <v>1485</v>
      </c>
      <c r="X39" s="25">
        <f>V39*W39</f>
        <v>2970000</v>
      </c>
      <c r="Y39" s="23">
        <f>_xlfn.XLOOKUP(LEFT(T39,FIND(" - ",T39)-1),'T13'!$A$3:$A$1500,'T13'!$O$3:$O$1500)</f>
        <v>0.18</v>
      </c>
      <c r="Z39" s="25">
        <f>V39*IF(U39="MT",1000,IF(U39="Jumbo bag (1.5 MT)",1500,IF(U39="Bag (40 kg)",40,50)))*3</f>
        <v>300000</v>
      </c>
      <c r="AA39" s="33">
        <f>SUMIFS($V$3:$V$1500,$A$3:$A$1500,A39,$U$3:$U$1500,"Bag (50 kg)")*0.05+SUMIFS($V$3:$V$1500,$A$3:$A$1500,A39,$U$3:$U$1500,"Bag (40 kg)")*0.04+SUMIFS($V$3:$V$1500,$A$3:$A$1500,A39,$U$3:$U$1500,"MT")+SUMIFS($V$3:$V$1500,$A$3:$A$1500,A39,$U$3:$U$1500,"Jumbo bag (1.5 MT)")*1.5</f>
        <v>100</v>
      </c>
      <c r="AB39" s="25">
        <f>SUMIFS($X$3:$X$1500,$A$3:$A$1500,A39)</f>
        <v>2970000</v>
      </c>
      <c r="AC39" s="25" cm="1">
        <f t="array" ref="AC39">SUMPRODUCT(($A$3:$A$1500=A39)*$X$3:$X$1500*$Y$3:$Y$1500)</f>
        <v>534600</v>
      </c>
      <c r="AD39" s="25">
        <f>SUMIFS($Z$3:$Z$1500,$A$3:$A$1500,A39)</f>
        <v>300000</v>
      </c>
      <c r="AE39" s="25">
        <f>AB39+AC39+AD39</f>
        <v>3804600</v>
      </c>
      <c r="AF39" s="21" t="str">
        <f>"PKR "&amp;TEXT(AE39,"#,##0")&amp;" only"</f>
        <v>PKR 3,804,600 only</v>
      </c>
      <c r="AG39" s="21" t="s">
        <v>1861</v>
      </c>
      <c r="AH39" s="21" t="s">
        <v>1117</v>
      </c>
      <c r="AI39" s="21" t="s">
        <v>1862</v>
      </c>
      <c r="AJ39" s="21" t="s">
        <v>768</v>
      </c>
      <c r="AK39" s="21" t="s">
        <v>1118</v>
      </c>
      <c r="AL39" s="21" t="s">
        <v>1807</v>
      </c>
      <c r="AM39" s="21" t="s">
        <v>1062</v>
      </c>
    </row>
    <row r="40" spans="1:39" x14ac:dyDescent="0.3">
      <c r="A40" s="21" t="s">
        <v>1875</v>
      </c>
      <c r="B40" s="21">
        <v>0</v>
      </c>
      <c r="C40" s="29">
        <v>45863</v>
      </c>
      <c r="D40" s="21" t="s">
        <v>1795</v>
      </c>
      <c r="E40" s="21" t="s">
        <v>743</v>
      </c>
      <c r="F40" s="21" t="s">
        <v>1876</v>
      </c>
      <c r="G40" s="21" t="s">
        <v>1797</v>
      </c>
      <c r="H40" s="29">
        <f>C40</f>
        <v>45863</v>
      </c>
      <c r="I40" s="29">
        <f>H40+30</f>
        <v>45893</v>
      </c>
      <c r="J40" s="21" t="s">
        <v>1798</v>
      </c>
      <c r="K40" s="21" t="s">
        <v>1812</v>
      </c>
      <c r="L40" s="21" t="s">
        <v>1849</v>
      </c>
      <c r="M40" s="21" t="s">
        <v>746</v>
      </c>
      <c r="N40" s="21" t="s">
        <v>1183</v>
      </c>
      <c r="O40" s="21" t="s">
        <v>1850</v>
      </c>
      <c r="P40" s="21" t="s">
        <v>1190</v>
      </c>
      <c r="Q40" s="25" cm="1">
        <f t="array" ref="Q40">MAX(0,SUMPRODUCT(('T11'!$G$3:$G$1500=L40)*('T11'!$AG$3:$AG$1500&lt;C40)*('T11'!$W$3:$W$1500*(1+'T11'!$X$3:$X$1500)+'T11'!$Y$3:$Y$1500))-SUMPRODUCT(('T15'!$L$3:$L$1499=L40)*('T15'!$B$3:$B$1499&lt;C40)*('T15'!$BC$3:$BC$1499+'T15'!$BD$3:$BD$1499+'T15'!$BE$3:$BE$1499)))</f>
        <v>0</v>
      </c>
      <c r="R40" s="21" t="str">
        <f>IF(Q40&gt;0,"Active - overdue balance","Active")</f>
        <v>Active</v>
      </c>
      <c r="S40" s="21">
        <v>1</v>
      </c>
      <c r="T40" s="21" t="s">
        <v>1840</v>
      </c>
      <c r="U40" s="21" t="s">
        <v>1841</v>
      </c>
      <c r="V40" s="21">
        <v>3000</v>
      </c>
      <c r="W40" s="25">
        <v>2740</v>
      </c>
      <c r="X40" s="25">
        <f>V40*W40</f>
        <v>8220000</v>
      </c>
      <c r="Y40" s="23">
        <f>_xlfn.XLOOKUP(LEFT(T40,FIND(" - ",T40)-1),'T13'!$A$3:$A$1500,'T13'!$O$3:$O$1500)</f>
        <v>0.18</v>
      </c>
      <c r="Z40" s="25">
        <f>V40*IF(U40="MT",1000,IF(U40="Jumbo bag (1.5 MT)",1500,IF(U40="Bag (40 kg)",40,50)))*3</f>
        <v>360000</v>
      </c>
      <c r="AA40" s="33">
        <f>SUMIFS($V$3:$V$1500,$A$3:$A$1500,A40,$U$3:$U$1500,"Bag (50 kg)")*0.05+SUMIFS($V$3:$V$1500,$A$3:$A$1500,A40,$U$3:$U$1500,"Bag (40 kg)")*0.04+SUMIFS($V$3:$V$1500,$A$3:$A$1500,A40,$U$3:$U$1500,"MT")+SUMIFS($V$3:$V$1500,$A$3:$A$1500,A40,$U$3:$U$1500,"Jumbo bag (1.5 MT)")*1.5</f>
        <v>120</v>
      </c>
      <c r="AB40" s="25">
        <f>SUMIFS($X$3:$X$1500,$A$3:$A$1500,A40)</f>
        <v>8220000</v>
      </c>
      <c r="AC40" s="25" cm="1">
        <f t="array" ref="AC40">SUMPRODUCT(($A$3:$A$1500=A40)*$X$3:$X$1500*$Y$3:$Y$1500)</f>
        <v>1479600</v>
      </c>
      <c r="AD40" s="25">
        <f>SUMIFS($Z$3:$Z$1500,$A$3:$A$1500,A40)</f>
        <v>360000</v>
      </c>
      <c r="AE40" s="25">
        <f>AB40+AC40+AD40</f>
        <v>10059600</v>
      </c>
      <c r="AF40" s="21" t="str">
        <f>"PKR "&amp;TEXT(AE40,"#,##0")&amp;" only"</f>
        <v>PKR 10,059,600 only</v>
      </c>
      <c r="AG40" s="21" t="s">
        <v>1805</v>
      </c>
      <c r="AH40" s="21" t="s">
        <v>1091</v>
      </c>
      <c r="AI40" s="21" t="s">
        <v>1851</v>
      </c>
      <c r="AJ40" s="21" t="s">
        <v>768</v>
      </c>
      <c r="AK40" s="21" t="s">
        <v>1092</v>
      </c>
      <c r="AL40" s="21" t="s">
        <v>1807</v>
      </c>
      <c r="AM40" s="21" t="s">
        <v>1062</v>
      </c>
    </row>
    <row r="41" spans="1:39" x14ac:dyDescent="0.3">
      <c r="A41" s="21" t="s">
        <v>1877</v>
      </c>
      <c r="B41" s="21">
        <v>0</v>
      </c>
      <c r="C41" s="29">
        <v>45867</v>
      </c>
      <c r="D41" s="21" t="s">
        <v>1795</v>
      </c>
      <c r="E41" s="21" t="s">
        <v>743</v>
      </c>
      <c r="F41" s="21" t="s">
        <v>1876</v>
      </c>
      <c r="G41" s="21" t="s">
        <v>1797</v>
      </c>
      <c r="H41" s="29">
        <f>C41</f>
        <v>45867</v>
      </c>
      <c r="I41" s="29">
        <f>H41+30</f>
        <v>45897</v>
      </c>
      <c r="J41" s="21" t="s">
        <v>1798</v>
      </c>
      <c r="K41" s="21" t="s">
        <v>1812</v>
      </c>
      <c r="L41" s="21" t="s">
        <v>1819</v>
      </c>
      <c r="M41" s="21" t="s">
        <v>746</v>
      </c>
      <c r="N41" s="21" t="s">
        <v>1161</v>
      </c>
      <c r="O41" s="21" t="s">
        <v>1820</v>
      </c>
      <c r="P41" s="21" t="s">
        <v>1173</v>
      </c>
      <c r="Q41" s="25" cm="1">
        <f t="array" ref="Q41">MAX(0,SUMPRODUCT(('T11'!$G$3:$G$1500=L41)*('T11'!$AG$3:$AG$1500&lt;C41)*('T11'!$W$3:$W$1500*(1+'T11'!$X$3:$X$1500)+'T11'!$Y$3:$Y$1500))-SUMPRODUCT(('T15'!$L$3:$L$1499=L41)*('T15'!$B$3:$B$1499&lt;C41)*('T15'!$BC$3:$BC$1499+'T15'!$BD$3:$BD$1499+'T15'!$BE$3:$BE$1499)))</f>
        <v>0</v>
      </c>
      <c r="R41" s="21" t="str">
        <f>IF(Q41&gt;0,"Active - overdue balance","Active")</f>
        <v>Active</v>
      </c>
      <c r="S41" s="21">
        <v>1</v>
      </c>
      <c r="T41" s="21" t="s">
        <v>1803</v>
      </c>
      <c r="U41" s="21" t="s">
        <v>1804</v>
      </c>
      <c r="V41" s="21">
        <v>500</v>
      </c>
      <c r="W41" s="25">
        <v>1430</v>
      </c>
      <c r="X41" s="25">
        <f>V41*W41</f>
        <v>715000</v>
      </c>
      <c r="Y41" s="23">
        <f>_xlfn.XLOOKUP(LEFT(T41,FIND(" - ",T41)-1),'T13'!$A$3:$A$1500,'T13'!$O$3:$O$1500)</f>
        <v>0.18</v>
      </c>
      <c r="Z41" s="25">
        <f>V41*IF(U41="MT",1000,IF(U41="Jumbo bag (1.5 MT)",1500,IF(U41="Bag (40 kg)",40,50)))*3</f>
        <v>75000</v>
      </c>
      <c r="AA41" s="33">
        <f>SUMIFS($V$3:$V$1500,$A$3:$A$1500,A41,$U$3:$U$1500,"Bag (50 kg)")*0.05+SUMIFS($V$3:$V$1500,$A$3:$A$1500,A41,$U$3:$U$1500,"Bag (40 kg)")*0.04+SUMIFS($V$3:$V$1500,$A$3:$A$1500,A41,$U$3:$U$1500,"MT")+SUMIFS($V$3:$V$1500,$A$3:$A$1500,A41,$U$3:$U$1500,"Jumbo bag (1.5 MT)")*1.5</f>
        <v>155</v>
      </c>
      <c r="AB41" s="25">
        <f>SUMIFS($X$3:$X$1500,$A$3:$A$1500,A41)</f>
        <v>4571000</v>
      </c>
      <c r="AC41" s="25" cm="1">
        <f t="array" ref="AC41">SUMPRODUCT(($A$3:$A$1500=A41)*$X$3:$X$1500*$Y$3:$Y$1500)</f>
        <v>822780</v>
      </c>
      <c r="AD41" s="25">
        <f>SUMIFS($Z$3:$Z$1500,$A$3:$A$1500,A41)</f>
        <v>465000</v>
      </c>
      <c r="AE41" s="25">
        <f>AB41+AC41+AD41</f>
        <v>5858780</v>
      </c>
      <c r="AF41" s="21" t="str">
        <f>"PKR "&amp;TEXT(AE41,"#,##0")&amp;" only"</f>
        <v>PKR 5,858,780 only</v>
      </c>
      <c r="AG41" s="21" t="s">
        <v>1805</v>
      </c>
      <c r="AH41" s="21" t="s">
        <v>1091</v>
      </c>
      <c r="AI41" s="21" t="s">
        <v>1821</v>
      </c>
      <c r="AJ41" s="21" t="s">
        <v>768</v>
      </c>
      <c r="AK41" s="21" t="s">
        <v>1092</v>
      </c>
      <c r="AL41" s="21" t="s">
        <v>1807</v>
      </c>
      <c r="AM41" s="21" t="s">
        <v>1051</v>
      </c>
    </row>
    <row r="42" spans="1:39" x14ac:dyDescent="0.3">
      <c r="A42" s="21" t="s">
        <v>1877</v>
      </c>
      <c r="B42" s="21">
        <v>0</v>
      </c>
      <c r="C42" s="29">
        <v>45867</v>
      </c>
      <c r="D42" s="21" t="s">
        <v>1795</v>
      </c>
      <c r="E42" s="21" t="s">
        <v>743</v>
      </c>
      <c r="F42" s="21" t="s">
        <v>1876</v>
      </c>
      <c r="G42" s="21" t="s">
        <v>1797</v>
      </c>
      <c r="H42" s="29">
        <f>C42</f>
        <v>45867</v>
      </c>
      <c r="I42" s="29">
        <f>H42+30</f>
        <v>45897</v>
      </c>
      <c r="J42" s="21" t="s">
        <v>1798</v>
      </c>
      <c r="K42" s="21" t="s">
        <v>1812</v>
      </c>
      <c r="L42" s="21" t="s">
        <v>1819</v>
      </c>
      <c r="M42" s="21" t="s">
        <v>746</v>
      </c>
      <c r="N42" s="21" t="s">
        <v>1161</v>
      </c>
      <c r="O42" s="21" t="s">
        <v>1820</v>
      </c>
      <c r="P42" s="21" t="s">
        <v>1173</v>
      </c>
      <c r="Q42" s="25" cm="1">
        <f t="array" ref="Q42">MAX(0,SUMPRODUCT(('T11'!$G$3:$G$1500=L42)*('T11'!$AG$3:$AG$1500&lt;C42)*('T11'!$W$3:$W$1500*(1+'T11'!$X$3:$X$1500)+'T11'!$Y$3:$Y$1500))-SUMPRODUCT(('T15'!$L$3:$L$1499=L42)*('T15'!$B$3:$B$1499&lt;C42)*('T15'!$BC$3:$BC$1499+'T15'!$BD$3:$BD$1499+'T15'!$BE$3:$BE$1499)))</f>
        <v>0</v>
      </c>
      <c r="R42" s="21" t="str">
        <f>IF(Q42&gt;0,"Active - overdue balance","Active")</f>
        <v>Active</v>
      </c>
      <c r="S42" s="21">
        <v>2</v>
      </c>
      <c r="T42" s="21" t="s">
        <v>1859</v>
      </c>
      <c r="U42" s="21" t="s">
        <v>1860</v>
      </c>
      <c r="V42" s="21">
        <v>70</v>
      </c>
      <c r="W42" s="25">
        <v>43550</v>
      </c>
      <c r="X42" s="25">
        <f>V42*W42</f>
        <v>3048500</v>
      </c>
      <c r="Y42" s="23">
        <f>_xlfn.XLOOKUP(LEFT(T42,FIND(" - ",T42)-1),'T13'!$A$3:$A$1500,'T13'!$O$3:$O$1500)</f>
        <v>0.18</v>
      </c>
      <c r="Z42" s="25">
        <f>V42*IF(U42="MT",1000,IF(U42="Jumbo bag (1.5 MT)",1500,IF(U42="Bag (40 kg)",40,50)))*3</f>
        <v>315000</v>
      </c>
      <c r="AA42" s="33">
        <f>SUMIFS($V$3:$V$1500,$A$3:$A$1500,A42,$U$3:$U$1500,"Bag (50 kg)")*0.05+SUMIFS($V$3:$V$1500,$A$3:$A$1500,A42,$U$3:$U$1500,"Bag (40 kg)")*0.04+SUMIFS($V$3:$V$1500,$A$3:$A$1500,A42,$U$3:$U$1500,"MT")+SUMIFS($V$3:$V$1500,$A$3:$A$1500,A42,$U$3:$U$1500,"Jumbo bag (1.5 MT)")*1.5</f>
        <v>155</v>
      </c>
      <c r="AB42" s="25">
        <f>SUMIFS($X$3:$X$1500,$A$3:$A$1500,A42)</f>
        <v>4571000</v>
      </c>
      <c r="AC42" s="25" cm="1">
        <f t="array" ref="AC42">SUMPRODUCT(($A$3:$A$1500=A42)*$X$3:$X$1500*$Y$3:$Y$1500)</f>
        <v>822780</v>
      </c>
      <c r="AD42" s="25">
        <f>SUMIFS($Z$3:$Z$1500,$A$3:$A$1500,A42)</f>
        <v>465000</v>
      </c>
      <c r="AE42" s="25">
        <f>AB42+AC42+AD42</f>
        <v>5858780</v>
      </c>
      <c r="AF42" s="21" t="str">
        <f>"PKR "&amp;TEXT(AE42,"#,##0")&amp;" only"</f>
        <v>PKR 5,858,780 only</v>
      </c>
      <c r="AG42" s="21" t="s">
        <v>1805</v>
      </c>
      <c r="AH42" s="21" t="s">
        <v>1091</v>
      </c>
      <c r="AI42" s="21" t="s">
        <v>1821</v>
      </c>
      <c r="AJ42" s="21" t="s">
        <v>768</v>
      </c>
      <c r="AK42" s="21" t="s">
        <v>1092</v>
      </c>
      <c r="AL42" s="21" t="s">
        <v>1807</v>
      </c>
      <c r="AM42" s="21" t="s">
        <v>1051</v>
      </c>
    </row>
    <row r="43" spans="1:39" x14ac:dyDescent="0.3">
      <c r="A43" s="21" t="s">
        <v>1877</v>
      </c>
      <c r="B43" s="21">
        <v>0</v>
      </c>
      <c r="C43" s="29">
        <v>45867</v>
      </c>
      <c r="D43" s="21" t="s">
        <v>1795</v>
      </c>
      <c r="E43" s="21" t="s">
        <v>743</v>
      </c>
      <c r="F43" s="21" t="s">
        <v>1876</v>
      </c>
      <c r="G43" s="21" t="s">
        <v>1797</v>
      </c>
      <c r="H43" s="29">
        <f>C43</f>
        <v>45867</v>
      </c>
      <c r="I43" s="29">
        <f>H43+30</f>
        <v>45897</v>
      </c>
      <c r="J43" s="21" t="s">
        <v>1798</v>
      </c>
      <c r="K43" s="21" t="s">
        <v>1812</v>
      </c>
      <c r="L43" s="21" t="s">
        <v>1819</v>
      </c>
      <c r="M43" s="21" t="s">
        <v>746</v>
      </c>
      <c r="N43" s="21" t="s">
        <v>1161</v>
      </c>
      <c r="O43" s="21" t="s">
        <v>1820</v>
      </c>
      <c r="P43" s="21" t="s">
        <v>1173</v>
      </c>
      <c r="Q43" s="25" cm="1">
        <f t="array" ref="Q43">MAX(0,SUMPRODUCT(('T11'!$G$3:$G$1500=L43)*('T11'!$AG$3:$AG$1500&lt;C43)*('T11'!$W$3:$W$1500*(1+'T11'!$X$3:$X$1500)+'T11'!$Y$3:$Y$1500))-SUMPRODUCT(('T15'!$L$3:$L$1499=L43)*('T15'!$B$3:$B$1499&lt;C43)*('T15'!$BC$3:$BC$1499+'T15'!$BD$3:$BD$1499+'T15'!$BE$3:$BE$1499)))</f>
        <v>0</v>
      </c>
      <c r="R43" s="21" t="str">
        <f>IF(Q43&gt;0,"Active - overdue balance","Active")</f>
        <v>Active</v>
      </c>
      <c r="S43" s="21">
        <v>3</v>
      </c>
      <c r="T43" s="21" t="s">
        <v>1842</v>
      </c>
      <c r="U43" s="21" t="s">
        <v>1804</v>
      </c>
      <c r="V43" s="21">
        <v>500</v>
      </c>
      <c r="W43" s="25">
        <v>1615</v>
      </c>
      <c r="X43" s="25">
        <f>V43*W43</f>
        <v>807500</v>
      </c>
      <c r="Y43" s="23">
        <f>_xlfn.XLOOKUP(LEFT(T43,FIND(" - ",T43)-1),'T13'!$A$3:$A$1500,'T13'!$O$3:$O$1500)</f>
        <v>0.18</v>
      </c>
      <c r="Z43" s="25">
        <f>V43*IF(U43="MT",1000,IF(U43="Jumbo bag (1.5 MT)",1500,IF(U43="Bag (40 kg)",40,50)))*3</f>
        <v>75000</v>
      </c>
      <c r="AA43" s="33">
        <f>SUMIFS($V$3:$V$1500,$A$3:$A$1500,A43,$U$3:$U$1500,"Bag (50 kg)")*0.05+SUMIFS($V$3:$V$1500,$A$3:$A$1500,A43,$U$3:$U$1500,"Bag (40 kg)")*0.04+SUMIFS($V$3:$V$1500,$A$3:$A$1500,A43,$U$3:$U$1500,"MT")+SUMIFS($V$3:$V$1500,$A$3:$A$1500,A43,$U$3:$U$1500,"Jumbo bag (1.5 MT)")*1.5</f>
        <v>155</v>
      </c>
      <c r="AB43" s="25">
        <f>SUMIFS($X$3:$X$1500,$A$3:$A$1500,A43)</f>
        <v>4571000</v>
      </c>
      <c r="AC43" s="25" cm="1">
        <f t="array" ref="AC43">SUMPRODUCT(($A$3:$A$1500=A43)*$X$3:$X$1500*$Y$3:$Y$1500)</f>
        <v>822780</v>
      </c>
      <c r="AD43" s="25">
        <f>SUMIFS($Z$3:$Z$1500,$A$3:$A$1500,A43)</f>
        <v>465000</v>
      </c>
      <c r="AE43" s="25">
        <f>AB43+AC43+AD43</f>
        <v>5858780</v>
      </c>
      <c r="AF43" s="21" t="str">
        <f>"PKR "&amp;TEXT(AE43,"#,##0")&amp;" only"</f>
        <v>PKR 5,858,780 only</v>
      </c>
      <c r="AG43" s="21" t="s">
        <v>1805</v>
      </c>
      <c r="AH43" s="21" t="s">
        <v>1091</v>
      </c>
      <c r="AI43" s="21" t="s">
        <v>1821</v>
      </c>
      <c r="AJ43" s="21" t="s">
        <v>768</v>
      </c>
      <c r="AK43" s="21" t="s">
        <v>1092</v>
      </c>
      <c r="AL43" s="21" t="s">
        <v>1807</v>
      </c>
      <c r="AM43" s="21" t="s">
        <v>1051</v>
      </c>
    </row>
    <row r="44" spans="1:39" x14ac:dyDescent="0.3">
      <c r="A44" s="21" t="s">
        <v>1878</v>
      </c>
      <c r="B44" s="21">
        <v>0</v>
      </c>
      <c r="C44" s="29">
        <v>45894</v>
      </c>
      <c r="D44" s="21" t="s">
        <v>1795</v>
      </c>
      <c r="E44" s="21" t="s">
        <v>743</v>
      </c>
      <c r="F44" s="21" t="s">
        <v>1796</v>
      </c>
      <c r="G44" s="21" t="s">
        <v>1797</v>
      </c>
      <c r="H44" s="29">
        <f>C44</f>
        <v>45894</v>
      </c>
      <c r="I44" s="29">
        <f>H44+30</f>
        <v>45924</v>
      </c>
      <c r="J44" s="21" t="s">
        <v>1798</v>
      </c>
      <c r="K44" s="21" t="s">
        <v>1799</v>
      </c>
      <c r="L44" s="21" t="s">
        <v>1844</v>
      </c>
      <c r="M44" s="21" t="s">
        <v>1066</v>
      </c>
      <c r="N44" s="21" t="s">
        <v>1845</v>
      </c>
      <c r="O44" s="21" t="s">
        <v>1846</v>
      </c>
      <c r="P44" s="21" t="s">
        <v>1068</v>
      </c>
      <c r="Q44" s="25" cm="1">
        <f t="array" ref="Q44">MAX(0,SUMPRODUCT(('T11'!$G$3:$G$1500=L44)*('T11'!$AG$3:$AG$1500&lt;C44)*('T11'!$W$3:$W$1500*(1+'T11'!$X$3:$X$1500)+'T11'!$Y$3:$Y$1500))-SUMPRODUCT(('T15'!$L$3:$L$1499=L44)*('T15'!$B$3:$B$1499&lt;C44)*('T15'!$BC$3:$BC$1499+'T15'!$BD$3:$BD$1499+'T15'!$BE$3:$BE$1499)))</f>
        <v>0</v>
      </c>
      <c r="R44" s="21" t="str">
        <f>IF(Q44&gt;0,"Active - overdue balance","Active")</f>
        <v>Active</v>
      </c>
      <c r="S44" s="21">
        <v>1</v>
      </c>
      <c r="T44" s="21" t="s">
        <v>1826</v>
      </c>
      <c r="U44" s="21" t="s">
        <v>1804</v>
      </c>
      <c r="V44" s="21">
        <v>3500</v>
      </c>
      <c r="W44" s="25">
        <v>1490</v>
      </c>
      <c r="X44" s="25">
        <f>V44*W44</f>
        <v>5215000</v>
      </c>
      <c r="Y44" s="23">
        <f>_xlfn.XLOOKUP(LEFT(T44,FIND(" - ",T44)-1),'T13'!$A$3:$A$1500,'T13'!$O$3:$O$1500)</f>
        <v>0.18</v>
      </c>
      <c r="Z44" s="25">
        <f>V44*IF(U44="MT",1000,IF(U44="Jumbo bag (1.5 MT)",1500,IF(U44="Bag (40 kg)",40,50)))*3</f>
        <v>525000</v>
      </c>
      <c r="AA44" s="33">
        <f>SUMIFS($V$3:$V$1500,$A$3:$A$1500,A44,$U$3:$U$1500,"Bag (50 kg)")*0.05+SUMIFS($V$3:$V$1500,$A$3:$A$1500,A44,$U$3:$U$1500,"Bag (40 kg)")*0.04+SUMIFS($V$3:$V$1500,$A$3:$A$1500,A44,$U$3:$U$1500,"MT")+SUMIFS($V$3:$V$1500,$A$3:$A$1500,A44,$U$3:$U$1500,"Jumbo bag (1.5 MT)")*1.5</f>
        <v>250</v>
      </c>
      <c r="AB44" s="25">
        <f>SUMIFS($X$3:$X$1500,$A$3:$A$1500,A44)</f>
        <v>7562500</v>
      </c>
      <c r="AC44" s="25" cm="1">
        <f t="array" ref="AC44">SUMPRODUCT(($A$3:$A$1500=A44)*$X$3:$X$1500*$Y$3:$Y$1500)</f>
        <v>1361250</v>
      </c>
      <c r="AD44" s="25">
        <f>SUMIFS($Z$3:$Z$1500,$A$3:$A$1500,A44)</f>
        <v>750000</v>
      </c>
      <c r="AE44" s="25">
        <f>AB44+AC44+AD44</f>
        <v>9673750</v>
      </c>
      <c r="AF44" s="21" t="str">
        <f>"PKR "&amp;TEXT(AE44,"#,##0")&amp;" only"</f>
        <v>PKR 9,673,750 only</v>
      </c>
      <c r="AG44" s="21" t="s">
        <v>1805</v>
      </c>
      <c r="AH44" s="21" t="s">
        <v>1091</v>
      </c>
      <c r="AI44" s="21" t="s">
        <v>1847</v>
      </c>
      <c r="AJ44" s="21" t="s">
        <v>768</v>
      </c>
      <c r="AK44" s="21" t="s">
        <v>1092</v>
      </c>
      <c r="AL44" s="21" t="s">
        <v>1807</v>
      </c>
      <c r="AM44" s="21" t="s">
        <v>1071</v>
      </c>
    </row>
    <row r="45" spans="1:39" x14ac:dyDescent="0.3">
      <c r="A45" s="21" t="s">
        <v>1878</v>
      </c>
      <c r="B45" s="21">
        <v>0</v>
      </c>
      <c r="C45" s="29">
        <v>45894</v>
      </c>
      <c r="D45" s="21" t="s">
        <v>1795</v>
      </c>
      <c r="E45" s="21" t="s">
        <v>743</v>
      </c>
      <c r="F45" s="21" t="s">
        <v>1796</v>
      </c>
      <c r="G45" s="21" t="s">
        <v>1797</v>
      </c>
      <c r="H45" s="29">
        <f>C45</f>
        <v>45894</v>
      </c>
      <c r="I45" s="29">
        <f>H45+30</f>
        <v>45924</v>
      </c>
      <c r="J45" s="21" t="s">
        <v>1798</v>
      </c>
      <c r="K45" s="21" t="s">
        <v>1799</v>
      </c>
      <c r="L45" s="21" t="s">
        <v>1844</v>
      </c>
      <c r="M45" s="21" t="s">
        <v>1066</v>
      </c>
      <c r="N45" s="21" t="s">
        <v>1845</v>
      </c>
      <c r="O45" s="21" t="s">
        <v>1846</v>
      </c>
      <c r="P45" s="21" t="s">
        <v>1068</v>
      </c>
      <c r="Q45" s="25" cm="1">
        <f t="array" ref="Q45">MAX(0,SUMPRODUCT(('T11'!$G$3:$G$1500=L45)*('T11'!$AG$3:$AG$1500&lt;C45)*('T11'!$W$3:$W$1500*(1+'T11'!$X$3:$X$1500)+'T11'!$Y$3:$Y$1500))-SUMPRODUCT(('T15'!$L$3:$L$1499=L45)*('T15'!$B$3:$B$1499&lt;C45)*('T15'!$BC$3:$BC$1499+'T15'!$BD$3:$BD$1499+'T15'!$BE$3:$BE$1499)))</f>
        <v>0</v>
      </c>
      <c r="R45" s="21" t="str">
        <f>IF(Q45&gt;0,"Active - overdue balance","Active")</f>
        <v>Active</v>
      </c>
      <c r="S45" s="21">
        <v>2</v>
      </c>
      <c r="T45" s="21" t="s">
        <v>1808</v>
      </c>
      <c r="U45" s="21" t="s">
        <v>1804</v>
      </c>
      <c r="V45" s="21">
        <v>1500</v>
      </c>
      <c r="W45" s="25">
        <v>1565</v>
      </c>
      <c r="X45" s="25">
        <f>V45*W45</f>
        <v>2347500</v>
      </c>
      <c r="Y45" s="23">
        <f>_xlfn.XLOOKUP(LEFT(T45,FIND(" - ",T45)-1),'T13'!$A$3:$A$1500,'T13'!$O$3:$O$1500)</f>
        <v>0.18</v>
      </c>
      <c r="Z45" s="25">
        <f>V45*IF(U45="MT",1000,IF(U45="Jumbo bag (1.5 MT)",1500,IF(U45="Bag (40 kg)",40,50)))*3</f>
        <v>225000</v>
      </c>
      <c r="AA45" s="33">
        <f>SUMIFS($V$3:$V$1500,$A$3:$A$1500,A45,$U$3:$U$1500,"Bag (50 kg)")*0.05+SUMIFS($V$3:$V$1500,$A$3:$A$1500,A45,$U$3:$U$1500,"Bag (40 kg)")*0.04+SUMIFS($V$3:$V$1500,$A$3:$A$1500,A45,$U$3:$U$1500,"MT")+SUMIFS($V$3:$V$1500,$A$3:$A$1500,A45,$U$3:$U$1500,"Jumbo bag (1.5 MT)")*1.5</f>
        <v>250</v>
      </c>
      <c r="AB45" s="25">
        <f>SUMIFS($X$3:$X$1500,$A$3:$A$1500,A45)</f>
        <v>7562500</v>
      </c>
      <c r="AC45" s="25" cm="1">
        <f t="array" ref="AC45">SUMPRODUCT(($A$3:$A$1500=A45)*$X$3:$X$1500*$Y$3:$Y$1500)</f>
        <v>1361250</v>
      </c>
      <c r="AD45" s="25">
        <f>SUMIFS($Z$3:$Z$1500,$A$3:$A$1500,A45)</f>
        <v>750000</v>
      </c>
      <c r="AE45" s="25">
        <f>AB45+AC45+AD45</f>
        <v>9673750</v>
      </c>
      <c r="AF45" s="21" t="str">
        <f>"PKR "&amp;TEXT(AE45,"#,##0")&amp;" only"</f>
        <v>PKR 9,673,750 only</v>
      </c>
      <c r="AG45" s="21" t="s">
        <v>1805</v>
      </c>
      <c r="AH45" s="21" t="s">
        <v>1091</v>
      </c>
      <c r="AI45" s="21" t="s">
        <v>1847</v>
      </c>
      <c r="AJ45" s="21" t="s">
        <v>768</v>
      </c>
      <c r="AK45" s="21" t="s">
        <v>1092</v>
      </c>
      <c r="AL45" s="21" t="s">
        <v>1807</v>
      </c>
      <c r="AM45" s="21" t="s">
        <v>1071</v>
      </c>
    </row>
    <row r="46" spans="1:39" x14ac:dyDescent="0.3">
      <c r="A46" s="21" t="s">
        <v>1879</v>
      </c>
      <c r="B46" s="21">
        <v>0</v>
      </c>
      <c r="C46" s="29">
        <v>45923</v>
      </c>
      <c r="D46" s="21" t="s">
        <v>1795</v>
      </c>
      <c r="E46" s="21" t="s">
        <v>743</v>
      </c>
      <c r="F46" s="21" t="s">
        <v>1796</v>
      </c>
      <c r="G46" s="21" t="s">
        <v>1797</v>
      </c>
      <c r="H46" s="29">
        <f>C46</f>
        <v>45923</v>
      </c>
      <c r="I46" s="29">
        <f>H46+30</f>
        <v>45953</v>
      </c>
      <c r="J46" s="21" t="s">
        <v>1798</v>
      </c>
      <c r="K46" s="21" t="s">
        <v>1799</v>
      </c>
      <c r="L46" s="21" t="s">
        <v>1870</v>
      </c>
      <c r="M46" s="21" t="s">
        <v>746</v>
      </c>
      <c r="N46" s="21" t="s">
        <v>1871</v>
      </c>
      <c r="O46" s="21" t="s">
        <v>1872</v>
      </c>
      <c r="P46" s="21" t="s">
        <v>1048</v>
      </c>
      <c r="Q46" s="25" cm="1">
        <f t="array" ref="Q46">MAX(0,SUMPRODUCT(('T11'!$G$3:$G$1500=L46)*('T11'!$AG$3:$AG$1500&lt;C46)*('T11'!$W$3:$W$1500*(1+'T11'!$X$3:$X$1500)+'T11'!$Y$3:$Y$1500))-SUMPRODUCT(('T15'!$L$3:$L$1499=L46)*('T15'!$B$3:$B$1499&lt;C46)*('T15'!$BC$3:$BC$1499+'T15'!$BD$3:$BD$1499+'T15'!$BE$3:$BE$1499)))</f>
        <v>0</v>
      </c>
      <c r="R46" s="21" t="str">
        <f>IF(Q46&gt;0,"Active - overdue balance","Active")</f>
        <v>Active</v>
      </c>
      <c r="S46" s="21">
        <v>1</v>
      </c>
      <c r="T46" s="21" t="s">
        <v>1808</v>
      </c>
      <c r="U46" s="21" t="s">
        <v>1804</v>
      </c>
      <c r="V46" s="21">
        <v>3500</v>
      </c>
      <c r="W46" s="25">
        <v>1575</v>
      </c>
      <c r="X46" s="25">
        <f>V46*W46</f>
        <v>5512500</v>
      </c>
      <c r="Y46" s="23">
        <f>_xlfn.XLOOKUP(LEFT(T46,FIND(" - ",T46)-1),'T13'!$A$3:$A$1500,'T13'!$O$3:$O$1500)</f>
        <v>0.18</v>
      </c>
      <c r="Z46" s="25">
        <f>V46*IF(U46="MT",1000,IF(U46="Jumbo bag (1.5 MT)",1500,IF(U46="Bag (40 kg)",40,50)))*3</f>
        <v>525000</v>
      </c>
      <c r="AA46" s="33">
        <f>SUMIFS($V$3:$V$1500,$A$3:$A$1500,A46,$U$3:$U$1500,"Bag (50 kg)")*0.05+SUMIFS($V$3:$V$1500,$A$3:$A$1500,A46,$U$3:$U$1500,"Bag (40 kg)")*0.04+SUMIFS($V$3:$V$1500,$A$3:$A$1500,A46,$U$3:$U$1500,"MT")+SUMIFS($V$3:$V$1500,$A$3:$A$1500,A46,$U$3:$U$1500,"Jumbo bag (1.5 MT)")*1.5</f>
        <v>175</v>
      </c>
      <c r="AB46" s="25">
        <f>SUMIFS($X$3:$X$1500,$A$3:$A$1500,A46)</f>
        <v>5512500</v>
      </c>
      <c r="AC46" s="25" cm="1">
        <f t="array" ref="AC46">SUMPRODUCT(($A$3:$A$1500=A46)*$X$3:$X$1500*$Y$3:$Y$1500)</f>
        <v>992250</v>
      </c>
      <c r="AD46" s="25">
        <f>SUMIFS($Z$3:$Z$1500,$A$3:$A$1500,A46)</f>
        <v>525000</v>
      </c>
      <c r="AE46" s="25">
        <f>AB46+AC46+AD46</f>
        <v>7029750</v>
      </c>
      <c r="AF46" s="21" t="str">
        <f>"PKR "&amp;TEXT(AE46,"#,##0")&amp;" only"</f>
        <v>PKR 7,029,750 only</v>
      </c>
      <c r="AG46" s="21" t="s">
        <v>1805</v>
      </c>
      <c r="AH46" s="21" t="s">
        <v>1091</v>
      </c>
      <c r="AI46" s="21" t="s">
        <v>1873</v>
      </c>
      <c r="AJ46" s="21" t="s">
        <v>768</v>
      </c>
      <c r="AK46" s="21" t="s">
        <v>1092</v>
      </c>
      <c r="AL46" s="21" t="s">
        <v>1807</v>
      </c>
      <c r="AM46" s="21" t="s">
        <v>1051</v>
      </c>
    </row>
    <row r="47" spans="1:39" x14ac:dyDescent="0.3">
      <c r="A47" s="21" t="s">
        <v>1880</v>
      </c>
      <c r="B47" s="21">
        <v>0</v>
      </c>
      <c r="C47" s="29">
        <v>45924</v>
      </c>
      <c r="D47" s="21" t="s">
        <v>1810</v>
      </c>
      <c r="E47" s="21" t="s">
        <v>743</v>
      </c>
      <c r="F47" s="21" t="s">
        <v>1876</v>
      </c>
      <c r="G47" s="21" t="s">
        <v>1797</v>
      </c>
      <c r="H47" s="29">
        <f>C47</f>
        <v>45924</v>
      </c>
      <c r="I47" s="29">
        <f>H47+30</f>
        <v>45954</v>
      </c>
      <c r="J47" s="21" t="s">
        <v>1798</v>
      </c>
      <c r="K47" s="21" t="s">
        <v>1812</v>
      </c>
      <c r="L47" s="21" t="s">
        <v>1830</v>
      </c>
      <c r="M47" s="21" t="s">
        <v>746</v>
      </c>
      <c r="N47" s="21" t="s">
        <v>1139</v>
      </c>
      <c r="O47" s="21" t="s">
        <v>1831</v>
      </c>
      <c r="P47" s="21" t="s">
        <v>1145</v>
      </c>
      <c r="Q47" s="25" cm="1">
        <f t="array" ref="Q47">MAX(0,SUMPRODUCT(('T11'!$G$3:$G$1500=L47)*('T11'!$AG$3:$AG$1500&lt;C47)*('T11'!$W$3:$W$1500*(1+'T11'!$X$3:$X$1500)+'T11'!$Y$3:$Y$1500))-SUMPRODUCT(('T15'!$L$3:$L$1499=L47)*('T15'!$B$3:$B$1499&lt;C47)*('T15'!$BC$3:$BC$1499+'T15'!$BD$3:$BD$1499+'T15'!$BE$3:$BE$1499)))</f>
        <v>0</v>
      </c>
      <c r="R47" s="21" t="str">
        <f>IF(Q47&gt;0,"Active - overdue balance","Active")</f>
        <v>Active</v>
      </c>
      <c r="S47" s="21">
        <v>1</v>
      </c>
      <c r="T47" s="21" t="s">
        <v>1881</v>
      </c>
      <c r="U47" s="21" t="s">
        <v>783</v>
      </c>
      <c r="V47" s="21">
        <v>250</v>
      </c>
      <c r="W47" s="25">
        <v>30250</v>
      </c>
      <c r="X47" s="25">
        <f>V47*W47</f>
        <v>7562500</v>
      </c>
      <c r="Y47" s="23">
        <f>_xlfn.XLOOKUP(LEFT(T47,FIND(" - ",T47)-1),'T13'!$A$3:$A$1500,'T13'!$O$3:$O$1500)</f>
        <v>0.18</v>
      </c>
      <c r="Z47" s="25">
        <f>V47*IF(U47="MT",1000,IF(U47="Jumbo bag (1.5 MT)",1500,IF(U47="Bag (40 kg)",40,50)))*3</f>
        <v>750000</v>
      </c>
      <c r="AA47" s="33">
        <f>SUMIFS($V$3:$V$1500,$A$3:$A$1500,A47,$U$3:$U$1500,"Bag (50 kg)")*0.05+SUMIFS($V$3:$V$1500,$A$3:$A$1500,A47,$U$3:$U$1500,"Bag (40 kg)")*0.04+SUMIFS($V$3:$V$1500,$A$3:$A$1500,A47,$U$3:$U$1500,"MT")+SUMIFS($V$3:$V$1500,$A$3:$A$1500,A47,$U$3:$U$1500,"Jumbo bag (1.5 MT)")*1.5</f>
        <v>250</v>
      </c>
      <c r="AB47" s="25">
        <f>SUMIFS($X$3:$X$1500,$A$3:$A$1500,A47)</f>
        <v>7562500</v>
      </c>
      <c r="AC47" s="25" cm="1">
        <f t="array" ref="AC47">SUMPRODUCT(($A$3:$A$1500=A47)*$X$3:$X$1500*$Y$3:$Y$1500)</f>
        <v>1361250</v>
      </c>
      <c r="AD47" s="25">
        <f>SUMIFS($Z$3:$Z$1500,$A$3:$A$1500,A47)</f>
        <v>750000</v>
      </c>
      <c r="AE47" s="25">
        <f>AB47+AC47+AD47</f>
        <v>9673750</v>
      </c>
      <c r="AF47" s="21" t="str">
        <f>"PKR "&amp;TEXT(AE47,"#,##0")&amp;" only"</f>
        <v>PKR 9,673,750 only</v>
      </c>
      <c r="AG47" s="21" t="s">
        <v>1805</v>
      </c>
      <c r="AH47" s="21" t="s">
        <v>1091</v>
      </c>
      <c r="AI47" s="21" t="s">
        <v>1832</v>
      </c>
      <c r="AJ47" s="21" t="s">
        <v>1817</v>
      </c>
      <c r="AK47" s="21" t="s">
        <v>1092</v>
      </c>
      <c r="AL47" s="21" t="s">
        <v>1807</v>
      </c>
      <c r="AM47" s="21" t="s">
        <v>1051</v>
      </c>
    </row>
    <row r="48" spans="1:39" x14ac:dyDescent="0.3">
      <c r="A48" s="21" t="s">
        <v>1882</v>
      </c>
      <c r="B48" s="21">
        <v>0</v>
      </c>
      <c r="C48" s="29">
        <v>45939</v>
      </c>
      <c r="D48" s="21" t="s">
        <v>1795</v>
      </c>
      <c r="E48" s="21" t="s">
        <v>743</v>
      </c>
      <c r="F48" s="21" t="s">
        <v>1796</v>
      </c>
      <c r="G48" s="21" t="s">
        <v>1797</v>
      </c>
      <c r="H48" s="29">
        <f>C48</f>
        <v>45939</v>
      </c>
      <c r="I48" s="29">
        <f>H48+30</f>
        <v>45969</v>
      </c>
      <c r="J48" s="21" t="s">
        <v>1834</v>
      </c>
      <c r="K48" s="21" t="s">
        <v>1799</v>
      </c>
      <c r="L48" s="21" t="s">
        <v>1823</v>
      </c>
      <c r="M48" s="21" t="s">
        <v>746</v>
      </c>
      <c r="N48" s="21" t="s">
        <v>1824</v>
      </c>
      <c r="O48" s="21" t="s">
        <v>1825</v>
      </c>
      <c r="P48" s="21" t="s">
        <v>1083</v>
      </c>
      <c r="Q48" s="25" cm="1">
        <f t="array" ref="Q48">MAX(0,SUMPRODUCT(('T11'!$G$3:$G$1500=L48)*('T11'!$AG$3:$AG$1500&lt;C48)*('T11'!$W$3:$W$1500*(1+'T11'!$X$3:$X$1500)+'T11'!$Y$3:$Y$1500))-SUMPRODUCT(('T15'!$L$3:$L$1499=L48)*('T15'!$B$3:$B$1499&lt;C48)*('T15'!$BC$3:$BC$1499+'T15'!$BD$3:$BD$1499+'T15'!$BE$3:$BE$1499)))</f>
        <v>0</v>
      </c>
      <c r="R48" s="21" t="str">
        <f>IF(Q48&gt;0,"Active - overdue balance","Active")</f>
        <v>Active</v>
      </c>
      <c r="S48" s="21">
        <v>1</v>
      </c>
      <c r="T48" s="21" t="s">
        <v>1803</v>
      </c>
      <c r="U48" s="21" t="s">
        <v>1804</v>
      </c>
      <c r="V48" s="21">
        <v>5000</v>
      </c>
      <c r="W48" s="25">
        <v>1450</v>
      </c>
      <c r="X48" s="25">
        <f>V48*W48</f>
        <v>7250000</v>
      </c>
      <c r="Y48" s="23">
        <f>_xlfn.XLOOKUP(LEFT(T48,FIND(" - ",T48)-1),'T13'!$A$3:$A$1500,'T13'!$O$3:$O$1500)</f>
        <v>0.18</v>
      </c>
      <c r="Z48" s="25">
        <f>V48*IF(U48="MT",1000,IF(U48="Jumbo bag (1.5 MT)",1500,IF(U48="Bag (40 kg)",40,50)))*3</f>
        <v>750000</v>
      </c>
      <c r="AA48" s="33">
        <f>SUMIFS($V$3:$V$1500,$A$3:$A$1500,A48,$U$3:$U$1500,"Bag (50 kg)")*0.05+SUMIFS($V$3:$V$1500,$A$3:$A$1500,A48,$U$3:$U$1500,"Bag (40 kg)")*0.04+SUMIFS($V$3:$V$1500,$A$3:$A$1500,A48,$U$3:$U$1500,"MT")+SUMIFS($V$3:$V$1500,$A$3:$A$1500,A48,$U$3:$U$1500,"Jumbo bag (1.5 MT)")*1.5</f>
        <v>350</v>
      </c>
      <c r="AB48" s="25">
        <f>SUMIFS($X$3:$X$1500,$A$3:$A$1500,A48)</f>
        <v>10110000</v>
      </c>
      <c r="AC48" s="25" cm="1">
        <f t="array" ref="AC48">SUMPRODUCT(($A$3:$A$1500=A48)*$X$3:$X$1500*$Y$3:$Y$1500)</f>
        <v>1819800</v>
      </c>
      <c r="AD48" s="25">
        <f>SUMIFS($Z$3:$Z$1500,$A$3:$A$1500,A48)</f>
        <v>1050000</v>
      </c>
      <c r="AE48" s="25">
        <f>AB48+AC48+AD48</f>
        <v>12979800</v>
      </c>
      <c r="AF48" s="21" t="str">
        <f>"PKR "&amp;TEXT(AE48,"#,##0")&amp;" only"</f>
        <v>PKR 12,979,800 only</v>
      </c>
      <c r="AG48" s="21" t="s">
        <v>1805</v>
      </c>
      <c r="AH48" s="21" t="s">
        <v>1091</v>
      </c>
      <c r="AI48" s="21" t="s">
        <v>1827</v>
      </c>
      <c r="AJ48" s="21" t="s">
        <v>768</v>
      </c>
      <c r="AK48" s="21" t="s">
        <v>1092</v>
      </c>
      <c r="AL48" s="21" t="s">
        <v>1807</v>
      </c>
      <c r="AM48" s="21" t="s">
        <v>1087</v>
      </c>
    </row>
    <row r="49" spans="1:39" x14ac:dyDescent="0.3">
      <c r="A49" s="21" t="s">
        <v>1882</v>
      </c>
      <c r="B49" s="21">
        <v>0</v>
      </c>
      <c r="C49" s="29">
        <v>45939</v>
      </c>
      <c r="D49" s="21" t="s">
        <v>1795</v>
      </c>
      <c r="E49" s="21" t="s">
        <v>743</v>
      </c>
      <c r="F49" s="21" t="s">
        <v>1796</v>
      </c>
      <c r="G49" s="21" t="s">
        <v>1797</v>
      </c>
      <c r="H49" s="29">
        <f>C49</f>
        <v>45939</v>
      </c>
      <c r="I49" s="29">
        <f>H49+30</f>
        <v>45969</v>
      </c>
      <c r="J49" s="21" t="s">
        <v>1834</v>
      </c>
      <c r="K49" s="21" t="s">
        <v>1799</v>
      </c>
      <c r="L49" s="21" t="s">
        <v>1823</v>
      </c>
      <c r="M49" s="21" t="s">
        <v>746</v>
      </c>
      <c r="N49" s="21" t="s">
        <v>1824</v>
      </c>
      <c r="O49" s="21" t="s">
        <v>1825</v>
      </c>
      <c r="P49" s="21" t="s">
        <v>1083</v>
      </c>
      <c r="Q49" s="25" cm="1">
        <f t="array" ref="Q49">MAX(0,SUMPRODUCT(('T11'!$G$3:$G$1500=L49)*('T11'!$AG$3:$AG$1500&lt;C49)*('T11'!$W$3:$W$1500*(1+'T11'!$X$3:$X$1500)+'T11'!$Y$3:$Y$1500))-SUMPRODUCT(('T15'!$L$3:$L$1499=L49)*('T15'!$B$3:$B$1499&lt;C49)*('T15'!$BC$3:$BC$1499+'T15'!$BD$3:$BD$1499+'T15'!$BE$3:$BE$1499)))</f>
        <v>0</v>
      </c>
      <c r="R49" s="21" t="str">
        <f>IF(Q49&gt;0,"Active - overdue balance","Active")</f>
        <v>Active</v>
      </c>
      <c r="S49" s="21">
        <v>2</v>
      </c>
      <c r="T49" s="21" t="s">
        <v>1828</v>
      </c>
      <c r="U49" s="21" t="s">
        <v>1804</v>
      </c>
      <c r="V49" s="21">
        <v>2000</v>
      </c>
      <c r="W49" s="25">
        <v>1430</v>
      </c>
      <c r="X49" s="25">
        <f>V49*W49</f>
        <v>2860000</v>
      </c>
      <c r="Y49" s="23">
        <f>_xlfn.XLOOKUP(LEFT(T49,FIND(" - ",T49)-1),'T13'!$A$3:$A$1500,'T13'!$O$3:$O$1500)</f>
        <v>0.18</v>
      </c>
      <c r="Z49" s="25">
        <f>V49*IF(U49="MT",1000,IF(U49="Jumbo bag (1.5 MT)",1500,IF(U49="Bag (40 kg)",40,50)))*3</f>
        <v>300000</v>
      </c>
      <c r="AA49" s="33">
        <f>SUMIFS($V$3:$V$1500,$A$3:$A$1500,A49,$U$3:$U$1500,"Bag (50 kg)")*0.05+SUMIFS($V$3:$V$1500,$A$3:$A$1500,A49,$U$3:$U$1500,"Bag (40 kg)")*0.04+SUMIFS($V$3:$V$1500,$A$3:$A$1500,A49,$U$3:$U$1500,"MT")+SUMIFS($V$3:$V$1500,$A$3:$A$1500,A49,$U$3:$U$1500,"Jumbo bag (1.5 MT)")*1.5</f>
        <v>350</v>
      </c>
      <c r="AB49" s="25">
        <f>SUMIFS($X$3:$X$1500,$A$3:$A$1500,A49)</f>
        <v>10110000</v>
      </c>
      <c r="AC49" s="25" cm="1">
        <f t="array" ref="AC49">SUMPRODUCT(($A$3:$A$1500=A49)*$X$3:$X$1500*$Y$3:$Y$1500)</f>
        <v>1819800</v>
      </c>
      <c r="AD49" s="25">
        <f>SUMIFS($Z$3:$Z$1500,$A$3:$A$1500,A49)</f>
        <v>1050000</v>
      </c>
      <c r="AE49" s="25">
        <f>AB49+AC49+AD49</f>
        <v>12979800</v>
      </c>
      <c r="AF49" s="21" t="str">
        <f>"PKR "&amp;TEXT(AE49,"#,##0")&amp;" only"</f>
        <v>PKR 12,979,800 only</v>
      </c>
      <c r="AG49" s="21" t="s">
        <v>1805</v>
      </c>
      <c r="AH49" s="21" t="s">
        <v>1091</v>
      </c>
      <c r="AI49" s="21" t="s">
        <v>1827</v>
      </c>
      <c r="AJ49" s="21" t="s">
        <v>768</v>
      </c>
      <c r="AK49" s="21" t="s">
        <v>1092</v>
      </c>
      <c r="AL49" s="21" t="s">
        <v>1807</v>
      </c>
      <c r="AM49" s="21" t="s">
        <v>1087</v>
      </c>
    </row>
    <row r="50" spans="1:39" x14ac:dyDescent="0.3">
      <c r="A50" s="21" t="s">
        <v>1883</v>
      </c>
      <c r="B50" s="21">
        <v>0</v>
      </c>
      <c r="C50" s="29">
        <v>45954</v>
      </c>
      <c r="D50" s="21" t="s">
        <v>1810</v>
      </c>
      <c r="E50" s="21" t="s">
        <v>743</v>
      </c>
      <c r="F50" s="21" t="s">
        <v>1876</v>
      </c>
      <c r="G50" s="21" t="s">
        <v>1797</v>
      </c>
      <c r="H50" s="29">
        <f>C50</f>
        <v>45954</v>
      </c>
      <c r="I50" s="29">
        <f>H50+30</f>
        <v>45984</v>
      </c>
      <c r="J50" s="21" t="s">
        <v>1798</v>
      </c>
      <c r="K50" s="21" t="s">
        <v>1812</v>
      </c>
      <c r="L50" s="21" t="s">
        <v>1830</v>
      </c>
      <c r="M50" s="21" t="s">
        <v>746</v>
      </c>
      <c r="N50" s="21" t="s">
        <v>1139</v>
      </c>
      <c r="O50" s="21" t="s">
        <v>1831</v>
      </c>
      <c r="P50" s="21" t="s">
        <v>1145</v>
      </c>
      <c r="Q50" s="25" cm="1">
        <f t="array" ref="Q50">MAX(0,SUMPRODUCT(('T11'!$G$3:$G$1500=L50)*('T11'!$AG$3:$AG$1500&lt;C50)*('T11'!$W$3:$W$1500*(1+'T11'!$X$3:$X$1500)+'T11'!$Y$3:$Y$1500))-SUMPRODUCT(('T15'!$L$3:$L$1499=L50)*('T15'!$B$3:$B$1499&lt;C50)*('T15'!$BC$3:$BC$1499+'T15'!$BD$3:$BD$1499+'T15'!$BE$3:$BE$1499)))</f>
        <v>0</v>
      </c>
      <c r="R50" s="21" t="str">
        <f>IF(Q50&gt;0,"Active - overdue balance","Active")</f>
        <v>Active</v>
      </c>
      <c r="S50" s="21">
        <v>1</v>
      </c>
      <c r="T50" s="21" t="s">
        <v>1815</v>
      </c>
      <c r="U50" s="21" t="s">
        <v>783</v>
      </c>
      <c r="V50" s="21">
        <v>210</v>
      </c>
      <c r="W50" s="25">
        <v>28900</v>
      </c>
      <c r="X50" s="25">
        <f>V50*W50</f>
        <v>6069000</v>
      </c>
      <c r="Y50" s="23">
        <f>_xlfn.XLOOKUP(LEFT(T50,FIND(" - ",T50)-1),'T13'!$A$3:$A$1500,'T13'!$O$3:$O$1500)</f>
        <v>0.18</v>
      </c>
      <c r="Z50" s="25">
        <f>V50*IF(U50="MT",1000,IF(U50="Jumbo bag (1.5 MT)",1500,IF(U50="Bag (40 kg)",40,50)))*3</f>
        <v>630000</v>
      </c>
      <c r="AA50" s="33">
        <f>SUMIFS($V$3:$V$1500,$A$3:$A$1500,A50,$U$3:$U$1500,"Bag (50 kg)")*0.05+SUMIFS($V$3:$V$1500,$A$3:$A$1500,A50,$U$3:$U$1500,"Bag (40 kg)")*0.04+SUMIFS($V$3:$V$1500,$A$3:$A$1500,A50,$U$3:$U$1500,"MT")+SUMIFS($V$3:$V$1500,$A$3:$A$1500,A50,$U$3:$U$1500,"Jumbo bag (1.5 MT)")*1.5</f>
        <v>210</v>
      </c>
      <c r="AB50" s="25">
        <f>SUMIFS($X$3:$X$1500,$A$3:$A$1500,A50)</f>
        <v>6069000</v>
      </c>
      <c r="AC50" s="25" cm="1">
        <f t="array" ref="AC50">SUMPRODUCT(($A$3:$A$1500=A50)*$X$3:$X$1500*$Y$3:$Y$1500)</f>
        <v>1092420</v>
      </c>
      <c r="AD50" s="25">
        <f>SUMIFS($Z$3:$Z$1500,$A$3:$A$1500,A50)</f>
        <v>630000</v>
      </c>
      <c r="AE50" s="25">
        <f>AB50+AC50+AD50</f>
        <v>7791420</v>
      </c>
      <c r="AF50" s="21" t="str">
        <f>"PKR "&amp;TEXT(AE50,"#,##0")&amp;" only"</f>
        <v>PKR 7,791,420 only</v>
      </c>
      <c r="AG50" s="21" t="s">
        <v>1805</v>
      </c>
      <c r="AH50" s="21" t="s">
        <v>1091</v>
      </c>
      <c r="AI50" s="21" t="s">
        <v>1832</v>
      </c>
      <c r="AJ50" s="21" t="s">
        <v>1817</v>
      </c>
      <c r="AK50" s="21" t="s">
        <v>1092</v>
      </c>
      <c r="AL50" s="21" t="s">
        <v>1807</v>
      </c>
      <c r="AM50" s="21" t="s">
        <v>1051</v>
      </c>
    </row>
    <row r="51" spans="1:39" x14ac:dyDescent="0.3">
      <c r="A51" s="21" t="s">
        <v>1884</v>
      </c>
      <c r="B51" s="21">
        <v>1</v>
      </c>
      <c r="C51" s="29">
        <v>45957</v>
      </c>
      <c r="D51" s="21" t="s">
        <v>1795</v>
      </c>
      <c r="E51" s="21" t="s">
        <v>743</v>
      </c>
      <c r="F51" s="21" t="s">
        <v>1796</v>
      </c>
      <c r="G51" s="21" t="s">
        <v>1797</v>
      </c>
      <c r="H51" s="29">
        <f>C51</f>
        <v>45957</v>
      </c>
      <c r="I51" s="29">
        <f>H51+30</f>
        <v>45987</v>
      </c>
      <c r="J51" s="21" t="s">
        <v>1798</v>
      </c>
      <c r="K51" s="21" t="s">
        <v>1799</v>
      </c>
      <c r="L51" s="21" t="s">
        <v>1870</v>
      </c>
      <c r="M51" s="21" t="s">
        <v>746</v>
      </c>
      <c r="N51" s="21" t="s">
        <v>1871</v>
      </c>
      <c r="O51" s="21" t="s">
        <v>1872</v>
      </c>
      <c r="P51" s="21" t="s">
        <v>1048</v>
      </c>
      <c r="Q51" s="25" cm="1">
        <f t="array" ref="Q51">MAX(0,SUMPRODUCT(('T11'!$G$3:$G$1500=L51)*('T11'!$AG$3:$AG$1500&lt;C51)*('T11'!$W$3:$W$1500*(1+'T11'!$X$3:$X$1500)+'T11'!$Y$3:$Y$1500))-SUMPRODUCT(('T15'!$L$3:$L$1499=L51)*('T15'!$B$3:$B$1499&lt;C51)*('T15'!$BC$3:$BC$1499+'T15'!$BD$3:$BD$1499+'T15'!$BE$3:$BE$1499)))</f>
        <v>0</v>
      </c>
      <c r="R51" s="21" t="str">
        <f>IF(Q51&gt;0,"Active - overdue balance","Active")</f>
        <v>Active</v>
      </c>
      <c r="S51" s="21">
        <v>1</v>
      </c>
      <c r="T51" s="21" t="s">
        <v>1826</v>
      </c>
      <c r="U51" s="21" t="s">
        <v>1804</v>
      </c>
      <c r="V51" s="21">
        <v>1500</v>
      </c>
      <c r="W51" s="25">
        <v>1505</v>
      </c>
      <c r="X51" s="25">
        <f>V51*W51</f>
        <v>2257500</v>
      </c>
      <c r="Y51" s="23">
        <f>_xlfn.XLOOKUP(LEFT(T51,FIND(" - ",T51)-1),'T13'!$A$3:$A$1500,'T13'!$O$3:$O$1500)</f>
        <v>0.18</v>
      </c>
      <c r="Z51" s="25">
        <f>V51*IF(U51="MT",1000,IF(U51="Jumbo bag (1.5 MT)",1500,IF(U51="Bag (40 kg)",40,50)))*3</f>
        <v>225000</v>
      </c>
      <c r="AA51" s="33">
        <f>SUMIFS($V$3:$V$1500,$A$3:$A$1500,A51,$U$3:$U$1500,"Bag (50 kg)")*0.05+SUMIFS($V$3:$V$1500,$A$3:$A$1500,A51,$U$3:$U$1500,"Bag (40 kg)")*0.04+SUMIFS($V$3:$V$1500,$A$3:$A$1500,A51,$U$3:$U$1500,"MT")+SUMIFS($V$3:$V$1500,$A$3:$A$1500,A51,$U$3:$U$1500,"Jumbo bag (1.5 MT)")*1.5</f>
        <v>200</v>
      </c>
      <c r="AB51" s="25">
        <f>SUMIFS($X$3:$X$1500,$A$3:$A$1500,A51)</f>
        <v>6282500</v>
      </c>
      <c r="AC51" s="25" cm="1">
        <f t="array" ref="AC51">SUMPRODUCT(($A$3:$A$1500=A51)*$X$3:$X$1500*$Y$3:$Y$1500)</f>
        <v>1130850</v>
      </c>
      <c r="AD51" s="25">
        <f>SUMIFS($Z$3:$Z$1500,$A$3:$A$1500,A51)</f>
        <v>600000</v>
      </c>
      <c r="AE51" s="25">
        <f>AB51+AC51+AD51</f>
        <v>8013350</v>
      </c>
      <c r="AF51" s="21" t="str">
        <f>"PKR "&amp;TEXT(AE51,"#,##0")&amp;" only"</f>
        <v>PKR 8,013,350 only</v>
      </c>
      <c r="AG51" s="21" t="s">
        <v>1805</v>
      </c>
      <c r="AH51" s="21" t="s">
        <v>1091</v>
      </c>
      <c r="AI51" s="21" t="s">
        <v>1873</v>
      </c>
      <c r="AJ51" s="21" t="s">
        <v>768</v>
      </c>
      <c r="AK51" s="21" t="s">
        <v>1092</v>
      </c>
      <c r="AL51" s="21" t="s">
        <v>1807</v>
      </c>
      <c r="AM51" s="21" t="s">
        <v>1051</v>
      </c>
    </row>
    <row r="52" spans="1:39" x14ac:dyDescent="0.3">
      <c r="A52" s="21" t="s">
        <v>1884</v>
      </c>
      <c r="B52" s="21">
        <v>1</v>
      </c>
      <c r="C52" s="29">
        <v>45957</v>
      </c>
      <c r="D52" s="21" t="s">
        <v>1795</v>
      </c>
      <c r="E52" s="21" t="s">
        <v>743</v>
      </c>
      <c r="F52" s="21" t="s">
        <v>1796</v>
      </c>
      <c r="G52" s="21" t="s">
        <v>1797</v>
      </c>
      <c r="H52" s="29">
        <f>C52</f>
        <v>45957</v>
      </c>
      <c r="I52" s="29">
        <f>H52+30</f>
        <v>45987</v>
      </c>
      <c r="J52" s="21" t="s">
        <v>1798</v>
      </c>
      <c r="K52" s="21" t="s">
        <v>1799</v>
      </c>
      <c r="L52" s="21" t="s">
        <v>1870</v>
      </c>
      <c r="M52" s="21" t="s">
        <v>746</v>
      </c>
      <c r="N52" s="21" t="s">
        <v>1871</v>
      </c>
      <c r="O52" s="21" t="s">
        <v>1872</v>
      </c>
      <c r="P52" s="21" t="s">
        <v>1048</v>
      </c>
      <c r="Q52" s="25" cm="1">
        <f t="array" ref="Q52">MAX(0,SUMPRODUCT(('T11'!$G$3:$G$1500=L52)*('T11'!$AG$3:$AG$1500&lt;C52)*('T11'!$W$3:$W$1500*(1+'T11'!$X$3:$X$1500)+'T11'!$Y$3:$Y$1500))-SUMPRODUCT(('T15'!$L$3:$L$1499=L52)*('T15'!$B$3:$B$1499&lt;C52)*('T15'!$BC$3:$BC$1499+'T15'!$BD$3:$BD$1499+'T15'!$BE$3:$BE$1499)))</f>
        <v>0</v>
      </c>
      <c r="R52" s="21" t="str">
        <f>IF(Q52&gt;0,"Active - overdue balance","Active")</f>
        <v>Active</v>
      </c>
      <c r="S52" s="21">
        <v>2</v>
      </c>
      <c r="T52" s="21" t="s">
        <v>1865</v>
      </c>
      <c r="U52" s="21" t="s">
        <v>1804</v>
      </c>
      <c r="V52" s="21">
        <v>1000</v>
      </c>
      <c r="W52" s="25">
        <v>1655</v>
      </c>
      <c r="X52" s="25">
        <f>V52*W52</f>
        <v>1655000</v>
      </c>
      <c r="Y52" s="23">
        <f>_xlfn.XLOOKUP(LEFT(T52,FIND(" - ",T52)-1),'T13'!$A$3:$A$1500,'T13'!$O$3:$O$1500)</f>
        <v>0.18</v>
      </c>
      <c r="Z52" s="25">
        <f>V52*IF(U52="MT",1000,IF(U52="Jumbo bag (1.5 MT)",1500,IF(U52="Bag (40 kg)",40,50)))*3</f>
        <v>150000</v>
      </c>
      <c r="AA52" s="33">
        <f>SUMIFS($V$3:$V$1500,$A$3:$A$1500,A52,$U$3:$U$1500,"Bag (50 kg)")*0.05+SUMIFS($V$3:$V$1500,$A$3:$A$1500,A52,$U$3:$U$1500,"Bag (40 kg)")*0.04+SUMIFS($V$3:$V$1500,$A$3:$A$1500,A52,$U$3:$U$1500,"MT")+SUMIFS($V$3:$V$1500,$A$3:$A$1500,A52,$U$3:$U$1500,"Jumbo bag (1.5 MT)")*1.5</f>
        <v>200</v>
      </c>
      <c r="AB52" s="25">
        <f>SUMIFS($X$3:$X$1500,$A$3:$A$1500,A52)</f>
        <v>6282500</v>
      </c>
      <c r="AC52" s="25" cm="1">
        <f t="array" ref="AC52">SUMPRODUCT(($A$3:$A$1500=A52)*$X$3:$X$1500*$Y$3:$Y$1500)</f>
        <v>1130850</v>
      </c>
      <c r="AD52" s="25">
        <f>SUMIFS($Z$3:$Z$1500,$A$3:$A$1500,A52)</f>
        <v>600000</v>
      </c>
      <c r="AE52" s="25">
        <f>AB52+AC52+AD52</f>
        <v>8013350</v>
      </c>
      <c r="AF52" s="21" t="str">
        <f>"PKR "&amp;TEXT(AE52,"#,##0")&amp;" only"</f>
        <v>PKR 8,013,350 only</v>
      </c>
      <c r="AG52" s="21" t="s">
        <v>1805</v>
      </c>
      <c r="AH52" s="21" t="s">
        <v>1091</v>
      </c>
      <c r="AI52" s="21" t="s">
        <v>1873</v>
      </c>
      <c r="AJ52" s="21" t="s">
        <v>768</v>
      </c>
      <c r="AK52" s="21" t="s">
        <v>1092</v>
      </c>
      <c r="AL52" s="21" t="s">
        <v>1807</v>
      </c>
      <c r="AM52" s="21" t="s">
        <v>1051</v>
      </c>
    </row>
    <row r="53" spans="1:39" x14ac:dyDescent="0.3">
      <c r="A53" s="21" t="s">
        <v>1884</v>
      </c>
      <c r="B53" s="21">
        <v>1</v>
      </c>
      <c r="C53" s="29">
        <v>45957</v>
      </c>
      <c r="D53" s="21" t="s">
        <v>1795</v>
      </c>
      <c r="E53" s="21" t="s">
        <v>743</v>
      </c>
      <c r="F53" s="21" t="s">
        <v>1796</v>
      </c>
      <c r="G53" s="21" t="s">
        <v>1797</v>
      </c>
      <c r="H53" s="29">
        <f>C53</f>
        <v>45957</v>
      </c>
      <c r="I53" s="29">
        <f>H53+30</f>
        <v>45987</v>
      </c>
      <c r="J53" s="21" t="s">
        <v>1798</v>
      </c>
      <c r="K53" s="21" t="s">
        <v>1799</v>
      </c>
      <c r="L53" s="21" t="s">
        <v>1870</v>
      </c>
      <c r="M53" s="21" t="s">
        <v>746</v>
      </c>
      <c r="N53" s="21" t="s">
        <v>1871</v>
      </c>
      <c r="O53" s="21" t="s">
        <v>1872</v>
      </c>
      <c r="P53" s="21" t="s">
        <v>1048</v>
      </c>
      <c r="Q53" s="25" cm="1">
        <f t="array" ref="Q53">MAX(0,SUMPRODUCT(('T11'!$G$3:$G$1500=L53)*('T11'!$AG$3:$AG$1500&lt;C53)*('T11'!$W$3:$W$1500*(1+'T11'!$X$3:$X$1500)+'T11'!$Y$3:$Y$1500))-SUMPRODUCT(('T15'!$L$3:$L$1499=L53)*('T15'!$B$3:$B$1499&lt;C53)*('T15'!$BC$3:$BC$1499+'T15'!$BD$3:$BD$1499+'T15'!$BE$3:$BE$1499)))</f>
        <v>0</v>
      </c>
      <c r="R53" s="21" t="str">
        <f>IF(Q53&gt;0,"Active - overdue balance","Active")</f>
        <v>Active</v>
      </c>
      <c r="S53" s="21">
        <v>3</v>
      </c>
      <c r="T53" s="21" t="s">
        <v>1808</v>
      </c>
      <c r="U53" s="21" t="s">
        <v>1804</v>
      </c>
      <c r="V53" s="21">
        <v>1500</v>
      </c>
      <c r="W53" s="25">
        <v>1580</v>
      </c>
      <c r="X53" s="25">
        <f>V53*W53</f>
        <v>2370000</v>
      </c>
      <c r="Y53" s="23">
        <f>_xlfn.XLOOKUP(LEFT(T53,FIND(" - ",T53)-1),'T13'!$A$3:$A$1500,'T13'!$O$3:$O$1500)</f>
        <v>0.18</v>
      </c>
      <c r="Z53" s="25">
        <f>V53*IF(U53="MT",1000,IF(U53="Jumbo bag (1.5 MT)",1500,IF(U53="Bag (40 kg)",40,50)))*3</f>
        <v>225000</v>
      </c>
      <c r="AA53" s="33">
        <f>SUMIFS($V$3:$V$1500,$A$3:$A$1500,A53,$U$3:$U$1500,"Bag (50 kg)")*0.05+SUMIFS($V$3:$V$1500,$A$3:$A$1500,A53,$U$3:$U$1500,"Bag (40 kg)")*0.04+SUMIFS($V$3:$V$1500,$A$3:$A$1500,A53,$U$3:$U$1500,"MT")+SUMIFS($V$3:$V$1500,$A$3:$A$1500,A53,$U$3:$U$1500,"Jumbo bag (1.5 MT)")*1.5</f>
        <v>200</v>
      </c>
      <c r="AB53" s="25">
        <f>SUMIFS($X$3:$X$1500,$A$3:$A$1500,A53)</f>
        <v>6282500</v>
      </c>
      <c r="AC53" s="25" cm="1">
        <f t="array" ref="AC53">SUMPRODUCT(($A$3:$A$1500=A53)*$X$3:$X$1500*$Y$3:$Y$1500)</f>
        <v>1130850</v>
      </c>
      <c r="AD53" s="25">
        <f>SUMIFS($Z$3:$Z$1500,$A$3:$A$1500,A53)</f>
        <v>600000</v>
      </c>
      <c r="AE53" s="25">
        <f>AB53+AC53+AD53</f>
        <v>8013350</v>
      </c>
      <c r="AF53" s="21" t="str">
        <f>"PKR "&amp;TEXT(AE53,"#,##0")&amp;" only"</f>
        <v>PKR 8,013,350 only</v>
      </c>
      <c r="AG53" s="21" t="s">
        <v>1805</v>
      </c>
      <c r="AH53" s="21" t="s">
        <v>1091</v>
      </c>
      <c r="AI53" s="21" t="s">
        <v>1873</v>
      </c>
      <c r="AJ53" s="21" t="s">
        <v>768</v>
      </c>
      <c r="AK53" s="21" t="s">
        <v>1092</v>
      </c>
      <c r="AL53" s="21" t="s">
        <v>1807</v>
      </c>
      <c r="AM53" s="21" t="s">
        <v>1051</v>
      </c>
    </row>
    <row r="54" spans="1:39" x14ac:dyDescent="0.3">
      <c r="A54" s="21" t="s">
        <v>1885</v>
      </c>
      <c r="B54" s="21">
        <v>0</v>
      </c>
      <c r="C54" s="29">
        <v>45989</v>
      </c>
      <c r="D54" s="21" t="s">
        <v>1810</v>
      </c>
      <c r="E54" s="21" t="s">
        <v>743</v>
      </c>
      <c r="F54" s="21" t="s">
        <v>1876</v>
      </c>
      <c r="G54" s="21" t="s">
        <v>1797</v>
      </c>
      <c r="H54" s="29">
        <f>C54</f>
        <v>45989</v>
      </c>
      <c r="I54" s="29">
        <f>H54+30</f>
        <v>46019</v>
      </c>
      <c r="J54" s="21" t="s">
        <v>1798</v>
      </c>
      <c r="K54" s="21" t="s">
        <v>1812</v>
      </c>
      <c r="L54" s="21" t="s">
        <v>1819</v>
      </c>
      <c r="M54" s="21" t="s">
        <v>746</v>
      </c>
      <c r="N54" s="21" t="s">
        <v>1167</v>
      </c>
      <c r="O54" s="21" t="s">
        <v>1820</v>
      </c>
      <c r="P54" s="21" t="s">
        <v>1173</v>
      </c>
      <c r="Q54" s="25" cm="1">
        <f t="array" ref="Q54">MAX(0,SUMPRODUCT(('T11'!$G$3:$G$1500=L54)*('T11'!$AG$3:$AG$1500&lt;C54)*('T11'!$W$3:$W$1500*(1+'T11'!$X$3:$X$1500)+'T11'!$Y$3:$Y$1500))-SUMPRODUCT(('T15'!$L$3:$L$1499=L54)*('T15'!$B$3:$B$1499&lt;C54)*('T15'!$BC$3:$BC$1499+'T15'!$BD$3:$BD$1499+'T15'!$BE$3:$BE$1499)))</f>
        <v>0</v>
      </c>
      <c r="R54" s="21" t="str">
        <f>IF(Q54&gt;0,"Active - overdue balance","Active")</f>
        <v>Active</v>
      </c>
      <c r="S54" s="21">
        <v>1</v>
      </c>
      <c r="T54" s="21" t="s">
        <v>1881</v>
      </c>
      <c r="U54" s="21" t="s">
        <v>783</v>
      </c>
      <c r="V54" s="21">
        <v>200</v>
      </c>
      <c r="W54" s="25">
        <v>30550</v>
      </c>
      <c r="X54" s="25">
        <f>V54*W54</f>
        <v>6110000</v>
      </c>
      <c r="Y54" s="23">
        <f>_xlfn.XLOOKUP(LEFT(T54,FIND(" - ",T54)-1),'T13'!$A$3:$A$1500,'T13'!$O$3:$O$1500)</f>
        <v>0.18</v>
      </c>
      <c r="Z54" s="25">
        <f>V54*IF(U54="MT",1000,IF(U54="Jumbo bag (1.5 MT)",1500,IF(U54="Bag (40 kg)",40,50)))*3</f>
        <v>600000</v>
      </c>
      <c r="AA54" s="33">
        <f>SUMIFS($V$3:$V$1500,$A$3:$A$1500,A54,$U$3:$U$1500,"Bag (50 kg)")*0.05+SUMIFS($V$3:$V$1500,$A$3:$A$1500,A54,$U$3:$U$1500,"Bag (40 kg)")*0.04+SUMIFS($V$3:$V$1500,$A$3:$A$1500,A54,$U$3:$U$1500,"MT")+SUMIFS($V$3:$V$1500,$A$3:$A$1500,A54,$U$3:$U$1500,"Jumbo bag (1.5 MT)")*1.5</f>
        <v>200</v>
      </c>
      <c r="AB54" s="25">
        <f>SUMIFS($X$3:$X$1500,$A$3:$A$1500,A54)</f>
        <v>6110000</v>
      </c>
      <c r="AC54" s="25" cm="1">
        <f t="array" ref="AC54">SUMPRODUCT(($A$3:$A$1500=A54)*$X$3:$X$1500*$Y$3:$Y$1500)</f>
        <v>1099800</v>
      </c>
      <c r="AD54" s="25">
        <f>SUMIFS($Z$3:$Z$1500,$A$3:$A$1500,A54)</f>
        <v>600000</v>
      </c>
      <c r="AE54" s="25">
        <f>AB54+AC54+AD54</f>
        <v>7809800</v>
      </c>
      <c r="AF54" s="21" t="str">
        <f>"PKR "&amp;TEXT(AE54,"#,##0")&amp;" only"</f>
        <v>PKR 7,809,800 only</v>
      </c>
      <c r="AG54" s="21" t="s">
        <v>1805</v>
      </c>
      <c r="AH54" s="21" t="s">
        <v>1091</v>
      </c>
      <c r="AI54" s="21" t="s">
        <v>1886</v>
      </c>
      <c r="AJ54" s="21" t="s">
        <v>1817</v>
      </c>
      <c r="AK54" s="21" t="s">
        <v>1092</v>
      </c>
      <c r="AL54" s="21" t="s">
        <v>1807</v>
      </c>
      <c r="AM54" s="21" t="s">
        <v>1051</v>
      </c>
    </row>
    <row r="55" spans="1:39" x14ac:dyDescent="0.3">
      <c r="A55" s="21" t="s">
        <v>1887</v>
      </c>
      <c r="B55" s="21">
        <v>1</v>
      </c>
      <c r="C55" s="29">
        <v>46015</v>
      </c>
      <c r="D55" s="21" t="s">
        <v>1795</v>
      </c>
      <c r="E55" s="21" t="s">
        <v>743</v>
      </c>
      <c r="F55" s="21" t="s">
        <v>1796</v>
      </c>
      <c r="G55" s="21" t="s">
        <v>1797</v>
      </c>
      <c r="H55" s="29">
        <f>C55</f>
        <v>46015</v>
      </c>
      <c r="I55" s="29">
        <f>H55+30</f>
        <v>46045</v>
      </c>
      <c r="J55" s="21" t="s">
        <v>1798</v>
      </c>
      <c r="K55" s="21" t="s">
        <v>1799</v>
      </c>
      <c r="L55" s="21" t="s">
        <v>1800</v>
      </c>
      <c r="M55" s="21" t="s">
        <v>746</v>
      </c>
      <c r="N55" s="21" t="s">
        <v>1801</v>
      </c>
      <c r="O55" s="21" t="s">
        <v>1802</v>
      </c>
      <c r="P55" s="21" t="s">
        <v>1076</v>
      </c>
      <c r="Q55" s="25" cm="1">
        <f t="array" ref="Q55">MAX(0,SUMPRODUCT(('T11'!$G$3:$G$1500=L55)*('T11'!$AG$3:$AG$1500&lt;C55)*('T11'!$W$3:$W$1500*(1+'T11'!$X$3:$X$1500)+'T11'!$Y$3:$Y$1500))-SUMPRODUCT(('T15'!$L$3:$L$1499=L55)*('T15'!$B$3:$B$1499&lt;C55)*('T15'!$BC$3:$BC$1499+'T15'!$BD$3:$BD$1499+'T15'!$BE$3:$BE$1499)))</f>
        <v>0</v>
      </c>
      <c r="R55" s="21" t="str">
        <f>IF(Q55&gt;0,"Active - overdue balance","Active")</f>
        <v>Active</v>
      </c>
      <c r="S55" s="21">
        <v>1</v>
      </c>
      <c r="T55" s="21" t="s">
        <v>1865</v>
      </c>
      <c r="U55" s="21" t="s">
        <v>1804</v>
      </c>
      <c r="V55" s="21">
        <v>1000</v>
      </c>
      <c r="W55" s="25">
        <v>1670</v>
      </c>
      <c r="X55" s="25">
        <f>V55*W55</f>
        <v>1670000</v>
      </c>
      <c r="Y55" s="23">
        <f>_xlfn.XLOOKUP(LEFT(T55,FIND(" - ",T55)-1),'T13'!$A$3:$A$1500,'T13'!$O$3:$O$1500)</f>
        <v>0.18</v>
      </c>
      <c r="Z55" s="25">
        <f>V55*IF(U55="MT",1000,IF(U55="Jumbo bag (1.5 MT)",1500,IF(U55="Bag (40 kg)",40,50)))*3</f>
        <v>150000</v>
      </c>
      <c r="AA55" s="33">
        <f>SUMIFS($V$3:$V$1500,$A$3:$A$1500,A55,$U$3:$U$1500,"Bag (50 kg)")*0.05+SUMIFS($V$3:$V$1500,$A$3:$A$1500,A55,$U$3:$U$1500,"Bag (40 kg)")*0.04+SUMIFS($V$3:$V$1500,$A$3:$A$1500,A55,$U$3:$U$1500,"MT")+SUMIFS($V$3:$V$1500,$A$3:$A$1500,A55,$U$3:$U$1500,"Jumbo bag (1.5 MT)")*1.5</f>
        <v>230</v>
      </c>
      <c r="AB55" s="25">
        <f>SUMIFS($X$3:$X$1500,$A$3:$A$1500,A55)</f>
        <v>10160000</v>
      </c>
      <c r="AC55" s="25" cm="1">
        <f t="array" ref="AC55">SUMPRODUCT(($A$3:$A$1500=A55)*$X$3:$X$1500*$Y$3:$Y$1500)</f>
        <v>1828800</v>
      </c>
      <c r="AD55" s="25">
        <f>SUMIFS($Z$3:$Z$1500,$A$3:$A$1500,A55)</f>
        <v>690000</v>
      </c>
      <c r="AE55" s="25">
        <f>AB55+AC55+AD55</f>
        <v>12678800</v>
      </c>
      <c r="AF55" s="21" t="str">
        <f>"PKR "&amp;TEXT(AE55,"#,##0")&amp;" only"</f>
        <v>PKR 12,678,800 only</v>
      </c>
      <c r="AG55" s="21" t="s">
        <v>1805</v>
      </c>
      <c r="AH55" s="21" t="s">
        <v>1091</v>
      </c>
      <c r="AI55" s="21" t="s">
        <v>1806</v>
      </c>
      <c r="AJ55" s="21" t="s">
        <v>768</v>
      </c>
      <c r="AK55" s="21" t="s">
        <v>1092</v>
      </c>
      <c r="AL55" s="21" t="s">
        <v>1807</v>
      </c>
      <c r="AM55" s="21" t="s">
        <v>1051</v>
      </c>
    </row>
    <row r="56" spans="1:39" x14ac:dyDescent="0.3">
      <c r="A56" s="21" t="s">
        <v>1887</v>
      </c>
      <c r="B56" s="21">
        <v>1</v>
      </c>
      <c r="C56" s="29">
        <v>46015</v>
      </c>
      <c r="D56" s="21" t="s">
        <v>1795</v>
      </c>
      <c r="E56" s="21" t="s">
        <v>743</v>
      </c>
      <c r="F56" s="21" t="s">
        <v>1796</v>
      </c>
      <c r="G56" s="21" t="s">
        <v>1797</v>
      </c>
      <c r="H56" s="29">
        <f>C56</f>
        <v>46015</v>
      </c>
      <c r="I56" s="29">
        <f>H56+30</f>
        <v>46045</v>
      </c>
      <c r="J56" s="21" t="s">
        <v>1798</v>
      </c>
      <c r="K56" s="21" t="s">
        <v>1799</v>
      </c>
      <c r="L56" s="21" t="s">
        <v>1800</v>
      </c>
      <c r="M56" s="21" t="s">
        <v>746</v>
      </c>
      <c r="N56" s="21" t="s">
        <v>1801</v>
      </c>
      <c r="O56" s="21" t="s">
        <v>1802</v>
      </c>
      <c r="P56" s="21" t="s">
        <v>1076</v>
      </c>
      <c r="Q56" s="25" cm="1">
        <f t="array" ref="Q56">MAX(0,SUMPRODUCT(('T11'!$G$3:$G$1500=L56)*('T11'!$AG$3:$AG$1500&lt;C56)*('T11'!$W$3:$W$1500*(1+'T11'!$X$3:$X$1500)+'T11'!$Y$3:$Y$1500))-SUMPRODUCT(('T15'!$L$3:$L$1499=L56)*('T15'!$B$3:$B$1499&lt;C56)*('T15'!$BC$3:$BC$1499+'T15'!$BD$3:$BD$1499+'T15'!$BE$3:$BE$1499)))</f>
        <v>0</v>
      </c>
      <c r="R56" s="21" t="str">
        <f>IF(Q56&gt;0,"Active - overdue balance","Active")</f>
        <v>Active</v>
      </c>
      <c r="S56" s="21">
        <v>2</v>
      </c>
      <c r="T56" s="21" t="s">
        <v>1840</v>
      </c>
      <c r="U56" s="21" t="s">
        <v>1841</v>
      </c>
      <c r="V56" s="21">
        <v>2000</v>
      </c>
      <c r="W56" s="25">
        <v>2805</v>
      </c>
      <c r="X56" s="25">
        <f>V56*W56</f>
        <v>5610000</v>
      </c>
      <c r="Y56" s="23">
        <f>_xlfn.XLOOKUP(LEFT(T56,FIND(" - ",T56)-1),'T13'!$A$3:$A$1500,'T13'!$O$3:$O$1500)</f>
        <v>0.18</v>
      </c>
      <c r="Z56" s="25">
        <f>V56*IF(U56="MT",1000,IF(U56="Jumbo bag (1.5 MT)",1500,IF(U56="Bag (40 kg)",40,50)))*3</f>
        <v>240000</v>
      </c>
      <c r="AA56" s="33">
        <f>SUMIFS($V$3:$V$1500,$A$3:$A$1500,A56,$U$3:$U$1500,"Bag (50 kg)")*0.05+SUMIFS($V$3:$V$1500,$A$3:$A$1500,A56,$U$3:$U$1500,"Bag (40 kg)")*0.04+SUMIFS($V$3:$V$1500,$A$3:$A$1500,A56,$U$3:$U$1500,"MT")+SUMIFS($V$3:$V$1500,$A$3:$A$1500,A56,$U$3:$U$1500,"Jumbo bag (1.5 MT)")*1.5</f>
        <v>230</v>
      </c>
      <c r="AB56" s="25">
        <f>SUMIFS($X$3:$X$1500,$A$3:$A$1500,A56)</f>
        <v>10160000</v>
      </c>
      <c r="AC56" s="25" cm="1">
        <f t="array" ref="AC56">SUMPRODUCT(($A$3:$A$1500=A56)*$X$3:$X$1500*$Y$3:$Y$1500)</f>
        <v>1828800</v>
      </c>
      <c r="AD56" s="25">
        <f>SUMIFS($Z$3:$Z$1500,$A$3:$A$1500,A56)</f>
        <v>690000</v>
      </c>
      <c r="AE56" s="25">
        <f>AB56+AC56+AD56</f>
        <v>12678800</v>
      </c>
      <c r="AF56" s="21" t="str">
        <f>"PKR "&amp;TEXT(AE56,"#,##0")&amp;" only"</f>
        <v>PKR 12,678,800 only</v>
      </c>
      <c r="AG56" s="21" t="s">
        <v>1805</v>
      </c>
      <c r="AH56" s="21" t="s">
        <v>1091</v>
      </c>
      <c r="AI56" s="21" t="s">
        <v>1806</v>
      </c>
      <c r="AJ56" s="21" t="s">
        <v>768</v>
      </c>
      <c r="AK56" s="21" t="s">
        <v>1092</v>
      </c>
      <c r="AL56" s="21" t="s">
        <v>1807</v>
      </c>
      <c r="AM56" s="21" t="s">
        <v>1051</v>
      </c>
    </row>
    <row r="57" spans="1:39" x14ac:dyDescent="0.3">
      <c r="A57" s="21" t="s">
        <v>1887</v>
      </c>
      <c r="B57" s="21">
        <v>1</v>
      </c>
      <c r="C57" s="29">
        <v>46015</v>
      </c>
      <c r="D57" s="21" t="s">
        <v>1795</v>
      </c>
      <c r="E57" s="21" t="s">
        <v>743</v>
      </c>
      <c r="F57" s="21" t="s">
        <v>1796</v>
      </c>
      <c r="G57" s="21" t="s">
        <v>1797</v>
      </c>
      <c r="H57" s="29">
        <f>C57</f>
        <v>46015</v>
      </c>
      <c r="I57" s="29">
        <f>H57+30</f>
        <v>46045</v>
      </c>
      <c r="J57" s="21" t="s">
        <v>1798</v>
      </c>
      <c r="K57" s="21" t="s">
        <v>1799</v>
      </c>
      <c r="L57" s="21" t="s">
        <v>1800</v>
      </c>
      <c r="M57" s="21" t="s">
        <v>746</v>
      </c>
      <c r="N57" s="21" t="s">
        <v>1801</v>
      </c>
      <c r="O57" s="21" t="s">
        <v>1802</v>
      </c>
      <c r="P57" s="21" t="s">
        <v>1076</v>
      </c>
      <c r="Q57" s="25" cm="1">
        <f t="array" ref="Q57">MAX(0,SUMPRODUCT(('T11'!$G$3:$G$1500=L57)*('T11'!$AG$3:$AG$1500&lt;C57)*('T11'!$W$3:$W$1500*(1+'T11'!$X$3:$X$1500)+'T11'!$Y$3:$Y$1500))-SUMPRODUCT(('T15'!$L$3:$L$1499=L57)*('T15'!$B$3:$B$1499&lt;C57)*('T15'!$BC$3:$BC$1499+'T15'!$BD$3:$BD$1499+'T15'!$BE$3:$BE$1499)))</f>
        <v>0</v>
      </c>
      <c r="R57" s="21" t="str">
        <f>IF(Q57&gt;0,"Active - overdue balance","Active")</f>
        <v>Active</v>
      </c>
      <c r="S57" s="21">
        <v>3</v>
      </c>
      <c r="T57" s="21" t="s">
        <v>1828</v>
      </c>
      <c r="U57" s="21" t="s">
        <v>1804</v>
      </c>
      <c r="V57" s="21">
        <v>2000</v>
      </c>
      <c r="W57" s="25">
        <v>1440</v>
      </c>
      <c r="X57" s="25">
        <f>V57*W57</f>
        <v>2880000</v>
      </c>
      <c r="Y57" s="23">
        <f>_xlfn.XLOOKUP(LEFT(T57,FIND(" - ",T57)-1),'T13'!$A$3:$A$1500,'T13'!$O$3:$O$1500)</f>
        <v>0.18</v>
      </c>
      <c r="Z57" s="25">
        <f>V57*IF(U57="MT",1000,IF(U57="Jumbo bag (1.5 MT)",1500,IF(U57="Bag (40 kg)",40,50)))*3</f>
        <v>300000</v>
      </c>
      <c r="AA57" s="33">
        <f>SUMIFS($V$3:$V$1500,$A$3:$A$1500,A57,$U$3:$U$1500,"Bag (50 kg)")*0.05+SUMIFS($V$3:$V$1500,$A$3:$A$1500,A57,$U$3:$U$1500,"Bag (40 kg)")*0.04+SUMIFS($V$3:$V$1500,$A$3:$A$1500,A57,$U$3:$U$1500,"MT")+SUMIFS($V$3:$V$1500,$A$3:$A$1500,A57,$U$3:$U$1500,"Jumbo bag (1.5 MT)")*1.5</f>
        <v>230</v>
      </c>
      <c r="AB57" s="25">
        <f>SUMIFS($X$3:$X$1500,$A$3:$A$1500,A57)</f>
        <v>10160000</v>
      </c>
      <c r="AC57" s="25" cm="1">
        <f t="array" ref="AC57">SUMPRODUCT(($A$3:$A$1500=A57)*$X$3:$X$1500*$Y$3:$Y$1500)</f>
        <v>1828800</v>
      </c>
      <c r="AD57" s="25">
        <f>SUMIFS($Z$3:$Z$1500,$A$3:$A$1500,A57)</f>
        <v>690000</v>
      </c>
      <c r="AE57" s="25">
        <f>AB57+AC57+AD57</f>
        <v>12678800</v>
      </c>
      <c r="AF57" s="21" t="str">
        <f>"PKR "&amp;TEXT(AE57,"#,##0")&amp;" only"</f>
        <v>PKR 12,678,800 only</v>
      </c>
      <c r="AG57" s="21" t="s">
        <v>1805</v>
      </c>
      <c r="AH57" s="21" t="s">
        <v>1091</v>
      </c>
      <c r="AI57" s="21" t="s">
        <v>1806</v>
      </c>
      <c r="AJ57" s="21" t="s">
        <v>768</v>
      </c>
      <c r="AK57" s="21" t="s">
        <v>1092</v>
      </c>
      <c r="AL57" s="21" t="s">
        <v>1807</v>
      </c>
      <c r="AM57" s="21" t="s">
        <v>1051</v>
      </c>
    </row>
    <row r="58" spans="1:39" x14ac:dyDescent="0.3">
      <c r="A58" s="21" t="s">
        <v>1888</v>
      </c>
      <c r="B58" s="21">
        <v>1</v>
      </c>
      <c r="C58" s="29">
        <v>46019</v>
      </c>
      <c r="D58" s="21" t="s">
        <v>1810</v>
      </c>
      <c r="E58" s="21" t="s">
        <v>743</v>
      </c>
      <c r="F58" s="21" t="s">
        <v>1876</v>
      </c>
      <c r="G58" s="21" t="s">
        <v>1797</v>
      </c>
      <c r="H58" s="29">
        <f>C58</f>
        <v>46019</v>
      </c>
      <c r="I58" s="29">
        <f>H58+30</f>
        <v>46049</v>
      </c>
      <c r="J58" s="21" t="s">
        <v>1798</v>
      </c>
      <c r="K58" s="21" t="s">
        <v>1812</v>
      </c>
      <c r="L58" s="21" t="s">
        <v>1819</v>
      </c>
      <c r="M58" s="21" t="s">
        <v>746</v>
      </c>
      <c r="N58" s="21" t="s">
        <v>1167</v>
      </c>
      <c r="O58" s="21" t="s">
        <v>1820</v>
      </c>
      <c r="P58" s="21" t="s">
        <v>1173</v>
      </c>
      <c r="Q58" s="25" cm="1">
        <f t="array" ref="Q58">MAX(0,SUMPRODUCT(('T11'!$G$3:$G$1500=L58)*('T11'!$AG$3:$AG$1500&lt;C58)*('T11'!$W$3:$W$1500*(1+'T11'!$X$3:$X$1500)+'T11'!$Y$3:$Y$1500))-SUMPRODUCT(('T15'!$L$3:$L$1499=L58)*('T15'!$B$3:$B$1499&lt;C58)*('T15'!$BC$3:$BC$1499+'T15'!$BD$3:$BD$1499+'T15'!$BE$3:$BE$1499)))</f>
        <v>0</v>
      </c>
      <c r="R58" s="21" t="str">
        <f>IF(Q58&gt;0,"Active - overdue balance","Active")</f>
        <v>Active</v>
      </c>
      <c r="S58" s="21">
        <v>1</v>
      </c>
      <c r="T58" s="21" t="s">
        <v>1881</v>
      </c>
      <c r="U58" s="21" t="s">
        <v>783</v>
      </c>
      <c r="V58" s="21">
        <v>240</v>
      </c>
      <c r="W58" s="25">
        <v>30700</v>
      </c>
      <c r="X58" s="25">
        <f>V58*W58</f>
        <v>7368000</v>
      </c>
      <c r="Y58" s="23">
        <f>_xlfn.XLOOKUP(LEFT(T58,FIND(" - ",T58)-1),'T13'!$A$3:$A$1500,'T13'!$O$3:$O$1500)</f>
        <v>0.18</v>
      </c>
      <c r="Z58" s="25">
        <f>V58*IF(U58="MT",1000,IF(U58="Jumbo bag (1.5 MT)",1500,IF(U58="Bag (40 kg)",40,50)))*3</f>
        <v>720000</v>
      </c>
      <c r="AA58" s="33">
        <f>SUMIFS($V$3:$V$1500,$A$3:$A$1500,A58,$U$3:$U$1500,"Bag (50 kg)")*0.05+SUMIFS($V$3:$V$1500,$A$3:$A$1500,A58,$U$3:$U$1500,"Bag (40 kg)")*0.04+SUMIFS($V$3:$V$1500,$A$3:$A$1500,A58,$U$3:$U$1500,"MT")+SUMIFS($V$3:$V$1500,$A$3:$A$1500,A58,$U$3:$U$1500,"Jumbo bag (1.5 MT)")*1.5</f>
        <v>240</v>
      </c>
      <c r="AB58" s="25">
        <f>SUMIFS($X$3:$X$1500,$A$3:$A$1500,A58)</f>
        <v>7368000</v>
      </c>
      <c r="AC58" s="25" cm="1">
        <f t="array" ref="AC58">SUMPRODUCT(($A$3:$A$1500=A58)*$X$3:$X$1500*$Y$3:$Y$1500)</f>
        <v>1326240</v>
      </c>
      <c r="AD58" s="25">
        <f>SUMIFS($Z$3:$Z$1500,$A$3:$A$1500,A58)</f>
        <v>720000</v>
      </c>
      <c r="AE58" s="25">
        <f>AB58+AC58+AD58</f>
        <v>9414240</v>
      </c>
      <c r="AF58" s="21" t="str">
        <f>"PKR "&amp;TEXT(AE58,"#,##0")&amp;" only"</f>
        <v>PKR 9,414,240 only</v>
      </c>
      <c r="AG58" s="21" t="s">
        <v>1805</v>
      </c>
      <c r="AH58" s="21" t="s">
        <v>1091</v>
      </c>
      <c r="AI58" s="21" t="s">
        <v>1886</v>
      </c>
      <c r="AJ58" s="21" t="s">
        <v>1817</v>
      </c>
      <c r="AK58" s="21" t="s">
        <v>1092</v>
      </c>
      <c r="AL58" s="21" t="s">
        <v>1807</v>
      </c>
      <c r="AM58" s="21" t="s">
        <v>1051</v>
      </c>
    </row>
    <row r="59" spans="1:39" x14ac:dyDescent="0.3">
      <c r="A59" s="21" t="s">
        <v>1889</v>
      </c>
      <c r="B59" s="21">
        <v>0</v>
      </c>
      <c r="C59" s="29">
        <v>46031</v>
      </c>
      <c r="D59" s="21" t="s">
        <v>1810</v>
      </c>
      <c r="E59" s="21" t="s">
        <v>743</v>
      </c>
      <c r="F59" s="21" t="s">
        <v>1876</v>
      </c>
      <c r="G59" s="21" t="s">
        <v>1797</v>
      </c>
      <c r="H59" s="29">
        <f>C59</f>
        <v>46031</v>
      </c>
      <c r="I59" s="29">
        <f>H59+30</f>
        <v>46061</v>
      </c>
      <c r="J59" s="21" t="str">
        <f ca="1">IF(I59&lt;TODAY(),"Expired","Open")</f>
        <v>Expired</v>
      </c>
      <c r="K59" s="21" t="s">
        <v>1812</v>
      </c>
      <c r="L59" s="21" t="s">
        <v>1830</v>
      </c>
      <c r="M59" s="21" t="s">
        <v>746</v>
      </c>
      <c r="N59" s="21" t="s">
        <v>1139</v>
      </c>
      <c r="O59" s="21" t="s">
        <v>1831</v>
      </c>
      <c r="P59" s="21" t="s">
        <v>1145</v>
      </c>
      <c r="Q59" s="25" cm="1">
        <f t="array" ref="Q59">MAX(0,SUMPRODUCT(('T11'!$G$3:$G$1500=L59)*('T11'!$AG$3:$AG$1500&lt;C59)*('T11'!$W$3:$W$1500*(1+'T11'!$X$3:$X$1500)+'T11'!$Y$3:$Y$1500))-SUMPRODUCT(('T15'!$L$3:$L$1499=L59)*('T15'!$B$3:$B$1499&lt;C59)*('T15'!$BC$3:$BC$1499+'T15'!$BD$3:$BD$1499+'T15'!$BE$3:$BE$1499)))</f>
        <v>0</v>
      </c>
      <c r="R59" s="21" t="str">
        <f>IF(Q59&gt;0,"Active - overdue balance","Active")</f>
        <v>Active</v>
      </c>
      <c r="S59" s="21">
        <v>1</v>
      </c>
      <c r="T59" s="21" t="s">
        <v>1815</v>
      </c>
      <c r="U59" s="21" t="s">
        <v>783</v>
      </c>
      <c r="V59" s="21">
        <v>300</v>
      </c>
      <c r="W59" s="25">
        <v>29300</v>
      </c>
      <c r="X59" s="25">
        <f>V59*W59</f>
        <v>8790000</v>
      </c>
      <c r="Y59" s="23">
        <f>_xlfn.XLOOKUP(LEFT(T59,FIND(" - ",T59)-1),'T13'!$A$3:$A$1500,'T13'!$O$3:$O$1500)</f>
        <v>0.18</v>
      </c>
      <c r="Z59" s="25">
        <f>V59*IF(U59="MT",1000,IF(U59="Jumbo bag (1.5 MT)",1500,IF(U59="Bag (40 kg)",40,50)))*3</f>
        <v>900000</v>
      </c>
      <c r="AA59" s="33">
        <f>SUMIFS($V$3:$V$1500,$A$3:$A$1500,A59,$U$3:$U$1500,"Bag (50 kg)")*0.05+SUMIFS($V$3:$V$1500,$A$3:$A$1500,A59,$U$3:$U$1500,"Bag (40 kg)")*0.04+SUMIFS($V$3:$V$1500,$A$3:$A$1500,A59,$U$3:$U$1500,"MT")+SUMIFS($V$3:$V$1500,$A$3:$A$1500,A59,$U$3:$U$1500,"Jumbo bag (1.5 MT)")*1.5</f>
        <v>300</v>
      </c>
      <c r="AB59" s="25">
        <f>SUMIFS($X$3:$X$1500,$A$3:$A$1500,A59)</f>
        <v>8790000</v>
      </c>
      <c r="AC59" s="25" cm="1">
        <f t="array" ref="AC59">SUMPRODUCT(($A$3:$A$1500=A59)*$X$3:$X$1500*$Y$3:$Y$1500)</f>
        <v>1582200</v>
      </c>
      <c r="AD59" s="25">
        <f>SUMIFS($Z$3:$Z$1500,$A$3:$A$1500,A59)</f>
        <v>900000</v>
      </c>
      <c r="AE59" s="25">
        <f>AB59+AC59+AD59</f>
        <v>11272200</v>
      </c>
      <c r="AF59" s="21" t="str">
        <f>"PKR "&amp;TEXT(AE59,"#,##0")&amp;" only"</f>
        <v>PKR 11,272,200 only</v>
      </c>
      <c r="AG59" s="21" t="s">
        <v>1805</v>
      </c>
      <c r="AH59" s="21" t="s">
        <v>1091</v>
      </c>
      <c r="AI59" s="21" t="s">
        <v>1832</v>
      </c>
      <c r="AJ59" s="21" t="s">
        <v>1817</v>
      </c>
      <c r="AK59" s="21" t="s">
        <v>1092</v>
      </c>
      <c r="AL59" s="21" t="s">
        <v>1807</v>
      </c>
      <c r="AM59" s="21" t="s">
        <v>1051</v>
      </c>
    </row>
    <row r="60" spans="1:39" x14ac:dyDescent="0.3">
      <c r="A60" s="21" t="s">
        <v>1890</v>
      </c>
      <c r="B60" s="21">
        <v>0</v>
      </c>
      <c r="C60" s="29">
        <v>46046</v>
      </c>
      <c r="D60" s="21" t="s">
        <v>1795</v>
      </c>
      <c r="E60" s="21" t="s">
        <v>743</v>
      </c>
      <c r="F60" s="21" t="s">
        <v>1811</v>
      </c>
      <c r="G60" s="21" t="s">
        <v>1797</v>
      </c>
      <c r="H60" s="29">
        <f>C60</f>
        <v>46046</v>
      </c>
      <c r="I60" s="29">
        <f>H60+30</f>
        <v>46076</v>
      </c>
      <c r="J60" s="21" t="s">
        <v>1798</v>
      </c>
      <c r="K60" s="21" t="s">
        <v>1812</v>
      </c>
      <c r="L60" s="21" t="s">
        <v>1813</v>
      </c>
      <c r="M60" s="21" t="s">
        <v>746</v>
      </c>
      <c r="N60" s="21" t="s">
        <v>1097</v>
      </c>
      <c r="O60" s="21" t="s">
        <v>1814</v>
      </c>
      <c r="P60" s="21" t="s">
        <v>1111</v>
      </c>
      <c r="Q60" s="25" cm="1">
        <f t="array" ref="Q60">MAX(0,SUMPRODUCT(('T11'!$G$3:$G$1500=L60)*('T11'!$AG$3:$AG$1500&lt;C60)*('T11'!$W$3:$W$1500*(1+'T11'!$X$3:$X$1500)+'T11'!$Y$3:$Y$1500))-SUMPRODUCT(('T15'!$L$3:$L$1499=L60)*('T15'!$B$3:$B$1499&lt;C60)*('T15'!$BC$3:$BC$1499+'T15'!$BD$3:$BD$1499+'T15'!$BE$3:$BE$1499)))</f>
        <v>0</v>
      </c>
      <c r="R60" s="21" t="str">
        <f>IF(Q60&gt;0,"Active - overdue balance","Active")</f>
        <v>Active</v>
      </c>
      <c r="S60" s="21">
        <v>1</v>
      </c>
      <c r="T60" s="21" t="s">
        <v>1826</v>
      </c>
      <c r="U60" s="21" t="s">
        <v>1804</v>
      </c>
      <c r="V60" s="21">
        <v>5000</v>
      </c>
      <c r="W60" s="25">
        <v>1525</v>
      </c>
      <c r="X60" s="25">
        <f>V60*W60</f>
        <v>7625000</v>
      </c>
      <c r="Y60" s="23">
        <f>_xlfn.XLOOKUP(LEFT(T60,FIND(" - ",T60)-1),'T13'!$A$3:$A$1500,'T13'!$O$3:$O$1500)</f>
        <v>0.18</v>
      </c>
      <c r="Z60" s="25">
        <f>V60*IF(U60="MT",1000,IF(U60="Jumbo bag (1.5 MT)",1500,IF(U60="Bag (40 kg)",40,50)))*3</f>
        <v>750000</v>
      </c>
      <c r="AA60" s="33">
        <f>SUMIFS($V$3:$V$1500,$A$3:$A$1500,A60,$U$3:$U$1500,"Bag (50 kg)")*0.05+SUMIFS($V$3:$V$1500,$A$3:$A$1500,A60,$U$3:$U$1500,"Bag (40 kg)")*0.04+SUMIFS($V$3:$V$1500,$A$3:$A$1500,A60,$U$3:$U$1500,"MT")+SUMIFS($V$3:$V$1500,$A$3:$A$1500,A60,$U$3:$U$1500,"Jumbo bag (1.5 MT)")*1.5</f>
        <v>250</v>
      </c>
      <c r="AB60" s="25">
        <f>SUMIFS($X$3:$X$1500,$A$3:$A$1500,A60)</f>
        <v>7625000</v>
      </c>
      <c r="AC60" s="25" cm="1">
        <f t="array" ref="AC60">SUMPRODUCT(($A$3:$A$1500=A60)*$X$3:$X$1500*$Y$3:$Y$1500)</f>
        <v>1372500</v>
      </c>
      <c r="AD60" s="25">
        <f>SUMIFS($Z$3:$Z$1500,$A$3:$A$1500,A60)</f>
        <v>750000</v>
      </c>
      <c r="AE60" s="25">
        <f>AB60+AC60+AD60</f>
        <v>9747500</v>
      </c>
      <c r="AF60" s="21" t="str">
        <f>"PKR "&amp;TEXT(AE60,"#,##0")&amp;" only"</f>
        <v>PKR 9,747,500 only</v>
      </c>
      <c r="AG60" s="21" t="s">
        <v>1805</v>
      </c>
      <c r="AH60" s="21" t="s">
        <v>1091</v>
      </c>
      <c r="AI60" s="21" t="s">
        <v>1854</v>
      </c>
      <c r="AJ60" s="21" t="s">
        <v>768</v>
      </c>
      <c r="AK60" s="21" t="s">
        <v>1092</v>
      </c>
      <c r="AL60" s="21" t="s">
        <v>1807</v>
      </c>
      <c r="AM60" s="21" t="s">
        <v>1051</v>
      </c>
    </row>
    <row r="61" spans="1:39" x14ac:dyDescent="0.3">
      <c r="A61" s="21" t="s">
        <v>1891</v>
      </c>
      <c r="B61" s="21">
        <v>1</v>
      </c>
      <c r="C61" s="29">
        <v>46049</v>
      </c>
      <c r="D61" s="21" t="s">
        <v>1795</v>
      </c>
      <c r="E61" s="21" t="s">
        <v>743</v>
      </c>
      <c r="F61" s="21" t="s">
        <v>1811</v>
      </c>
      <c r="G61" s="21" t="s">
        <v>1797</v>
      </c>
      <c r="H61" s="29">
        <f>C61</f>
        <v>46049</v>
      </c>
      <c r="I61" s="29">
        <f>H61+30</f>
        <v>46079</v>
      </c>
      <c r="J61" s="21" t="s">
        <v>1798</v>
      </c>
      <c r="K61" s="21" t="s">
        <v>1812</v>
      </c>
      <c r="L61" s="21" t="s">
        <v>1813</v>
      </c>
      <c r="M61" s="21" t="s">
        <v>746</v>
      </c>
      <c r="N61" s="21" t="s">
        <v>1097</v>
      </c>
      <c r="O61" s="21" t="s">
        <v>1814</v>
      </c>
      <c r="P61" s="21" t="s">
        <v>1111</v>
      </c>
      <c r="Q61" s="25" cm="1">
        <f t="array" ref="Q61">MAX(0,SUMPRODUCT(('T11'!$G$3:$G$1500=L61)*('T11'!$AG$3:$AG$1500&lt;C61)*('T11'!$W$3:$W$1500*(1+'T11'!$X$3:$X$1500)+'T11'!$Y$3:$Y$1500))-SUMPRODUCT(('T15'!$L$3:$L$1499=L61)*('T15'!$B$3:$B$1499&lt;C61)*('T15'!$BC$3:$BC$1499+'T15'!$BD$3:$BD$1499+'T15'!$BE$3:$BE$1499)))</f>
        <v>0</v>
      </c>
      <c r="R61" s="21" t="str">
        <f>IF(Q61&gt;0,"Active - overdue balance","Active")</f>
        <v>Active</v>
      </c>
      <c r="S61" s="21">
        <v>1</v>
      </c>
      <c r="T61" s="21" t="s">
        <v>1826</v>
      </c>
      <c r="U61" s="21" t="s">
        <v>1804</v>
      </c>
      <c r="V61" s="21">
        <v>4000</v>
      </c>
      <c r="W61" s="25">
        <v>1525</v>
      </c>
      <c r="X61" s="25">
        <f>V61*W61</f>
        <v>6100000</v>
      </c>
      <c r="Y61" s="23">
        <f>_xlfn.XLOOKUP(LEFT(T61,FIND(" - ",T61)-1),'T13'!$A$3:$A$1500,'T13'!$O$3:$O$1500)</f>
        <v>0.18</v>
      </c>
      <c r="Z61" s="25">
        <f>V61*IF(U61="MT",1000,IF(U61="Jumbo bag (1.5 MT)",1500,IF(U61="Bag (40 kg)",40,50)))*3</f>
        <v>600000</v>
      </c>
      <c r="AA61" s="33">
        <f>SUMIFS($V$3:$V$1500,$A$3:$A$1500,A61,$U$3:$U$1500,"Bag (50 kg)")*0.05+SUMIFS($V$3:$V$1500,$A$3:$A$1500,A61,$U$3:$U$1500,"Bag (40 kg)")*0.04+SUMIFS($V$3:$V$1500,$A$3:$A$1500,A61,$U$3:$U$1500,"MT")+SUMIFS($V$3:$V$1500,$A$3:$A$1500,A61,$U$3:$U$1500,"Jumbo bag (1.5 MT)")*1.5</f>
        <v>200</v>
      </c>
      <c r="AB61" s="25">
        <f>SUMIFS($X$3:$X$1500,$A$3:$A$1500,A61)</f>
        <v>6100000</v>
      </c>
      <c r="AC61" s="25" cm="1">
        <f t="array" ref="AC61">SUMPRODUCT(($A$3:$A$1500=A61)*$X$3:$X$1500*$Y$3:$Y$1500)</f>
        <v>1098000</v>
      </c>
      <c r="AD61" s="25">
        <f>SUMIFS($Z$3:$Z$1500,$A$3:$A$1500,A61)</f>
        <v>600000</v>
      </c>
      <c r="AE61" s="25">
        <f>AB61+AC61+AD61</f>
        <v>7798000</v>
      </c>
      <c r="AF61" s="21" t="str">
        <f>"PKR "&amp;TEXT(AE61,"#,##0")&amp;" only"</f>
        <v>PKR 7,798,000 only</v>
      </c>
      <c r="AG61" s="21" t="s">
        <v>1805</v>
      </c>
      <c r="AH61" s="21" t="s">
        <v>1091</v>
      </c>
      <c r="AI61" s="21" t="s">
        <v>1854</v>
      </c>
      <c r="AJ61" s="21" t="s">
        <v>768</v>
      </c>
      <c r="AK61" s="21" t="s">
        <v>1092</v>
      </c>
      <c r="AL61" s="21" t="s">
        <v>1807</v>
      </c>
      <c r="AM61" s="21" t="s">
        <v>1051</v>
      </c>
    </row>
    <row r="62" spans="1:39" x14ac:dyDescent="0.3">
      <c r="A62" s="21" t="s">
        <v>1892</v>
      </c>
      <c r="B62" s="21">
        <v>0</v>
      </c>
      <c r="C62" s="29">
        <v>46076</v>
      </c>
      <c r="D62" s="21" t="s">
        <v>1795</v>
      </c>
      <c r="E62" s="21" t="s">
        <v>743</v>
      </c>
      <c r="F62" s="21" t="s">
        <v>1796</v>
      </c>
      <c r="G62" s="21" t="s">
        <v>1797</v>
      </c>
      <c r="H62" s="29">
        <f>C62</f>
        <v>46076</v>
      </c>
      <c r="I62" s="29">
        <f>H62+30</f>
        <v>46106</v>
      </c>
      <c r="J62" s="21" t="s">
        <v>1798</v>
      </c>
      <c r="K62" s="21" t="s">
        <v>1799</v>
      </c>
      <c r="L62" s="21" t="s">
        <v>1870</v>
      </c>
      <c r="M62" s="21" t="s">
        <v>746</v>
      </c>
      <c r="N62" s="21" t="s">
        <v>1871</v>
      </c>
      <c r="O62" s="21" t="s">
        <v>1872</v>
      </c>
      <c r="P62" s="21" t="s">
        <v>1048</v>
      </c>
      <c r="Q62" s="25" cm="1">
        <f t="array" ref="Q62">MAX(0,SUMPRODUCT(('T11'!$G$3:$G$1500=L62)*('T11'!$AG$3:$AG$1500&lt;C62)*('T11'!$W$3:$W$1500*(1+'T11'!$X$3:$X$1500)+'T11'!$Y$3:$Y$1500))-SUMPRODUCT(('T15'!$L$3:$L$1499=L62)*('T15'!$B$3:$B$1499&lt;C62)*('T15'!$BC$3:$BC$1499+'T15'!$BD$3:$BD$1499+'T15'!$BE$3:$BE$1499)))</f>
        <v>0</v>
      </c>
      <c r="R62" s="21" t="str">
        <f>IF(Q62&gt;0,"Active - overdue balance","Active")</f>
        <v>Active</v>
      </c>
      <c r="S62" s="21">
        <v>1</v>
      </c>
      <c r="T62" s="21" t="s">
        <v>1826</v>
      </c>
      <c r="U62" s="21" t="s">
        <v>1804</v>
      </c>
      <c r="V62" s="21">
        <v>2500</v>
      </c>
      <c r="W62" s="25">
        <v>1530</v>
      </c>
      <c r="X62" s="25">
        <f>V62*W62</f>
        <v>3825000</v>
      </c>
      <c r="Y62" s="23">
        <f>_xlfn.XLOOKUP(LEFT(T62,FIND(" - ",T62)-1),'T13'!$A$3:$A$1500,'T13'!$O$3:$O$1500)</f>
        <v>0.18</v>
      </c>
      <c r="Z62" s="25">
        <f>V62*IF(U62="MT",1000,IF(U62="Jumbo bag (1.5 MT)",1500,IF(U62="Bag (40 kg)",40,50)))*3</f>
        <v>375000</v>
      </c>
      <c r="AA62" s="33">
        <f>SUMIFS($V$3:$V$1500,$A$3:$A$1500,A62,$U$3:$U$1500,"Bag (50 kg)")*0.05+SUMIFS($V$3:$V$1500,$A$3:$A$1500,A62,$U$3:$U$1500,"Bag (40 kg)")*0.04+SUMIFS($V$3:$V$1500,$A$3:$A$1500,A62,$U$3:$U$1500,"MT")+SUMIFS($V$3:$V$1500,$A$3:$A$1500,A62,$U$3:$U$1500,"Jumbo bag (1.5 MT)")*1.5</f>
        <v>125</v>
      </c>
      <c r="AB62" s="25">
        <f>SUMIFS($X$3:$X$1500,$A$3:$A$1500,A62)</f>
        <v>3825000</v>
      </c>
      <c r="AC62" s="25" cm="1">
        <f t="array" ref="AC62">SUMPRODUCT(($A$3:$A$1500=A62)*$X$3:$X$1500*$Y$3:$Y$1500)</f>
        <v>688500</v>
      </c>
      <c r="AD62" s="25">
        <f>SUMIFS($Z$3:$Z$1500,$A$3:$A$1500,A62)</f>
        <v>375000</v>
      </c>
      <c r="AE62" s="25">
        <f>AB62+AC62+AD62</f>
        <v>4888500</v>
      </c>
      <c r="AF62" s="21" t="str">
        <f>"PKR "&amp;TEXT(AE62,"#,##0")&amp;" only"</f>
        <v>PKR 4,888,500 only</v>
      </c>
      <c r="AG62" s="21" t="s">
        <v>1805</v>
      </c>
      <c r="AH62" s="21" t="s">
        <v>1091</v>
      </c>
      <c r="AI62" s="21" t="s">
        <v>1873</v>
      </c>
      <c r="AJ62" s="21" t="s">
        <v>768</v>
      </c>
      <c r="AK62" s="21" t="s">
        <v>1092</v>
      </c>
      <c r="AL62" s="21" t="s">
        <v>1807</v>
      </c>
      <c r="AM62" s="21" t="s">
        <v>1051</v>
      </c>
    </row>
    <row r="63" spans="1:39" x14ac:dyDescent="0.3">
      <c r="A63" s="21" t="s">
        <v>1893</v>
      </c>
      <c r="B63" s="21">
        <v>1</v>
      </c>
      <c r="C63" s="29">
        <v>46105</v>
      </c>
      <c r="D63" s="21" t="s">
        <v>1795</v>
      </c>
      <c r="E63" s="21" t="s">
        <v>743</v>
      </c>
      <c r="F63" s="21" t="s">
        <v>1796</v>
      </c>
      <c r="G63" s="21" t="s">
        <v>1797</v>
      </c>
      <c r="H63" s="29">
        <f>C63</f>
        <v>46105</v>
      </c>
      <c r="I63" s="29">
        <f>H63+30</f>
        <v>46135</v>
      </c>
      <c r="J63" s="21" t="s">
        <v>1798</v>
      </c>
      <c r="K63" s="21" t="s">
        <v>1799</v>
      </c>
      <c r="L63" s="21" t="s">
        <v>1835</v>
      </c>
      <c r="M63" s="21" t="s">
        <v>746</v>
      </c>
      <c r="N63" s="21" t="s">
        <v>1836</v>
      </c>
      <c r="O63" s="21" t="s">
        <v>1837</v>
      </c>
      <c r="P63" s="21" t="s">
        <v>1058</v>
      </c>
      <c r="Q63" s="25" cm="1">
        <f t="array" ref="Q63">MAX(0,SUMPRODUCT(('T11'!$G$3:$G$1500=L63)*('T11'!$AG$3:$AG$1500&lt;C63)*('T11'!$W$3:$W$1500*(1+'T11'!$X$3:$X$1500)+'T11'!$Y$3:$Y$1500))-SUMPRODUCT(('T15'!$L$3:$L$1499=L63)*('T15'!$B$3:$B$1499&lt;C63)*('T15'!$BC$3:$BC$1499+'T15'!$BD$3:$BD$1499+'T15'!$BE$3:$BE$1499)))</f>
        <v>0</v>
      </c>
      <c r="R63" s="21" t="str">
        <f>IF(Q63&gt;0,"Active - overdue balance","Active")</f>
        <v>Active</v>
      </c>
      <c r="S63" s="21">
        <v>1</v>
      </c>
      <c r="T63" s="21" t="s">
        <v>1840</v>
      </c>
      <c r="U63" s="21" t="s">
        <v>1841</v>
      </c>
      <c r="V63" s="21">
        <v>1500</v>
      </c>
      <c r="W63" s="25">
        <v>2845</v>
      </c>
      <c r="X63" s="25">
        <f>V63*W63</f>
        <v>4267500</v>
      </c>
      <c r="Y63" s="23">
        <f>_xlfn.XLOOKUP(LEFT(T63,FIND(" - ",T63)-1),'T13'!$A$3:$A$1500,'T13'!$O$3:$O$1500)</f>
        <v>0.18</v>
      </c>
      <c r="Z63" s="25">
        <f>V63*IF(U63="MT",1000,IF(U63="Jumbo bag (1.5 MT)",1500,IF(U63="Bag (40 kg)",40,50)))*3</f>
        <v>180000</v>
      </c>
      <c r="AA63" s="33">
        <f>SUMIFS($V$3:$V$1500,$A$3:$A$1500,A63,$U$3:$U$1500,"Bag (50 kg)")*0.05+SUMIFS($V$3:$V$1500,$A$3:$A$1500,A63,$U$3:$U$1500,"Bag (40 kg)")*0.04+SUMIFS($V$3:$V$1500,$A$3:$A$1500,A63,$U$3:$U$1500,"MT")+SUMIFS($V$3:$V$1500,$A$3:$A$1500,A63,$U$3:$U$1500,"Jumbo bag (1.5 MT)")*1.5</f>
        <v>135</v>
      </c>
      <c r="AB63" s="25">
        <f>SUMIFS($X$3:$X$1500,$A$3:$A$1500,A63)</f>
        <v>6457500</v>
      </c>
      <c r="AC63" s="25" cm="1">
        <f t="array" ref="AC63">SUMPRODUCT(($A$3:$A$1500=A63)*$X$3:$X$1500*$Y$3:$Y$1500)</f>
        <v>1162350</v>
      </c>
      <c r="AD63" s="25">
        <f>SUMIFS($Z$3:$Z$1500,$A$3:$A$1500,A63)</f>
        <v>405000</v>
      </c>
      <c r="AE63" s="25">
        <f>AB63+AC63+AD63</f>
        <v>8024850</v>
      </c>
      <c r="AF63" s="21" t="str">
        <f>"PKR "&amp;TEXT(AE63,"#,##0")&amp;" only"</f>
        <v>PKR 8,024,850 only</v>
      </c>
      <c r="AG63" s="21" t="s">
        <v>1805</v>
      </c>
      <c r="AH63" s="21" t="s">
        <v>1091</v>
      </c>
      <c r="AI63" s="21" t="s">
        <v>1838</v>
      </c>
      <c r="AJ63" s="21" t="s">
        <v>768</v>
      </c>
      <c r="AK63" s="21" t="s">
        <v>1092</v>
      </c>
      <c r="AL63" s="21" t="s">
        <v>1807</v>
      </c>
      <c r="AM63" s="21" t="s">
        <v>1062</v>
      </c>
    </row>
    <row r="64" spans="1:39" x14ac:dyDescent="0.3">
      <c r="A64" s="21" t="s">
        <v>1893</v>
      </c>
      <c r="B64" s="21">
        <v>1</v>
      </c>
      <c r="C64" s="29">
        <v>46105</v>
      </c>
      <c r="D64" s="21" t="s">
        <v>1795</v>
      </c>
      <c r="E64" s="21" t="s">
        <v>743</v>
      </c>
      <c r="F64" s="21" t="s">
        <v>1796</v>
      </c>
      <c r="G64" s="21" t="s">
        <v>1797</v>
      </c>
      <c r="H64" s="29">
        <f>C64</f>
        <v>46105</v>
      </c>
      <c r="I64" s="29">
        <f>H64+30</f>
        <v>46135</v>
      </c>
      <c r="J64" s="21" t="s">
        <v>1798</v>
      </c>
      <c r="K64" s="21" t="s">
        <v>1799</v>
      </c>
      <c r="L64" s="21" t="s">
        <v>1835</v>
      </c>
      <c r="M64" s="21" t="s">
        <v>746</v>
      </c>
      <c r="N64" s="21" t="s">
        <v>1836</v>
      </c>
      <c r="O64" s="21" t="s">
        <v>1837</v>
      </c>
      <c r="P64" s="21" t="s">
        <v>1058</v>
      </c>
      <c r="Q64" s="25" cm="1">
        <f t="array" ref="Q64">MAX(0,SUMPRODUCT(('T11'!$G$3:$G$1500=L64)*('T11'!$AG$3:$AG$1500&lt;C64)*('T11'!$W$3:$W$1500*(1+'T11'!$X$3:$X$1500)+'T11'!$Y$3:$Y$1500))-SUMPRODUCT(('T15'!$L$3:$L$1499=L64)*('T15'!$B$3:$B$1499&lt;C64)*('T15'!$BC$3:$BC$1499+'T15'!$BD$3:$BD$1499+'T15'!$BE$3:$BE$1499)))</f>
        <v>0</v>
      </c>
      <c r="R64" s="21" t="str">
        <f>IF(Q64&gt;0,"Active - overdue balance","Active")</f>
        <v>Active</v>
      </c>
      <c r="S64" s="21">
        <v>2</v>
      </c>
      <c r="T64" s="21" t="s">
        <v>1828</v>
      </c>
      <c r="U64" s="21" t="s">
        <v>1804</v>
      </c>
      <c r="V64" s="21">
        <v>1500</v>
      </c>
      <c r="W64" s="25">
        <v>1460</v>
      </c>
      <c r="X64" s="25">
        <f>V64*W64</f>
        <v>2190000</v>
      </c>
      <c r="Y64" s="23">
        <f>_xlfn.XLOOKUP(LEFT(T64,FIND(" - ",T64)-1),'T13'!$A$3:$A$1500,'T13'!$O$3:$O$1500)</f>
        <v>0.18</v>
      </c>
      <c r="Z64" s="25">
        <f>V64*IF(U64="MT",1000,IF(U64="Jumbo bag (1.5 MT)",1500,IF(U64="Bag (40 kg)",40,50)))*3</f>
        <v>225000</v>
      </c>
      <c r="AA64" s="33">
        <f>SUMIFS($V$3:$V$1500,$A$3:$A$1500,A64,$U$3:$U$1500,"Bag (50 kg)")*0.05+SUMIFS($V$3:$V$1500,$A$3:$A$1500,A64,$U$3:$U$1500,"Bag (40 kg)")*0.04+SUMIFS($V$3:$V$1500,$A$3:$A$1500,A64,$U$3:$U$1500,"MT")+SUMIFS($V$3:$V$1500,$A$3:$A$1500,A64,$U$3:$U$1500,"Jumbo bag (1.5 MT)")*1.5</f>
        <v>135</v>
      </c>
      <c r="AB64" s="25">
        <f>SUMIFS($X$3:$X$1500,$A$3:$A$1500,A64)</f>
        <v>6457500</v>
      </c>
      <c r="AC64" s="25" cm="1">
        <f t="array" ref="AC64">SUMPRODUCT(($A$3:$A$1500=A64)*$X$3:$X$1500*$Y$3:$Y$1500)</f>
        <v>1162350</v>
      </c>
      <c r="AD64" s="25">
        <f>SUMIFS($Z$3:$Z$1500,$A$3:$A$1500,A64)</f>
        <v>405000</v>
      </c>
      <c r="AE64" s="25">
        <f>AB64+AC64+AD64</f>
        <v>8024850</v>
      </c>
      <c r="AF64" s="21" t="str">
        <f>"PKR "&amp;TEXT(AE64,"#,##0")&amp;" only"</f>
        <v>PKR 8,024,850 only</v>
      </c>
      <c r="AG64" s="21" t="s">
        <v>1805</v>
      </c>
      <c r="AH64" s="21" t="s">
        <v>1091</v>
      </c>
      <c r="AI64" s="21" t="s">
        <v>1838</v>
      </c>
      <c r="AJ64" s="21" t="s">
        <v>768</v>
      </c>
      <c r="AK64" s="21" t="s">
        <v>1092</v>
      </c>
      <c r="AL64" s="21" t="s">
        <v>1807</v>
      </c>
      <c r="AM64" s="21" t="s">
        <v>1062</v>
      </c>
    </row>
    <row r="65" spans="1:39" x14ac:dyDescent="0.3">
      <c r="A65" s="21" t="s">
        <v>1894</v>
      </c>
      <c r="B65" s="21">
        <v>0</v>
      </c>
      <c r="C65" s="29">
        <v>46109</v>
      </c>
      <c r="D65" s="21" t="s">
        <v>1810</v>
      </c>
      <c r="E65" s="21" t="s">
        <v>743</v>
      </c>
      <c r="F65" s="21" t="s">
        <v>1876</v>
      </c>
      <c r="G65" s="21" t="s">
        <v>1797</v>
      </c>
      <c r="H65" s="29">
        <f>C65</f>
        <v>46109</v>
      </c>
      <c r="I65" s="29">
        <f>H65+30</f>
        <v>46139</v>
      </c>
      <c r="J65" s="21" t="s">
        <v>1798</v>
      </c>
      <c r="K65" s="21" t="s">
        <v>1812</v>
      </c>
      <c r="L65" s="21" t="s">
        <v>1830</v>
      </c>
      <c r="M65" s="21" t="s">
        <v>746</v>
      </c>
      <c r="N65" s="21" t="s">
        <v>1139</v>
      </c>
      <c r="O65" s="21" t="s">
        <v>1831</v>
      </c>
      <c r="P65" s="21" t="s">
        <v>1145</v>
      </c>
      <c r="Q65" s="25" cm="1">
        <f t="array" ref="Q65">MAX(0,SUMPRODUCT(('T11'!$G$3:$G$1500=L65)*('T11'!$AG$3:$AG$1500&lt;C65)*('T11'!$W$3:$W$1500*(1+'T11'!$X$3:$X$1500)+'T11'!$Y$3:$Y$1500))-SUMPRODUCT(('T15'!$L$3:$L$1499=L65)*('T15'!$B$3:$B$1499&lt;C65)*('T15'!$BC$3:$BC$1499+'T15'!$BD$3:$BD$1499+'T15'!$BE$3:$BE$1499)))</f>
        <v>0</v>
      </c>
      <c r="R65" s="21" t="str">
        <f>IF(Q65&gt;0,"Active - overdue balance","Active")</f>
        <v>Active</v>
      </c>
      <c r="S65" s="21">
        <v>1</v>
      </c>
      <c r="T65" s="21" t="s">
        <v>1815</v>
      </c>
      <c r="U65" s="21" t="s">
        <v>783</v>
      </c>
      <c r="V65" s="21">
        <v>210</v>
      </c>
      <c r="W65" s="25">
        <v>29550</v>
      </c>
      <c r="X65" s="25">
        <f>V65*W65</f>
        <v>6205500</v>
      </c>
      <c r="Y65" s="23">
        <f>_xlfn.XLOOKUP(LEFT(T65,FIND(" - ",T65)-1),'T13'!$A$3:$A$1500,'T13'!$O$3:$O$1500)</f>
        <v>0.18</v>
      </c>
      <c r="Z65" s="25">
        <f>V65*IF(U65="MT",1000,IF(U65="Jumbo bag (1.5 MT)",1500,IF(U65="Bag (40 kg)",40,50)))*3</f>
        <v>630000</v>
      </c>
      <c r="AA65" s="33">
        <f>SUMIFS($V$3:$V$1500,$A$3:$A$1500,A65,$U$3:$U$1500,"Bag (50 kg)")*0.05+SUMIFS($V$3:$V$1500,$A$3:$A$1500,A65,$U$3:$U$1500,"Bag (40 kg)")*0.04+SUMIFS($V$3:$V$1500,$A$3:$A$1500,A65,$U$3:$U$1500,"MT")+SUMIFS($V$3:$V$1500,$A$3:$A$1500,A65,$U$3:$U$1500,"Jumbo bag (1.5 MT)")*1.5</f>
        <v>210</v>
      </c>
      <c r="AB65" s="25">
        <f>SUMIFS($X$3:$X$1500,$A$3:$A$1500,A65)</f>
        <v>6205500</v>
      </c>
      <c r="AC65" s="25" cm="1">
        <f t="array" ref="AC65">SUMPRODUCT(($A$3:$A$1500=A65)*$X$3:$X$1500*$Y$3:$Y$1500)</f>
        <v>1116990</v>
      </c>
      <c r="AD65" s="25">
        <f>SUMIFS($Z$3:$Z$1500,$A$3:$A$1500,A65)</f>
        <v>630000</v>
      </c>
      <c r="AE65" s="25">
        <f>AB65+AC65+AD65</f>
        <v>7952490</v>
      </c>
      <c r="AF65" s="21" t="str">
        <f>"PKR "&amp;TEXT(AE65,"#,##0")&amp;" only"</f>
        <v>PKR 7,952,490 only</v>
      </c>
      <c r="AG65" s="21" t="s">
        <v>1805</v>
      </c>
      <c r="AH65" s="21" t="s">
        <v>1091</v>
      </c>
      <c r="AI65" s="21" t="s">
        <v>1832</v>
      </c>
      <c r="AJ65" s="21" t="s">
        <v>1817</v>
      </c>
      <c r="AK65" s="21" t="s">
        <v>1092</v>
      </c>
      <c r="AL65" s="21" t="s">
        <v>1807</v>
      </c>
      <c r="AM65" s="21" t="s">
        <v>1051</v>
      </c>
    </row>
    <row r="66" spans="1:39" x14ac:dyDescent="0.3">
      <c r="A66" s="21" t="s">
        <v>1895</v>
      </c>
      <c r="B66" s="21">
        <v>0</v>
      </c>
      <c r="C66" s="29">
        <v>46135</v>
      </c>
      <c r="D66" s="21" t="s">
        <v>1810</v>
      </c>
      <c r="E66" s="21" t="s">
        <v>743</v>
      </c>
      <c r="F66" s="21" t="s">
        <v>1876</v>
      </c>
      <c r="G66" s="21" t="s">
        <v>1797</v>
      </c>
      <c r="H66" s="29">
        <f>C66</f>
        <v>46135</v>
      </c>
      <c r="I66" s="29">
        <f>H66+30</f>
        <v>46165</v>
      </c>
      <c r="J66" s="21" t="s">
        <v>1798</v>
      </c>
      <c r="K66" s="21" t="s">
        <v>1812</v>
      </c>
      <c r="L66" s="21" t="s">
        <v>1830</v>
      </c>
      <c r="M66" s="21" t="s">
        <v>746</v>
      </c>
      <c r="N66" s="21" t="s">
        <v>1139</v>
      </c>
      <c r="O66" s="21" t="s">
        <v>1831</v>
      </c>
      <c r="P66" s="21" t="s">
        <v>1145</v>
      </c>
      <c r="Q66" s="25" cm="1">
        <f t="array" ref="Q66">MAX(0,SUMPRODUCT(('T11'!$G$3:$G$1500=L66)*('T11'!$AG$3:$AG$1500&lt;C66)*('T11'!$W$3:$W$1500*(1+'T11'!$X$3:$X$1500)+'T11'!$Y$3:$Y$1500))-SUMPRODUCT(('T15'!$L$3:$L$1499=L66)*('T15'!$B$3:$B$1499&lt;C66)*('T15'!$BC$3:$BC$1499+'T15'!$BD$3:$BD$1499+'T15'!$BE$3:$BE$1499)))</f>
        <v>0</v>
      </c>
      <c r="R66" s="21" t="str">
        <f>IF(Q66&gt;0,"Active - overdue balance","Active")</f>
        <v>Active</v>
      </c>
      <c r="S66" s="21">
        <v>1</v>
      </c>
      <c r="T66" s="21" t="s">
        <v>1881</v>
      </c>
      <c r="U66" s="21" t="s">
        <v>783</v>
      </c>
      <c r="V66" s="21">
        <v>250</v>
      </c>
      <c r="W66" s="25">
        <v>31250</v>
      </c>
      <c r="X66" s="25">
        <f>V66*W66</f>
        <v>7812500</v>
      </c>
      <c r="Y66" s="23">
        <f>_xlfn.XLOOKUP(LEFT(T66,FIND(" - ",T66)-1),'T13'!$A$3:$A$1500,'T13'!$O$3:$O$1500)</f>
        <v>0.18</v>
      </c>
      <c r="Z66" s="25">
        <f>V66*IF(U66="MT",1000,IF(U66="Jumbo bag (1.5 MT)",1500,IF(U66="Bag (40 kg)",40,50)))*3</f>
        <v>750000</v>
      </c>
      <c r="AA66" s="33">
        <f>SUMIFS($V$3:$V$1500,$A$3:$A$1500,A66,$U$3:$U$1500,"Bag (50 kg)")*0.05+SUMIFS($V$3:$V$1500,$A$3:$A$1500,A66,$U$3:$U$1500,"Bag (40 kg)")*0.04+SUMIFS($V$3:$V$1500,$A$3:$A$1500,A66,$U$3:$U$1500,"MT")+SUMIFS($V$3:$V$1500,$A$3:$A$1500,A66,$U$3:$U$1500,"Jumbo bag (1.5 MT)")*1.5</f>
        <v>250</v>
      </c>
      <c r="AB66" s="25">
        <f>SUMIFS($X$3:$X$1500,$A$3:$A$1500,A66)</f>
        <v>7812500</v>
      </c>
      <c r="AC66" s="25" cm="1">
        <f t="array" ref="AC66">SUMPRODUCT(($A$3:$A$1500=A66)*$X$3:$X$1500*$Y$3:$Y$1500)</f>
        <v>1406250</v>
      </c>
      <c r="AD66" s="25">
        <f>SUMIFS($Z$3:$Z$1500,$A$3:$A$1500,A66)</f>
        <v>750000</v>
      </c>
      <c r="AE66" s="25">
        <f>AB66+AC66+AD66</f>
        <v>9968750</v>
      </c>
      <c r="AF66" s="21" t="str">
        <f>"PKR "&amp;TEXT(AE66,"#,##0")&amp;" only"</f>
        <v>PKR 9,968,750 only</v>
      </c>
      <c r="AG66" s="21" t="s">
        <v>1805</v>
      </c>
      <c r="AH66" s="21" t="s">
        <v>1091</v>
      </c>
      <c r="AI66" s="21" t="s">
        <v>1832</v>
      </c>
      <c r="AJ66" s="21" t="s">
        <v>1817</v>
      </c>
      <c r="AK66" s="21" t="s">
        <v>1092</v>
      </c>
      <c r="AL66" s="21" t="s">
        <v>1807</v>
      </c>
      <c r="AM66" s="21" t="s">
        <v>1051</v>
      </c>
    </row>
    <row r="67" spans="1:39" x14ac:dyDescent="0.3">
      <c r="A67" s="21" t="s">
        <v>1896</v>
      </c>
      <c r="B67" s="21">
        <v>0</v>
      </c>
      <c r="C67" s="29">
        <v>46138</v>
      </c>
      <c r="D67" s="21" t="s">
        <v>1795</v>
      </c>
      <c r="E67" s="21" t="s">
        <v>743</v>
      </c>
      <c r="F67" s="21" t="s">
        <v>1796</v>
      </c>
      <c r="G67" s="21" t="s">
        <v>1797</v>
      </c>
      <c r="H67" s="29">
        <f>C67</f>
        <v>46138</v>
      </c>
      <c r="I67" s="29">
        <f>H67+30</f>
        <v>46168</v>
      </c>
      <c r="J67" s="21" t="s">
        <v>1798</v>
      </c>
      <c r="K67" s="21" t="s">
        <v>1799</v>
      </c>
      <c r="L67" s="21" t="s">
        <v>1800</v>
      </c>
      <c r="M67" s="21" t="s">
        <v>746</v>
      </c>
      <c r="N67" s="21" t="s">
        <v>1801</v>
      </c>
      <c r="O67" s="21" t="s">
        <v>1802</v>
      </c>
      <c r="P67" s="21" t="s">
        <v>1076</v>
      </c>
      <c r="Q67" s="25" cm="1">
        <f t="array" ref="Q67">MAX(0,SUMPRODUCT(('T11'!$G$3:$G$1500=L67)*('T11'!$AG$3:$AG$1500&lt;C67)*('T11'!$W$3:$W$1500*(1+'T11'!$X$3:$X$1500)+'T11'!$Y$3:$Y$1500))-SUMPRODUCT(('T15'!$L$3:$L$1499=L67)*('T15'!$B$3:$B$1499&lt;C67)*('T15'!$BC$3:$BC$1499+'T15'!$BD$3:$BD$1499+'T15'!$BE$3:$BE$1499)))</f>
        <v>0</v>
      </c>
      <c r="R67" s="21" t="str">
        <f>IF(Q67&gt;0,"Active - overdue balance","Active")</f>
        <v>Active</v>
      </c>
      <c r="S67" s="21">
        <v>1</v>
      </c>
      <c r="T67" s="21" t="s">
        <v>1865</v>
      </c>
      <c r="U67" s="21" t="s">
        <v>1804</v>
      </c>
      <c r="V67" s="21">
        <v>3500</v>
      </c>
      <c r="W67" s="25">
        <v>1700</v>
      </c>
      <c r="X67" s="25">
        <f>V67*W67</f>
        <v>5950000</v>
      </c>
      <c r="Y67" s="23">
        <f>_xlfn.XLOOKUP(LEFT(T67,FIND(" - ",T67)-1),'T13'!$A$3:$A$1500,'T13'!$O$3:$O$1500)</f>
        <v>0.18</v>
      </c>
      <c r="Z67" s="25">
        <f>V67*IF(U67="MT",1000,IF(U67="Jumbo bag (1.5 MT)",1500,IF(U67="Bag (40 kg)",40,50)))*3</f>
        <v>525000</v>
      </c>
      <c r="AA67" s="33">
        <f>SUMIFS($V$3:$V$1500,$A$3:$A$1500,A67,$U$3:$U$1500,"Bag (50 kg)")*0.05+SUMIFS($V$3:$V$1500,$A$3:$A$1500,A67,$U$3:$U$1500,"Bag (40 kg)")*0.04+SUMIFS($V$3:$V$1500,$A$3:$A$1500,A67,$U$3:$U$1500,"MT")+SUMIFS($V$3:$V$1500,$A$3:$A$1500,A67,$U$3:$U$1500,"Jumbo bag (1.5 MT)")*1.5</f>
        <v>175</v>
      </c>
      <c r="AB67" s="25">
        <f>SUMIFS($X$3:$X$1500,$A$3:$A$1500,A67)</f>
        <v>5950000</v>
      </c>
      <c r="AC67" s="25" cm="1">
        <f t="array" ref="AC67">SUMPRODUCT(($A$3:$A$1500=A67)*$X$3:$X$1500*$Y$3:$Y$1500)</f>
        <v>1071000</v>
      </c>
      <c r="AD67" s="25">
        <f>SUMIFS($Z$3:$Z$1500,$A$3:$A$1500,A67)</f>
        <v>525000</v>
      </c>
      <c r="AE67" s="25">
        <f>AB67+AC67+AD67</f>
        <v>7546000</v>
      </c>
      <c r="AF67" s="21" t="str">
        <f>"PKR "&amp;TEXT(AE67,"#,##0")&amp;" only"</f>
        <v>PKR 7,546,000 only</v>
      </c>
      <c r="AG67" s="21" t="s">
        <v>1805</v>
      </c>
      <c r="AH67" s="21" t="s">
        <v>1091</v>
      </c>
      <c r="AI67" s="21" t="s">
        <v>1806</v>
      </c>
      <c r="AJ67" s="21" t="s">
        <v>768</v>
      </c>
      <c r="AK67" s="21" t="s">
        <v>1092</v>
      </c>
      <c r="AL67" s="21" t="s">
        <v>1807</v>
      </c>
      <c r="AM67" s="21" t="s">
        <v>1051</v>
      </c>
    </row>
    <row r="68" spans="1:39" x14ac:dyDescent="0.3">
      <c r="A68" s="21" t="s">
        <v>1897</v>
      </c>
      <c r="B68" s="21">
        <v>0</v>
      </c>
      <c r="C68" s="29">
        <v>46148</v>
      </c>
      <c r="D68" s="21" t="s">
        <v>1795</v>
      </c>
      <c r="E68" s="21" t="s">
        <v>743</v>
      </c>
      <c r="F68" s="21" t="s">
        <v>1796</v>
      </c>
      <c r="G68" s="21" t="s">
        <v>1797</v>
      </c>
      <c r="H68" s="29">
        <f>C68</f>
        <v>46148</v>
      </c>
      <c r="I68" s="29">
        <f>H68+30</f>
        <v>46178</v>
      </c>
      <c r="J68" s="21" t="s">
        <v>1834</v>
      </c>
      <c r="K68" s="21" t="s">
        <v>1799</v>
      </c>
      <c r="L68" s="21" t="s">
        <v>1870</v>
      </c>
      <c r="M68" s="21" t="s">
        <v>746</v>
      </c>
      <c r="N68" s="21" t="s">
        <v>1871</v>
      </c>
      <c r="O68" s="21" t="s">
        <v>1872</v>
      </c>
      <c r="P68" s="21" t="s">
        <v>1048</v>
      </c>
      <c r="Q68" s="25" cm="1">
        <f t="array" ref="Q68">MAX(0,SUMPRODUCT(('T11'!$G$3:$G$1500=L68)*('T11'!$AG$3:$AG$1500&lt;C68)*('T11'!$W$3:$W$1500*(1+'T11'!$X$3:$X$1500)+'T11'!$Y$3:$Y$1500))-SUMPRODUCT(('T15'!$L$3:$L$1499=L68)*('T15'!$B$3:$B$1499&lt;C68)*('T15'!$BC$3:$BC$1499+'T15'!$BD$3:$BD$1499+'T15'!$BE$3:$BE$1499)))</f>
        <v>0</v>
      </c>
      <c r="R68" s="21" t="str">
        <f>IF(Q68&gt;0,"Active - overdue balance","Active")</f>
        <v>Active</v>
      </c>
      <c r="S68" s="21">
        <v>1</v>
      </c>
      <c r="T68" s="21" t="s">
        <v>1808</v>
      </c>
      <c r="U68" s="21" t="s">
        <v>1804</v>
      </c>
      <c r="V68" s="21">
        <v>5500</v>
      </c>
      <c r="W68" s="25">
        <v>1630</v>
      </c>
      <c r="X68" s="25">
        <f>V68*W68</f>
        <v>8965000</v>
      </c>
      <c r="Y68" s="23">
        <f>_xlfn.XLOOKUP(LEFT(T68,FIND(" - ",T68)-1),'T13'!$A$3:$A$1500,'T13'!$O$3:$O$1500)</f>
        <v>0.18</v>
      </c>
      <c r="Z68" s="25">
        <f>V68*IF(U68="MT",1000,IF(U68="Jumbo bag (1.5 MT)",1500,IF(U68="Bag (40 kg)",40,50)))*3</f>
        <v>825000</v>
      </c>
      <c r="AA68" s="33">
        <f>SUMIFS($V$3:$V$1500,$A$3:$A$1500,A68,$U$3:$U$1500,"Bag (50 kg)")*0.05+SUMIFS($V$3:$V$1500,$A$3:$A$1500,A68,$U$3:$U$1500,"Bag (40 kg)")*0.04+SUMIFS($V$3:$V$1500,$A$3:$A$1500,A68,$U$3:$U$1500,"MT")+SUMIFS($V$3:$V$1500,$A$3:$A$1500,A68,$U$3:$U$1500,"Jumbo bag (1.5 MT)")*1.5</f>
        <v>375</v>
      </c>
      <c r="AB68" s="25">
        <f>SUMIFS($X$3:$X$1500,$A$3:$A$1500,A68)</f>
        <v>11915000</v>
      </c>
      <c r="AC68" s="25" cm="1">
        <f t="array" ref="AC68">SUMPRODUCT(($A$3:$A$1500=A68)*$X$3:$X$1500*$Y$3:$Y$1500)</f>
        <v>2144700</v>
      </c>
      <c r="AD68" s="25">
        <f>SUMIFS($Z$3:$Z$1500,$A$3:$A$1500,A68)</f>
        <v>1125000</v>
      </c>
      <c r="AE68" s="25">
        <f>AB68+AC68+AD68</f>
        <v>15184700</v>
      </c>
      <c r="AF68" s="21" t="str">
        <f>"PKR "&amp;TEXT(AE68,"#,##0")&amp;" only"</f>
        <v>PKR 15,184,700 only</v>
      </c>
      <c r="AG68" s="21" t="s">
        <v>1805</v>
      </c>
      <c r="AH68" s="21" t="s">
        <v>1091</v>
      </c>
      <c r="AI68" s="21" t="s">
        <v>1873</v>
      </c>
      <c r="AJ68" s="21" t="s">
        <v>768</v>
      </c>
      <c r="AK68" s="21" t="s">
        <v>1092</v>
      </c>
      <c r="AL68" s="21" t="s">
        <v>1807</v>
      </c>
      <c r="AM68" s="21" t="s">
        <v>1051</v>
      </c>
    </row>
    <row r="69" spans="1:39" x14ac:dyDescent="0.3">
      <c r="A69" s="21" t="s">
        <v>1897</v>
      </c>
      <c r="B69" s="21">
        <v>0</v>
      </c>
      <c r="C69" s="29">
        <v>46148</v>
      </c>
      <c r="D69" s="21" t="s">
        <v>1795</v>
      </c>
      <c r="E69" s="21" t="s">
        <v>743</v>
      </c>
      <c r="F69" s="21" t="s">
        <v>1796</v>
      </c>
      <c r="G69" s="21" t="s">
        <v>1797</v>
      </c>
      <c r="H69" s="29">
        <f>C69</f>
        <v>46148</v>
      </c>
      <c r="I69" s="29">
        <f>H69+30</f>
        <v>46178</v>
      </c>
      <c r="J69" s="21" t="s">
        <v>1834</v>
      </c>
      <c r="K69" s="21" t="s">
        <v>1799</v>
      </c>
      <c r="L69" s="21" t="s">
        <v>1870</v>
      </c>
      <c r="M69" s="21" t="s">
        <v>746</v>
      </c>
      <c r="N69" s="21" t="s">
        <v>1871</v>
      </c>
      <c r="O69" s="21" t="s">
        <v>1872</v>
      </c>
      <c r="P69" s="21" t="s">
        <v>1048</v>
      </c>
      <c r="Q69" s="25" cm="1">
        <f t="array" ref="Q69">MAX(0,SUMPRODUCT(('T11'!$G$3:$G$1500=L69)*('T11'!$AG$3:$AG$1500&lt;C69)*('T11'!$W$3:$W$1500*(1+'T11'!$X$3:$X$1500)+'T11'!$Y$3:$Y$1500))-SUMPRODUCT(('T15'!$L$3:$L$1499=L69)*('T15'!$B$3:$B$1499&lt;C69)*('T15'!$BC$3:$BC$1499+'T15'!$BD$3:$BD$1499+'T15'!$BE$3:$BE$1499)))</f>
        <v>0</v>
      </c>
      <c r="R69" s="21" t="str">
        <f>IF(Q69&gt;0,"Active - overdue balance","Active")</f>
        <v>Active</v>
      </c>
      <c r="S69" s="21">
        <v>2</v>
      </c>
      <c r="T69" s="21" t="s">
        <v>1828</v>
      </c>
      <c r="U69" s="21" t="s">
        <v>1804</v>
      </c>
      <c r="V69" s="21">
        <v>2000</v>
      </c>
      <c r="W69" s="25">
        <v>1475</v>
      </c>
      <c r="X69" s="25">
        <f>V69*W69</f>
        <v>2950000</v>
      </c>
      <c r="Y69" s="23">
        <f>_xlfn.XLOOKUP(LEFT(T69,FIND(" - ",T69)-1),'T13'!$A$3:$A$1500,'T13'!$O$3:$O$1500)</f>
        <v>0.18</v>
      </c>
      <c r="Z69" s="25">
        <f>V69*IF(U69="MT",1000,IF(U69="Jumbo bag (1.5 MT)",1500,IF(U69="Bag (40 kg)",40,50)))*3</f>
        <v>300000</v>
      </c>
      <c r="AA69" s="33">
        <f>SUMIFS($V$3:$V$1500,$A$3:$A$1500,A69,$U$3:$U$1500,"Bag (50 kg)")*0.05+SUMIFS($V$3:$V$1500,$A$3:$A$1500,A69,$U$3:$U$1500,"Bag (40 kg)")*0.04+SUMIFS($V$3:$V$1500,$A$3:$A$1500,A69,$U$3:$U$1500,"MT")+SUMIFS($V$3:$V$1500,$A$3:$A$1500,A69,$U$3:$U$1500,"Jumbo bag (1.5 MT)")*1.5</f>
        <v>375</v>
      </c>
      <c r="AB69" s="25">
        <f>SUMIFS($X$3:$X$1500,$A$3:$A$1500,A69)</f>
        <v>11915000</v>
      </c>
      <c r="AC69" s="25" cm="1">
        <f t="array" ref="AC69">SUMPRODUCT(($A$3:$A$1500=A69)*$X$3:$X$1500*$Y$3:$Y$1500)</f>
        <v>2144700</v>
      </c>
      <c r="AD69" s="25">
        <f>SUMIFS($Z$3:$Z$1500,$A$3:$A$1500,A69)</f>
        <v>1125000</v>
      </c>
      <c r="AE69" s="25">
        <f>AB69+AC69+AD69</f>
        <v>15184700</v>
      </c>
      <c r="AF69" s="21" t="str">
        <f>"PKR "&amp;TEXT(AE69,"#,##0")&amp;" only"</f>
        <v>PKR 15,184,700 only</v>
      </c>
      <c r="AG69" s="21" t="s">
        <v>1805</v>
      </c>
      <c r="AH69" s="21" t="s">
        <v>1091</v>
      </c>
      <c r="AI69" s="21" t="s">
        <v>1873</v>
      </c>
      <c r="AJ69" s="21" t="s">
        <v>768</v>
      </c>
      <c r="AK69" s="21" t="s">
        <v>1092</v>
      </c>
      <c r="AL69" s="21" t="s">
        <v>1807</v>
      </c>
      <c r="AM69" s="21" t="s">
        <v>1051</v>
      </c>
    </row>
    <row r="70" spans="1:39" x14ac:dyDescent="0.3">
      <c r="A70" s="21" t="s">
        <v>1898</v>
      </c>
      <c r="B70" s="21">
        <v>0</v>
      </c>
      <c r="C70" s="29">
        <v>46168</v>
      </c>
      <c r="D70" s="21" t="s">
        <v>1795</v>
      </c>
      <c r="E70" s="21" t="s">
        <v>743</v>
      </c>
      <c r="F70" s="21" t="s">
        <v>1796</v>
      </c>
      <c r="G70" s="21" t="s">
        <v>1797</v>
      </c>
      <c r="H70" s="29">
        <f>C70</f>
        <v>46168</v>
      </c>
      <c r="I70" s="29">
        <f>H70+30</f>
        <v>46198</v>
      </c>
      <c r="J70" s="21" t="s">
        <v>1798</v>
      </c>
      <c r="K70" s="21" t="s">
        <v>1799</v>
      </c>
      <c r="L70" s="21" t="s">
        <v>1835</v>
      </c>
      <c r="M70" s="21" t="s">
        <v>746</v>
      </c>
      <c r="N70" s="21" t="s">
        <v>1836</v>
      </c>
      <c r="O70" s="21" t="s">
        <v>1837</v>
      </c>
      <c r="P70" s="21" t="s">
        <v>1058</v>
      </c>
      <c r="Q70" s="25" cm="1">
        <f t="array" ref="Q70">MAX(0,SUMPRODUCT(('T11'!$G$3:$G$1500=L70)*('T11'!$AG$3:$AG$1500&lt;C70)*('T11'!$W$3:$W$1500*(1+'T11'!$X$3:$X$1500)+'T11'!$Y$3:$Y$1500))-SUMPRODUCT(('T15'!$L$3:$L$1499=L70)*('T15'!$B$3:$B$1499&lt;C70)*('T15'!$BC$3:$BC$1499+'T15'!$BD$3:$BD$1499+'T15'!$BE$3:$BE$1499)))</f>
        <v>0</v>
      </c>
      <c r="R70" s="21" t="str">
        <f>IF(Q70&gt;0,"Active - overdue balance","Active")</f>
        <v>Active</v>
      </c>
      <c r="S70" s="21">
        <v>1</v>
      </c>
      <c r="T70" s="21" t="s">
        <v>1865</v>
      </c>
      <c r="U70" s="21" t="s">
        <v>1804</v>
      </c>
      <c r="V70" s="21">
        <v>1000</v>
      </c>
      <c r="W70" s="25">
        <v>1710</v>
      </c>
      <c r="X70" s="25">
        <f>V70*W70</f>
        <v>1710000</v>
      </c>
      <c r="Y70" s="23">
        <f>_xlfn.XLOOKUP(LEFT(T70,FIND(" - ",T70)-1),'T13'!$A$3:$A$1500,'T13'!$O$3:$O$1500)</f>
        <v>0.18</v>
      </c>
      <c r="Z70" s="25">
        <f>V70*IF(U70="MT",1000,IF(U70="Jumbo bag (1.5 MT)",1500,IF(U70="Bag (40 kg)",40,50)))*3</f>
        <v>150000</v>
      </c>
      <c r="AA70" s="33">
        <f>SUMIFS($V$3:$V$1500,$A$3:$A$1500,A70,$U$3:$U$1500,"Bag (50 kg)")*0.05+SUMIFS($V$3:$V$1500,$A$3:$A$1500,A70,$U$3:$U$1500,"Bag (40 kg)")*0.04+SUMIFS($V$3:$V$1500,$A$3:$A$1500,A70,$U$3:$U$1500,"MT")+SUMIFS($V$3:$V$1500,$A$3:$A$1500,A70,$U$3:$U$1500,"Jumbo bag (1.5 MT)")*1.5</f>
        <v>200</v>
      </c>
      <c r="AB70" s="25">
        <f>SUMIFS($X$3:$X$1500,$A$3:$A$1500,A70)</f>
        <v>6335000</v>
      </c>
      <c r="AC70" s="25" cm="1">
        <f t="array" ref="AC70">SUMPRODUCT(($A$3:$A$1500=A70)*$X$3:$X$1500*$Y$3:$Y$1500)</f>
        <v>1140300</v>
      </c>
      <c r="AD70" s="25">
        <f>SUMIFS($Z$3:$Z$1500,$A$3:$A$1500,A70)</f>
        <v>600000</v>
      </c>
      <c r="AE70" s="25">
        <f>AB70+AC70+AD70</f>
        <v>8075300</v>
      </c>
      <c r="AF70" s="21" t="str">
        <f>"PKR "&amp;TEXT(AE70,"#,##0")&amp;" only"</f>
        <v>PKR 8,075,300 only</v>
      </c>
      <c r="AG70" s="21" t="s">
        <v>1805</v>
      </c>
      <c r="AH70" s="21" t="s">
        <v>1091</v>
      </c>
      <c r="AI70" s="21" t="s">
        <v>1838</v>
      </c>
      <c r="AJ70" s="21" t="s">
        <v>768</v>
      </c>
      <c r="AK70" s="21" t="s">
        <v>1092</v>
      </c>
      <c r="AL70" s="21" t="s">
        <v>1807</v>
      </c>
      <c r="AM70" s="21" t="s">
        <v>1062</v>
      </c>
    </row>
    <row r="71" spans="1:39" x14ac:dyDescent="0.3">
      <c r="A71" s="21" t="s">
        <v>1898</v>
      </c>
      <c r="B71" s="21">
        <v>0</v>
      </c>
      <c r="C71" s="29">
        <v>46168</v>
      </c>
      <c r="D71" s="21" t="s">
        <v>1795</v>
      </c>
      <c r="E71" s="21" t="s">
        <v>743</v>
      </c>
      <c r="F71" s="21" t="s">
        <v>1796</v>
      </c>
      <c r="G71" s="21" t="s">
        <v>1797</v>
      </c>
      <c r="H71" s="29">
        <f>C71</f>
        <v>46168</v>
      </c>
      <c r="I71" s="29">
        <f>H71+30</f>
        <v>46198</v>
      </c>
      <c r="J71" s="21" t="s">
        <v>1798</v>
      </c>
      <c r="K71" s="21" t="s">
        <v>1799</v>
      </c>
      <c r="L71" s="21" t="s">
        <v>1835</v>
      </c>
      <c r="M71" s="21" t="s">
        <v>746</v>
      </c>
      <c r="N71" s="21" t="s">
        <v>1836</v>
      </c>
      <c r="O71" s="21" t="s">
        <v>1837</v>
      </c>
      <c r="P71" s="21" t="s">
        <v>1058</v>
      </c>
      <c r="Q71" s="25" cm="1">
        <f t="array" ref="Q71">MAX(0,SUMPRODUCT(('T11'!$G$3:$G$1500=L71)*('T11'!$AG$3:$AG$1500&lt;C71)*('T11'!$W$3:$W$1500*(1+'T11'!$X$3:$X$1500)+'T11'!$Y$3:$Y$1500))-SUMPRODUCT(('T15'!$L$3:$L$1499=L71)*('T15'!$B$3:$B$1499&lt;C71)*('T15'!$BC$3:$BC$1499+'T15'!$BD$3:$BD$1499+'T15'!$BE$3:$BE$1499)))</f>
        <v>0</v>
      </c>
      <c r="R71" s="21" t="str">
        <f>IF(Q71&gt;0,"Active - overdue balance","Active")</f>
        <v>Active</v>
      </c>
      <c r="S71" s="21">
        <v>2</v>
      </c>
      <c r="T71" s="21" t="s">
        <v>1826</v>
      </c>
      <c r="U71" s="21" t="s">
        <v>1804</v>
      </c>
      <c r="V71" s="21">
        <v>2500</v>
      </c>
      <c r="W71" s="25">
        <v>1555</v>
      </c>
      <c r="X71" s="25">
        <f>V71*W71</f>
        <v>3887500</v>
      </c>
      <c r="Y71" s="23">
        <f>_xlfn.XLOOKUP(LEFT(T71,FIND(" - ",T71)-1),'T13'!$A$3:$A$1500,'T13'!$O$3:$O$1500)</f>
        <v>0.18</v>
      </c>
      <c r="Z71" s="25">
        <f>V71*IF(U71="MT",1000,IF(U71="Jumbo bag (1.5 MT)",1500,IF(U71="Bag (40 kg)",40,50)))*3</f>
        <v>375000</v>
      </c>
      <c r="AA71" s="33">
        <f>SUMIFS($V$3:$V$1500,$A$3:$A$1500,A71,$U$3:$U$1500,"Bag (50 kg)")*0.05+SUMIFS($V$3:$V$1500,$A$3:$A$1500,A71,$U$3:$U$1500,"Bag (40 kg)")*0.04+SUMIFS($V$3:$V$1500,$A$3:$A$1500,A71,$U$3:$U$1500,"MT")+SUMIFS($V$3:$V$1500,$A$3:$A$1500,A71,$U$3:$U$1500,"Jumbo bag (1.5 MT)")*1.5</f>
        <v>200</v>
      </c>
      <c r="AB71" s="25">
        <f>SUMIFS($X$3:$X$1500,$A$3:$A$1500,A71)</f>
        <v>6335000</v>
      </c>
      <c r="AC71" s="25" cm="1">
        <f t="array" ref="AC71">SUMPRODUCT(($A$3:$A$1500=A71)*$X$3:$X$1500*$Y$3:$Y$1500)</f>
        <v>1140300</v>
      </c>
      <c r="AD71" s="25">
        <f>SUMIFS($Z$3:$Z$1500,$A$3:$A$1500,A71)</f>
        <v>600000</v>
      </c>
      <c r="AE71" s="25">
        <f>AB71+AC71+AD71</f>
        <v>8075300</v>
      </c>
      <c r="AF71" s="21" t="str">
        <f>"PKR "&amp;TEXT(AE71,"#,##0")&amp;" only"</f>
        <v>PKR 8,075,300 only</v>
      </c>
      <c r="AG71" s="21" t="s">
        <v>1805</v>
      </c>
      <c r="AH71" s="21" t="s">
        <v>1091</v>
      </c>
      <c r="AI71" s="21" t="s">
        <v>1838</v>
      </c>
      <c r="AJ71" s="21" t="s">
        <v>768</v>
      </c>
      <c r="AK71" s="21" t="s">
        <v>1092</v>
      </c>
      <c r="AL71" s="21" t="s">
        <v>1807</v>
      </c>
      <c r="AM71" s="21" t="s">
        <v>1062</v>
      </c>
    </row>
    <row r="72" spans="1:39" x14ac:dyDescent="0.3">
      <c r="A72" s="21" t="s">
        <v>1898</v>
      </c>
      <c r="B72" s="21">
        <v>0</v>
      </c>
      <c r="C72" s="29">
        <v>46168</v>
      </c>
      <c r="D72" s="21" t="s">
        <v>1795</v>
      </c>
      <c r="E72" s="21" t="s">
        <v>743</v>
      </c>
      <c r="F72" s="21" t="s">
        <v>1796</v>
      </c>
      <c r="G72" s="21" t="s">
        <v>1797</v>
      </c>
      <c r="H72" s="29">
        <f>C72</f>
        <v>46168</v>
      </c>
      <c r="I72" s="29">
        <f>H72+30</f>
        <v>46198</v>
      </c>
      <c r="J72" s="21" t="s">
        <v>1798</v>
      </c>
      <c r="K72" s="21" t="s">
        <v>1799</v>
      </c>
      <c r="L72" s="21" t="s">
        <v>1835</v>
      </c>
      <c r="M72" s="21" t="s">
        <v>746</v>
      </c>
      <c r="N72" s="21" t="s">
        <v>1836</v>
      </c>
      <c r="O72" s="21" t="s">
        <v>1837</v>
      </c>
      <c r="P72" s="21" t="s">
        <v>1058</v>
      </c>
      <c r="Q72" s="25" cm="1">
        <f t="array" ref="Q72">MAX(0,SUMPRODUCT(('T11'!$G$3:$G$1500=L72)*('T11'!$AG$3:$AG$1500&lt;C72)*('T11'!$W$3:$W$1500*(1+'T11'!$X$3:$X$1500)+'T11'!$Y$3:$Y$1500))-SUMPRODUCT(('T15'!$L$3:$L$1499=L72)*('T15'!$B$3:$B$1499&lt;C72)*('T15'!$BC$3:$BC$1499+'T15'!$BD$3:$BD$1499+'T15'!$BE$3:$BE$1499)))</f>
        <v>0</v>
      </c>
      <c r="R72" s="21" t="str">
        <f>IF(Q72&gt;0,"Active - overdue balance","Active")</f>
        <v>Active</v>
      </c>
      <c r="S72" s="21">
        <v>3</v>
      </c>
      <c r="T72" s="21" t="s">
        <v>1828</v>
      </c>
      <c r="U72" s="21" t="s">
        <v>1804</v>
      </c>
      <c r="V72" s="21">
        <v>500</v>
      </c>
      <c r="W72" s="25">
        <v>1475</v>
      </c>
      <c r="X72" s="25">
        <f>V72*W72</f>
        <v>737500</v>
      </c>
      <c r="Y72" s="23">
        <f>_xlfn.XLOOKUP(LEFT(T72,FIND(" - ",T72)-1),'T13'!$A$3:$A$1500,'T13'!$O$3:$O$1500)</f>
        <v>0.18</v>
      </c>
      <c r="Z72" s="25">
        <f>V72*IF(U72="MT",1000,IF(U72="Jumbo bag (1.5 MT)",1500,IF(U72="Bag (40 kg)",40,50)))*3</f>
        <v>75000</v>
      </c>
      <c r="AA72" s="33">
        <f>SUMIFS($V$3:$V$1500,$A$3:$A$1500,A72,$U$3:$U$1500,"Bag (50 kg)")*0.05+SUMIFS($V$3:$V$1500,$A$3:$A$1500,A72,$U$3:$U$1500,"Bag (40 kg)")*0.04+SUMIFS($V$3:$V$1500,$A$3:$A$1500,A72,$U$3:$U$1500,"MT")+SUMIFS($V$3:$V$1500,$A$3:$A$1500,A72,$U$3:$U$1500,"Jumbo bag (1.5 MT)")*1.5</f>
        <v>200</v>
      </c>
      <c r="AB72" s="25">
        <f>SUMIFS($X$3:$X$1500,$A$3:$A$1500,A72)</f>
        <v>6335000</v>
      </c>
      <c r="AC72" s="25" cm="1">
        <f t="array" ref="AC72">SUMPRODUCT(($A$3:$A$1500=A72)*$X$3:$X$1500*$Y$3:$Y$1500)</f>
        <v>1140300</v>
      </c>
      <c r="AD72" s="25">
        <f>SUMIFS($Z$3:$Z$1500,$A$3:$A$1500,A72)</f>
        <v>600000</v>
      </c>
      <c r="AE72" s="25">
        <f>AB72+AC72+AD72</f>
        <v>8075300</v>
      </c>
      <c r="AF72" s="21" t="str">
        <f>"PKR "&amp;TEXT(AE72,"#,##0")&amp;" only"</f>
        <v>PKR 8,075,300 only</v>
      </c>
      <c r="AG72" s="21" t="s">
        <v>1805</v>
      </c>
      <c r="AH72" s="21" t="s">
        <v>1091</v>
      </c>
      <c r="AI72" s="21" t="s">
        <v>1838</v>
      </c>
      <c r="AJ72" s="21" t="s">
        <v>768</v>
      </c>
      <c r="AK72" s="21" t="s">
        <v>1092</v>
      </c>
      <c r="AL72" s="21" t="s">
        <v>1807</v>
      </c>
      <c r="AM72" s="21" t="s">
        <v>1062</v>
      </c>
    </row>
    <row r="73" spans="1:39" x14ac:dyDescent="0.3">
      <c r="A73" s="21" t="s">
        <v>1899</v>
      </c>
      <c r="B73" s="21">
        <v>0</v>
      </c>
      <c r="C73" s="29">
        <v>46196</v>
      </c>
      <c r="D73" s="21" t="s">
        <v>1795</v>
      </c>
      <c r="E73" s="21" t="s">
        <v>743</v>
      </c>
      <c r="F73" s="21" t="s">
        <v>1796</v>
      </c>
      <c r="G73" s="21" t="s">
        <v>1797</v>
      </c>
      <c r="H73" s="29">
        <f>C73</f>
        <v>46196</v>
      </c>
      <c r="I73" s="29">
        <f>H73+30</f>
        <v>46226</v>
      </c>
      <c r="J73" s="21" t="s">
        <v>1798</v>
      </c>
      <c r="K73" s="21" t="s">
        <v>1799</v>
      </c>
      <c r="L73" s="21" t="s">
        <v>1800</v>
      </c>
      <c r="M73" s="21" t="s">
        <v>746</v>
      </c>
      <c r="N73" s="21" t="s">
        <v>1801</v>
      </c>
      <c r="O73" s="21" t="s">
        <v>1802</v>
      </c>
      <c r="P73" s="21" t="s">
        <v>1076</v>
      </c>
      <c r="Q73" s="25" cm="1">
        <f t="array" ref="Q73">MAX(0,SUMPRODUCT(('T11'!$G$3:$G$1500=L73)*('T11'!$AG$3:$AG$1500&lt;C73)*('T11'!$W$3:$W$1500*(1+'T11'!$X$3:$X$1500)+'T11'!$Y$3:$Y$1500))-SUMPRODUCT(('T15'!$L$3:$L$1499=L73)*('T15'!$B$3:$B$1499&lt;C73)*('T15'!$BC$3:$BC$1499+'T15'!$BD$3:$BD$1499+'T15'!$BE$3:$BE$1499)))</f>
        <v>0</v>
      </c>
      <c r="R73" s="21" t="str">
        <f>IF(Q73&gt;0,"Active - overdue balance","Active")</f>
        <v>Active</v>
      </c>
      <c r="S73" s="21">
        <v>1</v>
      </c>
      <c r="T73" s="21" t="s">
        <v>1840</v>
      </c>
      <c r="U73" s="21" t="s">
        <v>1841</v>
      </c>
      <c r="V73" s="21">
        <v>2500</v>
      </c>
      <c r="W73" s="25">
        <v>2880</v>
      </c>
      <c r="X73" s="25">
        <f>V73*W73</f>
        <v>7200000</v>
      </c>
      <c r="Y73" s="23">
        <f>_xlfn.XLOOKUP(LEFT(T73,FIND(" - ",T73)-1),'T13'!$A$3:$A$1500,'T13'!$O$3:$O$1500)</f>
        <v>0.18</v>
      </c>
      <c r="Z73" s="25">
        <f>V73*IF(U73="MT",1000,IF(U73="Jumbo bag (1.5 MT)",1500,IF(U73="Bag (40 kg)",40,50)))*3</f>
        <v>300000</v>
      </c>
      <c r="AA73" s="33">
        <f>SUMIFS($V$3:$V$1500,$A$3:$A$1500,A73,$U$3:$U$1500,"Bag (50 kg)")*0.05+SUMIFS($V$3:$V$1500,$A$3:$A$1500,A73,$U$3:$U$1500,"Bag (40 kg)")*0.04+SUMIFS($V$3:$V$1500,$A$3:$A$1500,A73,$U$3:$U$1500,"MT")+SUMIFS($V$3:$V$1500,$A$3:$A$1500,A73,$U$3:$U$1500,"Jumbo bag (1.5 MT)")*1.5</f>
        <v>175</v>
      </c>
      <c r="AB73" s="25">
        <f>SUMIFS($X$3:$X$1500,$A$3:$A$1500,A73)</f>
        <v>9660000</v>
      </c>
      <c r="AC73" s="25" cm="1">
        <f t="array" ref="AC73">SUMPRODUCT(($A$3:$A$1500=A73)*$X$3:$X$1500*$Y$3:$Y$1500)</f>
        <v>1738800</v>
      </c>
      <c r="AD73" s="25">
        <f>SUMIFS($Z$3:$Z$1500,$A$3:$A$1500,A73)</f>
        <v>525000</v>
      </c>
      <c r="AE73" s="25">
        <f>AB73+AC73+AD73</f>
        <v>11923800</v>
      </c>
      <c r="AF73" s="21" t="str">
        <f>"PKR "&amp;TEXT(AE73,"#,##0")&amp;" only"</f>
        <v>PKR 11,923,800 only</v>
      </c>
      <c r="AG73" s="21" t="s">
        <v>1805</v>
      </c>
      <c r="AH73" s="21" t="s">
        <v>1091</v>
      </c>
      <c r="AI73" s="21" t="s">
        <v>1806</v>
      </c>
      <c r="AJ73" s="21" t="s">
        <v>768</v>
      </c>
      <c r="AK73" s="21" t="s">
        <v>1092</v>
      </c>
      <c r="AL73" s="21" t="s">
        <v>1807</v>
      </c>
      <c r="AM73" s="21" t="s">
        <v>1051</v>
      </c>
    </row>
    <row r="74" spans="1:39" x14ac:dyDescent="0.3">
      <c r="A74" s="21" t="s">
        <v>1899</v>
      </c>
      <c r="B74" s="21">
        <v>0</v>
      </c>
      <c r="C74" s="29">
        <v>46196</v>
      </c>
      <c r="D74" s="21" t="s">
        <v>1795</v>
      </c>
      <c r="E74" s="21" t="s">
        <v>743</v>
      </c>
      <c r="F74" s="21" t="s">
        <v>1796</v>
      </c>
      <c r="G74" s="21" t="s">
        <v>1797</v>
      </c>
      <c r="H74" s="29">
        <f>C74</f>
        <v>46196</v>
      </c>
      <c r="I74" s="29">
        <f>H74+30</f>
        <v>46226</v>
      </c>
      <c r="J74" s="21" t="s">
        <v>1798</v>
      </c>
      <c r="K74" s="21" t="s">
        <v>1799</v>
      </c>
      <c r="L74" s="21" t="s">
        <v>1800</v>
      </c>
      <c r="M74" s="21" t="s">
        <v>746</v>
      </c>
      <c r="N74" s="21" t="s">
        <v>1801</v>
      </c>
      <c r="O74" s="21" t="s">
        <v>1802</v>
      </c>
      <c r="P74" s="21" t="s">
        <v>1076</v>
      </c>
      <c r="Q74" s="25" cm="1">
        <f t="array" ref="Q74">MAX(0,SUMPRODUCT(('T11'!$G$3:$G$1500=L74)*('T11'!$AG$3:$AG$1500&lt;C74)*('T11'!$W$3:$W$1500*(1+'T11'!$X$3:$X$1500)+'T11'!$Y$3:$Y$1500))-SUMPRODUCT(('T15'!$L$3:$L$1499=L74)*('T15'!$B$3:$B$1499&lt;C74)*('T15'!$BC$3:$BC$1499+'T15'!$BD$3:$BD$1499+'T15'!$BE$3:$BE$1499)))</f>
        <v>0</v>
      </c>
      <c r="R74" s="21" t="str">
        <f>IF(Q74&gt;0,"Active - overdue balance","Active")</f>
        <v>Active</v>
      </c>
      <c r="S74" s="21">
        <v>2</v>
      </c>
      <c r="T74" s="21" t="s">
        <v>1808</v>
      </c>
      <c r="U74" s="21" t="s">
        <v>1804</v>
      </c>
      <c r="V74" s="21">
        <v>1500</v>
      </c>
      <c r="W74" s="25">
        <v>1640</v>
      </c>
      <c r="X74" s="25">
        <f>V74*W74</f>
        <v>2460000</v>
      </c>
      <c r="Y74" s="23">
        <f>_xlfn.XLOOKUP(LEFT(T74,FIND(" - ",T74)-1),'T13'!$A$3:$A$1500,'T13'!$O$3:$O$1500)</f>
        <v>0.18</v>
      </c>
      <c r="Z74" s="25">
        <f>V74*IF(U74="MT",1000,IF(U74="Jumbo bag (1.5 MT)",1500,IF(U74="Bag (40 kg)",40,50)))*3</f>
        <v>225000</v>
      </c>
      <c r="AA74" s="33">
        <f>SUMIFS($V$3:$V$1500,$A$3:$A$1500,A74,$U$3:$U$1500,"Bag (50 kg)")*0.05+SUMIFS($V$3:$V$1500,$A$3:$A$1500,A74,$U$3:$U$1500,"Bag (40 kg)")*0.04+SUMIFS($V$3:$V$1500,$A$3:$A$1500,A74,$U$3:$U$1500,"MT")+SUMIFS($V$3:$V$1500,$A$3:$A$1500,A74,$U$3:$U$1500,"Jumbo bag (1.5 MT)")*1.5</f>
        <v>175</v>
      </c>
      <c r="AB74" s="25">
        <f>SUMIFS($X$3:$X$1500,$A$3:$A$1500,A74)</f>
        <v>9660000</v>
      </c>
      <c r="AC74" s="25" cm="1">
        <f t="array" ref="AC74">SUMPRODUCT(($A$3:$A$1500=A74)*$X$3:$X$1500*$Y$3:$Y$1500)</f>
        <v>1738800</v>
      </c>
      <c r="AD74" s="25">
        <f>SUMIFS($Z$3:$Z$1500,$A$3:$A$1500,A74)</f>
        <v>525000</v>
      </c>
      <c r="AE74" s="25">
        <f>AB74+AC74+AD74</f>
        <v>11923800</v>
      </c>
      <c r="AF74" s="21" t="str">
        <f>"PKR "&amp;TEXT(AE74,"#,##0")&amp;" only"</f>
        <v>PKR 11,923,800 only</v>
      </c>
      <c r="AG74" s="21" t="s">
        <v>1805</v>
      </c>
      <c r="AH74" s="21" t="s">
        <v>1091</v>
      </c>
      <c r="AI74" s="21" t="s">
        <v>1806</v>
      </c>
      <c r="AJ74" s="21" t="s">
        <v>768</v>
      </c>
      <c r="AK74" s="21" t="s">
        <v>1092</v>
      </c>
      <c r="AL74" s="21" t="s">
        <v>1807</v>
      </c>
      <c r="AM74" s="21" t="s">
        <v>1051</v>
      </c>
    </row>
    <row r="75" spans="1:39" x14ac:dyDescent="0.3">
      <c r="A75" s="21" t="s">
        <v>1900</v>
      </c>
      <c r="B75" s="21">
        <v>0</v>
      </c>
      <c r="C75" s="29">
        <v>46199</v>
      </c>
      <c r="D75" s="21" t="s">
        <v>1795</v>
      </c>
      <c r="E75" s="21" t="s">
        <v>743</v>
      </c>
      <c r="F75" s="21" t="s">
        <v>1796</v>
      </c>
      <c r="G75" s="21" t="s">
        <v>1797</v>
      </c>
      <c r="H75" s="29">
        <f>C75</f>
        <v>46199</v>
      </c>
      <c r="I75" s="29">
        <f>H75+30</f>
        <v>46229</v>
      </c>
      <c r="J75" s="21" t="s">
        <v>1798</v>
      </c>
      <c r="K75" s="21" t="s">
        <v>1799</v>
      </c>
      <c r="L75" s="21" t="s">
        <v>1844</v>
      </c>
      <c r="M75" s="21" t="s">
        <v>1066</v>
      </c>
      <c r="N75" s="21" t="s">
        <v>1845</v>
      </c>
      <c r="O75" s="21" t="s">
        <v>1846</v>
      </c>
      <c r="P75" s="21" t="s">
        <v>1068</v>
      </c>
      <c r="Q75" s="25" cm="1">
        <f t="array" ref="Q75">MAX(0,SUMPRODUCT(('T11'!$G$3:$G$1500=L75)*('T11'!$AG$3:$AG$1500&lt;C75)*('T11'!$W$3:$W$1500*(1+'T11'!$X$3:$X$1500)+'T11'!$Y$3:$Y$1500))-SUMPRODUCT(('T15'!$L$3:$L$1499=L75)*('T15'!$B$3:$B$1499&lt;C75)*('T15'!$BC$3:$BC$1499+'T15'!$BD$3:$BD$1499+'T15'!$BE$3:$BE$1499)))</f>
        <v>0</v>
      </c>
      <c r="R75" s="21" t="str">
        <f>IF(Q75&gt;0,"Active - overdue balance","Active")</f>
        <v>Active</v>
      </c>
      <c r="S75" s="21">
        <v>1</v>
      </c>
      <c r="T75" s="21" t="s">
        <v>1840</v>
      </c>
      <c r="U75" s="21" t="s">
        <v>1841</v>
      </c>
      <c r="V75" s="21">
        <v>5500</v>
      </c>
      <c r="W75" s="25">
        <v>2880</v>
      </c>
      <c r="X75" s="25">
        <f>V75*W75</f>
        <v>15840000</v>
      </c>
      <c r="Y75" s="23">
        <f>_xlfn.XLOOKUP(LEFT(T75,FIND(" - ",T75)-1),'T13'!$A$3:$A$1500,'T13'!$O$3:$O$1500)</f>
        <v>0.18</v>
      </c>
      <c r="Z75" s="25">
        <f>V75*IF(U75="MT",1000,IF(U75="Jumbo bag (1.5 MT)",1500,IF(U75="Bag (40 kg)",40,50)))*3</f>
        <v>660000</v>
      </c>
      <c r="AA75" s="33">
        <f>SUMIFS($V$3:$V$1500,$A$3:$A$1500,A75,$U$3:$U$1500,"Bag (50 kg)")*0.05+SUMIFS($V$3:$V$1500,$A$3:$A$1500,A75,$U$3:$U$1500,"Bag (40 kg)")*0.04+SUMIFS($V$3:$V$1500,$A$3:$A$1500,A75,$U$3:$U$1500,"MT")+SUMIFS($V$3:$V$1500,$A$3:$A$1500,A75,$U$3:$U$1500,"Jumbo bag (1.5 MT)")*1.5</f>
        <v>220</v>
      </c>
      <c r="AB75" s="25">
        <f>SUMIFS($X$3:$X$1500,$A$3:$A$1500,A75)</f>
        <v>15840000</v>
      </c>
      <c r="AC75" s="25" cm="1">
        <f t="array" ref="AC75">SUMPRODUCT(($A$3:$A$1500=A75)*$X$3:$X$1500*$Y$3:$Y$1500)</f>
        <v>2851200</v>
      </c>
      <c r="AD75" s="25">
        <f>SUMIFS($Z$3:$Z$1500,$A$3:$A$1500,A75)</f>
        <v>660000</v>
      </c>
      <c r="AE75" s="25">
        <f>AB75+AC75+AD75</f>
        <v>19351200</v>
      </c>
      <c r="AF75" s="21" t="str">
        <f>"PKR "&amp;TEXT(AE75,"#,##0")&amp;" only"</f>
        <v>PKR 19,351,200 only</v>
      </c>
      <c r="AG75" s="21" t="s">
        <v>1805</v>
      </c>
      <c r="AH75" s="21" t="s">
        <v>1091</v>
      </c>
      <c r="AI75" s="21" t="s">
        <v>1847</v>
      </c>
      <c r="AJ75" s="21" t="s">
        <v>768</v>
      </c>
      <c r="AK75" s="21" t="s">
        <v>1092</v>
      </c>
      <c r="AL75" s="21" t="s">
        <v>1807</v>
      </c>
      <c r="AM75" s="21" t="s">
        <v>1071</v>
      </c>
    </row>
    <row r="76" spans="1:39" x14ac:dyDescent="0.3">
      <c r="A76" s="21" t="s">
        <v>1901</v>
      </c>
      <c r="B76" s="21">
        <v>0</v>
      </c>
      <c r="C76" s="29">
        <v>46231</v>
      </c>
      <c r="D76" s="21" t="s">
        <v>1795</v>
      </c>
      <c r="E76" s="21" t="s">
        <v>743</v>
      </c>
      <c r="F76" s="21" t="s">
        <v>1811</v>
      </c>
      <c r="G76" s="21" t="s">
        <v>1797</v>
      </c>
      <c r="H76" s="29">
        <f>C76</f>
        <v>46231</v>
      </c>
      <c r="I76" s="29">
        <f>H76+30</f>
        <v>46261</v>
      </c>
      <c r="J76" s="21" t="s">
        <v>1798</v>
      </c>
      <c r="K76" s="21" t="s">
        <v>1812</v>
      </c>
      <c r="L76" s="21" t="s">
        <v>1857</v>
      </c>
      <c r="M76" s="21" t="s">
        <v>746</v>
      </c>
      <c r="N76" s="21" t="s">
        <v>1121</v>
      </c>
      <c r="O76" s="21" t="s">
        <v>1858</v>
      </c>
      <c r="P76" s="21" t="s">
        <v>1129</v>
      </c>
      <c r="Q76" s="25" cm="1">
        <f t="array" ref="Q76">MAX(0,SUMPRODUCT(('T11'!$G$3:$G$1500=L76)*('T11'!$AG$3:$AG$1500&lt;C76)*('T11'!$W$3:$W$1500*(1+'T11'!$X$3:$X$1500)+'T11'!$Y$3:$Y$1500))-SUMPRODUCT(('T15'!$L$3:$L$1499=L76)*('T15'!$B$3:$B$1499&lt;C76)*('T15'!$BC$3:$BC$1499+'T15'!$BD$3:$BD$1499+'T15'!$BE$3:$BE$1499)))</f>
        <v>0</v>
      </c>
      <c r="R76" s="21" t="str">
        <f>IF(Q76&gt;0,"Active - overdue balance","Active")</f>
        <v>Active</v>
      </c>
      <c r="S76" s="21">
        <v>1</v>
      </c>
      <c r="T76" s="21" t="s">
        <v>1840</v>
      </c>
      <c r="U76" s="21" t="s">
        <v>1841</v>
      </c>
      <c r="V76" s="21">
        <v>1000</v>
      </c>
      <c r="W76" s="25">
        <v>2895</v>
      </c>
      <c r="X76" s="25">
        <f>V76*W76</f>
        <v>2895000</v>
      </c>
      <c r="Y76" s="23">
        <f>_xlfn.XLOOKUP(LEFT(T76,FIND(" - ",T76)-1),'T13'!$A$3:$A$1500,'T13'!$O$3:$O$1500)</f>
        <v>0.18</v>
      </c>
      <c r="Z76" s="25">
        <f>V76*IF(U76="MT",1000,IF(U76="Jumbo bag (1.5 MT)",1500,IF(U76="Bag (40 kg)",40,50)))*3</f>
        <v>120000</v>
      </c>
      <c r="AA76" s="33">
        <f>SUMIFS($V$3:$V$1500,$A$3:$A$1500,A76,$U$3:$U$1500,"Bag (50 kg)")*0.05+SUMIFS($V$3:$V$1500,$A$3:$A$1500,A76,$U$3:$U$1500,"Bag (40 kg)")*0.04+SUMIFS($V$3:$V$1500,$A$3:$A$1500,A76,$U$3:$U$1500,"MT")+SUMIFS($V$3:$V$1500,$A$3:$A$1500,A76,$U$3:$U$1500,"Jumbo bag (1.5 MT)")*1.5</f>
        <v>140</v>
      </c>
      <c r="AB76" s="25">
        <f>SUMIFS($X$3:$X$1500,$A$3:$A$1500,A76)</f>
        <v>6185000</v>
      </c>
      <c r="AC76" s="25" cm="1">
        <f t="array" ref="AC76">SUMPRODUCT(($A$3:$A$1500=A76)*$X$3:$X$1500*$Y$3:$Y$1500)</f>
        <v>1113300</v>
      </c>
      <c r="AD76" s="25">
        <f>SUMIFS($Z$3:$Z$1500,$A$3:$A$1500,A76)</f>
        <v>420000</v>
      </c>
      <c r="AE76" s="25">
        <f>AB76+AC76+AD76</f>
        <v>7718300</v>
      </c>
      <c r="AF76" s="21" t="str">
        <f>"PKR "&amp;TEXT(AE76,"#,##0")&amp;" only"</f>
        <v>PKR 7,718,300 only</v>
      </c>
      <c r="AG76" s="21" t="s">
        <v>1861</v>
      </c>
      <c r="AH76" s="21" t="s">
        <v>1117</v>
      </c>
      <c r="AI76" s="21" t="s">
        <v>1862</v>
      </c>
      <c r="AJ76" s="21" t="s">
        <v>768</v>
      </c>
      <c r="AK76" s="21" t="s">
        <v>1118</v>
      </c>
      <c r="AL76" s="21" t="s">
        <v>1807</v>
      </c>
      <c r="AM76" s="21" t="s">
        <v>1062</v>
      </c>
    </row>
    <row r="77" spans="1:39" x14ac:dyDescent="0.3">
      <c r="A77" s="21" t="s">
        <v>1901</v>
      </c>
      <c r="B77" s="21">
        <v>0</v>
      </c>
      <c r="C77" s="29">
        <v>46231</v>
      </c>
      <c r="D77" s="21" t="s">
        <v>1795</v>
      </c>
      <c r="E77" s="21" t="s">
        <v>743</v>
      </c>
      <c r="F77" s="21" t="s">
        <v>1811</v>
      </c>
      <c r="G77" s="21" t="s">
        <v>1797</v>
      </c>
      <c r="H77" s="29">
        <f>C77</f>
        <v>46231</v>
      </c>
      <c r="I77" s="29">
        <f>H77+30</f>
        <v>46261</v>
      </c>
      <c r="J77" s="21" t="s">
        <v>1798</v>
      </c>
      <c r="K77" s="21" t="s">
        <v>1812</v>
      </c>
      <c r="L77" s="21" t="s">
        <v>1857</v>
      </c>
      <c r="M77" s="21" t="s">
        <v>746</v>
      </c>
      <c r="N77" s="21" t="s">
        <v>1121</v>
      </c>
      <c r="O77" s="21" t="s">
        <v>1858</v>
      </c>
      <c r="P77" s="21" t="s">
        <v>1129</v>
      </c>
      <c r="Q77" s="25" cm="1">
        <f t="array" ref="Q77">MAX(0,SUMPRODUCT(('T11'!$G$3:$G$1500=L77)*('T11'!$AG$3:$AG$1500&lt;C77)*('T11'!$W$3:$W$1500*(1+'T11'!$X$3:$X$1500)+'T11'!$Y$3:$Y$1500))-SUMPRODUCT(('T15'!$L$3:$L$1499=L77)*('T15'!$B$3:$B$1499&lt;C77)*('T15'!$BC$3:$BC$1499+'T15'!$BD$3:$BD$1499+'T15'!$BE$3:$BE$1499)))</f>
        <v>0</v>
      </c>
      <c r="R77" s="21" t="str">
        <f>IF(Q77&gt;0,"Active - overdue balance","Active")</f>
        <v>Active</v>
      </c>
      <c r="S77" s="21">
        <v>2</v>
      </c>
      <c r="T77" s="21" t="s">
        <v>1808</v>
      </c>
      <c r="U77" s="21" t="s">
        <v>1804</v>
      </c>
      <c r="V77" s="21">
        <v>2000</v>
      </c>
      <c r="W77" s="25">
        <v>1645</v>
      </c>
      <c r="X77" s="25">
        <f>V77*W77</f>
        <v>3290000</v>
      </c>
      <c r="Y77" s="23">
        <f>_xlfn.XLOOKUP(LEFT(T77,FIND(" - ",T77)-1),'T13'!$A$3:$A$1500,'T13'!$O$3:$O$1500)</f>
        <v>0.18</v>
      </c>
      <c r="Z77" s="25">
        <f>V77*IF(U77="MT",1000,IF(U77="Jumbo bag (1.5 MT)",1500,IF(U77="Bag (40 kg)",40,50)))*3</f>
        <v>300000</v>
      </c>
      <c r="AA77" s="33">
        <f>SUMIFS($V$3:$V$1500,$A$3:$A$1500,A77,$U$3:$U$1500,"Bag (50 kg)")*0.05+SUMIFS($V$3:$V$1500,$A$3:$A$1500,A77,$U$3:$U$1500,"Bag (40 kg)")*0.04+SUMIFS($V$3:$V$1500,$A$3:$A$1500,A77,$U$3:$U$1500,"MT")+SUMIFS($V$3:$V$1500,$A$3:$A$1500,A77,$U$3:$U$1500,"Jumbo bag (1.5 MT)")*1.5</f>
        <v>140</v>
      </c>
      <c r="AB77" s="25">
        <f>SUMIFS($X$3:$X$1500,$A$3:$A$1500,A77)</f>
        <v>6185000</v>
      </c>
      <c r="AC77" s="25" cm="1">
        <f t="array" ref="AC77">SUMPRODUCT(($A$3:$A$1500=A77)*$X$3:$X$1500*$Y$3:$Y$1500)</f>
        <v>1113300</v>
      </c>
      <c r="AD77" s="25">
        <f>SUMIFS($Z$3:$Z$1500,$A$3:$A$1500,A77)</f>
        <v>420000</v>
      </c>
      <c r="AE77" s="25">
        <f>AB77+AC77+AD77</f>
        <v>7718300</v>
      </c>
      <c r="AF77" s="21" t="str">
        <f>"PKR "&amp;TEXT(AE77,"#,##0")&amp;" only"</f>
        <v>PKR 7,718,300 only</v>
      </c>
      <c r="AG77" s="21" t="s">
        <v>1861</v>
      </c>
      <c r="AH77" s="21" t="s">
        <v>1117</v>
      </c>
      <c r="AI77" s="21" t="s">
        <v>1862</v>
      </c>
      <c r="AJ77" s="21" t="s">
        <v>768</v>
      </c>
      <c r="AK77" s="21" t="s">
        <v>1118</v>
      </c>
      <c r="AL77" s="21" t="s">
        <v>1807</v>
      </c>
      <c r="AM77" s="21" t="s">
        <v>1062</v>
      </c>
    </row>
    <row r="78" spans="1:39" x14ac:dyDescent="0.3">
      <c r="A78" s="21" t="s">
        <v>1902</v>
      </c>
      <c r="B78" s="21">
        <v>1</v>
      </c>
      <c r="C78" s="29">
        <v>46231</v>
      </c>
      <c r="D78" s="21" t="s">
        <v>1795</v>
      </c>
      <c r="E78" s="21" t="s">
        <v>743</v>
      </c>
      <c r="F78" s="21" t="s">
        <v>1811</v>
      </c>
      <c r="G78" s="21" t="s">
        <v>1797</v>
      </c>
      <c r="H78" s="29">
        <f>C78</f>
        <v>46231</v>
      </c>
      <c r="I78" s="29">
        <f>H78+30</f>
        <v>46261</v>
      </c>
      <c r="J78" s="21" t="s">
        <v>1798</v>
      </c>
      <c r="K78" s="21" t="s">
        <v>1812</v>
      </c>
      <c r="L78" s="21" t="s">
        <v>1813</v>
      </c>
      <c r="M78" s="21" t="s">
        <v>746</v>
      </c>
      <c r="N78" s="21" t="s">
        <v>1097</v>
      </c>
      <c r="O78" s="21" t="s">
        <v>1814</v>
      </c>
      <c r="P78" s="21" t="s">
        <v>1111</v>
      </c>
      <c r="Q78" s="25" cm="1">
        <f t="array" ref="Q78">MAX(0,SUMPRODUCT(('T11'!$G$3:$G$1500=L78)*('T11'!$AG$3:$AG$1500&lt;C78)*('T11'!$W$3:$W$1500*(1+'T11'!$X$3:$X$1500)+'T11'!$Y$3:$Y$1500))-SUMPRODUCT(('T15'!$L$3:$L$1499=L78)*('T15'!$B$3:$B$1499&lt;C78)*('T15'!$BC$3:$BC$1499+'T15'!$BD$3:$BD$1499+'T15'!$BE$3:$BE$1499)))</f>
        <v>0</v>
      </c>
      <c r="R78" s="21" t="str">
        <f>IF(Q78&gt;0,"Active - overdue balance","Active")</f>
        <v>Active</v>
      </c>
      <c r="S78" s="21">
        <v>1</v>
      </c>
      <c r="T78" s="21" t="s">
        <v>1840</v>
      </c>
      <c r="U78" s="21" t="s">
        <v>1841</v>
      </c>
      <c r="V78" s="21">
        <v>2500</v>
      </c>
      <c r="W78" s="25">
        <v>2895</v>
      </c>
      <c r="X78" s="25">
        <f>V78*W78</f>
        <v>7237500</v>
      </c>
      <c r="Y78" s="23">
        <f>_xlfn.XLOOKUP(LEFT(T78,FIND(" - ",T78)-1),'T13'!$A$3:$A$1500,'T13'!$O$3:$O$1500)</f>
        <v>0.18</v>
      </c>
      <c r="Z78" s="25">
        <f>V78*IF(U78="MT",1000,IF(U78="Jumbo bag (1.5 MT)",1500,IF(U78="Bag (40 kg)",40,50)))*3</f>
        <v>300000</v>
      </c>
      <c r="AA78" s="33">
        <f>SUMIFS($V$3:$V$1500,$A$3:$A$1500,A78,$U$3:$U$1500,"Bag (50 kg)")*0.05+SUMIFS($V$3:$V$1500,$A$3:$A$1500,A78,$U$3:$U$1500,"Bag (40 kg)")*0.04+SUMIFS($V$3:$V$1500,$A$3:$A$1500,A78,$U$3:$U$1500,"MT")+SUMIFS($V$3:$V$1500,$A$3:$A$1500,A78,$U$3:$U$1500,"Jumbo bag (1.5 MT)")*1.5</f>
        <v>175</v>
      </c>
      <c r="AB78" s="25">
        <f>SUMIFS($X$3:$X$1500,$A$3:$A$1500,A78)</f>
        <v>9585000</v>
      </c>
      <c r="AC78" s="25" cm="1">
        <f t="array" ref="AC78">SUMPRODUCT(($A$3:$A$1500=A78)*$X$3:$X$1500*$Y$3:$Y$1500)</f>
        <v>1725300</v>
      </c>
      <c r="AD78" s="25">
        <f>SUMIFS($Z$3:$Z$1500,$A$3:$A$1500,A78)</f>
        <v>525000</v>
      </c>
      <c r="AE78" s="25">
        <f>AB78+AC78+AD78</f>
        <v>11835300</v>
      </c>
      <c r="AF78" s="21" t="str">
        <f>"PKR "&amp;TEXT(AE78,"#,##0")&amp;" only"</f>
        <v>PKR 11,835,300 only</v>
      </c>
      <c r="AG78" s="21" t="s">
        <v>1805</v>
      </c>
      <c r="AH78" s="21" t="s">
        <v>1091</v>
      </c>
      <c r="AI78" s="21" t="s">
        <v>1854</v>
      </c>
      <c r="AJ78" s="21" t="s">
        <v>768</v>
      </c>
      <c r="AK78" s="21" t="s">
        <v>1092</v>
      </c>
      <c r="AL78" s="21" t="s">
        <v>1807</v>
      </c>
      <c r="AM78" s="21" t="s">
        <v>1051</v>
      </c>
    </row>
    <row r="79" spans="1:39" x14ac:dyDescent="0.3">
      <c r="A79" s="21" t="s">
        <v>1902</v>
      </c>
      <c r="B79" s="21">
        <v>1</v>
      </c>
      <c r="C79" s="29">
        <v>46231</v>
      </c>
      <c r="D79" s="21" t="s">
        <v>1795</v>
      </c>
      <c r="E79" s="21" t="s">
        <v>743</v>
      </c>
      <c r="F79" s="21" t="s">
        <v>1811</v>
      </c>
      <c r="G79" s="21" t="s">
        <v>1797</v>
      </c>
      <c r="H79" s="29">
        <f>C79</f>
        <v>46231</v>
      </c>
      <c r="I79" s="29">
        <f>H79+30</f>
        <v>46261</v>
      </c>
      <c r="J79" s="21" t="s">
        <v>1798</v>
      </c>
      <c r="K79" s="21" t="s">
        <v>1812</v>
      </c>
      <c r="L79" s="21" t="s">
        <v>1813</v>
      </c>
      <c r="M79" s="21" t="s">
        <v>746</v>
      </c>
      <c r="N79" s="21" t="s">
        <v>1097</v>
      </c>
      <c r="O79" s="21" t="s">
        <v>1814</v>
      </c>
      <c r="P79" s="21" t="s">
        <v>1111</v>
      </c>
      <c r="Q79" s="25" cm="1">
        <f t="array" ref="Q79">MAX(0,SUMPRODUCT(('T11'!$G$3:$G$1500=L79)*('T11'!$AG$3:$AG$1500&lt;C79)*('T11'!$W$3:$W$1500*(1+'T11'!$X$3:$X$1500)+'T11'!$Y$3:$Y$1500))-SUMPRODUCT(('T15'!$L$3:$L$1499=L79)*('T15'!$B$3:$B$1499&lt;C79)*('T15'!$BC$3:$BC$1499+'T15'!$BD$3:$BD$1499+'T15'!$BE$3:$BE$1499)))</f>
        <v>0</v>
      </c>
      <c r="R79" s="21" t="str">
        <f>IF(Q79&gt;0,"Active - overdue balance","Active")</f>
        <v>Active</v>
      </c>
      <c r="S79" s="21">
        <v>2</v>
      </c>
      <c r="T79" s="21" t="s">
        <v>1826</v>
      </c>
      <c r="U79" s="21" t="s">
        <v>1804</v>
      </c>
      <c r="V79" s="21">
        <v>1500</v>
      </c>
      <c r="W79" s="25">
        <v>1565</v>
      </c>
      <c r="X79" s="25">
        <f>V79*W79</f>
        <v>2347500</v>
      </c>
      <c r="Y79" s="23">
        <f>_xlfn.XLOOKUP(LEFT(T79,FIND(" - ",T79)-1),'T13'!$A$3:$A$1500,'T13'!$O$3:$O$1500)</f>
        <v>0.18</v>
      </c>
      <c r="Z79" s="25">
        <f>V79*IF(U79="MT",1000,IF(U79="Jumbo bag (1.5 MT)",1500,IF(U79="Bag (40 kg)",40,50)))*3</f>
        <v>225000</v>
      </c>
      <c r="AA79" s="33">
        <f>SUMIFS($V$3:$V$1500,$A$3:$A$1500,A79,$U$3:$U$1500,"Bag (50 kg)")*0.05+SUMIFS($V$3:$V$1500,$A$3:$A$1500,A79,$U$3:$U$1500,"Bag (40 kg)")*0.04+SUMIFS($V$3:$V$1500,$A$3:$A$1500,A79,$U$3:$U$1500,"MT")+SUMIFS($V$3:$V$1500,$A$3:$A$1500,A79,$U$3:$U$1500,"Jumbo bag (1.5 MT)")*1.5</f>
        <v>175</v>
      </c>
      <c r="AB79" s="25">
        <f>SUMIFS($X$3:$X$1500,$A$3:$A$1500,A79)</f>
        <v>9585000</v>
      </c>
      <c r="AC79" s="25" cm="1">
        <f t="array" ref="AC79">SUMPRODUCT(($A$3:$A$1500=A79)*$X$3:$X$1500*$Y$3:$Y$1500)</f>
        <v>1725300</v>
      </c>
      <c r="AD79" s="25">
        <f>SUMIFS($Z$3:$Z$1500,$A$3:$A$1500,A79)</f>
        <v>525000</v>
      </c>
      <c r="AE79" s="25">
        <f>AB79+AC79+AD79</f>
        <v>11835300</v>
      </c>
      <c r="AF79" s="21" t="str">
        <f>"PKR "&amp;TEXT(AE79,"#,##0")&amp;" only"</f>
        <v>PKR 11,835,300 only</v>
      </c>
      <c r="AG79" s="21" t="s">
        <v>1805</v>
      </c>
      <c r="AH79" s="21" t="s">
        <v>1091</v>
      </c>
      <c r="AI79" s="21" t="s">
        <v>1854</v>
      </c>
      <c r="AJ79" s="21" t="s">
        <v>768</v>
      </c>
      <c r="AK79" s="21" t="s">
        <v>1092</v>
      </c>
      <c r="AL79" s="21" t="s">
        <v>1807</v>
      </c>
      <c r="AM79" s="21" t="s">
        <v>1051</v>
      </c>
    </row>
    <row r="80" spans="1:39" x14ac:dyDescent="0.3">
      <c r="A80" s="21" t="s">
        <v>1903</v>
      </c>
      <c r="B80" s="21">
        <v>1</v>
      </c>
      <c r="C80" s="29">
        <v>46260</v>
      </c>
      <c r="D80" s="21" t="s">
        <v>1795</v>
      </c>
      <c r="E80" s="21" t="s">
        <v>743</v>
      </c>
      <c r="F80" s="21" t="s">
        <v>1796</v>
      </c>
      <c r="G80" s="21" t="s">
        <v>1797</v>
      </c>
      <c r="H80" s="29">
        <f>C80</f>
        <v>46260</v>
      </c>
      <c r="I80" s="29">
        <f>H80+30</f>
        <v>46290</v>
      </c>
      <c r="J80" s="21" t="s">
        <v>1798</v>
      </c>
      <c r="K80" s="21" t="s">
        <v>1799</v>
      </c>
      <c r="L80" s="21" t="s">
        <v>1870</v>
      </c>
      <c r="M80" s="21" t="s">
        <v>746</v>
      </c>
      <c r="N80" s="21" t="s">
        <v>1871</v>
      </c>
      <c r="O80" s="21" t="s">
        <v>1872</v>
      </c>
      <c r="P80" s="21" t="s">
        <v>1048</v>
      </c>
      <c r="Q80" s="25" cm="1">
        <f t="array" ref="Q80">MAX(0,SUMPRODUCT(('T11'!$G$3:$G$1500=L80)*('T11'!$AG$3:$AG$1500&lt;C80)*('T11'!$W$3:$W$1500*(1+'T11'!$X$3:$X$1500)+'T11'!$Y$3:$Y$1500))-SUMPRODUCT(('T15'!$L$3:$L$1499=L80)*('T15'!$B$3:$B$1499&lt;C80)*('T15'!$BC$3:$BC$1499+'T15'!$BD$3:$BD$1499+'T15'!$BE$3:$BE$1499)))</f>
        <v>0</v>
      </c>
      <c r="R80" s="21" t="str">
        <f>IF(Q80&gt;0,"Active - overdue balance","Active")</f>
        <v>Active</v>
      </c>
      <c r="S80" s="21">
        <v>1</v>
      </c>
      <c r="T80" s="21" t="s">
        <v>1808</v>
      </c>
      <c r="U80" s="21" t="s">
        <v>1804</v>
      </c>
      <c r="V80" s="21">
        <v>4500</v>
      </c>
      <c r="W80" s="25">
        <v>1655</v>
      </c>
      <c r="X80" s="25">
        <f>V80*W80</f>
        <v>7447500</v>
      </c>
      <c r="Y80" s="23">
        <f>_xlfn.XLOOKUP(LEFT(T80,FIND(" - ",T80)-1),'T13'!$A$3:$A$1500,'T13'!$O$3:$O$1500)</f>
        <v>0.18</v>
      </c>
      <c r="Z80" s="25">
        <f>V80*IF(U80="MT",1000,IF(U80="Jumbo bag (1.5 MT)",1500,IF(U80="Bag (40 kg)",40,50)))*3</f>
        <v>675000</v>
      </c>
      <c r="AA80" s="33">
        <f>SUMIFS($V$3:$V$1500,$A$3:$A$1500,A80,$U$3:$U$1500,"Bag (50 kg)")*0.05+SUMIFS($V$3:$V$1500,$A$3:$A$1500,A80,$U$3:$U$1500,"Bag (40 kg)")*0.04+SUMIFS($V$3:$V$1500,$A$3:$A$1500,A80,$U$3:$U$1500,"MT")+SUMIFS($V$3:$V$1500,$A$3:$A$1500,A80,$U$3:$U$1500,"Jumbo bag (1.5 MT)")*1.5</f>
        <v>225</v>
      </c>
      <c r="AB80" s="25">
        <f>SUMIFS($X$3:$X$1500,$A$3:$A$1500,A80)</f>
        <v>7447500</v>
      </c>
      <c r="AC80" s="25" cm="1">
        <f t="array" ref="AC80">SUMPRODUCT(($A$3:$A$1500=A80)*$X$3:$X$1500*$Y$3:$Y$1500)</f>
        <v>1340550</v>
      </c>
      <c r="AD80" s="25">
        <f>SUMIFS($Z$3:$Z$1500,$A$3:$A$1500,A80)</f>
        <v>675000</v>
      </c>
      <c r="AE80" s="25">
        <f>AB80+AC80+AD80</f>
        <v>9463050</v>
      </c>
      <c r="AF80" s="21" t="str">
        <f>"PKR "&amp;TEXT(AE80,"#,##0")&amp;" only"</f>
        <v>PKR 9,463,050 only</v>
      </c>
      <c r="AG80" s="21" t="s">
        <v>1805</v>
      </c>
      <c r="AH80" s="21" t="s">
        <v>1091</v>
      </c>
      <c r="AI80" s="21" t="s">
        <v>1873</v>
      </c>
      <c r="AJ80" s="21" t="s">
        <v>768</v>
      </c>
      <c r="AK80" s="21" t="s">
        <v>1092</v>
      </c>
      <c r="AL80" s="21" t="s">
        <v>1807</v>
      </c>
      <c r="AM80" s="21" t="s">
        <v>1051</v>
      </c>
    </row>
    <row r="81" spans="1:39" x14ac:dyDescent="0.3">
      <c r="A81" s="21" t="s">
        <v>1904</v>
      </c>
      <c r="B81" s="21">
        <v>0</v>
      </c>
      <c r="C81" s="29">
        <v>46260</v>
      </c>
      <c r="D81" s="21" t="s">
        <v>1795</v>
      </c>
      <c r="E81" s="21" t="s">
        <v>743</v>
      </c>
      <c r="F81" s="21" t="s">
        <v>1796</v>
      </c>
      <c r="G81" s="21" t="s">
        <v>1797</v>
      </c>
      <c r="H81" s="29">
        <f>C81</f>
        <v>46260</v>
      </c>
      <c r="I81" s="29">
        <f>H81+30</f>
        <v>46290</v>
      </c>
      <c r="J81" s="21" t="s">
        <v>1798</v>
      </c>
      <c r="K81" s="21" t="s">
        <v>1799</v>
      </c>
      <c r="L81" s="21" t="s">
        <v>1800</v>
      </c>
      <c r="M81" s="21" t="s">
        <v>746</v>
      </c>
      <c r="N81" s="21" t="s">
        <v>1801</v>
      </c>
      <c r="O81" s="21" t="s">
        <v>1802</v>
      </c>
      <c r="P81" s="21" t="s">
        <v>1076</v>
      </c>
      <c r="Q81" s="25" cm="1">
        <f t="array" ref="Q81">MAX(0,SUMPRODUCT(('T11'!$G$3:$G$1500=L81)*('T11'!$AG$3:$AG$1500&lt;C81)*('T11'!$W$3:$W$1500*(1+'T11'!$X$3:$X$1500)+'T11'!$Y$3:$Y$1500))-SUMPRODUCT(('T15'!$L$3:$L$1499=L81)*('T15'!$B$3:$B$1499&lt;C81)*('T15'!$BC$3:$BC$1499+'T15'!$BD$3:$BD$1499+'T15'!$BE$3:$BE$1499)))</f>
        <v>5977178.3999999985</v>
      </c>
      <c r="R81" s="21" t="str">
        <f>IF(Q81&gt;0,"Active - overdue balance","Active")</f>
        <v>Active - overdue balance</v>
      </c>
      <c r="S81" s="21">
        <v>1</v>
      </c>
      <c r="T81" s="21" t="s">
        <v>1826</v>
      </c>
      <c r="U81" s="21" t="s">
        <v>1804</v>
      </c>
      <c r="V81" s="21">
        <v>1000</v>
      </c>
      <c r="W81" s="25">
        <v>1575</v>
      </c>
      <c r="X81" s="25">
        <f>V81*W81</f>
        <v>1575000</v>
      </c>
      <c r="Y81" s="23">
        <f>_xlfn.XLOOKUP(LEFT(T81,FIND(" - ",T81)-1),'T13'!$A$3:$A$1500,'T13'!$O$3:$O$1500)</f>
        <v>0.18</v>
      </c>
      <c r="Z81" s="25">
        <f>V81*IF(U81="MT",1000,IF(U81="Jumbo bag (1.5 MT)",1500,IF(U81="Bag (40 kg)",40,50)))*3</f>
        <v>150000</v>
      </c>
      <c r="AA81" s="33">
        <f>SUMIFS($V$3:$V$1500,$A$3:$A$1500,A81,$U$3:$U$1500,"Bag (50 kg)")*0.05+SUMIFS($V$3:$V$1500,$A$3:$A$1500,A81,$U$3:$U$1500,"Bag (40 kg)")*0.04+SUMIFS($V$3:$V$1500,$A$3:$A$1500,A81,$U$3:$U$1500,"MT")+SUMIFS($V$3:$V$1500,$A$3:$A$1500,A81,$U$3:$U$1500,"Jumbo bag (1.5 MT)")*1.5</f>
        <v>225</v>
      </c>
      <c r="AB81" s="25">
        <f>SUMIFS($X$3:$X$1500,$A$3:$A$1500,A81)</f>
        <v>7167500</v>
      </c>
      <c r="AC81" s="25" cm="1">
        <f t="array" ref="AC81">SUMPRODUCT(($A$3:$A$1500=A81)*$X$3:$X$1500*$Y$3:$Y$1500)</f>
        <v>1290150</v>
      </c>
      <c r="AD81" s="25">
        <f>SUMIFS($Z$3:$Z$1500,$A$3:$A$1500,A81)</f>
        <v>675000</v>
      </c>
      <c r="AE81" s="25">
        <f>AB81+AC81+AD81</f>
        <v>9132650</v>
      </c>
      <c r="AF81" s="21" t="str">
        <f>"PKR "&amp;TEXT(AE81,"#,##0")&amp;" only"</f>
        <v>PKR 9,132,650 only</v>
      </c>
      <c r="AG81" s="21" t="s">
        <v>1805</v>
      </c>
      <c r="AH81" s="21" t="s">
        <v>1091</v>
      </c>
      <c r="AI81" s="21" t="s">
        <v>1806</v>
      </c>
      <c r="AJ81" s="21" t="s">
        <v>768</v>
      </c>
      <c r="AK81" s="21" t="s">
        <v>1092</v>
      </c>
      <c r="AL81" s="21" t="s">
        <v>1807</v>
      </c>
      <c r="AM81" s="21" t="s">
        <v>1051</v>
      </c>
    </row>
    <row r="82" spans="1:39" x14ac:dyDescent="0.3">
      <c r="A82" s="21" t="s">
        <v>1904</v>
      </c>
      <c r="B82" s="21">
        <v>0</v>
      </c>
      <c r="C82" s="29">
        <v>46260</v>
      </c>
      <c r="D82" s="21" t="s">
        <v>1795</v>
      </c>
      <c r="E82" s="21" t="s">
        <v>743</v>
      </c>
      <c r="F82" s="21" t="s">
        <v>1796</v>
      </c>
      <c r="G82" s="21" t="s">
        <v>1797</v>
      </c>
      <c r="H82" s="29">
        <f>C82</f>
        <v>46260</v>
      </c>
      <c r="I82" s="29">
        <f>H82+30</f>
        <v>46290</v>
      </c>
      <c r="J82" s="21" t="s">
        <v>1798</v>
      </c>
      <c r="K82" s="21" t="s">
        <v>1799</v>
      </c>
      <c r="L82" s="21" t="s">
        <v>1800</v>
      </c>
      <c r="M82" s="21" t="s">
        <v>746</v>
      </c>
      <c r="N82" s="21" t="s">
        <v>1801</v>
      </c>
      <c r="O82" s="21" t="s">
        <v>1802</v>
      </c>
      <c r="P82" s="21" t="s">
        <v>1076</v>
      </c>
      <c r="Q82" s="25" cm="1">
        <f t="array" ref="Q82">MAX(0,SUMPRODUCT(('T11'!$G$3:$G$1500=L82)*('T11'!$AG$3:$AG$1500&lt;C82)*('T11'!$W$3:$W$1500*(1+'T11'!$X$3:$X$1500)+'T11'!$Y$3:$Y$1500))-SUMPRODUCT(('T15'!$L$3:$L$1499=L82)*('T15'!$B$3:$B$1499&lt;C82)*('T15'!$BC$3:$BC$1499+'T15'!$BD$3:$BD$1499+'T15'!$BE$3:$BE$1499)))</f>
        <v>5977178.3999999985</v>
      </c>
      <c r="R82" s="21" t="str">
        <f>IF(Q82&gt;0,"Active - overdue balance","Active")</f>
        <v>Active - overdue balance</v>
      </c>
      <c r="S82" s="21">
        <v>2</v>
      </c>
      <c r="T82" s="21" t="s">
        <v>1865</v>
      </c>
      <c r="U82" s="21" t="s">
        <v>1804</v>
      </c>
      <c r="V82" s="21">
        <v>1500</v>
      </c>
      <c r="W82" s="25">
        <v>1735</v>
      </c>
      <c r="X82" s="25">
        <f>V82*W82</f>
        <v>2602500</v>
      </c>
      <c r="Y82" s="23">
        <f>_xlfn.XLOOKUP(LEFT(T82,FIND(" - ",T82)-1),'T13'!$A$3:$A$1500,'T13'!$O$3:$O$1500)</f>
        <v>0.18</v>
      </c>
      <c r="Z82" s="25">
        <f>V82*IF(U82="MT",1000,IF(U82="Jumbo bag (1.5 MT)",1500,IF(U82="Bag (40 kg)",40,50)))*3</f>
        <v>225000</v>
      </c>
      <c r="AA82" s="33">
        <f>SUMIFS($V$3:$V$1500,$A$3:$A$1500,A82,$U$3:$U$1500,"Bag (50 kg)")*0.05+SUMIFS($V$3:$V$1500,$A$3:$A$1500,A82,$U$3:$U$1500,"Bag (40 kg)")*0.04+SUMIFS($V$3:$V$1500,$A$3:$A$1500,A82,$U$3:$U$1500,"MT")+SUMIFS($V$3:$V$1500,$A$3:$A$1500,A82,$U$3:$U$1500,"Jumbo bag (1.5 MT)")*1.5</f>
        <v>225</v>
      </c>
      <c r="AB82" s="25">
        <f>SUMIFS($X$3:$X$1500,$A$3:$A$1500,A82)</f>
        <v>7167500</v>
      </c>
      <c r="AC82" s="25" cm="1">
        <f t="array" ref="AC82">SUMPRODUCT(($A$3:$A$1500=A82)*$X$3:$X$1500*$Y$3:$Y$1500)</f>
        <v>1290150</v>
      </c>
      <c r="AD82" s="25">
        <f>SUMIFS($Z$3:$Z$1500,$A$3:$A$1500,A82)</f>
        <v>675000</v>
      </c>
      <c r="AE82" s="25">
        <f>AB82+AC82+AD82</f>
        <v>9132650</v>
      </c>
      <c r="AF82" s="21" t="str">
        <f>"PKR "&amp;TEXT(AE82,"#,##0")&amp;" only"</f>
        <v>PKR 9,132,650 only</v>
      </c>
      <c r="AG82" s="21" t="s">
        <v>1805</v>
      </c>
      <c r="AH82" s="21" t="s">
        <v>1091</v>
      </c>
      <c r="AI82" s="21" t="s">
        <v>1806</v>
      </c>
      <c r="AJ82" s="21" t="s">
        <v>768</v>
      </c>
      <c r="AK82" s="21" t="s">
        <v>1092</v>
      </c>
      <c r="AL82" s="21" t="s">
        <v>1807</v>
      </c>
      <c r="AM82" s="21" t="s">
        <v>1051</v>
      </c>
    </row>
    <row r="83" spans="1:39" x14ac:dyDescent="0.3">
      <c r="A83" s="21" t="s">
        <v>1904</v>
      </c>
      <c r="B83" s="21">
        <v>0</v>
      </c>
      <c r="C83" s="29">
        <v>46260</v>
      </c>
      <c r="D83" s="21" t="s">
        <v>1795</v>
      </c>
      <c r="E83" s="21" t="s">
        <v>743</v>
      </c>
      <c r="F83" s="21" t="s">
        <v>1796</v>
      </c>
      <c r="G83" s="21" t="s">
        <v>1797</v>
      </c>
      <c r="H83" s="29">
        <f>C83</f>
        <v>46260</v>
      </c>
      <c r="I83" s="29">
        <f>H83+30</f>
        <v>46290</v>
      </c>
      <c r="J83" s="21" t="s">
        <v>1798</v>
      </c>
      <c r="K83" s="21" t="s">
        <v>1799</v>
      </c>
      <c r="L83" s="21" t="s">
        <v>1800</v>
      </c>
      <c r="M83" s="21" t="s">
        <v>746</v>
      </c>
      <c r="N83" s="21" t="s">
        <v>1801</v>
      </c>
      <c r="O83" s="21" t="s">
        <v>1802</v>
      </c>
      <c r="P83" s="21" t="s">
        <v>1076</v>
      </c>
      <c r="Q83" s="25" cm="1">
        <f t="array" ref="Q83">MAX(0,SUMPRODUCT(('T11'!$G$3:$G$1500=L83)*('T11'!$AG$3:$AG$1500&lt;C83)*('T11'!$W$3:$W$1500*(1+'T11'!$X$3:$X$1500)+'T11'!$Y$3:$Y$1500))-SUMPRODUCT(('T15'!$L$3:$L$1499=L83)*('T15'!$B$3:$B$1499&lt;C83)*('T15'!$BC$3:$BC$1499+'T15'!$BD$3:$BD$1499+'T15'!$BE$3:$BE$1499)))</f>
        <v>5977178.3999999985</v>
      </c>
      <c r="R83" s="21" t="str">
        <f>IF(Q83&gt;0,"Active - overdue balance","Active")</f>
        <v>Active - overdue balance</v>
      </c>
      <c r="S83" s="21">
        <v>3</v>
      </c>
      <c r="T83" s="21" t="s">
        <v>1828</v>
      </c>
      <c r="U83" s="21" t="s">
        <v>1804</v>
      </c>
      <c r="V83" s="21">
        <v>2000</v>
      </c>
      <c r="W83" s="25">
        <v>1495</v>
      </c>
      <c r="X83" s="25">
        <f>V83*W83</f>
        <v>2990000</v>
      </c>
      <c r="Y83" s="23">
        <f>_xlfn.XLOOKUP(LEFT(T83,FIND(" - ",T83)-1),'T13'!$A$3:$A$1500,'T13'!$O$3:$O$1500)</f>
        <v>0.18</v>
      </c>
      <c r="Z83" s="25">
        <f>V83*IF(U83="MT",1000,IF(U83="Jumbo bag (1.5 MT)",1500,IF(U83="Bag (40 kg)",40,50)))*3</f>
        <v>300000</v>
      </c>
      <c r="AA83" s="33">
        <f>SUMIFS($V$3:$V$1500,$A$3:$A$1500,A83,$U$3:$U$1500,"Bag (50 kg)")*0.05+SUMIFS($V$3:$V$1500,$A$3:$A$1500,A83,$U$3:$U$1500,"Bag (40 kg)")*0.04+SUMIFS($V$3:$V$1500,$A$3:$A$1500,A83,$U$3:$U$1500,"MT")+SUMIFS($V$3:$V$1500,$A$3:$A$1500,A83,$U$3:$U$1500,"Jumbo bag (1.5 MT)")*1.5</f>
        <v>225</v>
      </c>
      <c r="AB83" s="25">
        <f>SUMIFS($X$3:$X$1500,$A$3:$A$1500,A83)</f>
        <v>7167500</v>
      </c>
      <c r="AC83" s="25" cm="1">
        <f t="array" ref="AC83">SUMPRODUCT(($A$3:$A$1500=A83)*$X$3:$X$1500*$Y$3:$Y$1500)</f>
        <v>1290150</v>
      </c>
      <c r="AD83" s="25">
        <f>SUMIFS($Z$3:$Z$1500,$A$3:$A$1500,A83)</f>
        <v>675000</v>
      </c>
      <c r="AE83" s="25">
        <f>AB83+AC83+AD83</f>
        <v>9132650</v>
      </c>
      <c r="AF83" s="21" t="str">
        <f>"PKR "&amp;TEXT(AE83,"#,##0")&amp;" only"</f>
        <v>PKR 9,132,650 only</v>
      </c>
      <c r="AG83" s="21" t="s">
        <v>1805</v>
      </c>
      <c r="AH83" s="21" t="s">
        <v>1091</v>
      </c>
      <c r="AI83" s="21" t="s">
        <v>1806</v>
      </c>
      <c r="AJ83" s="21" t="s">
        <v>768</v>
      </c>
      <c r="AK83" s="21" t="s">
        <v>1092</v>
      </c>
      <c r="AL83" s="21" t="s">
        <v>1807</v>
      </c>
      <c r="AM83" s="21" t="s">
        <v>1051</v>
      </c>
    </row>
    <row r="84" spans="1:39" x14ac:dyDescent="0.3">
      <c r="A84" s="21" t="s">
        <v>1905</v>
      </c>
      <c r="B84" s="21">
        <v>0</v>
      </c>
      <c r="C84" s="29">
        <v>46261</v>
      </c>
      <c r="D84" s="21" t="s">
        <v>1795</v>
      </c>
      <c r="E84" s="21" t="s">
        <v>743</v>
      </c>
      <c r="F84" s="21" t="s">
        <v>1811</v>
      </c>
      <c r="G84" s="21" t="s">
        <v>1797</v>
      </c>
      <c r="H84" s="29">
        <f>C84</f>
        <v>46261</v>
      </c>
      <c r="I84" s="29">
        <f>H84+30</f>
        <v>46291</v>
      </c>
      <c r="J84" s="21" t="s">
        <v>1798</v>
      </c>
      <c r="K84" s="21" t="s">
        <v>1812</v>
      </c>
      <c r="L84" s="21" t="s">
        <v>1813</v>
      </c>
      <c r="M84" s="21" t="s">
        <v>746</v>
      </c>
      <c r="N84" s="21" t="s">
        <v>1097</v>
      </c>
      <c r="O84" s="21" t="s">
        <v>1814</v>
      </c>
      <c r="P84" s="21" t="s">
        <v>1111</v>
      </c>
      <c r="Q84" s="25" cm="1">
        <f t="array" ref="Q84">MAX(0,SUMPRODUCT(('T11'!$G$3:$G$1500=L84)*('T11'!$AG$3:$AG$1500&lt;C84)*('T11'!$W$3:$W$1500*(1+'T11'!$X$3:$X$1500)+'T11'!$Y$3:$Y$1500))-SUMPRODUCT(('T15'!$L$3:$L$1499=L84)*('T15'!$B$3:$B$1499&lt;C84)*('T15'!$BC$3:$BC$1499+'T15'!$BD$3:$BD$1499+'T15'!$BE$3:$BE$1499)))</f>
        <v>0</v>
      </c>
      <c r="R84" s="21" t="str">
        <f>IF(Q84&gt;0,"Active - overdue balance","Active")</f>
        <v>Active</v>
      </c>
      <c r="S84" s="21">
        <v>1</v>
      </c>
      <c r="T84" s="21" t="s">
        <v>1826</v>
      </c>
      <c r="U84" s="21" t="s">
        <v>1804</v>
      </c>
      <c r="V84" s="21">
        <v>3000</v>
      </c>
      <c r="W84" s="25">
        <v>1575</v>
      </c>
      <c r="X84" s="25">
        <f>V84*W84</f>
        <v>4725000</v>
      </c>
      <c r="Y84" s="23">
        <f>_xlfn.XLOOKUP(LEFT(T84,FIND(" - ",T84)-1),'T13'!$A$3:$A$1500,'T13'!$O$3:$O$1500)</f>
        <v>0.18</v>
      </c>
      <c r="Z84" s="25">
        <f>V84*IF(U84="MT",1000,IF(U84="Jumbo bag (1.5 MT)",1500,IF(U84="Bag (40 kg)",40,50)))*3</f>
        <v>450000</v>
      </c>
      <c r="AA84" s="33">
        <f>SUMIFS($V$3:$V$1500,$A$3:$A$1500,A84,$U$3:$U$1500,"Bag (50 kg)")*0.05+SUMIFS($V$3:$V$1500,$A$3:$A$1500,A84,$U$3:$U$1500,"Bag (40 kg)")*0.04+SUMIFS($V$3:$V$1500,$A$3:$A$1500,A84,$U$3:$U$1500,"MT")+SUMIFS($V$3:$V$1500,$A$3:$A$1500,A84,$U$3:$U$1500,"Jumbo bag (1.5 MT)")*1.5</f>
        <v>375</v>
      </c>
      <c r="AB84" s="25">
        <f>SUMIFS($X$3:$X$1500,$A$3:$A$1500,A84)</f>
        <v>12172500</v>
      </c>
      <c r="AC84" s="25" cm="1">
        <f t="array" ref="AC84">SUMPRODUCT(($A$3:$A$1500=A84)*$X$3:$X$1500*$Y$3:$Y$1500)</f>
        <v>2191050</v>
      </c>
      <c r="AD84" s="25">
        <f>SUMIFS($Z$3:$Z$1500,$A$3:$A$1500,A84)</f>
        <v>1125000</v>
      </c>
      <c r="AE84" s="25">
        <f>AB84+AC84+AD84</f>
        <v>15488550</v>
      </c>
      <c r="AF84" s="21" t="str">
        <f>"PKR "&amp;TEXT(AE84,"#,##0")&amp;" only"</f>
        <v>PKR 15,488,550 only</v>
      </c>
      <c r="AG84" s="21" t="s">
        <v>1805</v>
      </c>
      <c r="AH84" s="21" t="s">
        <v>1091</v>
      </c>
      <c r="AI84" s="21" t="s">
        <v>1854</v>
      </c>
      <c r="AJ84" s="21" t="s">
        <v>768</v>
      </c>
      <c r="AK84" s="21" t="s">
        <v>1092</v>
      </c>
      <c r="AL84" s="21" t="s">
        <v>1807</v>
      </c>
      <c r="AM84" s="21" t="s">
        <v>1051</v>
      </c>
    </row>
    <row r="85" spans="1:39" x14ac:dyDescent="0.3">
      <c r="A85" s="21" t="s">
        <v>1905</v>
      </c>
      <c r="B85" s="21">
        <v>0</v>
      </c>
      <c r="C85" s="29">
        <v>46261</v>
      </c>
      <c r="D85" s="21" t="s">
        <v>1795</v>
      </c>
      <c r="E85" s="21" t="s">
        <v>743</v>
      </c>
      <c r="F85" s="21" t="s">
        <v>1811</v>
      </c>
      <c r="G85" s="21" t="s">
        <v>1797</v>
      </c>
      <c r="H85" s="29">
        <f>C85</f>
        <v>46261</v>
      </c>
      <c r="I85" s="29">
        <f>H85+30</f>
        <v>46291</v>
      </c>
      <c r="J85" s="21" t="s">
        <v>1798</v>
      </c>
      <c r="K85" s="21" t="s">
        <v>1812</v>
      </c>
      <c r="L85" s="21" t="s">
        <v>1813</v>
      </c>
      <c r="M85" s="21" t="s">
        <v>746</v>
      </c>
      <c r="N85" s="21" t="s">
        <v>1097</v>
      </c>
      <c r="O85" s="21" t="s">
        <v>1814</v>
      </c>
      <c r="P85" s="21" t="s">
        <v>1111</v>
      </c>
      <c r="Q85" s="25" cm="1">
        <f t="array" ref="Q85">MAX(0,SUMPRODUCT(('T11'!$G$3:$G$1500=L85)*('T11'!$AG$3:$AG$1500&lt;C85)*('T11'!$W$3:$W$1500*(1+'T11'!$X$3:$X$1500)+'T11'!$Y$3:$Y$1500))-SUMPRODUCT(('T15'!$L$3:$L$1499=L85)*('T15'!$B$3:$B$1499&lt;C85)*('T15'!$BC$3:$BC$1499+'T15'!$BD$3:$BD$1499+'T15'!$BE$3:$BE$1499)))</f>
        <v>0</v>
      </c>
      <c r="R85" s="21" t="str">
        <f>IF(Q85&gt;0,"Active - overdue balance","Active")</f>
        <v>Active</v>
      </c>
      <c r="S85" s="21">
        <v>2</v>
      </c>
      <c r="T85" s="21" t="s">
        <v>1808</v>
      </c>
      <c r="U85" s="21" t="s">
        <v>1804</v>
      </c>
      <c r="V85" s="21">
        <v>4500</v>
      </c>
      <c r="W85" s="25">
        <v>1655</v>
      </c>
      <c r="X85" s="25">
        <f>V85*W85</f>
        <v>7447500</v>
      </c>
      <c r="Y85" s="23">
        <f>_xlfn.XLOOKUP(LEFT(T85,FIND(" - ",T85)-1),'T13'!$A$3:$A$1500,'T13'!$O$3:$O$1500)</f>
        <v>0.18</v>
      </c>
      <c r="Z85" s="25">
        <f>V85*IF(U85="MT",1000,IF(U85="Jumbo bag (1.5 MT)",1500,IF(U85="Bag (40 kg)",40,50)))*3</f>
        <v>675000</v>
      </c>
      <c r="AA85" s="33">
        <f>SUMIFS($V$3:$V$1500,$A$3:$A$1500,A85,$U$3:$U$1500,"Bag (50 kg)")*0.05+SUMIFS($V$3:$V$1500,$A$3:$A$1500,A85,$U$3:$U$1500,"Bag (40 kg)")*0.04+SUMIFS($V$3:$V$1500,$A$3:$A$1500,A85,$U$3:$U$1500,"MT")+SUMIFS($V$3:$V$1500,$A$3:$A$1500,A85,$U$3:$U$1500,"Jumbo bag (1.5 MT)")*1.5</f>
        <v>375</v>
      </c>
      <c r="AB85" s="25">
        <f>SUMIFS($X$3:$X$1500,$A$3:$A$1500,A85)</f>
        <v>12172500</v>
      </c>
      <c r="AC85" s="25" cm="1">
        <f t="array" ref="AC85">SUMPRODUCT(($A$3:$A$1500=A85)*$X$3:$X$1500*$Y$3:$Y$1500)</f>
        <v>2191050</v>
      </c>
      <c r="AD85" s="25">
        <f>SUMIFS($Z$3:$Z$1500,$A$3:$A$1500,A85)</f>
        <v>1125000</v>
      </c>
      <c r="AE85" s="25">
        <f>AB85+AC85+AD85</f>
        <v>15488550</v>
      </c>
      <c r="AF85" s="21" t="str">
        <f>"PKR "&amp;TEXT(AE85,"#,##0")&amp;" only"</f>
        <v>PKR 15,488,550 only</v>
      </c>
      <c r="AG85" s="21" t="s">
        <v>1805</v>
      </c>
      <c r="AH85" s="21" t="s">
        <v>1091</v>
      </c>
      <c r="AI85" s="21" t="s">
        <v>1854</v>
      </c>
      <c r="AJ85" s="21" t="s">
        <v>768</v>
      </c>
      <c r="AK85" s="21" t="s">
        <v>1092</v>
      </c>
      <c r="AL85" s="21" t="s">
        <v>1807</v>
      </c>
      <c r="AM85" s="21" t="s">
        <v>1051</v>
      </c>
    </row>
    <row r="86" spans="1:39" x14ac:dyDescent="0.3">
      <c r="A86" s="21" t="s">
        <v>1906</v>
      </c>
      <c r="B86" s="21">
        <v>0</v>
      </c>
      <c r="C86" s="29">
        <v>46282</v>
      </c>
      <c r="D86" s="21" t="s">
        <v>1795</v>
      </c>
      <c r="E86" s="21" t="s">
        <v>743</v>
      </c>
      <c r="F86" s="21" t="s">
        <v>1876</v>
      </c>
      <c r="G86" s="21" t="s">
        <v>1797</v>
      </c>
      <c r="H86" s="29">
        <f>C86</f>
        <v>46282</v>
      </c>
      <c r="I86" s="29">
        <f>H86+30</f>
        <v>46312</v>
      </c>
      <c r="J86" s="21" t="str">
        <f ca="1">IF(I86&lt;TODAY(),"Expired","Open")</f>
        <v>Open</v>
      </c>
      <c r="K86" s="21" t="s">
        <v>1812</v>
      </c>
      <c r="L86" s="21" t="s">
        <v>1819</v>
      </c>
      <c r="M86" s="21" t="s">
        <v>746</v>
      </c>
      <c r="N86" s="21" t="s">
        <v>1161</v>
      </c>
      <c r="O86" s="21" t="s">
        <v>1820</v>
      </c>
      <c r="P86" s="21" t="s">
        <v>1173</v>
      </c>
      <c r="Q86" s="25" cm="1">
        <f t="array" ref="Q86">MAX(0,SUMPRODUCT(('T11'!$G$3:$G$1500=L86)*('T11'!$AG$3:$AG$1500&lt;C86)*('T11'!$W$3:$W$1500*(1+'T11'!$X$3:$X$1500)+'T11'!$Y$3:$Y$1500))-SUMPRODUCT(('T15'!$L$3:$L$1499=L86)*('T15'!$B$3:$B$1499&lt;C86)*('T15'!$BC$3:$BC$1499+'T15'!$BD$3:$BD$1499+'T15'!$BE$3:$BE$1499)))</f>
        <v>0</v>
      </c>
      <c r="R86" s="21" t="str">
        <f>IF(Q86&gt;0,"Active - overdue balance","Active")</f>
        <v>Active</v>
      </c>
      <c r="S86" s="21">
        <v>1</v>
      </c>
      <c r="T86" s="21" t="s">
        <v>1803</v>
      </c>
      <c r="U86" s="21" t="s">
        <v>1804</v>
      </c>
      <c r="V86" s="21">
        <v>3000</v>
      </c>
      <c r="W86" s="25">
        <v>1525</v>
      </c>
      <c r="X86" s="25">
        <f>V86*W86</f>
        <v>4575000</v>
      </c>
      <c r="Y86" s="23">
        <f>_xlfn.XLOOKUP(LEFT(T86,FIND(" - ",T86)-1),'T13'!$A$3:$A$1500,'T13'!$O$3:$O$1500)</f>
        <v>0.18</v>
      </c>
      <c r="Z86" s="25">
        <f>V86*IF(U86="MT",1000,IF(U86="Jumbo bag (1.5 MT)",1500,IF(U86="Bag (40 kg)",40,50)))*3</f>
        <v>450000</v>
      </c>
      <c r="AA86" s="33">
        <f>SUMIFS($V$3:$V$1500,$A$3:$A$1500,A86,$U$3:$U$1500,"Bag (50 kg)")*0.05+SUMIFS($V$3:$V$1500,$A$3:$A$1500,A86,$U$3:$U$1500,"Bag (40 kg)")*0.04+SUMIFS($V$3:$V$1500,$A$3:$A$1500,A86,$U$3:$U$1500,"MT")+SUMIFS($V$3:$V$1500,$A$3:$A$1500,A86,$U$3:$U$1500,"Jumbo bag (1.5 MT)")*1.5</f>
        <v>150</v>
      </c>
      <c r="AB86" s="25">
        <f>SUMIFS($X$3:$X$1500,$A$3:$A$1500,A86)</f>
        <v>4575000</v>
      </c>
      <c r="AC86" s="25" cm="1">
        <f t="array" ref="AC86">SUMPRODUCT(($A$3:$A$1500=A86)*$X$3:$X$1500*$Y$3:$Y$1500)</f>
        <v>823500</v>
      </c>
      <c r="AD86" s="25">
        <f>SUMIFS($Z$3:$Z$1500,$A$3:$A$1500,A86)</f>
        <v>450000</v>
      </c>
      <c r="AE86" s="25">
        <f>AB86+AC86+AD86</f>
        <v>5848500</v>
      </c>
      <c r="AF86" s="21" t="str">
        <f>"PKR "&amp;TEXT(AE86,"#,##0")&amp;" only"</f>
        <v>PKR 5,848,500 only</v>
      </c>
      <c r="AG86" s="21" t="s">
        <v>1805</v>
      </c>
      <c r="AH86" s="21" t="s">
        <v>1091</v>
      </c>
      <c r="AI86" s="21" t="s">
        <v>1821</v>
      </c>
      <c r="AJ86" s="21" t="s">
        <v>768</v>
      </c>
      <c r="AK86" s="21" t="s">
        <v>1092</v>
      </c>
      <c r="AL86" s="21" t="s">
        <v>1807</v>
      </c>
      <c r="AM86" s="21" t="s">
        <v>1051</v>
      </c>
    </row>
    <row r="87" spans="1:39" x14ac:dyDescent="0.3">
      <c r="A87" s="21" t="s">
        <v>1907</v>
      </c>
      <c r="B87" s="21">
        <v>0</v>
      </c>
      <c r="C87" s="29">
        <v>46282</v>
      </c>
      <c r="D87" s="21" t="s">
        <v>1795</v>
      </c>
      <c r="E87" s="21" t="s">
        <v>743</v>
      </c>
      <c r="F87" s="21" t="s">
        <v>1796</v>
      </c>
      <c r="G87" s="21" t="s">
        <v>1797</v>
      </c>
      <c r="H87" s="29">
        <f>C87</f>
        <v>46282</v>
      </c>
      <c r="I87" s="29">
        <f>H87+30</f>
        <v>46312</v>
      </c>
      <c r="J87" s="21" t="str">
        <f ca="1">IF(I87&lt;TODAY(),"Expired","Open")</f>
        <v>Open</v>
      </c>
      <c r="K87" s="21" t="s">
        <v>1799</v>
      </c>
      <c r="L87" s="21" t="s">
        <v>1844</v>
      </c>
      <c r="M87" s="21" t="s">
        <v>1066</v>
      </c>
      <c r="N87" s="21" t="s">
        <v>1845</v>
      </c>
      <c r="O87" s="21" t="s">
        <v>1846</v>
      </c>
      <c r="P87" s="21" t="s">
        <v>1068</v>
      </c>
      <c r="Q87" s="25" cm="1">
        <f t="array" ref="Q87">MAX(0,SUMPRODUCT(('T11'!$G$3:$G$1500=L87)*('T11'!$AG$3:$AG$1500&lt;C87)*('T11'!$W$3:$W$1500*(1+'T11'!$X$3:$X$1500)+'T11'!$Y$3:$Y$1500))-SUMPRODUCT(('T15'!$L$3:$L$1499=L87)*('T15'!$B$3:$B$1499&lt;C87)*('T15'!$BC$3:$BC$1499+'T15'!$BD$3:$BD$1499+'T15'!$BE$3:$BE$1499)))</f>
        <v>0</v>
      </c>
      <c r="R87" s="21" t="str">
        <f>IF(Q87&gt;0,"Active - overdue balance","Active")</f>
        <v>Active</v>
      </c>
      <c r="S87" s="21">
        <v>1</v>
      </c>
      <c r="T87" s="21" t="s">
        <v>1808</v>
      </c>
      <c r="U87" s="21" t="s">
        <v>1804</v>
      </c>
      <c r="V87" s="21">
        <v>3500</v>
      </c>
      <c r="W87" s="25">
        <v>1660</v>
      </c>
      <c r="X87" s="25">
        <f>V87*W87</f>
        <v>5810000</v>
      </c>
      <c r="Y87" s="23">
        <f>_xlfn.XLOOKUP(LEFT(T87,FIND(" - ",T87)-1),'T13'!$A$3:$A$1500,'T13'!$O$3:$O$1500)</f>
        <v>0.18</v>
      </c>
      <c r="Z87" s="25">
        <f>V87*IF(U87="MT",1000,IF(U87="Jumbo bag (1.5 MT)",1500,IF(U87="Bag (40 kg)",40,50)))*3</f>
        <v>525000</v>
      </c>
      <c r="AA87" s="33">
        <f>SUMIFS($V$3:$V$1500,$A$3:$A$1500,A87,$U$3:$U$1500,"Bag (50 kg)")*0.05+SUMIFS($V$3:$V$1500,$A$3:$A$1500,A87,$U$3:$U$1500,"Bag (40 kg)")*0.04+SUMIFS($V$3:$V$1500,$A$3:$A$1500,A87,$U$3:$U$1500,"MT")+SUMIFS($V$3:$V$1500,$A$3:$A$1500,A87,$U$3:$U$1500,"Jumbo bag (1.5 MT)")*1.5</f>
        <v>275</v>
      </c>
      <c r="AB87" s="25">
        <f>SUMIFS($X$3:$X$1500,$A$3:$A$1500,A87)</f>
        <v>8810000</v>
      </c>
      <c r="AC87" s="25" cm="1">
        <f t="array" ref="AC87">SUMPRODUCT(($A$3:$A$1500=A87)*$X$3:$X$1500*$Y$3:$Y$1500)</f>
        <v>1585800</v>
      </c>
      <c r="AD87" s="25">
        <f>SUMIFS($Z$3:$Z$1500,$A$3:$A$1500,A87)</f>
        <v>825000</v>
      </c>
      <c r="AE87" s="25">
        <f>AB87+AC87+AD87</f>
        <v>11220800</v>
      </c>
      <c r="AF87" s="21" t="str">
        <f>"PKR "&amp;TEXT(AE87,"#,##0")&amp;" only"</f>
        <v>PKR 11,220,800 only</v>
      </c>
      <c r="AG87" s="21" t="s">
        <v>1805</v>
      </c>
      <c r="AH87" s="21" t="s">
        <v>1091</v>
      </c>
      <c r="AI87" s="21" t="s">
        <v>1847</v>
      </c>
      <c r="AJ87" s="21" t="s">
        <v>768</v>
      </c>
      <c r="AK87" s="21" t="s">
        <v>1092</v>
      </c>
      <c r="AL87" s="21" t="s">
        <v>1807</v>
      </c>
      <c r="AM87" s="21" t="s">
        <v>1071</v>
      </c>
    </row>
    <row r="88" spans="1:39" x14ac:dyDescent="0.3">
      <c r="A88" s="21" t="s">
        <v>1907</v>
      </c>
      <c r="B88" s="21">
        <v>0</v>
      </c>
      <c r="C88" s="29">
        <v>46282</v>
      </c>
      <c r="D88" s="21" t="s">
        <v>1795</v>
      </c>
      <c r="E88" s="21" t="s">
        <v>743</v>
      </c>
      <c r="F88" s="21" t="s">
        <v>1796</v>
      </c>
      <c r="G88" s="21" t="s">
        <v>1797</v>
      </c>
      <c r="H88" s="29">
        <f>C88</f>
        <v>46282</v>
      </c>
      <c r="I88" s="29">
        <f>H88+30</f>
        <v>46312</v>
      </c>
      <c r="J88" s="21" t="str">
        <f ca="1">IF(I88&lt;TODAY(),"Expired","Open")</f>
        <v>Open</v>
      </c>
      <c r="K88" s="21" t="s">
        <v>1799</v>
      </c>
      <c r="L88" s="21" t="s">
        <v>1844</v>
      </c>
      <c r="M88" s="21" t="s">
        <v>1066</v>
      </c>
      <c r="N88" s="21" t="s">
        <v>1845</v>
      </c>
      <c r="O88" s="21" t="s">
        <v>1846</v>
      </c>
      <c r="P88" s="21" t="s">
        <v>1068</v>
      </c>
      <c r="Q88" s="25" cm="1">
        <f t="array" ref="Q88">MAX(0,SUMPRODUCT(('T11'!$G$3:$G$1500=L88)*('T11'!$AG$3:$AG$1500&lt;C88)*('T11'!$W$3:$W$1500*(1+'T11'!$X$3:$X$1500)+'T11'!$Y$3:$Y$1500))-SUMPRODUCT(('T15'!$L$3:$L$1499=L88)*('T15'!$B$3:$B$1499&lt;C88)*('T15'!$BC$3:$BC$1499+'T15'!$BD$3:$BD$1499+'T15'!$BE$3:$BE$1499)))</f>
        <v>0</v>
      </c>
      <c r="R88" s="21" t="str">
        <f>IF(Q88&gt;0,"Active - overdue balance","Active")</f>
        <v>Active</v>
      </c>
      <c r="S88" s="21">
        <v>2</v>
      </c>
      <c r="T88" s="21" t="s">
        <v>1828</v>
      </c>
      <c r="U88" s="21" t="s">
        <v>1804</v>
      </c>
      <c r="V88" s="21">
        <v>2000</v>
      </c>
      <c r="W88" s="25">
        <v>1500</v>
      </c>
      <c r="X88" s="25">
        <f>V88*W88</f>
        <v>3000000</v>
      </c>
      <c r="Y88" s="23">
        <f>_xlfn.XLOOKUP(LEFT(T88,FIND(" - ",T88)-1),'T13'!$A$3:$A$1500,'T13'!$O$3:$O$1500)</f>
        <v>0.18</v>
      </c>
      <c r="Z88" s="25">
        <f>V88*IF(U88="MT",1000,IF(U88="Jumbo bag (1.5 MT)",1500,IF(U88="Bag (40 kg)",40,50)))*3</f>
        <v>300000</v>
      </c>
      <c r="AA88" s="33">
        <f>SUMIFS($V$3:$V$1500,$A$3:$A$1500,A88,$U$3:$U$1500,"Bag (50 kg)")*0.05+SUMIFS($V$3:$V$1500,$A$3:$A$1500,A88,$U$3:$U$1500,"Bag (40 kg)")*0.04+SUMIFS($V$3:$V$1500,$A$3:$A$1500,A88,$U$3:$U$1500,"MT")+SUMIFS($V$3:$V$1500,$A$3:$A$1500,A88,$U$3:$U$1500,"Jumbo bag (1.5 MT)")*1.5</f>
        <v>275</v>
      </c>
      <c r="AB88" s="25">
        <f>SUMIFS($X$3:$X$1500,$A$3:$A$1500,A88)</f>
        <v>8810000</v>
      </c>
      <c r="AC88" s="25" cm="1">
        <f t="array" ref="AC88">SUMPRODUCT(($A$3:$A$1500=A88)*$X$3:$X$1500*$Y$3:$Y$1500)</f>
        <v>1585800</v>
      </c>
      <c r="AD88" s="25">
        <f>SUMIFS($Z$3:$Z$1500,$A$3:$A$1500,A88)</f>
        <v>825000</v>
      </c>
      <c r="AE88" s="25">
        <f>AB88+AC88+AD88</f>
        <v>11220800</v>
      </c>
      <c r="AF88" s="21" t="str">
        <f>"PKR "&amp;TEXT(AE88,"#,##0")&amp;" only"</f>
        <v>PKR 11,220,800 only</v>
      </c>
      <c r="AG88" s="21" t="s">
        <v>1805</v>
      </c>
      <c r="AH88" s="21" t="s">
        <v>1091</v>
      </c>
      <c r="AI88" s="21" t="s">
        <v>1847</v>
      </c>
      <c r="AJ88" s="21" t="s">
        <v>768</v>
      </c>
      <c r="AK88" s="21" t="s">
        <v>1092</v>
      </c>
      <c r="AL88" s="21" t="s">
        <v>1807</v>
      </c>
      <c r="AM88" s="21" t="s">
        <v>1071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EF2BE-2B1E-4FFE-A52F-A4AEEADF5919}">
  <dimension ref="A1:BP147"/>
  <sheetViews>
    <sheetView workbookViewId="0">
      <pane ySplit="2" topLeftCell="A3" activePane="bottomLeft" state="frozen"/>
      <selection activeCell="B16" sqref="B16"/>
      <selection pane="bottomLeft" activeCell="B16" sqref="B16"/>
    </sheetView>
  </sheetViews>
  <sheetFormatPr defaultRowHeight="16.5" x14ac:dyDescent="0.3"/>
  <cols>
    <col min="1" max="68" width="18.375" customWidth="1"/>
  </cols>
  <sheetData>
    <row r="1" spans="1:68" s="12" customFormat="1" ht="30" customHeight="1" x14ac:dyDescent="0.3">
      <c r="A1" s="15" t="s">
        <v>479</v>
      </c>
      <c r="B1" s="14" t="s">
        <v>60</v>
      </c>
      <c r="C1" s="14" t="s">
        <v>60</v>
      </c>
      <c r="D1" s="14" t="s">
        <v>60</v>
      </c>
      <c r="E1" s="14" t="s">
        <v>60</v>
      </c>
      <c r="F1" s="14" t="s">
        <v>60</v>
      </c>
      <c r="G1" s="14" t="s">
        <v>60</v>
      </c>
      <c r="H1" s="14" t="s">
        <v>60</v>
      </c>
      <c r="I1" s="14" t="s">
        <v>60</v>
      </c>
      <c r="J1" s="14" t="s">
        <v>60</v>
      </c>
      <c r="K1" s="14" t="s">
        <v>60</v>
      </c>
      <c r="L1" s="14" t="s">
        <v>478</v>
      </c>
      <c r="M1" s="14" t="s">
        <v>60</v>
      </c>
      <c r="N1" s="14" t="s">
        <v>60</v>
      </c>
      <c r="O1" s="14" t="s">
        <v>60</v>
      </c>
      <c r="P1" s="14" t="s">
        <v>60</v>
      </c>
      <c r="Q1" s="14" t="s">
        <v>60</v>
      </c>
      <c r="R1" s="14" t="s">
        <v>60</v>
      </c>
      <c r="S1" s="14" t="s">
        <v>60</v>
      </c>
      <c r="T1" s="14" t="s">
        <v>60</v>
      </c>
      <c r="U1" s="14" t="s">
        <v>60</v>
      </c>
      <c r="V1" s="14" t="s">
        <v>359</v>
      </c>
      <c r="W1" s="14" t="s">
        <v>60</v>
      </c>
      <c r="X1" s="14" t="s">
        <v>60</v>
      </c>
      <c r="Y1" s="14" t="s">
        <v>60</v>
      </c>
      <c r="Z1" s="14" t="s">
        <v>60</v>
      </c>
      <c r="AA1" s="14" t="s">
        <v>60</v>
      </c>
      <c r="AB1" s="14" t="s">
        <v>60</v>
      </c>
      <c r="AC1" s="14" t="s">
        <v>60</v>
      </c>
      <c r="AD1" s="14" t="s">
        <v>60</v>
      </c>
      <c r="AE1" s="14" t="s">
        <v>477</v>
      </c>
      <c r="AF1" s="14" t="s">
        <v>60</v>
      </c>
      <c r="AG1" s="14" t="s">
        <v>60</v>
      </c>
      <c r="AH1" s="14" t="s">
        <v>60</v>
      </c>
      <c r="AI1" s="14" t="s">
        <v>60</v>
      </c>
      <c r="AJ1" s="14" t="s">
        <v>60</v>
      </c>
      <c r="AK1" s="14" t="s">
        <v>60</v>
      </c>
      <c r="AL1" s="14" t="s">
        <v>60</v>
      </c>
      <c r="AM1" s="14" t="s">
        <v>60</v>
      </c>
      <c r="AN1" s="14" t="s">
        <v>476</v>
      </c>
      <c r="AO1" s="14" t="s">
        <v>60</v>
      </c>
      <c r="AP1" s="14" t="s">
        <v>60</v>
      </c>
      <c r="AQ1" s="14" t="s">
        <v>60</v>
      </c>
      <c r="AR1" s="14" t="s">
        <v>60</v>
      </c>
      <c r="AS1" s="14" t="s">
        <v>60</v>
      </c>
      <c r="AT1" s="14" t="s">
        <v>60</v>
      </c>
      <c r="AU1" s="14" t="s">
        <v>60</v>
      </c>
      <c r="AV1" s="14" t="s">
        <v>60</v>
      </c>
      <c r="AW1" s="14" t="s">
        <v>475</v>
      </c>
      <c r="AX1" s="14" t="s">
        <v>60</v>
      </c>
      <c r="AY1" s="14" t="s">
        <v>60</v>
      </c>
      <c r="AZ1" s="14" t="s">
        <v>60</v>
      </c>
      <c r="BA1" s="14" t="s">
        <v>60</v>
      </c>
      <c r="BB1" s="14" t="s">
        <v>60</v>
      </c>
      <c r="BC1" s="14" t="s">
        <v>60</v>
      </c>
      <c r="BD1" s="14" t="s">
        <v>60</v>
      </c>
      <c r="BE1" s="14" t="s">
        <v>60</v>
      </c>
      <c r="BF1" s="14" t="s">
        <v>60</v>
      </c>
      <c r="BG1" s="14" t="s">
        <v>474</v>
      </c>
      <c r="BH1" s="14" t="s">
        <v>60</v>
      </c>
      <c r="BI1" s="14" t="s">
        <v>60</v>
      </c>
      <c r="BJ1" s="14" t="s">
        <v>60</v>
      </c>
      <c r="BK1" s="14" t="s">
        <v>60</v>
      </c>
      <c r="BL1" s="14" t="s">
        <v>60</v>
      </c>
      <c r="BM1" s="14" t="s">
        <v>60</v>
      </c>
      <c r="BN1" s="14" t="s">
        <v>60</v>
      </c>
      <c r="BO1" s="14" t="s">
        <v>60</v>
      </c>
      <c r="BP1" s="13" t="s">
        <v>60</v>
      </c>
    </row>
    <row r="2" spans="1:68" ht="45" customHeight="1" x14ac:dyDescent="0.3">
      <c r="A2" s="11" t="s">
        <v>473</v>
      </c>
      <c r="B2" s="10" t="s">
        <v>472</v>
      </c>
      <c r="C2" s="10" t="s">
        <v>471</v>
      </c>
      <c r="D2" s="10" t="s">
        <v>470</v>
      </c>
      <c r="E2" s="10" t="s">
        <v>469</v>
      </c>
      <c r="F2" s="10" t="s">
        <v>468</v>
      </c>
      <c r="G2" s="10" t="s">
        <v>467</v>
      </c>
      <c r="H2" s="10" t="s">
        <v>466</v>
      </c>
      <c r="I2" s="10" t="s">
        <v>465</v>
      </c>
      <c r="J2" s="10" t="s">
        <v>464</v>
      </c>
      <c r="K2" s="10" t="s">
        <v>463</v>
      </c>
      <c r="L2" s="10" t="s">
        <v>462</v>
      </c>
      <c r="M2" s="10" t="s">
        <v>461</v>
      </c>
      <c r="N2" s="10" t="s">
        <v>460</v>
      </c>
      <c r="O2" s="10" t="s">
        <v>459</v>
      </c>
      <c r="P2" s="10" t="s">
        <v>458</v>
      </c>
      <c r="Q2" s="10" t="s">
        <v>457</v>
      </c>
      <c r="R2" s="10" t="s">
        <v>456</v>
      </c>
      <c r="S2" s="10" t="s">
        <v>455</v>
      </c>
      <c r="T2" s="10" t="s">
        <v>454</v>
      </c>
      <c r="U2" s="10" t="s">
        <v>453</v>
      </c>
      <c r="V2" s="10" t="s">
        <v>452</v>
      </c>
      <c r="W2" s="10" t="s">
        <v>451</v>
      </c>
      <c r="X2" s="10" t="s">
        <v>450</v>
      </c>
      <c r="Y2" s="10" t="s">
        <v>449</v>
      </c>
      <c r="Z2" s="10" t="s">
        <v>448</v>
      </c>
      <c r="AA2" s="10" t="s">
        <v>447</v>
      </c>
      <c r="AB2" s="10" t="s">
        <v>446</v>
      </c>
      <c r="AC2" s="10" t="s">
        <v>445</v>
      </c>
      <c r="AD2" s="10" t="s">
        <v>444</v>
      </c>
      <c r="AE2" s="10" t="s">
        <v>322</v>
      </c>
      <c r="AF2" s="10" t="s">
        <v>443</v>
      </c>
      <c r="AG2" s="10" t="s">
        <v>442</v>
      </c>
      <c r="AH2" s="10" t="s">
        <v>441</v>
      </c>
      <c r="AI2" s="10" t="s">
        <v>440</v>
      </c>
      <c r="AJ2" s="10" t="s">
        <v>439</v>
      </c>
      <c r="AK2" s="10" t="s">
        <v>438</v>
      </c>
      <c r="AL2" s="10" t="s">
        <v>437</v>
      </c>
      <c r="AM2" s="10" t="s">
        <v>436</v>
      </c>
      <c r="AN2" s="10" t="s">
        <v>435</v>
      </c>
      <c r="AO2" s="10" t="s">
        <v>434</v>
      </c>
      <c r="AP2" s="10" t="s">
        <v>433</v>
      </c>
      <c r="AQ2" s="10" t="s">
        <v>432</v>
      </c>
      <c r="AR2" s="10" t="s">
        <v>431</v>
      </c>
      <c r="AS2" s="10" t="s">
        <v>430</v>
      </c>
      <c r="AT2" s="10" t="s">
        <v>429</v>
      </c>
      <c r="AU2" s="10" t="s">
        <v>428</v>
      </c>
      <c r="AV2" s="10" t="s">
        <v>427</v>
      </c>
      <c r="AW2" s="10" t="s">
        <v>426</v>
      </c>
      <c r="AX2" s="10" t="s">
        <v>425</v>
      </c>
      <c r="AY2" s="10" t="s">
        <v>424</v>
      </c>
      <c r="AZ2" s="10" t="s">
        <v>423</v>
      </c>
      <c r="BA2" s="10" t="s">
        <v>422</v>
      </c>
      <c r="BB2" s="10" t="s">
        <v>421</v>
      </c>
      <c r="BC2" s="10" t="s">
        <v>420</v>
      </c>
      <c r="BD2" s="10" t="s">
        <v>419</v>
      </c>
      <c r="BE2" s="10" t="s">
        <v>418</v>
      </c>
      <c r="BF2" s="10" t="s">
        <v>417</v>
      </c>
      <c r="BG2" s="10" t="s">
        <v>416</v>
      </c>
      <c r="BH2" s="10" t="s">
        <v>415</v>
      </c>
      <c r="BI2" s="10" t="s">
        <v>414</v>
      </c>
      <c r="BJ2" s="10" t="s">
        <v>413</v>
      </c>
      <c r="BK2" s="10" t="s">
        <v>412</v>
      </c>
      <c r="BL2" s="10" t="s">
        <v>411</v>
      </c>
      <c r="BM2" s="10" t="s">
        <v>410</v>
      </c>
      <c r="BN2" s="10" t="s">
        <v>409</v>
      </c>
      <c r="BO2" s="10" t="s">
        <v>408</v>
      </c>
      <c r="BP2" s="9" t="s">
        <v>407</v>
      </c>
    </row>
    <row r="3" spans="1:68" x14ac:dyDescent="0.3">
      <c r="A3" s="20" t="s">
        <v>4353</v>
      </c>
      <c r="B3" s="28">
        <v>45730</v>
      </c>
      <c r="C3" s="20" t="s">
        <v>4354</v>
      </c>
      <c r="D3" s="20" t="s">
        <v>743</v>
      </c>
      <c r="E3" s="20" t="s">
        <v>3400</v>
      </c>
      <c r="F3" s="20" t="s">
        <v>3401</v>
      </c>
      <c r="G3" s="20" t="s">
        <v>4355</v>
      </c>
      <c r="H3" s="20" t="s">
        <v>3095</v>
      </c>
      <c r="I3" s="20" t="s">
        <v>3085</v>
      </c>
      <c r="J3" s="20" t="s">
        <v>4356</v>
      </c>
      <c r="K3" s="20" t="s">
        <v>4357</v>
      </c>
      <c r="L3" s="20" t="s">
        <v>3403</v>
      </c>
      <c r="M3" s="20" t="s">
        <v>3404</v>
      </c>
      <c r="N3" s="20" t="s">
        <v>967</v>
      </c>
      <c r="O3" s="20" t="s">
        <v>746</v>
      </c>
      <c r="P3" s="20" t="s">
        <v>983</v>
      </c>
      <c r="Q3" s="20" t="s">
        <v>965</v>
      </c>
      <c r="R3" s="20" t="s">
        <v>985</v>
      </c>
      <c r="S3" s="20" t="s">
        <v>4358</v>
      </c>
      <c r="T3" s="20" t="s">
        <v>3405</v>
      </c>
      <c r="U3" s="36" cm="1">
        <f t="array" ref="U3">SUMPRODUCT(('T08'!$U$3:$U$1500=M3)*('T08'!$AF$3:$AF$1500=1)*('T08'!$I$3:$I$1500&lt;=B3)*'T08'!$BK$3:$BK$1500)-SUMPRODUCT(($M$3:$M$1500=M3)*($B$3:$B$1500&lt;B3)*($AK$3:$AK$1500+$AI$3:$AI$1500+$AJ$3:$AJ$1500))</f>
        <v>27499340.199999999</v>
      </c>
      <c r="V3" s="20" t="s">
        <v>3398</v>
      </c>
      <c r="W3" s="20" t="str">
        <f>TEXT(_xlfn.XLOOKUP(V3,'T08'!$G$3:$G$1500,'T08'!$J$3:$J$1500),"dd-mmm-yyyy")&amp;" / due "&amp;TEXT(_xlfn.XLOOKUP(V3,'T08'!$G$3:$G$1500,'T08'!$BQ$3:$BQ$1500),"dd-mmm-yyyy")</f>
        <v>31-Oct-2024 / due 15-Nov-2024</v>
      </c>
      <c r="X3" s="20" t="s">
        <v>4359</v>
      </c>
      <c r="Y3" s="20" t="str">
        <f>_xlfn.XLOOKUP(V3,'T08'!$G$3:$G$1500,'T08'!$AC$3:$AC$1500)</f>
        <v>PO-2410-1</v>
      </c>
      <c r="Z3" s="20" t="s">
        <v>844</v>
      </c>
      <c r="AA3" s="36" t="s">
        <v>844</v>
      </c>
      <c r="AB3" s="20" t="str">
        <f>IF(C3="Against bill",IF(V3&lt;&gt;"N/A","OK - bill linked","Missing bill"),IF(Z3&lt;&gt;"N/A","OK - advance request linked","Missing request"))</f>
        <v>OK - bill linked</v>
      </c>
      <c r="AC3" s="20" t="s">
        <v>844</v>
      </c>
      <c r="AD3" s="20" t="s">
        <v>4360</v>
      </c>
      <c r="AE3" s="20">
        <v>1</v>
      </c>
      <c r="AF3" s="20" t="s">
        <v>4361</v>
      </c>
      <c r="AG3" s="36">
        <f>_xlfn.XLOOKUP(V3,'T08'!$G$3:$G$1500,'T08'!$BH$3:$BH$1500)</f>
        <v>11148280</v>
      </c>
      <c r="AH3" s="36">
        <v>0</v>
      </c>
      <c r="AI3" s="36">
        <f>_xlfn.XLOOKUP(V3,'T08'!$G$3:$G$1500,'T08'!$BI$3:$BI$1500)</f>
        <v>557414</v>
      </c>
      <c r="AJ3" s="36">
        <f>_xlfn.XLOOKUP(V3,'T08'!$G$3:$G$1500,'T08'!$BJ$3:$BJ$1500)</f>
        <v>0</v>
      </c>
      <c r="AK3" s="36">
        <f>AG3-AH3-AI3-AJ3</f>
        <v>10590866</v>
      </c>
      <c r="AL3" s="36">
        <f>AG3-AH3-AI3-AJ3-AK3</f>
        <v>0</v>
      </c>
      <c r="AM3" s="20" t="s">
        <v>4362</v>
      </c>
      <c r="AN3" s="36">
        <f>SUMIFS($AG$3:$AG$1500,$A$3:$A$1500,A3)</f>
        <v>28946674.199999999</v>
      </c>
      <c r="AO3" s="36">
        <f>SUMIFS($AI$3:$AI$1500,$A$3:$A$1500,A3)</f>
        <v>1447334</v>
      </c>
      <c r="AP3" s="36">
        <f>SUMIFS($AJ$3:$AJ$1500,$A$3:$A$1500,A3)</f>
        <v>0</v>
      </c>
      <c r="AQ3" s="36">
        <f>SUMIFS($AK$3:$AK$1500,$A$3:$A$1500,A3)</f>
        <v>27499340.199999999</v>
      </c>
      <c r="AR3" s="20" t="str">
        <f>"PKR "&amp;TEXT(AQ3,"#,##0")&amp;" only"</f>
        <v>PKR 27,499,340 only</v>
      </c>
      <c r="AS3" s="20" t="str">
        <f>"Sec 153 - deposit by "&amp;TEXT(EOMONTH(B3,0)+15,"dd-mmm-yyyy")</f>
        <v>Sec 153 - deposit by 15-Apr-2025</v>
      </c>
      <c r="AT3" s="20" t="s">
        <v>844</v>
      </c>
      <c r="AU3" s="20" t="s">
        <v>4363</v>
      </c>
      <c r="AV3" s="20" t="s">
        <v>4364</v>
      </c>
      <c r="AW3" s="28">
        <v>45730</v>
      </c>
      <c r="AX3" s="36">
        <f>AQ3+AY3</f>
        <v>27499490.199999999</v>
      </c>
      <c r="AY3" s="36">
        <v>150</v>
      </c>
      <c r="AZ3" s="20" t="s">
        <v>3090</v>
      </c>
      <c r="BA3" s="20" t="s">
        <v>4356</v>
      </c>
      <c r="BB3" s="20" t="s">
        <v>848</v>
      </c>
      <c r="BC3" s="20" t="s">
        <v>4365</v>
      </c>
      <c r="BD3" s="20" t="str">
        <f>IF(AL3&lt;1,"Bill fully settled","Bill partially settled")</f>
        <v>Bill fully settled</v>
      </c>
      <c r="BE3" s="20" t="str">
        <f>"Payable reduced by PKR "&amp;TEXT(AK3+AI3+AJ3,"#,##0")</f>
        <v>Payable reduced by PKR 11,148,280</v>
      </c>
      <c r="BF3" s="20" t="s">
        <v>4366</v>
      </c>
      <c r="BG3" s="20" t="s">
        <v>753</v>
      </c>
      <c r="BH3" s="20" t="s">
        <v>4367</v>
      </c>
      <c r="BI3" s="20" t="s">
        <v>844</v>
      </c>
      <c r="BJ3" s="20" t="s">
        <v>844</v>
      </c>
      <c r="BK3" s="20" t="s">
        <v>753</v>
      </c>
      <c r="BL3" s="20" t="s">
        <v>753</v>
      </c>
      <c r="BM3" s="20" t="s">
        <v>753</v>
      </c>
      <c r="BN3" s="20" t="s">
        <v>4368</v>
      </c>
      <c r="BO3" s="20" t="s">
        <v>848</v>
      </c>
      <c r="BP3" s="20" t="str">
        <f>K3</f>
        <v>Paid</v>
      </c>
    </row>
    <row r="4" spans="1:68" x14ac:dyDescent="0.3">
      <c r="A4" s="21" t="s">
        <v>4353</v>
      </c>
      <c r="B4" s="29">
        <v>45730</v>
      </c>
      <c r="C4" s="21" t="s">
        <v>4354</v>
      </c>
      <c r="D4" s="21" t="s">
        <v>743</v>
      </c>
      <c r="E4" s="21" t="s">
        <v>3400</v>
      </c>
      <c r="F4" s="21" t="s">
        <v>3401</v>
      </c>
      <c r="G4" s="21" t="s">
        <v>4355</v>
      </c>
      <c r="H4" s="21" t="s">
        <v>3095</v>
      </c>
      <c r="I4" s="21" t="s">
        <v>3085</v>
      </c>
      <c r="J4" s="21" t="s">
        <v>4356</v>
      </c>
      <c r="K4" s="21" t="s">
        <v>4357</v>
      </c>
      <c r="L4" s="21" t="s">
        <v>3403</v>
      </c>
      <c r="M4" s="21" t="s">
        <v>3404</v>
      </c>
      <c r="N4" s="21" t="s">
        <v>967</v>
      </c>
      <c r="O4" s="21" t="s">
        <v>746</v>
      </c>
      <c r="P4" s="21" t="s">
        <v>983</v>
      </c>
      <c r="Q4" s="21" t="s">
        <v>965</v>
      </c>
      <c r="R4" s="21" t="s">
        <v>985</v>
      </c>
      <c r="S4" s="21" t="s">
        <v>4358</v>
      </c>
      <c r="T4" s="21" t="s">
        <v>3405</v>
      </c>
      <c r="U4" s="37" cm="1">
        <f t="array" ref="U4">SUMPRODUCT(('T08'!$U$3:$U$1500=M4)*('T08'!$AF$3:$AF$1500=1)*('T08'!$I$3:$I$1500&lt;=B4)*'T08'!$BK$3:$BK$1500)-SUMPRODUCT(($M$3:$M$1500=M4)*($B$3:$B$1500&lt;B4)*($AK$3:$AK$1500+$AI$3:$AI$1500+$AJ$3:$AJ$1500))</f>
        <v>27499340.199999999</v>
      </c>
      <c r="V4" s="21" t="s">
        <v>3481</v>
      </c>
      <c r="W4" s="21" t="str">
        <f>TEXT(_xlfn.XLOOKUP(V4,'T08'!$G$3:$G$1500,'T08'!$J$3:$J$1500),"dd-mmm-yyyy")&amp;" / due "&amp;TEXT(_xlfn.XLOOKUP(V4,'T08'!$G$3:$G$1500,'T08'!$BQ$3:$BQ$1500),"dd-mmm-yyyy")</f>
        <v>30-Nov-2024 / due 15-Dec-2024</v>
      </c>
      <c r="X4" s="21" t="s">
        <v>4359</v>
      </c>
      <c r="Y4" s="21" t="str">
        <f>_xlfn.XLOOKUP(V4,'T08'!$G$3:$G$1500,'T08'!$AC$3:$AC$1500)</f>
        <v>PO-2411-1</v>
      </c>
      <c r="Z4" s="21" t="s">
        <v>844</v>
      </c>
      <c r="AA4" s="37" t="s">
        <v>844</v>
      </c>
      <c r="AB4" s="21" t="str">
        <f>IF(C4="Against bill",IF(V4&lt;&gt;"N/A","OK - bill linked","Missing bill"),IF(Z4&lt;&gt;"N/A","OK - advance request linked","Missing request"))</f>
        <v>OK - bill linked</v>
      </c>
      <c r="AC4" s="21" t="s">
        <v>844</v>
      </c>
      <c r="AD4" s="21" t="s">
        <v>4360</v>
      </c>
      <c r="AE4" s="21">
        <v>2</v>
      </c>
      <c r="AF4" s="21" t="s">
        <v>4361</v>
      </c>
      <c r="AG4" s="37">
        <f>_xlfn.XLOOKUP(V4,'T08'!$G$3:$G$1500,'T08'!$BH$3:$BH$1500)</f>
        <v>503430</v>
      </c>
      <c r="AH4" s="37">
        <v>0</v>
      </c>
      <c r="AI4" s="37">
        <f>_xlfn.XLOOKUP(V4,'T08'!$G$3:$G$1500,'T08'!$BI$3:$BI$1500)</f>
        <v>25172</v>
      </c>
      <c r="AJ4" s="37">
        <f>_xlfn.XLOOKUP(V4,'T08'!$G$3:$G$1500,'T08'!$BJ$3:$BJ$1500)</f>
        <v>0</v>
      </c>
      <c r="AK4" s="37">
        <f>AG4-AH4-AI4-AJ4</f>
        <v>478258</v>
      </c>
      <c r="AL4" s="37">
        <f>AG4-AH4-AI4-AJ4-AK4</f>
        <v>0</v>
      </c>
      <c r="AM4" s="21" t="s">
        <v>4369</v>
      </c>
      <c r="AN4" s="37">
        <f>SUMIFS($AG$3:$AG$1500,$A$3:$A$1500,A4)</f>
        <v>28946674.199999999</v>
      </c>
      <c r="AO4" s="37">
        <f>SUMIFS($AI$3:$AI$1500,$A$3:$A$1500,A4)</f>
        <v>1447334</v>
      </c>
      <c r="AP4" s="37">
        <f>SUMIFS($AJ$3:$AJ$1500,$A$3:$A$1500,A4)</f>
        <v>0</v>
      </c>
      <c r="AQ4" s="37">
        <f>SUMIFS($AK$3:$AK$1500,$A$3:$A$1500,A4)</f>
        <v>27499340.199999999</v>
      </c>
      <c r="AR4" s="21" t="str">
        <f>"PKR "&amp;TEXT(AQ4,"#,##0")&amp;" only"</f>
        <v>PKR 27,499,340 only</v>
      </c>
      <c r="AS4" s="21" t="str">
        <f>"Sec 153 - deposit by "&amp;TEXT(EOMONTH(B4,0)+15,"dd-mmm-yyyy")</f>
        <v>Sec 153 - deposit by 15-Apr-2025</v>
      </c>
      <c r="AT4" s="21" t="s">
        <v>844</v>
      </c>
      <c r="AU4" s="21" t="s">
        <v>4370</v>
      </c>
      <c r="AV4" s="21" t="s">
        <v>4364</v>
      </c>
      <c r="AW4" s="29">
        <v>45730</v>
      </c>
      <c r="AX4" s="37">
        <f>AQ4+AY4</f>
        <v>27499340.199999999</v>
      </c>
      <c r="AY4" s="37">
        <v>0</v>
      </c>
      <c r="AZ4" s="21" t="s">
        <v>3090</v>
      </c>
      <c r="BA4" s="21" t="s">
        <v>4356</v>
      </c>
      <c r="BB4" s="21" t="s">
        <v>848</v>
      </c>
      <c r="BC4" s="21" t="s">
        <v>4365</v>
      </c>
      <c r="BD4" s="21" t="str">
        <f>IF(AL4&lt;1,"Bill fully settled","Bill partially settled")</f>
        <v>Bill fully settled</v>
      </c>
      <c r="BE4" s="21" t="str">
        <f>"Payable reduced by PKR "&amp;TEXT(AK4+AI4+AJ4,"#,##0")</f>
        <v>Payable reduced by PKR 503,430</v>
      </c>
      <c r="BF4" s="21" t="s">
        <v>4366</v>
      </c>
      <c r="BG4" s="21" t="s">
        <v>753</v>
      </c>
      <c r="BH4" s="21" t="s">
        <v>4367</v>
      </c>
      <c r="BI4" s="21" t="s">
        <v>844</v>
      </c>
      <c r="BJ4" s="21" t="s">
        <v>844</v>
      </c>
      <c r="BK4" s="21" t="s">
        <v>753</v>
      </c>
      <c r="BL4" s="21" t="s">
        <v>753</v>
      </c>
      <c r="BM4" s="21" t="s">
        <v>753</v>
      </c>
      <c r="BN4" s="21" t="s">
        <v>4368</v>
      </c>
      <c r="BO4" s="21" t="s">
        <v>848</v>
      </c>
      <c r="BP4" s="21" t="str">
        <f>K4</f>
        <v>Paid</v>
      </c>
    </row>
    <row r="5" spans="1:68" x14ac:dyDescent="0.3">
      <c r="A5" s="21" t="s">
        <v>4353</v>
      </c>
      <c r="B5" s="29">
        <v>45730</v>
      </c>
      <c r="C5" s="21" t="s">
        <v>4354</v>
      </c>
      <c r="D5" s="21" t="s">
        <v>743</v>
      </c>
      <c r="E5" s="21" t="s">
        <v>3400</v>
      </c>
      <c r="F5" s="21" t="s">
        <v>3401</v>
      </c>
      <c r="G5" s="21" t="s">
        <v>4355</v>
      </c>
      <c r="H5" s="21" t="s">
        <v>3095</v>
      </c>
      <c r="I5" s="21" t="s">
        <v>3085</v>
      </c>
      <c r="J5" s="21" t="s">
        <v>4356</v>
      </c>
      <c r="K5" s="21" t="s">
        <v>4357</v>
      </c>
      <c r="L5" s="21" t="s">
        <v>3403</v>
      </c>
      <c r="M5" s="21" t="s">
        <v>3404</v>
      </c>
      <c r="N5" s="21" t="s">
        <v>967</v>
      </c>
      <c r="O5" s="21" t="s">
        <v>746</v>
      </c>
      <c r="P5" s="21" t="s">
        <v>983</v>
      </c>
      <c r="Q5" s="21" t="s">
        <v>965</v>
      </c>
      <c r="R5" s="21" t="s">
        <v>985</v>
      </c>
      <c r="S5" s="21" t="s">
        <v>4358</v>
      </c>
      <c r="T5" s="21" t="s">
        <v>3405</v>
      </c>
      <c r="U5" s="37" cm="1">
        <f t="array" ref="U5">SUMPRODUCT(('T08'!$U$3:$U$1500=M5)*('T08'!$AF$3:$AF$1500=1)*('T08'!$I$3:$I$1500&lt;=B5)*'T08'!$BK$3:$BK$1500)-SUMPRODUCT(($M$3:$M$1500=M5)*($B$3:$B$1500&lt;B5)*($AK$3:$AK$1500+$AI$3:$AI$1500+$AJ$3:$AJ$1500))</f>
        <v>27499340.199999999</v>
      </c>
      <c r="V5" s="21" t="s">
        <v>3545</v>
      </c>
      <c r="W5" s="21" t="str">
        <f>TEXT(_xlfn.XLOOKUP(V5,'T08'!$G$3:$G$1500,'T08'!$J$3:$J$1500),"dd-mmm-yyyy")&amp;" / due "&amp;TEXT(_xlfn.XLOOKUP(V5,'T08'!$G$3:$G$1500,'T08'!$BQ$3:$BQ$1500),"dd-mmm-yyyy")</f>
        <v>31-Dec-2024 / due 15-Jan-2025</v>
      </c>
      <c r="X5" s="21" t="s">
        <v>4359</v>
      </c>
      <c r="Y5" s="21" t="str">
        <f>_xlfn.XLOOKUP(V5,'T08'!$G$3:$G$1500,'T08'!$AC$3:$AC$1500)</f>
        <v>PO-2412-1</v>
      </c>
      <c r="Z5" s="21" t="s">
        <v>844</v>
      </c>
      <c r="AA5" s="37" t="s">
        <v>844</v>
      </c>
      <c r="AB5" s="21" t="str">
        <f>IF(C5="Against bill",IF(V5&lt;&gt;"N/A","OK - bill linked","Missing bill"),IF(Z5&lt;&gt;"N/A","OK - advance request linked","Missing request"))</f>
        <v>OK - bill linked</v>
      </c>
      <c r="AC5" s="21" t="s">
        <v>844</v>
      </c>
      <c r="AD5" s="21" t="s">
        <v>4360</v>
      </c>
      <c r="AE5" s="21">
        <v>3</v>
      </c>
      <c r="AF5" s="21" t="s">
        <v>4361</v>
      </c>
      <c r="AG5" s="37">
        <f>_xlfn.XLOOKUP(V5,'T08'!$G$3:$G$1500,'T08'!$BH$3:$BH$1500)</f>
        <v>7814160</v>
      </c>
      <c r="AH5" s="37">
        <v>0</v>
      </c>
      <c r="AI5" s="37">
        <f>_xlfn.XLOOKUP(V5,'T08'!$G$3:$G$1500,'T08'!$BI$3:$BI$1500)</f>
        <v>390708</v>
      </c>
      <c r="AJ5" s="37">
        <f>_xlfn.XLOOKUP(V5,'T08'!$G$3:$G$1500,'T08'!$BJ$3:$BJ$1500)</f>
        <v>0</v>
      </c>
      <c r="AK5" s="37">
        <f>AG5-AH5-AI5-AJ5</f>
        <v>7423452</v>
      </c>
      <c r="AL5" s="37">
        <f>AG5-AH5-AI5-AJ5-AK5</f>
        <v>0</v>
      </c>
      <c r="AM5" s="21" t="s">
        <v>4371</v>
      </c>
      <c r="AN5" s="37">
        <f>SUMIFS($AG$3:$AG$1500,$A$3:$A$1500,A5)</f>
        <v>28946674.199999999</v>
      </c>
      <c r="AO5" s="37">
        <f>SUMIFS($AI$3:$AI$1500,$A$3:$A$1500,A5)</f>
        <v>1447334</v>
      </c>
      <c r="AP5" s="37">
        <f>SUMIFS($AJ$3:$AJ$1500,$A$3:$A$1500,A5)</f>
        <v>0</v>
      </c>
      <c r="AQ5" s="37">
        <f>SUMIFS($AK$3:$AK$1500,$A$3:$A$1500,A5)</f>
        <v>27499340.199999999</v>
      </c>
      <c r="AR5" s="21" t="str">
        <f>"PKR "&amp;TEXT(AQ5,"#,##0")&amp;" only"</f>
        <v>PKR 27,499,340 only</v>
      </c>
      <c r="AS5" s="21" t="str">
        <f>"Sec 153 - deposit by "&amp;TEXT(EOMONTH(B5,0)+15,"dd-mmm-yyyy")</f>
        <v>Sec 153 - deposit by 15-Apr-2025</v>
      </c>
      <c r="AT5" s="21" t="s">
        <v>844</v>
      </c>
      <c r="AU5" s="21" t="s">
        <v>4372</v>
      </c>
      <c r="AV5" s="21" t="s">
        <v>4364</v>
      </c>
      <c r="AW5" s="29">
        <v>45730</v>
      </c>
      <c r="AX5" s="37">
        <f>AQ5+AY5</f>
        <v>27499340.199999999</v>
      </c>
      <c r="AY5" s="37">
        <v>0</v>
      </c>
      <c r="AZ5" s="21" t="s">
        <v>3090</v>
      </c>
      <c r="BA5" s="21" t="s">
        <v>4356</v>
      </c>
      <c r="BB5" s="21" t="s">
        <v>848</v>
      </c>
      <c r="BC5" s="21" t="s">
        <v>4365</v>
      </c>
      <c r="BD5" s="21" t="str">
        <f>IF(AL5&lt;1,"Bill fully settled","Bill partially settled")</f>
        <v>Bill fully settled</v>
      </c>
      <c r="BE5" s="21" t="str">
        <f>"Payable reduced by PKR "&amp;TEXT(AK5+AI5+AJ5,"#,##0")</f>
        <v>Payable reduced by PKR 7,814,160</v>
      </c>
      <c r="BF5" s="21" t="s">
        <v>4366</v>
      </c>
      <c r="BG5" s="21" t="s">
        <v>753</v>
      </c>
      <c r="BH5" s="21" t="s">
        <v>4367</v>
      </c>
      <c r="BI5" s="21" t="s">
        <v>844</v>
      </c>
      <c r="BJ5" s="21" t="s">
        <v>844</v>
      </c>
      <c r="BK5" s="21" t="s">
        <v>753</v>
      </c>
      <c r="BL5" s="21" t="s">
        <v>753</v>
      </c>
      <c r="BM5" s="21" t="s">
        <v>753</v>
      </c>
      <c r="BN5" s="21" t="s">
        <v>4368</v>
      </c>
      <c r="BO5" s="21" t="s">
        <v>848</v>
      </c>
      <c r="BP5" s="21" t="str">
        <f>K5</f>
        <v>Paid</v>
      </c>
    </row>
    <row r="6" spans="1:68" x14ac:dyDescent="0.3">
      <c r="A6" s="21" t="s">
        <v>4353</v>
      </c>
      <c r="B6" s="29">
        <v>45730</v>
      </c>
      <c r="C6" s="21" t="s">
        <v>4354</v>
      </c>
      <c r="D6" s="21" t="s">
        <v>743</v>
      </c>
      <c r="E6" s="21" t="s">
        <v>3400</v>
      </c>
      <c r="F6" s="21" t="s">
        <v>3401</v>
      </c>
      <c r="G6" s="21" t="s">
        <v>4355</v>
      </c>
      <c r="H6" s="21" t="s">
        <v>3095</v>
      </c>
      <c r="I6" s="21" t="s">
        <v>3085</v>
      </c>
      <c r="J6" s="21" t="s">
        <v>4356</v>
      </c>
      <c r="K6" s="21" t="s">
        <v>4357</v>
      </c>
      <c r="L6" s="21" t="s">
        <v>3403</v>
      </c>
      <c r="M6" s="21" t="s">
        <v>3404</v>
      </c>
      <c r="N6" s="21" t="s">
        <v>967</v>
      </c>
      <c r="O6" s="21" t="s">
        <v>746</v>
      </c>
      <c r="P6" s="21" t="s">
        <v>983</v>
      </c>
      <c r="Q6" s="21" t="s">
        <v>965</v>
      </c>
      <c r="R6" s="21" t="s">
        <v>985</v>
      </c>
      <c r="S6" s="21" t="s">
        <v>4358</v>
      </c>
      <c r="T6" s="21" t="s">
        <v>3405</v>
      </c>
      <c r="U6" s="37" cm="1">
        <f t="array" ref="U6">SUMPRODUCT(('T08'!$U$3:$U$1500=M6)*('T08'!$AF$3:$AF$1500=1)*('T08'!$I$3:$I$1500&lt;=B6)*'T08'!$BK$3:$BK$1500)-SUMPRODUCT(($M$3:$M$1500=M6)*($B$3:$B$1500&lt;B6)*($AK$3:$AK$1500+$AI$3:$AI$1500+$AJ$3:$AJ$1500))</f>
        <v>27499340.199999999</v>
      </c>
      <c r="V6" s="21" t="s">
        <v>3614</v>
      </c>
      <c r="W6" s="21" t="str">
        <f>TEXT(_xlfn.XLOOKUP(V6,'T08'!$G$3:$G$1500,'T08'!$J$3:$J$1500),"dd-mmm-yyyy")&amp;" / due "&amp;TEXT(_xlfn.XLOOKUP(V6,'T08'!$G$3:$G$1500,'T08'!$BQ$3:$BQ$1500),"dd-mmm-yyyy")</f>
        <v>28-Feb-2025 / due 15-Mar-2025</v>
      </c>
      <c r="X6" s="21" t="s">
        <v>4359</v>
      </c>
      <c r="Y6" s="21" t="str">
        <f>_xlfn.XLOOKUP(V6,'T08'!$G$3:$G$1500,'T08'!$AC$3:$AC$1500)</f>
        <v>PO-2502-1</v>
      </c>
      <c r="Z6" s="21" t="s">
        <v>844</v>
      </c>
      <c r="AA6" s="37" t="s">
        <v>844</v>
      </c>
      <c r="AB6" s="21" t="str">
        <f>IF(C6="Against bill",IF(V6&lt;&gt;"N/A","OK - bill linked","Missing bill"),IF(Z6&lt;&gt;"N/A","OK - advance request linked","Missing request"))</f>
        <v>OK - bill linked</v>
      </c>
      <c r="AC6" s="21" t="s">
        <v>844</v>
      </c>
      <c r="AD6" s="21" t="s">
        <v>4360</v>
      </c>
      <c r="AE6" s="21">
        <v>4</v>
      </c>
      <c r="AF6" s="21" t="s">
        <v>4361</v>
      </c>
      <c r="AG6" s="37">
        <f>_xlfn.XLOOKUP(V6,'T08'!$G$3:$G$1500,'T08'!$BH$3:$BH$1500)</f>
        <v>9480804.1999999993</v>
      </c>
      <c r="AH6" s="37">
        <v>0</v>
      </c>
      <c r="AI6" s="37">
        <f>_xlfn.XLOOKUP(V6,'T08'!$G$3:$G$1500,'T08'!$BI$3:$BI$1500)</f>
        <v>474040</v>
      </c>
      <c r="AJ6" s="37">
        <f>_xlfn.XLOOKUP(V6,'T08'!$G$3:$G$1500,'T08'!$BJ$3:$BJ$1500)</f>
        <v>0</v>
      </c>
      <c r="AK6" s="37">
        <f>AG6-AH6-AI6-AJ6</f>
        <v>9006764.1999999993</v>
      </c>
      <c r="AL6" s="37">
        <f>AG6-AH6-AI6-AJ6-AK6</f>
        <v>0</v>
      </c>
      <c r="AM6" s="21" t="s">
        <v>4373</v>
      </c>
      <c r="AN6" s="37">
        <f>SUMIFS($AG$3:$AG$1500,$A$3:$A$1500,A6)</f>
        <v>28946674.199999999</v>
      </c>
      <c r="AO6" s="37">
        <f>SUMIFS($AI$3:$AI$1500,$A$3:$A$1500,A6)</f>
        <v>1447334</v>
      </c>
      <c r="AP6" s="37">
        <f>SUMIFS($AJ$3:$AJ$1500,$A$3:$A$1500,A6)</f>
        <v>0</v>
      </c>
      <c r="AQ6" s="37">
        <f>SUMIFS($AK$3:$AK$1500,$A$3:$A$1500,A6)</f>
        <v>27499340.199999999</v>
      </c>
      <c r="AR6" s="21" t="str">
        <f>"PKR "&amp;TEXT(AQ6,"#,##0")&amp;" only"</f>
        <v>PKR 27,499,340 only</v>
      </c>
      <c r="AS6" s="21" t="str">
        <f>"Sec 153 - deposit by "&amp;TEXT(EOMONTH(B6,0)+15,"dd-mmm-yyyy")</f>
        <v>Sec 153 - deposit by 15-Apr-2025</v>
      </c>
      <c r="AT6" s="21" t="s">
        <v>844</v>
      </c>
      <c r="AU6" s="21" t="s">
        <v>4363</v>
      </c>
      <c r="AV6" s="21" t="s">
        <v>4364</v>
      </c>
      <c r="AW6" s="29">
        <v>45730</v>
      </c>
      <c r="AX6" s="37">
        <f>AQ6+AY6</f>
        <v>27499340.199999999</v>
      </c>
      <c r="AY6" s="37">
        <v>0</v>
      </c>
      <c r="AZ6" s="21" t="s">
        <v>3090</v>
      </c>
      <c r="BA6" s="21" t="s">
        <v>4356</v>
      </c>
      <c r="BB6" s="21" t="s">
        <v>848</v>
      </c>
      <c r="BC6" s="21" t="s">
        <v>4365</v>
      </c>
      <c r="BD6" s="21" t="str">
        <f>IF(AL6&lt;1,"Bill fully settled","Bill partially settled")</f>
        <v>Bill fully settled</v>
      </c>
      <c r="BE6" s="21" t="str">
        <f>"Payable reduced by PKR "&amp;TEXT(AK6+AI6+AJ6,"#,##0")</f>
        <v>Payable reduced by PKR 9,480,804</v>
      </c>
      <c r="BF6" s="21" t="s">
        <v>4366</v>
      </c>
      <c r="BG6" s="21" t="s">
        <v>753</v>
      </c>
      <c r="BH6" s="21" t="s">
        <v>4367</v>
      </c>
      <c r="BI6" s="21" t="s">
        <v>844</v>
      </c>
      <c r="BJ6" s="21" t="s">
        <v>844</v>
      </c>
      <c r="BK6" s="21" t="s">
        <v>753</v>
      </c>
      <c r="BL6" s="21" t="s">
        <v>753</v>
      </c>
      <c r="BM6" s="21" t="s">
        <v>753</v>
      </c>
      <c r="BN6" s="21" t="s">
        <v>4368</v>
      </c>
      <c r="BO6" s="21" t="s">
        <v>848</v>
      </c>
      <c r="BP6" s="21" t="str">
        <f>K6</f>
        <v>Paid</v>
      </c>
    </row>
    <row r="7" spans="1:68" x14ac:dyDescent="0.3">
      <c r="A7" s="21" t="s">
        <v>4374</v>
      </c>
      <c r="B7" s="29">
        <v>45737</v>
      </c>
      <c r="C7" s="21" t="s">
        <v>4375</v>
      </c>
      <c r="D7" s="21" t="s">
        <v>743</v>
      </c>
      <c r="E7" s="21" t="s">
        <v>3350</v>
      </c>
      <c r="F7" s="21" t="s">
        <v>3401</v>
      </c>
      <c r="G7" s="21" t="s">
        <v>4355</v>
      </c>
      <c r="H7" s="21" t="s">
        <v>3095</v>
      </c>
      <c r="I7" s="21" t="s">
        <v>3085</v>
      </c>
      <c r="J7" s="21" t="s">
        <v>4356</v>
      </c>
      <c r="K7" s="21" t="s">
        <v>4357</v>
      </c>
      <c r="L7" s="21" t="s">
        <v>3403</v>
      </c>
      <c r="M7" s="21" t="s">
        <v>3404</v>
      </c>
      <c r="N7" s="21" t="s">
        <v>967</v>
      </c>
      <c r="O7" s="21" t="s">
        <v>746</v>
      </c>
      <c r="P7" s="21" t="s">
        <v>983</v>
      </c>
      <c r="Q7" s="21" t="s">
        <v>965</v>
      </c>
      <c r="R7" s="21" t="s">
        <v>985</v>
      </c>
      <c r="S7" s="21" t="s">
        <v>4358</v>
      </c>
      <c r="T7" s="21" t="s">
        <v>3405</v>
      </c>
      <c r="U7" s="37" cm="1">
        <f t="array" ref="U7">SUMPRODUCT(('T08'!$U$3:$U$1500=M7)*('T08'!$AF$3:$AF$1500=1)*('T08'!$I$3:$I$1500&lt;=B7)*'T08'!$BK$3:$BK$1500)-SUMPRODUCT(($M$3:$M$1500=M7)*($B$3:$B$1500&lt;B7)*($AK$3:$AK$1500+$AI$3:$AI$1500+$AJ$3:$AJ$1500))</f>
        <v>-1447334</v>
      </c>
      <c r="V7" s="21" t="s">
        <v>844</v>
      </c>
      <c r="W7" s="21" t="s">
        <v>844</v>
      </c>
      <c r="X7" s="21" t="s">
        <v>844</v>
      </c>
      <c r="Y7" s="21" t="s">
        <v>3409</v>
      </c>
      <c r="Z7" s="21" t="s">
        <v>4376</v>
      </c>
      <c r="AA7" s="37">
        <v>600000</v>
      </c>
      <c r="AB7" s="21" t="str">
        <f>IF(C7="Against bill",IF(V7&lt;&gt;"N/A","OK - bill linked","Missing bill"),IF(Z7&lt;&gt;"N/A","OK - advance request linked","Missing request"))</f>
        <v>OK - advance request linked</v>
      </c>
      <c r="AC7" s="21" t="s">
        <v>4377</v>
      </c>
      <c r="AD7" s="21" t="s">
        <v>4360</v>
      </c>
      <c r="AE7" s="21">
        <v>1</v>
      </c>
      <c r="AF7" s="21" t="s">
        <v>4378</v>
      </c>
      <c r="AG7" s="37">
        <f>AA7</f>
        <v>600000</v>
      </c>
      <c r="AH7" s="37">
        <v>0</v>
      </c>
      <c r="AI7" s="37">
        <v>0</v>
      </c>
      <c r="AJ7" s="37">
        <v>0</v>
      </c>
      <c r="AK7" s="37">
        <f>AG7-AH7-AI7-AJ7</f>
        <v>600000</v>
      </c>
      <c r="AL7" s="37">
        <f>AG7-AH7-AI7-AJ7-AK7</f>
        <v>0</v>
      </c>
      <c r="AM7" s="21" t="s">
        <v>4379</v>
      </c>
      <c r="AN7" s="37">
        <f>SUMIFS($AG$3:$AG$1500,$A$3:$A$1500,A7)</f>
        <v>600000</v>
      </c>
      <c r="AO7" s="37">
        <f>SUMIFS($AI$3:$AI$1500,$A$3:$A$1500,A7)</f>
        <v>0</v>
      </c>
      <c r="AP7" s="37">
        <f>SUMIFS($AJ$3:$AJ$1500,$A$3:$A$1500,A7)</f>
        <v>0</v>
      </c>
      <c r="AQ7" s="37">
        <f>SUMIFS($AK$3:$AK$1500,$A$3:$A$1500,A7)</f>
        <v>600000</v>
      </c>
      <c r="AR7" s="21" t="str">
        <f>"PKR "&amp;TEXT(AQ7,"#,##0")&amp;" only"</f>
        <v>PKR 600,000 only</v>
      </c>
      <c r="AS7" s="21" t="s">
        <v>4380</v>
      </c>
      <c r="AT7" s="21" t="s">
        <v>844</v>
      </c>
      <c r="AU7" s="21" t="s">
        <v>1760</v>
      </c>
      <c r="AV7" s="21" t="s">
        <v>844</v>
      </c>
      <c r="AW7" s="29">
        <v>45737</v>
      </c>
      <c r="AX7" s="37">
        <f>AQ7+AY7</f>
        <v>600150</v>
      </c>
      <c r="AY7" s="37">
        <v>150</v>
      </c>
      <c r="AZ7" s="21" t="s">
        <v>3090</v>
      </c>
      <c r="BA7" s="21" t="s">
        <v>4356</v>
      </c>
      <c r="BB7" s="21" t="s">
        <v>848</v>
      </c>
      <c r="BC7" s="21" t="s">
        <v>4365</v>
      </c>
      <c r="BD7" s="21" t="s">
        <v>4380</v>
      </c>
      <c r="BE7" s="21" t="str">
        <f>"Payable reduced by PKR "&amp;TEXT(AK7+AI7+AJ7,"#,##0")</f>
        <v>Payable reduced by PKR 600,000</v>
      </c>
      <c r="BF7" s="21" t="s">
        <v>4381</v>
      </c>
      <c r="BG7" s="21" t="s">
        <v>844</v>
      </c>
      <c r="BH7" s="21" t="s">
        <v>844</v>
      </c>
      <c r="BI7" s="21" t="s">
        <v>753</v>
      </c>
      <c r="BJ7" s="21" t="s">
        <v>844</v>
      </c>
      <c r="BK7" s="21" t="s">
        <v>753</v>
      </c>
      <c r="BL7" s="21" t="s">
        <v>753</v>
      </c>
      <c r="BM7" s="21" t="s">
        <v>844</v>
      </c>
      <c r="BN7" s="21" t="s">
        <v>4368</v>
      </c>
      <c r="BO7" s="21" t="s">
        <v>848</v>
      </c>
      <c r="BP7" s="21" t="str">
        <f>K7</f>
        <v>Paid</v>
      </c>
    </row>
    <row r="8" spans="1:68" x14ac:dyDescent="0.3">
      <c r="A8" s="21" t="s">
        <v>4382</v>
      </c>
      <c r="B8" s="29">
        <v>45747</v>
      </c>
      <c r="C8" s="21" t="s">
        <v>4354</v>
      </c>
      <c r="D8" s="21" t="s">
        <v>743</v>
      </c>
      <c r="E8" s="21" t="s">
        <v>3350</v>
      </c>
      <c r="F8" s="21" t="s">
        <v>3429</v>
      </c>
      <c r="G8" s="21" t="s">
        <v>4355</v>
      </c>
      <c r="H8" s="21" t="s">
        <v>3095</v>
      </c>
      <c r="I8" s="21" t="s">
        <v>3085</v>
      </c>
      <c r="J8" s="21" t="s">
        <v>4356</v>
      </c>
      <c r="K8" s="21" t="s">
        <v>4357</v>
      </c>
      <c r="L8" s="21" t="s">
        <v>3431</v>
      </c>
      <c r="M8" s="21" t="s">
        <v>1278</v>
      </c>
      <c r="N8" s="21" t="s">
        <v>1200</v>
      </c>
      <c r="O8" s="21" t="s">
        <v>746</v>
      </c>
      <c r="P8" s="21" t="s">
        <v>1014</v>
      </c>
      <c r="Q8" s="21" t="s">
        <v>1199</v>
      </c>
      <c r="R8" s="21" t="s">
        <v>1204</v>
      </c>
      <c r="S8" s="21" t="s">
        <v>4358</v>
      </c>
      <c r="T8" s="21" t="s">
        <v>3441</v>
      </c>
      <c r="U8" s="37" cm="1">
        <f t="array" ref="U8">SUMPRODUCT(('T08'!$U$3:$U$1500=M8)*('T08'!$AF$3:$AF$1500=1)*('T08'!$I$3:$I$1500&lt;=B8)*'T08'!$BK$3:$BK$1500)-SUMPRODUCT(($M$3:$M$1500=M8)*($B$3:$B$1500&lt;B8)*($AK$3:$AK$1500+$AI$3:$AI$1500+$AJ$3:$AJ$1500))</f>
        <v>952055</v>
      </c>
      <c r="V8" s="21" t="s">
        <v>3440</v>
      </c>
      <c r="W8" s="21" t="str">
        <f>TEXT(_xlfn.XLOOKUP(V8,'T08'!$G$3:$G$1500,'T08'!$J$3:$J$1500),"dd-mmm-yyyy")&amp;" / due "&amp;TEXT(_xlfn.XLOOKUP(V8,'T08'!$G$3:$G$1500,'T08'!$BQ$3:$BQ$1500),"dd-mmm-yyyy")</f>
        <v>01-Nov-2024 / due 01-Dec-2024</v>
      </c>
      <c r="X8" s="21" t="s">
        <v>4359</v>
      </c>
      <c r="Y8" s="21" t="str">
        <f>_xlfn.XLOOKUP(V8,'T08'!$G$3:$G$1500,'T08'!$AC$3:$AC$1500)</f>
        <v>N/A</v>
      </c>
      <c r="Z8" s="21" t="s">
        <v>844</v>
      </c>
      <c r="AA8" s="37" t="s">
        <v>844</v>
      </c>
      <c r="AB8" s="21" t="str">
        <f>IF(C8="Against bill",IF(V8&lt;&gt;"N/A","OK - bill linked","Missing bill"),IF(Z8&lt;&gt;"N/A","OK - advance request linked","Missing request"))</f>
        <v>OK - bill linked</v>
      </c>
      <c r="AC8" s="21" t="s">
        <v>844</v>
      </c>
      <c r="AD8" s="21" t="s">
        <v>4360</v>
      </c>
      <c r="AE8" s="21">
        <v>1</v>
      </c>
      <c r="AF8" s="21" t="s">
        <v>4383</v>
      </c>
      <c r="AG8" s="37">
        <f>_xlfn.XLOOKUP(V8,'T08'!$G$3:$G$1500,'T08'!$BH$3:$BH$1500)</f>
        <v>271980</v>
      </c>
      <c r="AH8" s="37">
        <v>0</v>
      </c>
      <c r="AI8" s="37">
        <f>_xlfn.XLOOKUP(V8,'T08'!$G$3:$G$1500,'T08'!$BI$3:$BI$1500)</f>
        <v>10879</v>
      </c>
      <c r="AJ8" s="37">
        <f>_xlfn.XLOOKUP(V8,'T08'!$G$3:$G$1500,'T08'!$BJ$3:$BJ$1500)</f>
        <v>0</v>
      </c>
      <c r="AK8" s="37">
        <f>AG8-AH8-AI8-AJ8</f>
        <v>261101</v>
      </c>
      <c r="AL8" s="37">
        <f>AG8-AH8-AI8-AJ8-AK8</f>
        <v>0</v>
      </c>
      <c r="AM8" s="21" t="s">
        <v>4384</v>
      </c>
      <c r="AN8" s="37">
        <f>SUMIFS($AG$3:$AG$1500,$A$3:$A$1500,A8)</f>
        <v>996932</v>
      </c>
      <c r="AO8" s="37">
        <f>SUMIFS($AI$3:$AI$1500,$A$3:$A$1500,A8)</f>
        <v>39877</v>
      </c>
      <c r="AP8" s="37">
        <f>SUMIFS($AJ$3:$AJ$1500,$A$3:$A$1500,A8)</f>
        <v>5000</v>
      </c>
      <c r="AQ8" s="37">
        <f>SUMIFS($AK$3:$AK$1500,$A$3:$A$1500,A8)</f>
        <v>952055</v>
      </c>
      <c r="AR8" s="21" t="str">
        <f>"PKR "&amp;TEXT(AQ8,"#,##0")&amp;" only"</f>
        <v>PKR 952,055 only</v>
      </c>
      <c r="AS8" s="21" t="str">
        <f>"Sec 153 - deposit by "&amp;TEXT(EOMONTH(B8,0)+15,"dd-mmm-yyyy")</f>
        <v>Sec 153 - deposit by 15-Apr-2025</v>
      </c>
      <c r="AT8" s="21" t="s">
        <v>844</v>
      </c>
      <c r="AU8" s="21" t="s">
        <v>4385</v>
      </c>
      <c r="AV8" s="21" t="s">
        <v>4364</v>
      </c>
      <c r="AW8" s="29">
        <v>45747</v>
      </c>
      <c r="AX8" s="37">
        <f>AQ8+AY8</f>
        <v>952205</v>
      </c>
      <c r="AY8" s="37">
        <v>150</v>
      </c>
      <c r="AZ8" s="21" t="s">
        <v>3090</v>
      </c>
      <c r="BA8" s="21" t="s">
        <v>4356</v>
      </c>
      <c r="BB8" s="21" t="s">
        <v>848</v>
      </c>
      <c r="BC8" s="21" t="s">
        <v>4365</v>
      </c>
      <c r="BD8" s="21" t="str">
        <f>IF(AL8&lt;1,"Bill fully settled","Bill partially settled")</f>
        <v>Bill fully settled</v>
      </c>
      <c r="BE8" s="21" t="str">
        <f>"Payable reduced by PKR "&amp;TEXT(AK8+AI8+AJ8,"#,##0")</f>
        <v>Payable reduced by PKR 271,980</v>
      </c>
      <c r="BF8" s="21" t="s">
        <v>4386</v>
      </c>
      <c r="BG8" s="21" t="s">
        <v>753</v>
      </c>
      <c r="BH8" s="21" t="s">
        <v>844</v>
      </c>
      <c r="BI8" s="21" t="s">
        <v>844</v>
      </c>
      <c r="BJ8" s="21" t="s">
        <v>4387</v>
      </c>
      <c r="BK8" s="21" t="s">
        <v>753</v>
      </c>
      <c r="BL8" s="21" t="s">
        <v>753</v>
      </c>
      <c r="BM8" s="21" t="s">
        <v>753</v>
      </c>
      <c r="BN8" s="21" t="s">
        <v>4368</v>
      </c>
      <c r="BO8" s="21" t="s">
        <v>848</v>
      </c>
      <c r="BP8" s="21" t="str">
        <f>K8</f>
        <v>Paid</v>
      </c>
    </row>
    <row r="9" spans="1:68" x14ac:dyDescent="0.3">
      <c r="A9" s="21" t="s">
        <v>4382</v>
      </c>
      <c r="B9" s="29">
        <v>45747</v>
      </c>
      <c r="C9" s="21" t="s">
        <v>4354</v>
      </c>
      <c r="D9" s="21" t="s">
        <v>743</v>
      </c>
      <c r="E9" s="21" t="s">
        <v>3350</v>
      </c>
      <c r="F9" s="21" t="s">
        <v>3429</v>
      </c>
      <c r="G9" s="21" t="s">
        <v>4355</v>
      </c>
      <c r="H9" s="21" t="s">
        <v>3095</v>
      </c>
      <c r="I9" s="21" t="s">
        <v>3085</v>
      </c>
      <c r="J9" s="21" t="s">
        <v>4356</v>
      </c>
      <c r="K9" s="21" t="s">
        <v>4357</v>
      </c>
      <c r="L9" s="21" t="s">
        <v>3431</v>
      </c>
      <c r="M9" s="21" t="s">
        <v>1278</v>
      </c>
      <c r="N9" s="21" t="s">
        <v>1200</v>
      </c>
      <c r="O9" s="21" t="s">
        <v>746</v>
      </c>
      <c r="P9" s="21" t="s">
        <v>1014</v>
      </c>
      <c r="Q9" s="21" t="s">
        <v>1199</v>
      </c>
      <c r="R9" s="21" t="s">
        <v>1204</v>
      </c>
      <c r="S9" s="21" t="s">
        <v>4358</v>
      </c>
      <c r="T9" s="21" t="s">
        <v>3441</v>
      </c>
      <c r="U9" s="37" cm="1">
        <f t="array" ref="U9">SUMPRODUCT(('T08'!$U$3:$U$1500=M9)*('T08'!$AF$3:$AF$1500=1)*('T08'!$I$3:$I$1500&lt;=B9)*'T08'!$BK$3:$BK$1500)-SUMPRODUCT(($M$3:$M$1500=M9)*($B$3:$B$1500&lt;B9)*($AK$3:$AK$1500+$AI$3:$AI$1500+$AJ$3:$AJ$1500))</f>
        <v>952055</v>
      </c>
      <c r="V9" s="21" t="s">
        <v>3485</v>
      </c>
      <c r="W9" s="21" t="str">
        <f>TEXT(_xlfn.XLOOKUP(V9,'T08'!$G$3:$G$1500,'T08'!$J$3:$J$1500),"dd-mmm-yyyy")&amp;" / due "&amp;TEXT(_xlfn.XLOOKUP(V9,'T08'!$G$3:$G$1500,'T08'!$BQ$3:$BQ$1500),"dd-mmm-yyyy")</f>
        <v>01-Dec-2024 / due 31-Dec-2024</v>
      </c>
      <c r="X9" s="21" t="s">
        <v>4359</v>
      </c>
      <c r="Y9" s="21" t="str">
        <f>_xlfn.XLOOKUP(V9,'T08'!$G$3:$G$1500,'T08'!$AC$3:$AC$1500)</f>
        <v>N/A</v>
      </c>
      <c r="Z9" s="21" t="s">
        <v>844</v>
      </c>
      <c r="AA9" s="37" t="s">
        <v>844</v>
      </c>
      <c r="AB9" s="21" t="str">
        <f>IF(C9="Against bill",IF(V9&lt;&gt;"N/A","OK - bill linked","Missing bill"),IF(Z9&lt;&gt;"N/A","OK - advance request linked","Missing request"))</f>
        <v>OK - bill linked</v>
      </c>
      <c r="AC9" s="21" t="s">
        <v>844</v>
      </c>
      <c r="AD9" s="21" t="s">
        <v>4360</v>
      </c>
      <c r="AE9" s="21">
        <v>2</v>
      </c>
      <c r="AF9" s="21" t="s">
        <v>4383</v>
      </c>
      <c r="AG9" s="37">
        <f>_xlfn.XLOOKUP(V9,'T08'!$G$3:$G$1500,'T08'!$BH$3:$BH$1500)</f>
        <v>230560</v>
      </c>
      <c r="AH9" s="37">
        <v>0</v>
      </c>
      <c r="AI9" s="37">
        <f>_xlfn.XLOOKUP(V9,'T08'!$G$3:$G$1500,'T08'!$BI$3:$BI$1500)</f>
        <v>9222</v>
      </c>
      <c r="AJ9" s="37">
        <f>_xlfn.XLOOKUP(V9,'T08'!$G$3:$G$1500,'T08'!$BJ$3:$BJ$1500)</f>
        <v>0</v>
      </c>
      <c r="AK9" s="37">
        <f>AG9-AH9-AI9-AJ9</f>
        <v>221338</v>
      </c>
      <c r="AL9" s="37">
        <f>AG9-AH9-AI9-AJ9-AK9</f>
        <v>0</v>
      </c>
      <c r="AM9" s="21" t="s">
        <v>4388</v>
      </c>
      <c r="AN9" s="37">
        <f>SUMIFS($AG$3:$AG$1500,$A$3:$A$1500,A9)</f>
        <v>996932</v>
      </c>
      <c r="AO9" s="37">
        <f>SUMIFS($AI$3:$AI$1500,$A$3:$A$1500,A9)</f>
        <v>39877</v>
      </c>
      <c r="AP9" s="37">
        <f>SUMIFS($AJ$3:$AJ$1500,$A$3:$A$1500,A9)</f>
        <v>5000</v>
      </c>
      <c r="AQ9" s="37">
        <f>SUMIFS($AK$3:$AK$1500,$A$3:$A$1500,A9)</f>
        <v>952055</v>
      </c>
      <c r="AR9" s="21" t="str">
        <f>"PKR "&amp;TEXT(AQ9,"#,##0")&amp;" only"</f>
        <v>PKR 952,055 only</v>
      </c>
      <c r="AS9" s="21" t="str">
        <f>"Sec 153 - deposit by "&amp;TEXT(EOMONTH(B9,0)+15,"dd-mmm-yyyy")</f>
        <v>Sec 153 - deposit by 15-Apr-2025</v>
      </c>
      <c r="AT9" s="21" t="s">
        <v>844</v>
      </c>
      <c r="AU9" s="21" t="s">
        <v>4389</v>
      </c>
      <c r="AV9" s="21" t="s">
        <v>4364</v>
      </c>
      <c r="AW9" s="29">
        <v>45747</v>
      </c>
      <c r="AX9" s="37">
        <f>AQ9+AY9</f>
        <v>952055</v>
      </c>
      <c r="AY9" s="37">
        <v>0</v>
      </c>
      <c r="AZ9" s="21" t="s">
        <v>3090</v>
      </c>
      <c r="BA9" s="21" t="s">
        <v>4356</v>
      </c>
      <c r="BB9" s="21" t="s">
        <v>848</v>
      </c>
      <c r="BC9" s="21" t="s">
        <v>4365</v>
      </c>
      <c r="BD9" s="21" t="str">
        <f>IF(AL9&lt;1,"Bill fully settled","Bill partially settled")</f>
        <v>Bill fully settled</v>
      </c>
      <c r="BE9" s="21" t="str">
        <f>"Payable reduced by PKR "&amp;TEXT(AK9+AI9+AJ9,"#,##0")</f>
        <v>Payable reduced by PKR 230,560</v>
      </c>
      <c r="BF9" s="21" t="s">
        <v>4386</v>
      </c>
      <c r="BG9" s="21" t="s">
        <v>753</v>
      </c>
      <c r="BH9" s="21" t="s">
        <v>844</v>
      </c>
      <c r="BI9" s="21" t="s">
        <v>844</v>
      </c>
      <c r="BJ9" s="21" t="s">
        <v>4387</v>
      </c>
      <c r="BK9" s="21" t="s">
        <v>753</v>
      </c>
      <c r="BL9" s="21" t="s">
        <v>753</v>
      </c>
      <c r="BM9" s="21" t="s">
        <v>753</v>
      </c>
      <c r="BN9" s="21" t="s">
        <v>4368</v>
      </c>
      <c r="BO9" s="21" t="s">
        <v>848</v>
      </c>
      <c r="BP9" s="21" t="str">
        <f>K9</f>
        <v>Paid</v>
      </c>
    </row>
    <row r="10" spans="1:68" x14ac:dyDescent="0.3">
      <c r="A10" s="21" t="s">
        <v>4382</v>
      </c>
      <c r="B10" s="29">
        <v>45747</v>
      </c>
      <c r="C10" s="21" t="s">
        <v>4354</v>
      </c>
      <c r="D10" s="21" t="s">
        <v>743</v>
      </c>
      <c r="E10" s="21" t="s">
        <v>3350</v>
      </c>
      <c r="F10" s="21" t="s">
        <v>3429</v>
      </c>
      <c r="G10" s="21" t="s">
        <v>4355</v>
      </c>
      <c r="H10" s="21" t="s">
        <v>3095</v>
      </c>
      <c r="I10" s="21" t="s">
        <v>3085</v>
      </c>
      <c r="J10" s="21" t="s">
        <v>4356</v>
      </c>
      <c r="K10" s="21" t="s">
        <v>4357</v>
      </c>
      <c r="L10" s="21" t="s">
        <v>3431</v>
      </c>
      <c r="M10" s="21" t="s">
        <v>1278</v>
      </c>
      <c r="N10" s="21" t="s">
        <v>1200</v>
      </c>
      <c r="O10" s="21" t="s">
        <v>746</v>
      </c>
      <c r="P10" s="21" t="s">
        <v>1014</v>
      </c>
      <c r="Q10" s="21" t="s">
        <v>1199</v>
      </c>
      <c r="R10" s="21" t="s">
        <v>1204</v>
      </c>
      <c r="S10" s="21" t="s">
        <v>4358</v>
      </c>
      <c r="T10" s="21" t="s">
        <v>3441</v>
      </c>
      <c r="U10" s="37" cm="1">
        <f t="array" ref="U10">SUMPRODUCT(('T08'!$U$3:$U$1500=M10)*('T08'!$AF$3:$AF$1500=1)*('T08'!$I$3:$I$1500&lt;=B10)*'T08'!$BK$3:$BK$1500)-SUMPRODUCT(($M$3:$M$1500=M10)*($B$3:$B$1500&lt;B10)*($AK$3:$AK$1500+$AI$3:$AI$1500+$AJ$3:$AJ$1500))</f>
        <v>952055</v>
      </c>
      <c r="V10" s="21" t="s">
        <v>3593</v>
      </c>
      <c r="W10" s="21" t="str">
        <f>TEXT(_xlfn.XLOOKUP(V10,'T08'!$G$3:$G$1500,'T08'!$J$3:$J$1500),"dd-mmm-yyyy")&amp;" / due "&amp;TEXT(_xlfn.XLOOKUP(V10,'T08'!$G$3:$G$1500,'T08'!$BQ$3:$BQ$1500),"dd-mmm-yyyy")</f>
        <v>01-Feb-2025 / due 03-Mar-2025</v>
      </c>
      <c r="X10" s="21" t="s">
        <v>4359</v>
      </c>
      <c r="Y10" s="21" t="str">
        <f>_xlfn.XLOOKUP(V10,'T08'!$G$3:$G$1500,'T08'!$AC$3:$AC$1500)</f>
        <v>N/A</v>
      </c>
      <c r="Z10" s="21" t="s">
        <v>844</v>
      </c>
      <c r="AA10" s="37" t="s">
        <v>844</v>
      </c>
      <c r="AB10" s="21" t="str">
        <f>IF(C10="Against bill",IF(V10&lt;&gt;"N/A","OK - bill linked","Missing bill"),IF(Z10&lt;&gt;"N/A","OK - advance request linked","Missing request"))</f>
        <v>OK - bill linked</v>
      </c>
      <c r="AC10" s="21" t="s">
        <v>844</v>
      </c>
      <c r="AD10" s="21" t="s">
        <v>4360</v>
      </c>
      <c r="AE10" s="21">
        <v>3</v>
      </c>
      <c r="AF10" s="21" t="s">
        <v>4383</v>
      </c>
      <c r="AG10" s="37">
        <f>_xlfn.XLOOKUP(V10,'T08'!$G$3:$G$1500,'T08'!$BH$3:$BH$1500)</f>
        <v>134328</v>
      </c>
      <c r="AH10" s="37">
        <v>0</v>
      </c>
      <c r="AI10" s="37">
        <f>_xlfn.XLOOKUP(V10,'T08'!$G$3:$G$1500,'T08'!$BI$3:$BI$1500)</f>
        <v>5373</v>
      </c>
      <c r="AJ10" s="37">
        <f>_xlfn.XLOOKUP(V10,'T08'!$G$3:$G$1500,'T08'!$BJ$3:$BJ$1500)</f>
        <v>5000</v>
      </c>
      <c r="AK10" s="37">
        <f>AG10-AH10-AI10-AJ10</f>
        <v>123955</v>
      </c>
      <c r="AL10" s="37">
        <f>AG10-AH10-AI10-AJ10-AK10</f>
        <v>0</v>
      </c>
      <c r="AM10" s="21" t="s">
        <v>4390</v>
      </c>
      <c r="AN10" s="37">
        <f>SUMIFS($AG$3:$AG$1500,$A$3:$A$1500,A10)</f>
        <v>996932</v>
      </c>
      <c r="AO10" s="37">
        <f>SUMIFS($AI$3:$AI$1500,$A$3:$A$1500,A10)</f>
        <v>39877</v>
      </c>
      <c r="AP10" s="37">
        <f>SUMIFS($AJ$3:$AJ$1500,$A$3:$A$1500,A10)</f>
        <v>5000</v>
      </c>
      <c r="AQ10" s="37">
        <f>SUMIFS($AK$3:$AK$1500,$A$3:$A$1500,A10)</f>
        <v>952055</v>
      </c>
      <c r="AR10" s="21" t="str">
        <f>"PKR "&amp;TEXT(AQ10,"#,##0")&amp;" only"</f>
        <v>PKR 952,055 only</v>
      </c>
      <c r="AS10" s="21" t="str">
        <f>"Sec 153 - deposit by "&amp;TEXT(EOMONTH(B10,0)+15,"dd-mmm-yyyy")</f>
        <v>Sec 153 - deposit by 15-Apr-2025</v>
      </c>
      <c r="AT10" s="21" t="s">
        <v>844</v>
      </c>
      <c r="AU10" s="21" t="s">
        <v>4391</v>
      </c>
      <c r="AV10" s="21" t="s">
        <v>4364</v>
      </c>
      <c r="AW10" s="29">
        <v>45747</v>
      </c>
      <c r="AX10" s="37">
        <f>AQ10+AY10</f>
        <v>952055</v>
      </c>
      <c r="AY10" s="37">
        <v>0</v>
      </c>
      <c r="AZ10" s="21" t="s">
        <v>3090</v>
      </c>
      <c r="BA10" s="21" t="s">
        <v>4356</v>
      </c>
      <c r="BB10" s="21" t="s">
        <v>848</v>
      </c>
      <c r="BC10" s="21" t="s">
        <v>4365</v>
      </c>
      <c r="BD10" s="21" t="str">
        <f>IF(AL10&lt;1,"Bill fully settled","Bill partially settled")</f>
        <v>Bill fully settled</v>
      </c>
      <c r="BE10" s="21" t="str">
        <f>"Payable reduced by PKR "&amp;TEXT(AK10+AI10+AJ10,"#,##0")</f>
        <v>Payable reduced by PKR 134,328</v>
      </c>
      <c r="BF10" s="21" t="s">
        <v>4386</v>
      </c>
      <c r="BG10" s="21" t="s">
        <v>753</v>
      </c>
      <c r="BH10" s="21" t="s">
        <v>844</v>
      </c>
      <c r="BI10" s="21" t="s">
        <v>844</v>
      </c>
      <c r="BJ10" s="21" t="s">
        <v>4387</v>
      </c>
      <c r="BK10" s="21" t="s">
        <v>753</v>
      </c>
      <c r="BL10" s="21" t="s">
        <v>753</v>
      </c>
      <c r="BM10" s="21" t="s">
        <v>753</v>
      </c>
      <c r="BN10" s="21" t="s">
        <v>4368</v>
      </c>
      <c r="BO10" s="21" t="s">
        <v>848</v>
      </c>
      <c r="BP10" s="21" t="str">
        <f>K10</f>
        <v>Paid</v>
      </c>
    </row>
    <row r="11" spans="1:68" x14ac:dyDescent="0.3">
      <c r="A11" s="21" t="s">
        <v>4382</v>
      </c>
      <c r="B11" s="29">
        <v>45747</v>
      </c>
      <c r="C11" s="21" t="s">
        <v>4354</v>
      </c>
      <c r="D11" s="21" t="s">
        <v>743</v>
      </c>
      <c r="E11" s="21" t="s">
        <v>3350</v>
      </c>
      <c r="F11" s="21" t="s">
        <v>3429</v>
      </c>
      <c r="G11" s="21" t="s">
        <v>4355</v>
      </c>
      <c r="H11" s="21" t="s">
        <v>3095</v>
      </c>
      <c r="I11" s="21" t="s">
        <v>3085</v>
      </c>
      <c r="J11" s="21" t="s">
        <v>4356</v>
      </c>
      <c r="K11" s="21" t="s">
        <v>4357</v>
      </c>
      <c r="L11" s="21" t="s">
        <v>3431</v>
      </c>
      <c r="M11" s="21" t="s">
        <v>1278</v>
      </c>
      <c r="N11" s="21" t="s">
        <v>1200</v>
      </c>
      <c r="O11" s="21" t="s">
        <v>746</v>
      </c>
      <c r="P11" s="21" t="s">
        <v>1014</v>
      </c>
      <c r="Q11" s="21" t="s">
        <v>1199</v>
      </c>
      <c r="R11" s="21" t="s">
        <v>1204</v>
      </c>
      <c r="S11" s="21" t="s">
        <v>4358</v>
      </c>
      <c r="T11" s="21" t="s">
        <v>3441</v>
      </c>
      <c r="U11" s="37" cm="1">
        <f t="array" ref="U11">SUMPRODUCT(('T08'!$U$3:$U$1500=M11)*('T08'!$AF$3:$AF$1500=1)*('T08'!$I$3:$I$1500&lt;=B11)*'T08'!$BK$3:$BK$1500)-SUMPRODUCT(($M$3:$M$1500=M11)*($B$3:$B$1500&lt;B11)*($AK$3:$AK$1500+$AI$3:$AI$1500+$AJ$3:$AJ$1500))</f>
        <v>952055</v>
      </c>
      <c r="V11" s="21" t="s">
        <v>3632</v>
      </c>
      <c r="W11" s="21" t="str">
        <f>TEXT(_xlfn.XLOOKUP(V11,'T08'!$G$3:$G$1500,'T08'!$J$3:$J$1500),"dd-mmm-yyyy")&amp;" / due "&amp;TEXT(_xlfn.XLOOKUP(V11,'T08'!$G$3:$G$1500,'T08'!$BQ$3:$BQ$1500),"dd-mmm-yyyy")</f>
        <v>01-Mar-2025 / due 31-Mar-2025</v>
      </c>
      <c r="X11" s="21" t="s">
        <v>4359</v>
      </c>
      <c r="Y11" s="21" t="str">
        <f>_xlfn.XLOOKUP(V11,'T08'!$G$3:$G$1500,'T08'!$AC$3:$AC$1500)</f>
        <v>N/A</v>
      </c>
      <c r="Z11" s="21" t="s">
        <v>844</v>
      </c>
      <c r="AA11" s="37" t="s">
        <v>844</v>
      </c>
      <c r="AB11" s="21" t="str">
        <f>IF(C11="Against bill",IF(V11&lt;&gt;"N/A","OK - bill linked","Missing bill"),IF(Z11&lt;&gt;"N/A","OK - advance request linked","Missing request"))</f>
        <v>OK - bill linked</v>
      </c>
      <c r="AC11" s="21" t="s">
        <v>844</v>
      </c>
      <c r="AD11" s="21" t="s">
        <v>4360</v>
      </c>
      <c r="AE11" s="21">
        <v>4</v>
      </c>
      <c r="AF11" s="21" t="s">
        <v>4383</v>
      </c>
      <c r="AG11" s="37">
        <f>_xlfn.XLOOKUP(V11,'T08'!$G$3:$G$1500,'T08'!$BH$3:$BH$1500)</f>
        <v>360064</v>
      </c>
      <c r="AH11" s="37">
        <v>0</v>
      </c>
      <c r="AI11" s="37">
        <f>_xlfn.XLOOKUP(V11,'T08'!$G$3:$G$1500,'T08'!$BI$3:$BI$1500)</f>
        <v>14403</v>
      </c>
      <c r="AJ11" s="37">
        <f>_xlfn.XLOOKUP(V11,'T08'!$G$3:$G$1500,'T08'!$BJ$3:$BJ$1500)</f>
        <v>0</v>
      </c>
      <c r="AK11" s="37">
        <f>AG11-AH11-AI11-AJ11</f>
        <v>345661</v>
      </c>
      <c r="AL11" s="37">
        <f>AG11-AH11-AI11-AJ11-AK11</f>
        <v>0</v>
      </c>
      <c r="AM11" s="21" t="s">
        <v>4392</v>
      </c>
      <c r="AN11" s="37">
        <f>SUMIFS($AG$3:$AG$1500,$A$3:$A$1500,A11)</f>
        <v>996932</v>
      </c>
      <c r="AO11" s="37">
        <f>SUMIFS($AI$3:$AI$1500,$A$3:$A$1500,A11)</f>
        <v>39877</v>
      </c>
      <c r="AP11" s="37">
        <f>SUMIFS($AJ$3:$AJ$1500,$A$3:$A$1500,A11)</f>
        <v>5000</v>
      </c>
      <c r="AQ11" s="37">
        <f>SUMIFS($AK$3:$AK$1500,$A$3:$A$1500,A11)</f>
        <v>952055</v>
      </c>
      <c r="AR11" s="21" t="str">
        <f>"PKR "&amp;TEXT(AQ11,"#,##0")&amp;" only"</f>
        <v>PKR 952,055 only</v>
      </c>
      <c r="AS11" s="21" t="str">
        <f>"Sec 153 - deposit by "&amp;TEXT(EOMONTH(B11,0)+15,"dd-mmm-yyyy")</f>
        <v>Sec 153 - deposit by 15-Apr-2025</v>
      </c>
      <c r="AT11" s="21" t="s">
        <v>844</v>
      </c>
      <c r="AU11" s="21" t="s">
        <v>4391</v>
      </c>
      <c r="AV11" s="21" t="s">
        <v>4364</v>
      </c>
      <c r="AW11" s="29">
        <v>45747</v>
      </c>
      <c r="AX11" s="37">
        <f>AQ11+AY11</f>
        <v>952055</v>
      </c>
      <c r="AY11" s="37">
        <v>0</v>
      </c>
      <c r="AZ11" s="21" t="s">
        <v>3090</v>
      </c>
      <c r="BA11" s="21" t="s">
        <v>4356</v>
      </c>
      <c r="BB11" s="21" t="s">
        <v>848</v>
      </c>
      <c r="BC11" s="21" t="s">
        <v>4365</v>
      </c>
      <c r="BD11" s="21" t="str">
        <f>IF(AL11&lt;1,"Bill fully settled","Bill partially settled")</f>
        <v>Bill fully settled</v>
      </c>
      <c r="BE11" s="21" t="str">
        <f>"Payable reduced by PKR "&amp;TEXT(AK11+AI11+AJ11,"#,##0")</f>
        <v>Payable reduced by PKR 360,064</v>
      </c>
      <c r="BF11" s="21" t="s">
        <v>4386</v>
      </c>
      <c r="BG11" s="21" t="s">
        <v>753</v>
      </c>
      <c r="BH11" s="21" t="s">
        <v>844</v>
      </c>
      <c r="BI11" s="21" t="s">
        <v>844</v>
      </c>
      <c r="BJ11" s="21" t="s">
        <v>4387</v>
      </c>
      <c r="BK11" s="21" t="s">
        <v>753</v>
      </c>
      <c r="BL11" s="21" t="s">
        <v>753</v>
      </c>
      <c r="BM11" s="21" t="s">
        <v>753</v>
      </c>
      <c r="BN11" s="21" t="s">
        <v>4368</v>
      </c>
      <c r="BO11" s="21" t="s">
        <v>848</v>
      </c>
      <c r="BP11" s="21" t="str">
        <f>K11</f>
        <v>Paid</v>
      </c>
    </row>
    <row r="12" spans="1:68" x14ac:dyDescent="0.3">
      <c r="A12" s="21" t="s">
        <v>4393</v>
      </c>
      <c r="B12" s="29">
        <v>45767</v>
      </c>
      <c r="C12" s="21" t="s">
        <v>4354</v>
      </c>
      <c r="D12" s="21" t="s">
        <v>743</v>
      </c>
      <c r="E12" s="21" t="s">
        <v>3400</v>
      </c>
      <c r="F12" s="21" t="s">
        <v>3401</v>
      </c>
      <c r="G12" s="21" t="s">
        <v>4355</v>
      </c>
      <c r="H12" s="21" t="s">
        <v>3095</v>
      </c>
      <c r="I12" s="21" t="s">
        <v>3085</v>
      </c>
      <c r="J12" s="21" t="s">
        <v>4356</v>
      </c>
      <c r="K12" s="21" t="s">
        <v>4357</v>
      </c>
      <c r="L12" s="21" t="s">
        <v>3403</v>
      </c>
      <c r="M12" s="21" t="s">
        <v>3419</v>
      </c>
      <c r="N12" s="21" t="s">
        <v>999</v>
      </c>
      <c r="O12" s="21" t="s">
        <v>746</v>
      </c>
      <c r="P12" s="21" t="s">
        <v>1014</v>
      </c>
      <c r="Q12" s="21" t="s">
        <v>998</v>
      </c>
      <c r="R12" s="21" t="s">
        <v>1015</v>
      </c>
      <c r="S12" s="21" t="s">
        <v>4358</v>
      </c>
      <c r="T12" s="21" t="s">
        <v>3420</v>
      </c>
      <c r="U12" s="37" cm="1">
        <f t="array" ref="U12">SUMPRODUCT(('T08'!$U$3:$U$1500=M12)*('T08'!$AF$3:$AF$1500=1)*('T08'!$I$3:$I$1500&lt;=B12)*'T08'!$BK$3:$BK$1500)-SUMPRODUCT(($M$3:$M$1500=M12)*($B$3:$B$1500&lt;B12)*($AK$3:$AK$1500+$AI$3:$AI$1500+$AJ$3:$AJ$1500))</f>
        <v>16480099</v>
      </c>
      <c r="V12" s="21" t="s">
        <v>3418</v>
      </c>
      <c r="W12" s="21" t="str">
        <f>TEXT(_xlfn.XLOOKUP(V12,'T08'!$G$3:$G$1500,'T08'!$J$3:$J$1500),"dd-mmm-yyyy")&amp;" / due "&amp;TEXT(_xlfn.XLOOKUP(V12,'T08'!$G$3:$G$1500,'T08'!$BQ$3:$BQ$1500),"dd-mmm-yyyy")</f>
        <v>31-Oct-2024 / due 15-Nov-2024</v>
      </c>
      <c r="X12" s="21" t="s">
        <v>4359</v>
      </c>
      <c r="Y12" s="21" t="str">
        <f>_xlfn.XLOOKUP(V12,'T08'!$G$3:$G$1500,'T08'!$AC$3:$AC$1500)</f>
        <v>PO-2410-2</v>
      </c>
      <c r="Z12" s="21" t="s">
        <v>844</v>
      </c>
      <c r="AA12" s="37" t="s">
        <v>844</v>
      </c>
      <c r="AB12" s="21" t="str">
        <f>IF(C12="Against bill",IF(V12&lt;&gt;"N/A","OK - bill linked","Missing bill"),IF(Z12&lt;&gt;"N/A","OK - advance request linked","Missing request"))</f>
        <v>OK - bill linked</v>
      </c>
      <c r="AC12" s="21" t="s">
        <v>844</v>
      </c>
      <c r="AD12" s="21" t="s">
        <v>4360</v>
      </c>
      <c r="AE12" s="21">
        <v>1</v>
      </c>
      <c r="AF12" s="21" t="s">
        <v>4394</v>
      </c>
      <c r="AG12" s="37">
        <f>_xlfn.XLOOKUP(V12,'T08'!$G$3:$G$1500,'T08'!$BH$3:$BH$1500)</f>
        <v>1451880</v>
      </c>
      <c r="AH12" s="37">
        <v>0</v>
      </c>
      <c r="AI12" s="37">
        <f>_xlfn.XLOOKUP(V12,'T08'!$G$3:$G$1500,'T08'!$BI$3:$BI$1500)</f>
        <v>72594</v>
      </c>
      <c r="AJ12" s="37">
        <f>_xlfn.XLOOKUP(V12,'T08'!$G$3:$G$1500,'T08'!$BJ$3:$BJ$1500)</f>
        <v>0</v>
      </c>
      <c r="AK12" s="37">
        <f>AG12-AH12-AI12-AJ12</f>
        <v>1379286</v>
      </c>
      <c r="AL12" s="37">
        <f>AG12-AH12-AI12-AJ12-AK12</f>
        <v>0</v>
      </c>
      <c r="AM12" s="21" t="s">
        <v>4395</v>
      </c>
      <c r="AN12" s="37">
        <f>SUMIFS($AG$3:$AG$1500,$A$3:$A$1500,A12)</f>
        <v>17347473</v>
      </c>
      <c r="AO12" s="37">
        <f>SUMIFS($AI$3:$AI$1500,$A$3:$A$1500,A12)</f>
        <v>867374</v>
      </c>
      <c r="AP12" s="37">
        <f>SUMIFS($AJ$3:$AJ$1500,$A$3:$A$1500,A12)</f>
        <v>0</v>
      </c>
      <c r="AQ12" s="37">
        <f>SUMIFS($AK$3:$AK$1500,$A$3:$A$1500,A12)</f>
        <v>16480099</v>
      </c>
      <c r="AR12" s="21" t="str">
        <f>"PKR "&amp;TEXT(AQ12,"#,##0")&amp;" only"</f>
        <v>PKR 16,480,099 only</v>
      </c>
      <c r="AS12" s="21" t="str">
        <f>"Sec 153 - deposit by "&amp;TEXT(EOMONTH(B12,0)+15,"dd-mmm-yyyy")</f>
        <v>Sec 153 - deposit by 15-May-2025</v>
      </c>
      <c r="AT12" s="21" t="s">
        <v>844</v>
      </c>
      <c r="AU12" s="21" t="s">
        <v>4396</v>
      </c>
      <c r="AV12" s="21" t="s">
        <v>4364</v>
      </c>
      <c r="AW12" s="29">
        <v>45767</v>
      </c>
      <c r="AX12" s="37">
        <f>AQ12+AY12</f>
        <v>16480249</v>
      </c>
      <c r="AY12" s="37">
        <v>150</v>
      </c>
      <c r="AZ12" s="21" t="s">
        <v>3090</v>
      </c>
      <c r="BA12" s="21" t="s">
        <v>4356</v>
      </c>
      <c r="BB12" s="21" t="s">
        <v>848</v>
      </c>
      <c r="BC12" s="21" t="s">
        <v>4365</v>
      </c>
      <c r="BD12" s="21" t="str">
        <f>IF(AL12&lt;1,"Bill fully settled","Bill partially settled")</f>
        <v>Bill fully settled</v>
      </c>
      <c r="BE12" s="21" t="str">
        <f>"Payable reduced by PKR "&amp;TEXT(AK12+AI12+AJ12,"#,##0")</f>
        <v>Payable reduced by PKR 1,451,880</v>
      </c>
      <c r="BF12" s="21" t="s">
        <v>4397</v>
      </c>
      <c r="BG12" s="21" t="s">
        <v>753</v>
      </c>
      <c r="BH12" s="21" t="s">
        <v>4367</v>
      </c>
      <c r="BI12" s="21" t="s">
        <v>844</v>
      </c>
      <c r="BJ12" s="21" t="s">
        <v>844</v>
      </c>
      <c r="BK12" s="21" t="s">
        <v>753</v>
      </c>
      <c r="BL12" s="21" t="s">
        <v>753</v>
      </c>
      <c r="BM12" s="21" t="s">
        <v>753</v>
      </c>
      <c r="BN12" s="21" t="s">
        <v>4368</v>
      </c>
      <c r="BO12" s="21" t="s">
        <v>848</v>
      </c>
      <c r="BP12" s="21" t="str">
        <f>K12</f>
        <v>Paid</v>
      </c>
    </row>
    <row r="13" spans="1:68" x14ac:dyDescent="0.3">
      <c r="A13" s="21" t="s">
        <v>4393</v>
      </c>
      <c r="B13" s="29">
        <v>45767</v>
      </c>
      <c r="C13" s="21" t="s">
        <v>4354</v>
      </c>
      <c r="D13" s="21" t="s">
        <v>743</v>
      </c>
      <c r="E13" s="21" t="s">
        <v>3400</v>
      </c>
      <c r="F13" s="21" t="s">
        <v>3401</v>
      </c>
      <c r="G13" s="21" t="s">
        <v>4355</v>
      </c>
      <c r="H13" s="21" t="s">
        <v>3095</v>
      </c>
      <c r="I13" s="21" t="s">
        <v>3085</v>
      </c>
      <c r="J13" s="21" t="s">
        <v>4356</v>
      </c>
      <c r="K13" s="21" t="s">
        <v>4357</v>
      </c>
      <c r="L13" s="21" t="s">
        <v>3403</v>
      </c>
      <c r="M13" s="21" t="s">
        <v>3419</v>
      </c>
      <c r="N13" s="21" t="s">
        <v>999</v>
      </c>
      <c r="O13" s="21" t="s">
        <v>746</v>
      </c>
      <c r="P13" s="21" t="s">
        <v>1014</v>
      </c>
      <c r="Q13" s="21" t="s">
        <v>998</v>
      </c>
      <c r="R13" s="21" t="s">
        <v>1015</v>
      </c>
      <c r="S13" s="21" t="s">
        <v>4358</v>
      </c>
      <c r="T13" s="21" t="s">
        <v>3420</v>
      </c>
      <c r="U13" s="37" cm="1">
        <f t="array" ref="U13">SUMPRODUCT(('T08'!$U$3:$U$1500=M13)*('T08'!$AF$3:$AF$1500=1)*('T08'!$I$3:$I$1500&lt;=B13)*'T08'!$BK$3:$BK$1500)-SUMPRODUCT(($M$3:$M$1500=M13)*($B$3:$B$1500&lt;B13)*($AK$3:$AK$1500+$AI$3:$AI$1500+$AJ$3:$AJ$1500))</f>
        <v>16480099</v>
      </c>
      <c r="V13" s="21" t="s">
        <v>3472</v>
      </c>
      <c r="W13" s="21" t="str">
        <f>TEXT(_xlfn.XLOOKUP(V13,'T08'!$G$3:$G$1500,'T08'!$J$3:$J$1500),"dd-mmm-yyyy")&amp;" / due "&amp;TEXT(_xlfn.XLOOKUP(V13,'T08'!$G$3:$G$1500,'T08'!$BQ$3:$BQ$1500),"dd-mmm-yyyy")</f>
        <v>30-Nov-2024 / due 15-Dec-2024</v>
      </c>
      <c r="X13" s="21" t="s">
        <v>4359</v>
      </c>
      <c r="Y13" s="21" t="str">
        <f>_xlfn.XLOOKUP(V13,'T08'!$G$3:$G$1500,'T08'!$AC$3:$AC$1500)</f>
        <v>PO-2411-2</v>
      </c>
      <c r="Z13" s="21" t="s">
        <v>844</v>
      </c>
      <c r="AA13" s="37" t="s">
        <v>844</v>
      </c>
      <c r="AB13" s="21" t="str">
        <f>IF(C13="Against bill",IF(V13&lt;&gt;"N/A","OK - bill linked","Missing bill"),IF(Z13&lt;&gt;"N/A","OK - advance request linked","Missing request"))</f>
        <v>OK - bill linked</v>
      </c>
      <c r="AC13" s="21" t="s">
        <v>844</v>
      </c>
      <c r="AD13" s="21" t="s">
        <v>4360</v>
      </c>
      <c r="AE13" s="21">
        <v>2</v>
      </c>
      <c r="AF13" s="21" t="s">
        <v>4394</v>
      </c>
      <c r="AG13" s="37">
        <f>_xlfn.XLOOKUP(V13,'T08'!$G$3:$G$1500,'T08'!$BH$3:$BH$1500)</f>
        <v>10153130</v>
      </c>
      <c r="AH13" s="37">
        <v>0</v>
      </c>
      <c r="AI13" s="37">
        <f>_xlfn.XLOOKUP(V13,'T08'!$G$3:$G$1500,'T08'!$BI$3:$BI$1500)</f>
        <v>507657</v>
      </c>
      <c r="AJ13" s="37">
        <f>_xlfn.XLOOKUP(V13,'T08'!$G$3:$G$1500,'T08'!$BJ$3:$BJ$1500)</f>
        <v>0</v>
      </c>
      <c r="AK13" s="37">
        <f>AG13-AH13-AI13-AJ13</f>
        <v>9645473</v>
      </c>
      <c r="AL13" s="37">
        <f>AG13-AH13-AI13-AJ13-AK13</f>
        <v>0</v>
      </c>
      <c r="AM13" s="21" t="s">
        <v>4398</v>
      </c>
      <c r="AN13" s="37">
        <f>SUMIFS($AG$3:$AG$1500,$A$3:$A$1500,A13)</f>
        <v>17347473</v>
      </c>
      <c r="AO13" s="37">
        <f>SUMIFS($AI$3:$AI$1500,$A$3:$A$1500,A13)</f>
        <v>867374</v>
      </c>
      <c r="AP13" s="37">
        <f>SUMIFS($AJ$3:$AJ$1500,$A$3:$A$1500,A13)</f>
        <v>0</v>
      </c>
      <c r="AQ13" s="37">
        <f>SUMIFS($AK$3:$AK$1500,$A$3:$A$1500,A13)</f>
        <v>16480099</v>
      </c>
      <c r="AR13" s="21" t="str">
        <f>"PKR "&amp;TEXT(AQ13,"#,##0")&amp;" only"</f>
        <v>PKR 16,480,099 only</v>
      </c>
      <c r="AS13" s="21" t="str">
        <f>"Sec 153 - deposit by "&amp;TEXT(EOMONTH(B13,0)+15,"dd-mmm-yyyy")</f>
        <v>Sec 153 - deposit by 15-May-2025</v>
      </c>
      <c r="AT13" s="21" t="s">
        <v>844</v>
      </c>
      <c r="AU13" s="21" t="s">
        <v>4399</v>
      </c>
      <c r="AV13" s="21" t="s">
        <v>4364</v>
      </c>
      <c r="AW13" s="29">
        <v>45767</v>
      </c>
      <c r="AX13" s="37">
        <f>AQ13+AY13</f>
        <v>16480099</v>
      </c>
      <c r="AY13" s="37">
        <v>0</v>
      </c>
      <c r="AZ13" s="21" t="s">
        <v>3090</v>
      </c>
      <c r="BA13" s="21" t="s">
        <v>4356</v>
      </c>
      <c r="BB13" s="21" t="s">
        <v>848</v>
      </c>
      <c r="BC13" s="21" t="s">
        <v>4365</v>
      </c>
      <c r="BD13" s="21" t="str">
        <f>IF(AL13&lt;1,"Bill fully settled","Bill partially settled")</f>
        <v>Bill fully settled</v>
      </c>
      <c r="BE13" s="21" t="str">
        <f>"Payable reduced by PKR "&amp;TEXT(AK13+AI13+AJ13,"#,##0")</f>
        <v>Payable reduced by PKR 10,153,130</v>
      </c>
      <c r="BF13" s="21" t="s">
        <v>4397</v>
      </c>
      <c r="BG13" s="21" t="s">
        <v>753</v>
      </c>
      <c r="BH13" s="21" t="s">
        <v>4367</v>
      </c>
      <c r="BI13" s="21" t="s">
        <v>844</v>
      </c>
      <c r="BJ13" s="21" t="s">
        <v>844</v>
      </c>
      <c r="BK13" s="21" t="s">
        <v>753</v>
      </c>
      <c r="BL13" s="21" t="s">
        <v>753</v>
      </c>
      <c r="BM13" s="21" t="s">
        <v>753</v>
      </c>
      <c r="BN13" s="21" t="s">
        <v>4368</v>
      </c>
      <c r="BO13" s="21" t="s">
        <v>848</v>
      </c>
      <c r="BP13" s="21" t="str">
        <f>K13</f>
        <v>Paid</v>
      </c>
    </row>
    <row r="14" spans="1:68" x14ac:dyDescent="0.3">
      <c r="A14" s="21" t="s">
        <v>4393</v>
      </c>
      <c r="B14" s="29">
        <v>45767</v>
      </c>
      <c r="C14" s="21" t="s">
        <v>4354</v>
      </c>
      <c r="D14" s="21" t="s">
        <v>743</v>
      </c>
      <c r="E14" s="21" t="s">
        <v>3400</v>
      </c>
      <c r="F14" s="21" t="s">
        <v>3401</v>
      </c>
      <c r="G14" s="21" t="s">
        <v>4355</v>
      </c>
      <c r="H14" s="21" t="s">
        <v>3095</v>
      </c>
      <c r="I14" s="21" t="s">
        <v>3085</v>
      </c>
      <c r="J14" s="21" t="s">
        <v>4356</v>
      </c>
      <c r="K14" s="21" t="s">
        <v>4357</v>
      </c>
      <c r="L14" s="21" t="s">
        <v>3403</v>
      </c>
      <c r="M14" s="21" t="s">
        <v>3419</v>
      </c>
      <c r="N14" s="21" t="s">
        <v>999</v>
      </c>
      <c r="O14" s="21" t="s">
        <v>746</v>
      </c>
      <c r="P14" s="21" t="s">
        <v>1014</v>
      </c>
      <c r="Q14" s="21" t="s">
        <v>998</v>
      </c>
      <c r="R14" s="21" t="s">
        <v>1015</v>
      </c>
      <c r="S14" s="21" t="s">
        <v>4358</v>
      </c>
      <c r="T14" s="21" t="s">
        <v>3420</v>
      </c>
      <c r="U14" s="37" cm="1">
        <f t="array" ref="U14">SUMPRODUCT(('T08'!$U$3:$U$1500=M14)*('T08'!$AF$3:$AF$1500=1)*('T08'!$I$3:$I$1500&lt;=B14)*'T08'!$BK$3:$BK$1500)-SUMPRODUCT(($M$3:$M$1500=M14)*($B$3:$B$1500&lt;B14)*($AK$3:$AK$1500+$AI$3:$AI$1500+$AJ$3:$AJ$1500))</f>
        <v>16480099</v>
      </c>
      <c r="V14" s="21" t="s">
        <v>3623</v>
      </c>
      <c r="W14" s="21" t="str">
        <f>TEXT(_xlfn.XLOOKUP(V14,'T08'!$G$3:$G$1500,'T08'!$J$3:$J$1500),"dd-mmm-yyyy")&amp;" / due "&amp;TEXT(_xlfn.XLOOKUP(V14,'T08'!$G$3:$G$1500,'T08'!$BQ$3:$BQ$1500),"dd-mmm-yyyy")</f>
        <v>28-Feb-2025 / due 15-Mar-2025</v>
      </c>
      <c r="X14" s="21" t="s">
        <v>4359</v>
      </c>
      <c r="Y14" s="21" t="str">
        <f>_xlfn.XLOOKUP(V14,'T08'!$G$3:$G$1500,'T08'!$AC$3:$AC$1500)</f>
        <v>PO-2502-2</v>
      </c>
      <c r="Z14" s="21" t="s">
        <v>844</v>
      </c>
      <c r="AA14" s="37" t="s">
        <v>844</v>
      </c>
      <c r="AB14" s="21" t="str">
        <f>IF(C14="Against bill",IF(V14&lt;&gt;"N/A","OK - bill linked","Missing bill"),IF(Z14&lt;&gt;"N/A","OK - advance request linked","Missing request"))</f>
        <v>OK - bill linked</v>
      </c>
      <c r="AC14" s="21" t="s">
        <v>844</v>
      </c>
      <c r="AD14" s="21" t="s">
        <v>4360</v>
      </c>
      <c r="AE14" s="21">
        <v>3</v>
      </c>
      <c r="AF14" s="21" t="s">
        <v>4394</v>
      </c>
      <c r="AG14" s="37">
        <f>_xlfn.XLOOKUP(V14,'T08'!$G$3:$G$1500,'T08'!$BH$3:$BH$1500)</f>
        <v>2119083</v>
      </c>
      <c r="AH14" s="37">
        <v>0</v>
      </c>
      <c r="AI14" s="37">
        <f>_xlfn.XLOOKUP(V14,'T08'!$G$3:$G$1500,'T08'!$BI$3:$BI$1500)</f>
        <v>105954</v>
      </c>
      <c r="AJ14" s="37">
        <f>_xlfn.XLOOKUP(V14,'T08'!$G$3:$G$1500,'T08'!$BJ$3:$BJ$1500)</f>
        <v>0</v>
      </c>
      <c r="AK14" s="37">
        <f>AG14-AH14-AI14-AJ14</f>
        <v>2013129</v>
      </c>
      <c r="AL14" s="37">
        <f>AG14-AH14-AI14-AJ14-AK14</f>
        <v>0</v>
      </c>
      <c r="AM14" s="21" t="s">
        <v>4400</v>
      </c>
      <c r="AN14" s="37">
        <f>SUMIFS($AG$3:$AG$1500,$A$3:$A$1500,A14)</f>
        <v>17347473</v>
      </c>
      <c r="AO14" s="37">
        <f>SUMIFS($AI$3:$AI$1500,$A$3:$A$1500,A14)</f>
        <v>867374</v>
      </c>
      <c r="AP14" s="37">
        <f>SUMIFS($AJ$3:$AJ$1500,$A$3:$A$1500,A14)</f>
        <v>0</v>
      </c>
      <c r="AQ14" s="37">
        <f>SUMIFS($AK$3:$AK$1500,$A$3:$A$1500,A14)</f>
        <v>16480099</v>
      </c>
      <c r="AR14" s="21" t="str">
        <f>"PKR "&amp;TEXT(AQ14,"#,##0")&amp;" only"</f>
        <v>PKR 16,480,099 only</v>
      </c>
      <c r="AS14" s="21" t="str">
        <f>"Sec 153 - deposit by "&amp;TEXT(EOMONTH(B14,0)+15,"dd-mmm-yyyy")</f>
        <v>Sec 153 - deposit by 15-May-2025</v>
      </c>
      <c r="AT14" s="21" t="s">
        <v>844</v>
      </c>
      <c r="AU14" s="21" t="s">
        <v>4401</v>
      </c>
      <c r="AV14" s="21" t="s">
        <v>4364</v>
      </c>
      <c r="AW14" s="29">
        <v>45767</v>
      </c>
      <c r="AX14" s="37">
        <f>AQ14+AY14</f>
        <v>16480099</v>
      </c>
      <c r="AY14" s="37">
        <v>0</v>
      </c>
      <c r="AZ14" s="21" t="s">
        <v>3090</v>
      </c>
      <c r="BA14" s="21" t="s">
        <v>4356</v>
      </c>
      <c r="BB14" s="21" t="s">
        <v>848</v>
      </c>
      <c r="BC14" s="21" t="s">
        <v>4365</v>
      </c>
      <c r="BD14" s="21" t="str">
        <f>IF(AL14&lt;1,"Bill fully settled","Bill partially settled")</f>
        <v>Bill fully settled</v>
      </c>
      <c r="BE14" s="21" t="str">
        <f>"Payable reduced by PKR "&amp;TEXT(AK14+AI14+AJ14,"#,##0")</f>
        <v>Payable reduced by PKR 2,119,083</v>
      </c>
      <c r="BF14" s="21" t="s">
        <v>4397</v>
      </c>
      <c r="BG14" s="21" t="s">
        <v>753</v>
      </c>
      <c r="BH14" s="21" t="s">
        <v>4367</v>
      </c>
      <c r="BI14" s="21" t="s">
        <v>844</v>
      </c>
      <c r="BJ14" s="21" t="s">
        <v>844</v>
      </c>
      <c r="BK14" s="21" t="s">
        <v>753</v>
      </c>
      <c r="BL14" s="21" t="s">
        <v>753</v>
      </c>
      <c r="BM14" s="21" t="s">
        <v>753</v>
      </c>
      <c r="BN14" s="21" t="s">
        <v>4368</v>
      </c>
      <c r="BO14" s="21" t="s">
        <v>848</v>
      </c>
      <c r="BP14" s="21" t="str">
        <f>K14</f>
        <v>Paid</v>
      </c>
    </row>
    <row r="15" spans="1:68" x14ac:dyDescent="0.3">
      <c r="A15" s="21" t="s">
        <v>4393</v>
      </c>
      <c r="B15" s="29">
        <v>45767</v>
      </c>
      <c r="C15" s="21" t="s">
        <v>4354</v>
      </c>
      <c r="D15" s="21" t="s">
        <v>743</v>
      </c>
      <c r="E15" s="21" t="s">
        <v>3400</v>
      </c>
      <c r="F15" s="21" t="s">
        <v>3401</v>
      </c>
      <c r="G15" s="21" t="s">
        <v>4355</v>
      </c>
      <c r="H15" s="21" t="s">
        <v>3095</v>
      </c>
      <c r="I15" s="21" t="s">
        <v>3085</v>
      </c>
      <c r="J15" s="21" t="s">
        <v>4356</v>
      </c>
      <c r="K15" s="21" t="s">
        <v>4357</v>
      </c>
      <c r="L15" s="21" t="s">
        <v>3403</v>
      </c>
      <c r="M15" s="21" t="s">
        <v>3419</v>
      </c>
      <c r="N15" s="21" t="s">
        <v>999</v>
      </c>
      <c r="O15" s="21" t="s">
        <v>746</v>
      </c>
      <c r="P15" s="21" t="s">
        <v>1014</v>
      </c>
      <c r="Q15" s="21" t="s">
        <v>998</v>
      </c>
      <c r="R15" s="21" t="s">
        <v>1015</v>
      </c>
      <c r="S15" s="21" t="s">
        <v>4358</v>
      </c>
      <c r="T15" s="21" t="s">
        <v>3420</v>
      </c>
      <c r="U15" s="37" cm="1">
        <f t="array" ref="U15">SUMPRODUCT(('T08'!$U$3:$U$1500=M15)*('T08'!$AF$3:$AF$1500=1)*('T08'!$I$3:$I$1500&lt;=B15)*'T08'!$BK$3:$BK$1500)-SUMPRODUCT(($M$3:$M$1500=M15)*($B$3:$B$1500&lt;B15)*($AK$3:$AK$1500+$AI$3:$AI$1500+$AJ$3:$AJ$1500))</f>
        <v>16480099</v>
      </c>
      <c r="V15" s="21" t="s">
        <v>3656</v>
      </c>
      <c r="W15" s="21" t="str">
        <f>TEXT(_xlfn.XLOOKUP(V15,'T08'!$G$3:$G$1500,'T08'!$J$3:$J$1500),"dd-mmm-yyyy")&amp;" / due "&amp;TEXT(_xlfn.XLOOKUP(V15,'T08'!$G$3:$G$1500,'T08'!$BQ$3:$BQ$1500),"dd-mmm-yyyy")</f>
        <v>31-Mar-2025 / due 15-Apr-2025</v>
      </c>
      <c r="X15" s="21" t="s">
        <v>4359</v>
      </c>
      <c r="Y15" s="21" t="str">
        <f>_xlfn.XLOOKUP(V15,'T08'!$G$3:$G$1500,'T08'!$AC$3:$AC$1500)</f>
        <v>PO-2503-2</v>
      </c>
      <c r="Z15" s="21" t="s">
        <v>844</v>
      </c>
      <c r="AA15" s="37" t="s">
        <v>844</v>
      </c>
      <c r="AB15" s="21" t="str">
        <f>IF(C15="Against bill",IF(V15&lt;&gt;"N/A","OK - bill linked","Missing bill"),IF(Z15&lt;&gt;"N/A","OK - advance request linked","Missing request"))</f>
        <v>OK - bill linked</v>
      </c>
      <c r="AC15" s="21" t="s">
        <v>844</v>
      </c>
      <c r="AD15" s="21" t="s">
        <v>4360</v>
      </c>
      <c r="AE15" s="21">
        <v>4</v>
      </c>
      <c r="AF15" s="21" t="s">
        <v>4394</v>
      </c>
      <c r="AG15" s="37">
        <f>_xlfn.XLOOKUP(V15,'T08'!$G$3:$G$1500,'T08'!$BH$3:$BH$1500)</f>
        <v>3623380</v>
      </c>
      <c r="AH15" s="37">
        <v>0</v>
      </c>
      <c r="AI15" s="37">
        <f>_xlfn.XLOOKUP(V15,'T08'!$G$3:$G$1500,'T08'!$BI$3:$BI$1500)</f>
        <v>181169</v>
      </c>
      <c r="AJ15" s="37">
        <f>_xlfn.XLOOKUP(V15,'T08'!$G$3:$G$1500,'T08'!$BJ$3:$BJ$1500)</f>
        <v>0</v>
      </c>
      <c r="AK15" s="37">
        <f>AG15-AH15-AI15-AJ15</f>
        <v>3442211</v>
      </c>
      <c r="AL15" s="37">
        <f>AG15-AH15-AI15-AJ15-AK15</f>
        <v>0</v>
      </c>
      <c r="AM15" s="21" t="s">
        <v>4402</v>
      </c>
      <c r="AN15" s="37">
        <f>SUMIFS($AG$3:$AG$1500,$A$3:$A$1500,A15)</f>
        <v>17347473</v>
      </c>
      <c r="AO15" s="37">
        <f>SUMIFS($AI$3:$AI$1500,$A$3:$A$1500,A15)</f>
        <v>867374</v>
      </c>
      <c r="AP15" s="37">
        <f>SUMIFS($AJ$3:$AJ$1500,$A$3:$A$1500,A15)</f>
        <v>0</v>
      </c>
      <c r="AQ15" s="37">
        <f>SUMIFS($AK$3:$AK$1500,$A$3:$A$1500,A15)</f>
        <v>16480099</v>
      </c>
      <c r="AR15" s="21" t="str">
        <f>"PKR "&amp;TEXT(AQ15,"#,##0")&amp;" only"</f>
        <v>PKR 16,480,099 only</v>
      </c>
      <c r="AS15" s="21" t="str">
        <f>"Sec 153 - deposit by "&amp;TEXT(EOMONTH(B15,0)+15,"dd-mmm-yyyy")</f>
        <v>Sec 153 - deposit by 15-May-2025</v>
      </c>
      <c r="AT15" s="21" t="s">
        <v>844</v>
      </c>
      <c r="AU15" s="21" t="s">
        <v>4399</v>
      </c>
      <c r="AV15" s="21" t="s">
        <v>4364</v>
      </c>
      <c r="AW15" s="29">
        <v>45767</v>
      </c>
      <c r="AX15" s="37">
        <f>AQ15+AY15</f>
        <v>16480099</v>
      </c>
      <c r="AY15" s="37">
        <v>0</v>
      </c>
      <c r="AZ15" s="21" t="s">
        <v>3090</v>
      </c>
      <c r="BA15" s="21" t="s">
        <v>4356</v>
      </c>
      <c r="BB15" s="21" t="s">
        <v>848</v>
      </c>
      <c r="BC15" s="21" t="s">
        <v>4365</v>
      </c>
      <c r="BD15" s="21" t="str">
        <f>IF(AL15&lt;1,"Bill fully settled","Bill partially settled")</f>
        <v>Bill fully settled</v>
      </c>
      <c r="BE15" s="21" t="str">
        <f>"Payable reduced by PKR "&amp;TEXT(AK15+AI15+AJ15,"#,##0")</f>
        <v>Payable reduced by PKR 3,623,380</v>
      </c>
      <c r="BF15" s="21" t="s">
        <v>4397</v>
      </c>
      <c r="BG15" s="21" t="s">
        <v>753</v>
      </c>
      <c r="BH15" s="21" t="s">
        <v>4367</v>
      </c>
      <c r="BI15" s="21" t="s">
        <v>844</v>
      </c>
      <c r="BJ15" s="21" t="s">
        <v>844</v>
      </c>
      <c r="BK15" s="21" t="s">
        <v>753</v>
      </c>
      <c r="BL15" s="21" t="s">
        <v>753</v>
      </c>
      <c r="BM15" s="21" t="s">
        <v>753</v>
      </c>
      <c r="BN15" s="21" t="s">
        <v>4368</v>
      </c>
      <c r="BO15" s="21" t="s">
        <v>848</v>
      </c>
      <c r="BP15" s="21" t="str">
        <f>K15</f>
        <v>Paid</v>
      </c>
    </row>
    <row r="16" spans="1:68" x14ac:dyDescent="0.3">
      <c r="A16" s="21" t="s">
        <v>4403</v>
      </c>
      <c r="B16" s="29">
        <v>45781</v>
      </c>
      <c r="C16" s="21" t="s">
        <v>4354</v>
      </c>
      <c r="D16" s="21" t="s">
        <v>743</v>
      </c>
      <c r="E16" s="21" t="s">
        <v>3350</v>
      </c>
      <c r="F16" s="21" t="s">
        <v>3429</v>
      </c>
      <c r="G16" s="21" t="s">
        <v>4355</v>
      </c>
      <c r="H16" s="21" t="s">
        <v>3095</v>
      </c>
      <c r="I16" s="21" t="s">
        <v>3085</v>
      </c>
      <c r="J16" s="21" t="s">
        <v>4356</v>
      </c>
      <c r="K16" s="21" t="s">
        <v>4357</v>
      </c>
      <c r="L16" s="21" t="s">
        <v>3431</v>
      </c>
      <c r="M16" s="21" t="s">
        <v>1213</v>
      </c>
      <c r="N16" s="21" t="s">
        <v>1194</v>
      </c>
      <c r="O16" s="21" t="s">
        <v>746</v>
      </c>
      <c r="P16" s="21" t="s">
        <v>983</v>
      </c>
      <c r="Q16" s="21" t="s">
        <v>1193</v>
      </c>
      <c r="R16" s="21" t="s">
        <v>1198</v>
      </c>
      <c r="S16" s="21" t="s">
        <v>4358</v>
      </c>
      <c r="T16" s="21" t="s">
        <v>3493</v>
      </c>
      <c r="U16" s="37" cm="1">
        <f t="array" ref="U16">SUMPRODUCT(('T08'!$U$3:$U$1500=M16)*('T08'!$AF$3:$AF$1500=1)*('T08'!$I$3:$I$1500&lt;=B16)*'T08'!$BK$3:$BK$1500)-SUMPRODUCT(($M$3:$M$1500=M16)*($B$3:$B$1500&lt;B16)*($AK$3:$AK$1500+$AI$3:$AI$1500+$AJ$3:$AJ$1500))</f>
        <v>1080046</v>
      </c>
      <c r="V16" s="21" t="s">
        <v>3491</v>
      </c>
      <c r="W16" s="21" t="str">
        <f>TEXT(_xlfn.XLOOKUP(V16,'T08'!$G$3:$G$1500,'T08'!$J$3:$J$1500),"dd-mmm-yyyy")&amp;" / due "&amp;TEXT(_xlfn.XLOOKUP(V16,'T08'!$G$3:$G$1500,'T08'!$BQ$3:$BQ$1500),"dd-mmm-yyyy")</f>
        <v>01-Dec-2024 / due 31-Dec-2024</v>
      </c>
      <c r="X16" s="21" t="s">
        <v>4359</v>
      </c>
      <c r="Y16" s="21" t="str">
        <f>_xlfn.XLOOKUP(V16,'T08'!$G$3:$G$1500,'T08'!$AC$3:$AC$1500)</f>
        <v>N/A</v>
      </c>
      <c r="Z16" s="21" t="s">
        <v>844</v>
      </c>
      <c r="AA16" s="37" t="s">
        <v>844</v>
      </c>
      <c r="AB16" s="21" t="str">
        <f>IF(C16="Against bill",IF(V16&lt;&gt;"N/A","OK - bill linked","Missing bill"),IF(Z16&lt;&gt;"N/A","OK - advance request linked","Missing request"))</f>
        <v>OK - bill linked</v>
      </c>
      <c r="AC16" s="21" t="s">
        <v>844</v>
      </c>
      <c r="AD16" s="21" t="s">
        <v>4360</v>
      </c>
      <c r="AE16" s="21">
        <v>1</v>
      </c>
      <c r="AF16" s="21" t="s">
        <v>4404</v>
      </c>
      <c r="AG16" s="37">
        <f>_xlfn.XLOOKUP(V16,'T08'!$G$3:$G$1500,'T08'!$BH$3:$BH$1500)</f>
        <v>265872</v>
      </c>
      <c r="AH16" s="37">
        <v>0</v>
      </c>
      <c r="AI16" s="37">
        <f>_xlfn.XLOOKUP(V16,'T08'!$G$3:$G$1500,'T08'!$BI$3:$BI$1500)</f>
        <v>10635</v>
      </c>
      <c r="AJ16" s="37">
        <f>_xlfn.XLOOKUP(V16,'T08'!$G$3:$G$1500,'T08'!$BJ$3:$BJ$1500)</f>
        <v>0</v>
      </c>
      <c r="AK16" s="37">
        <f>AG16-AH16-AI16-AJ16</f>
        <v>255237</v>
      </c>
      <c r="AL16" s="37">
        <f>AG16-AH16-AI16-AJ16-AK16</f>
        <v>0</v>
      </c>
      <c r="AM16" s="21" t="s">
        <v>4405</v>
      </c>
      <c r="AN16" s="37">
        <f>SUMIFS($AG$3:$AG$1500,$A$3:$A$1500,A16)</f>
        <v>948832</v>
      </c>
      <c r="AO16" s="37">
        <f>SUMIFS($AI$3:$AI$1500,$A$3:$A$1500,A16)</f>
        <v>37953</v>
      </c>
      <c r="AP16" s="37">
        <f>SUMIFS($AJ$3:$AJ$1500,$A$3:$A$1500,A16)</f>
        <v>0</v>
      </c>
      <c r="AQ16" s="37">
        <f>SUMIFS($AK$3:$AK$1500,$A$3:$A$1500,A16)</f>
        <v>910879</v>
      </c>
      <c r="AR16" s="21" t="str">
        <f>"PKR "&amp;TEXT(AQ16,"#,##0")&amp;" only"</f>
        <v>PKR 910,879 only</v>
      </c>
      <c r="AS16" s="21" t="str">
        <f>"Sec 153 - deposit by "&amp;TEXT(EOMONTH(B16,0)+15,"dd-mmm-yyyy")</f>
        <v>Sec 153 - deposit by 15-Jun-2025</v>
      </c>
      <c r="AT16" s="21" t="s">
        <v>844</v>
      </c>
      <c r="AU16" s="21" t="s">
        <v>4406</v>
      </c>
      <c r="AV16" s="21" t="s">
        <v>4364</v>
      </c>
      <c r="AW16" s="29">
        <v>45781</v>
      </c>
      <c r="AX16" s="37">
        <f>AQ16+AY16</f>
        <v>911029</v>
      </c>
      <c r="AY16" s="37">
        <v>150</v>
      </c>
      <c r="AZ16" s="21" t="s">
        <v>3090</v>
      </c>
      <c r="BA16" s="21" t="s">
        <v>4356</v>
      </c>
      <c r="BB16" s="21" t="s">
        <v>848</v>
      </c>
      <c r="BC16" s="21" t="s">
        <v>4365</v>
      </c>
      <c r="BD16" s="21" t="str">
        <f>IF(AL16&lt;1,"Bill fully settled","Bill partially settled")</f>
        <v>Bill fully settled</v>
      </c>
      <c r="BE16" s="21" t="str">
        <f>"Payable reduced by PKR "&amp;TEXT(AK16+AI16+AJ16,"#,##0")</f>
        <v>Payable reduced by PKR 265,872</v>
      </c>
      <c r="BF16" s="21" t="s">
        <v>4407</v>
      </c>
      <c r="BG16" s="21" t="s">
        <v>753</v>
      </c>
      <c r="BH16" s="21" t="s">
        <v>844</v>
      </c>
      <c r="BI16" s="21" t="s">
        <v>844</v>
      </c>
      <c r="BJ16" s="21" t="s">
        <v>4387</v>
      </c>
      <c r="BK16" s="21" t="s">
        <v>753</v>
      </c>
      <c r="BL16" s="21" t="s">
        <v>753</v>
      </c>
      <c r="BM16" s="21" t="s">
        <v>753</v>
      </c>
      <c r="BN16" s="21" t="s">
        <v>4368</v>
      </c>
      <c r="BO16" s="21" t="s">
        <v>848</v>
      </c>
      <c r="BP16" s="21" t="str">
        <f>K16</f>
        <v>Paid</v>
      </c>
    </row>
    <row r="17" spans="1:68" x14ac:dyDescent="0.3">
      <c r="A17" s="21" t="s">
        <v>4403</v>
      </c>
      <c r="B17" s="29">
        <v>45781</v>
      </c>
      <c r="C17" s="21" t="s">
        <v>4354</v>
      </c>
      <c r="D17" s="21" t="s">
        <v>743</v>
      </c>
      <c r="E17" s="21" t="s">
        <v>3350</v>
      </c>
      <c r="F17" s="21" t="s">
        <v>3429</v>
      </c>
      <c r="G17" s="21" t="s">
        <v>4355</v>
      </c>
      <c r="H17" s="21" t="s">
        <v>3095</v>
      </c>
      <c r="I17" s="21" t="s">
        <v>3085</v>
      </c>
      <c r="J17" s="21" t="s">
        <v>4356</v>
      </c>
      <c r="K17" s="21" t="s">
        <v>4357</v>
      </c>
      <c r="L17" s="21" t="s">
        <v>3431</v>
      </c>
      <c r="M17" s="21" t="s">
        <v>1213</v>
      </c>
      <c r="N17" s="21" t="s">
        <v>1194</v>
      </c>
      <c r="O17" s="21" t="s">
        <v>746</v>
      </c>
      <c r="P17" s="21" t="s">
        <v>983</v>
      </c>
      <c r="Q17" s="21" t="s">
        <v>1193</v>
      </c>
      <c r="R17" s="21" t="s">
        <v>1198</v>
      </c>
      <c r="S17" s="21" t="s">
        <v>4358</v>
      </c>
      <c r="T17" s="21" t="s">
        <v>3493</v>
      </c>
      <c r="U17" s="37" cm="1">
        <f t="array" ref="U17">SUMPRODUCT(('T08'!$U$3:$U$1500=M17)*('T08'!$AF$3:$AF$1500=1)*('T08'!$I$3:$I$1500&lt;=B17)*'T08'!$BK$3:$BK$1500)-SUMPRODUCT(($M$3:$M$1500=M17)*($B$3:$B$1500&lt;B17)*($AK$3:$AK$1500+$AI$3:$AI$1500+$AJ$3:$AJ$1500))</f>
        <v>1080046</v>
      </c>
      <c r="V17" s="21" t="s">
        <v>3588</v>
      </c>
      <c r="W17" s="21" t="str">
        <f>TEXT(_xlfn.XLOOKUP(V17,'T08'!$G$3:$G$1500,'T08'!$J$3:$J$1500),"dd-mmm-yyyy")&amp;" / due "&amp;TEXT(_xlfn.XLOOKUP(V17,'T08'!$G$3:$G$1500,'T08'!$BQ$3:$BQ$1500),"dd-mmm-yyyy")</f>
        <v>01-Feb-2025 / due 03-Mar-2025</v>
      </c>
      <c r="X17" s="21" t="s">
        <v>4359</v>
      </c>
      <c r="Y17" s="21" t="str">
        <f>_xlfn.XLOOKUP(V17,'T08'!$G$3:$G$1500,'T08'!$AC$3:$AC$1500)</f>
        <v>N/A</v>
      </c>
      <c r="Z17" s="21" t="s">
        <v>844</v>
      </c>
      <c r="AA17" s="37" t="s">
        <v>844</v>
      </c>
      <c r="AB17" s="21" t="str">
        <f>IF(C17="Against bill",IF(V17&lt;&gt;"N/A","OK - bill linked","Missing bill"),IF(Z17&lt;&gt;"N/A","OK - advance request linked","Missing request"))</f>
        <v>OK - bill linked</v>
      </c>
      <c r="AC17" s="21" t="s">
        <v>844</v>
      </c>
      <c r="AD17" s="21" t="s">
        <v>4360</v>
      </c>
      <c r="AE17" s="21">
        <v>2</v>
      </c>
      <c r="AF17" s="21" t="s">
        <v>4404</v>
      </c>
      <c r="AG17" s="37">
        <f>_xlfn.XLOOKUP(V17,'T08'!$G$3:$G$1500,'T08'!$BH$3:$BH$1500)</f>
        <v>367208</v>
      </c>
      <c r="AH17" s="37">
        <v>0</v>
      </c>
      <c r="AI17" s="37">
        <f>_xlfn.XLOOKUP(V17,'T08'!$G$3:$G$1500,'T08'!$BI$3:$BI$1500)</f>
        <v>14688</v>
      </c>
      <c r="AJ17" s="37">
        <f>_xlfn.XLOOKUP(V17,'T08'!$G$3:$G$1500,'T08'!$BJ$3:$BJ$1500)</f>
        <v>0</v>
      </c>
      <c r="AK17" s="37">
        <f>AG17-AH17-AI17-AJ17</f>
        <v>352520</v>
      </c>
      <c r="AL17" s="37">
        <f>AG17-AH17-AI17-AJ17-AK17</f>
        <v>0</v>
      </c>
      <c r="AM17" s="21" t="s">
        <v>4408</v>
      </c>
      <c r="AN17" s="37">
        <f>SUMIFS($AG$3:$AG$1500,$A$3:$A$1500,A17)</f>
        <v>948832</v>
      </c>
      <c r="AO17" s="37">
        <f>SUMIFS($AI$3:$AI$1500,$A$3:$A$1500,A17)</f>
        <v>37953</v>
      </c>
      <c r="AP17" s="37">
        <f>SUMIFS($AJ$3:$AJ$1500,$A$3:$A$1500,A17)</f>
        <v>0</v>
      </c>
      <c r="AQ17" s="37">
        <f>SUMIFS($AK$3:$AK$1500,$A$3:$A$1500,A17)</f>
        <v>910879</v>
      </c>
      <c r="AR17" s="21" t="str">
        <f>"PKR "&amp;TEXT(AQ17,"#,##0")&amp;" only"</f>
        <v>PKR 910,879 only</v>
      </c>
      <c r="AS17" s="21" t="str">
        <f>"Sec 153 - deposit by "&amp;TEXT(EOMONTH(B17,0)+15,"dd-mmm-yyyy")</f>
        <v>Sec 153 - deposit by 15-Jun-2025</v>
      </c>
      <c r="AT17" s="21" t="s">
        <v>844</v>
      </c>
      <c r="AU17" s="21" t="s">
        <v>4409</v>
      </c>
      <c r="AV17" s="21" t="s">
        <v>4364</v>
      </c>
      <c r="AW17" s="29">
        <v>45781</v>
      </c>
      <c r="AX17" s="37">
        <f>AQ17+AY17</f>
        <v>910879</v>
      </c>
      <c r="AY17" s="37">
        <v>0</v>
      </c>
      <c r="AZ17" s="21" t="s">
        <v>3090</v>
      </c>
      <c r="BA17" s="21" t="s">
        <v>4356</v>
      </c>
      <c r="BB17" s="21" t="s">
        <v>848</v>
      </c>
      <c r="BC17" s="21" t="s">
        <v>4365</v>
      </c>
      <c r="BD17" s="21" t="str">
        <f>IF(AL17&lt;1,"Bill fully settled","Bill partially settled")</f>
        <v>Bill fully settled</v>
      </c>
      <c r="BE17" s="21" t="str">
        <f>"Payable reduced by PKR "&amp;TEXT(AK17+AI17+AJ17,"#,##0")</f>
        <v>Payable reduced by PKR 367,208</v>
      </c>
      <c r="BF17" s="21" t="s">
        <v>4407</v>
      </c>
      <c r="BG17" s="21" t="s">
        <v>753</v>
      </c>
      <c r="BH17" s="21" t="s">
        <v>844</v>
      </c>
      <c r="BI17" s="21" t="s">
        <v>844</v>
      </c>
      <c r="BJ17" s="21" t="s">
        <v>4387</v>
      </c>
      <c r="BK17" s="21" t="s">
        <v>753</v>
      </c>
      <c r="BL17" s="21" t="s">
        <v>753</v>
      </c>
      <c r="BM17" s="21" t="s">
        <v>753</v>
      </c>
      <c r="BN17" s="21" t="s">
        <v>4368</v>
      </c>
      <c r="BO17" s="21" t="s">
        <v>848</v>
      </c>
      <c r="BP17" s="21" t="str">
        <f>K17</f>
        <v>Paid</v>
      </c>
    </row>
    <row r="18" spans="1:68" x14ac:dyDescent="0.3">
      <c r="A18" s="21" t="s">
        <v>4403</v>
      </c>
      <c r="B18" s="29">
        <v>45781</v>
      </c>
      <c r="C18" s="21" t="s">
        <v>4354</v>
      </c>
      <c r="D18" s="21" t="s">
        <v>743</v>
      </c>
      <c r="E18" s="21" t="s">
        <v>3350</v>
      </c>
      <c r="F18" s="21" t="s">
        <v>3429</v>
      </c>
      <c r="G18" s="21" t="s">
        <v>4355</v>
      </c>
      <c r="H18" s="21" t="s">
        <v>3095</v>
      </c>
      <c r="I18" s="21" t="s">
        <v>3085</v>
      </c>
      <c r="J18" s="21" t="s">
        <v>4356</v>
      </c>
      <c r="K18" s="21" t="s">
        <v>4357</v>
      </c>
      <c r="L18" s="21" t="s">
        <v>3431</v>
      </c>
      <c r="M18" s="21" t="s">
        <v>1213</v>
      </c>
      <c r="N18" s="21" t="s">
        <v>1194</v>
      </c>
      <c r="O18" s="21" t="s">
        <v>746</v>
      </c>
      <c r="P18" s="21" t="s">
        <v>983</v>
      </c>
      <c r="Q18" s="21" t="s">
        <v>1193</v>
      </c>
      <c r="R18" s="21" t="s">
        <v>1198</v>
      </c>
      <c r="S18" s="21" t="s">
        <v>4358</v>
      </c>
      <c r="T18" s="21" t="s">
        <v>3493</v>
      </c>
      <c r="U18" s="37" cm="1">
        <f t="array" ref="U18">SUMPRODUCT(('T08'!$U$3:$U$1500=M18)*('T08'!$AF$3:$AF$1500=1)*('T08'!$I$3:$I$1500&lt;=B18)*'T08'!$BK$3:$BK$1500)-SUMPRODUCT(($M$3:$M$1500=M18)*($B$3:$B$1500&lt;B18)*($AK$3:$AK$1500+$AI$3:$AI$1500+$AJ$3:$AJ$1500))</f>
        <v>1080046</v>
      </c>
      <c r="V18" s="21" t="s">
        <v>3627</v>
      </c>
      <c r="W18" s="21" t="str">
        <f>TEXT(_xlfn.XLOOKUP(V18,'T08'!$G$3:$G$1500,'T08'!$J$3:$J$1500),"dd-mmm-yyyy")&amp;" / due "&amp;TEXT(_xlfn.XLOOKUP(V18,'T08'!$G$3:$G$1500,'T08'!$BQ$3:$BQ$1500),"dd-mmm-yyyy")</f>
        <v>01-Mar-2025 / due 31-Mar-2025</v>
      </c>
      <c r="X18" s="21" t="s">
        <v>4359</v>
      </c>
      <c r="Y18" s="21" t="str">
        <f>_xlfn.XLOOKUP(V18,'T08'!$G$3:$G$1500,'T08'!$AC$3:$AC$1500)</f>
        <v>N/A</v>
      </c>
      <c r="Z18" s="21" t="s">
        <v>844</v>
      </c>
      <c r="AA18" s="37" t="s">
        <v>844</v>
      </c>
      <c r="AB18" s="21" t="str">
        <f>IF(C18="Against bill",IF(V18&lt;&gt;"N/A","OK - bill linked","Missing bill"),IF(Z18&lt;&gt;"N/A","OK - advance request linked","Missing request"))</f>
        <v>OK - bill linked</v>
      </c>
      <c r="AC18" s="21" t="s">
        <v>844</v>
      </c>
      <c r="AD18" s="21" t="s">
        <v>4360</v>
      </c>
      <c r="AE18" s="21">
        <v>3</v>
      </c>
      <c r="AF18" s="21" t="s">
        <v>4404</v>
      </c>
      <c r="AG18" s="37">
        <f>_xlfn.XLOOKUP(V18,'T08'!$G$3:$G$1500,'T08'!$BH$3:$BH$1500)</f>
        <v>180032</v>
      </c>
      <c r="AH18" s="37">
        <v>0</v>
      </c>
      <c r="AI18" s="37">
        <f>_xlfn.XLOOKUP(V18,'T08'!$G$3:$G$1500,'T08'!$BI$3:$BI$1500)</f>
        <v>7201</v>
      </c>
      <c r="AJ18" s="37">
        <f>_xlfn.XLOOKUP(V18,'T08'!$G$3:$G$1500,'T08'!$BJ$3:$BJ$1500)</f>
        <v>0</v>
      </c>
      <c r="AK18" s="37">
        <f>AG18-AH18-AI18-AJ18</f>
        <v>172831</v>
      </c>
      <c r="AL18" s="37">
        <f>AG18-AH18-AI18-AJ18-AK18</f>
        <v>0</v>
      </c>
      <c r="AM18" s="21" t="s">
        <v>4410</v>
      </c>
      <c r="AN18" s="37">
        <f>SUMIFS($AG$3:$AG$1500,$A$3:$A$1500,A18)</f>
        <v>948832</v>
      </c>
      <c r="AO18" s="37">
        <f>SUMIFS($AI$3:$AI$1500,$A$3:$A$1500,A18)</f>
        <v>37953</v>
      </c>
      <c r="AP18" s="37">
        <f>SUMIFS($AJ$3:$AJ$1500,$A$3:$A$1500,A18)</f>
        <v>0</v>
      </c>
      <c r="AQ18" s="37">
        <f>SUMIFS($AK$3:$AK$1500,$A$3:$A$1500,A18)</f>
        <v>910879</v>
      </c>
      <c r="AR18" s="21" t="str">
        <f>"PKR "&amp;TEXT(AQ18,"#,##0")&amp;" only"</f>
        <v>PKR 910,879 only</v>
      </c>
      <c r="AS18" s="21" t="str">
        <f>"Sec 153 - deposit by "&amp;TEXT(EOMONTH(B18,0)+15,"dd-mmm-yyyy")</f>
        <v>Sec 153 - deposit by 15-Jun-2025</v>
      </c>
      <c r="AT18" s="21" t="s">
        <v>844</v>
      </c>
      <c r="AU18" s="21" t="s">
        <v>4411</v>
      </c>
      <c r="AV18" s="21" t="s">
        <v>4364</v>
      </c>
      <c r="AW18" s="29">
        <v>45781</v>
      </c>
      <c r="AX18" s="37">
        <f>AQ18+AY18</f>
        <v>910879</v>
      </c>
      <c r="AY18" s="37">
        <v>0</v>
      </c>
      <c r="AZ18" s="21" t="s">
        <v>3090</v>
      </c>
      <c r="BA18" s="21" t="s">
        <v>4356</v>
      </c>
      <c r="BB18" s="21" t="s">
        <v>848</v>
      </c>
      <c r="BC18" s="21" t="s">
        <v>4365</v>
      </c>
      <c r="BD18" s="21" t="str">
        <f>IF(AL18&lt;1,"Bill fully settled","Bill partially settled")</f>
        <v>Bill fully settled</v>
      </c>
      <c r="BE18" s="21" t="str">
        <f>"Payable reduced by PKR "&amp;TEXT(AK18+AI18+AJ18,"#,##0")</f>
        <v>Payable reduced by PKR 180,032</v>
      </c>
      <c r="BF18" s="21" t="s">
        <v>4407</v>
      </c>
      <c r="BG18" s="21" t="s">
        <v>753</v>
      </c>
      <c r="BH18" s="21" t="s">
        <v>844</v>
      </c>
      <c r="BI18" s="21" t="s">
        <v>844</v>
      </c>
      <c r="BJ18" s="21" t="s">
        <v>4387</v>
      </c>
      <c r="BK18" s="21" t="s">
        <v>753</v>
      </c>
      <c r="BL18" s="21" t="s">
        <v>753</v>
      </c>
      <c r="BM18" s="21" t="s">
        <v>753</v>
      </c>
      <c r="BN18" s="21" t="s">
        <v>4368</v>
      </c>
      <c r="BO18" s="21" t="s">
        <v>848</v>
      </c>
      <c r="BP18" s="21" t="str">
        <f>K18</f>
        <v>Paid</v>
      </c>
    </row>
    <row r="19" spans="1:68" x14ac:dyDescent="0.3">
      <c r="A19" s="21" t="s">
        <v>4403</v>
      </c>
      <c r="B19" s="29">
        <v>45781</v>
      </c>
      <c r="C19" s="21" t="s">
        <v>4354</v>
      </c>
      <c r="D19" s="21" t="s">
        <v>743</v>
      </c>
      <c r="E19" s="21" t="s">
        <v>3350</v>
      </c>
      <c r="F19" s="21" t="s">
        <v>3429</v>
      </c>
      <c r="G19" s="21" t="s">
        <v>4355</v>
      </c>
      <c r="H19" s="21" t="s">
        <v>3095</v>
      </c>
      <c r="I19" s="21" t="s">
        <v>3085</v>
      </c>
      <c r="J19" s="21" t="s">
        <v>4356</v>
      </c>
      <c r="K19" s="21" t="s">
        <v>4357</v>
      </c>
      <c r="L19" s="21" t="s">
        <v>3431</v>
      </c>
      <c r="M19" s="21" t="s">
        <v>1213</v>
      </c>
      <c r="N19" s="21" t="s">
        <v>1194</v>
      </c>
      <c r="O19" s="21" t="s">
        <v>746</v>
      </c>
      <c r="P19" s="21" t="s">
        <v>983</v>
      </c>
      <c r="Q19" s="21" t="s">
        <v>1193</v>
      </c>
      <c r="R19" s="21" t="s">
        <v>1198</v>
      </c>
      <c r="S19" s="21" t="s">
        <v>4358</v>
      </c>
      <c r="T19" s="21" t="s">
        <v>3493</v>
      </c>
      <c r="U19" s="37" cm="1">
        <f t="array" ref="U19">SUMPRODUCT(('T08'!$U$3:$U$1500=M19)*('T08'!$AF$3:$AF$1500=1)*('T08'!$I$3:$I$1500&lt;=B19)*'T08'!$BK$3:$BK$1500)-SUMPRODUCT(($M$3:$M$1500=M19)*($B$3:$B$1500&lt;B19)*($AK$3:$AK$1500+$AI$3:$AI$1500+$AJ$3:$AJ$1500))</f>
        <v>1080046</v>
      </c>
      <c r="V19" s="21" t="s">
        <v>3667</v>
      </c>
      <c r="W19" s="21" t="str">
        <f>TEXT(_xlfn.XLOOKUP(V19,'T08'!$G$3:$G$1500,'T08'!$J$3:$J$1500),"dd-mmm-yyyy")&amp;" / due "&amp;TEXT(_xlfn.XLOOKUP(V19,'T08'!$G$3:$G$1500,'T08'!$BQ$3:$BQ$1500),"dd-mmm-yyyy")</f>
        <v>01-Apr-2025 / due 01-May-2025</v>
      </c>
      <c r="X19" s="21" t="s">
        <v>4359</v>
      </c>
      <c r="Y19" s="21" t="str">
        <f>_xlfn.XLOOKUP(V19,'T08'!$G$3:$G$1500,'T08'!$AC$3:$AC$1500)</f>
        <v>N/A</v>
      </c>
      <c r="Z19" s="21" t="s">
        <v>844</v>
      </c>
      <c r="AA19" s="37" t="s">
        <v>844</v>
      </c>
      <c r="AB19" s="21" t="str">
        <f>IF(C19="Against bill",IF(V19&lt;&gt;"N/A","OK - bill linked","Missing bill"),IF(Z19&lt;&gt;"N/A","OK - advance request linked","Missing request"))</f>
        <v>OK - bill linked</v>
      </c>
      <c r="AC19" s="21" t="s">
        <v>844</v>
      </c>
      <c r="AD19" s="21" t="s">
        <v>4360</v>
      </c>
      <c r="AE19" s="21">
        <v>4</v>
      </c>
      <c r="AF19" s="21" t="s">
        <v>4404</v>
      </c>
      <c r="AG19" s="37">
        <f>_xlfn.XLOOKUP(V19,'T08'!$G$3:$G$1500,'T08'!$BH$3:$BH$1500)</f>
        <v>135720</v>
      </c>
      <c r="AH19" s="37">
        <v>0</v>
      </c>
      <c r="AI19" s="37">
        <f>_xlfn.XLOOKUP(V19,'T08'!$G$3:$G$1500,'T08'!$BI$3:$BI$1500)</f>
        <v>5429</v>
      </c>
      <c r="AJ19" s="37">
        <f>_xlfn.XLOOKUP(V19,'T08'!$G$3:$G$1500,'T08'!$BJ$3:$BJ$1500)</f>
        <v>0</v>
      </c>
      <c r="AK19" s="37">
        <f>AG19-AH19-AI19-AJ19</f>
        <v>130291</v>
      </c>
      <c r="AL19" s="37">
        <f>AG19-AH19-AI19-AJ19-AK19</f>
        <v>0</v>
      </c>
      <c r="AM19" s="21" t="s">
        <v>4412</v>
      </c>
      <c r="AN19" s="37">
        <f>SUMIFS($AG$3:$AG$1500,$A$3:$A$1500,A19)</f>
        <v>948832</v>
      </c>
      <c r="AO19" s="37">
        <f>SUMIFS($AI$3:$AI$1500,$A$3:$A$1500,A19)</f>
        <v>37953</v>
      </c>
      <c r="AP19" s="37">
        <f>SUMIFS($AJ$3:$AJ$1500,$A$3:$A$1500,A19)</f>
        <v>0</v>
      </c>
      <c r="AQ19" s="37">
        <f>SUMIFS($AK$3:$AK$1500,$A$3:$A$1500,A19)</f>
        <v>910879</v>
      </c>
      <c r="AR19" s="21" t="str">
        <f>"PKR "&amp;TEXT(AQ19,"#,##0")&amp;" only"</f>
        <v>PKR 910,879 only</v>
      </c>
      <c r="AS19" s="21" t="str">
        <f>"Sec 153 - deposit by "&amp;TEXT(EOMONTH(B19,0)+15,"dd-mmm-yyyy")</f>
        <v>Sec 153 - deposit by 15-Jun-2025</v>
      </c>
      <c r="AT19" s="21" t="s">
        <v>844</v>
      </c>
      <c r="AU19" s="21" t="s">
        <v>4413</v>
      </c>
      <c r="AV19" s="21" t="s">
        <v>4364</v>
      </c>
      <c r="AW19" s="29">
        <v>45781</v>
      </c>
      <c r="AX19" s="37">
        <f>AQ19+AY19</f>
        <v>910879</v>
      </c>
      <c r="AY19" s="37">
        <v>0</v>
      </c>
      <c r="AZ19" s="21" t="s">
        <v>3090</v>
      </c>
      <c r="BA19" s="21" t="s">
        <v>4356</v>
      </c>
      <c r="BB19" s="21" t="s">
        <v>848</v>
      </c>
      <c r="BC19" s="21" t="s">
        <v>4365</v>
      </c>
      <c r="BD19" s="21" t="str">
        <f>IF(AL19&lt;1,"Bill fully settled","Bill partially settled")</f>
        <v>Bill fully settled</v>
      </c>
      <c r="BE19" s="21" t="str">
        <f>"Payable reduced by PKR "&amp;TEXT(AK19+AI19+AJ19,"#,##0")</f>
        <v>Payable reduced by PKR 135,720</v>
      </c>
      <c r="BF19" s="21" t="s">
        <v>4407</v>
      </c>
      <c r="BG19" s="21" t="s">
        <v>753</v>
      </c>
      <c r="BH19" s="21" t="s">
        <v>844</v>
      </c>
      <c r="BI19" s="21" t="s">
        <v>844</v>
      </c>
      <c r="BJ19" s="21" t="s">
        <v>4387</v>
      </c>
      <c r="BK19" s="21" t="s">
        <v>753</v>
      </c>
      <c r="BL19" s="21" t="s">
        <v>753</v>
      </c>
      <c r="BM19" s="21" t="s">
        <v>753</v>
      </c>
      <c r="BN19" s="21" t="s">
        <v>4368</v>
      </c>
      <c r="BO19" s="21" t="s">
        <v>848</v>
      </c>
      <c r="BP19" s="21" t="str">
        <f>K19</f>
        <v>Paid</v>
      </c>
    </row>
    <row r="20" spans="1:68" x14ac:dyDescent="0.3">
      <c r="A20" s="21" t="s">
        <v>4414</v>
      </c>
      <c r="B20" s="29">
        <v>45826</v>
      </c>
      <c r="C20" s="21" t="s">
        <v>4354</v>
      </c>
      <c r="D20" s="21" t="s">
        <v>743</v>
      </c>
      <c r="E20" s="21" t="s">
        <v>3350</v>
      </c>
      <c r="F20" s="21" t="s">
        <v>3351</v>
      </c>
      <c r="G20" s="21" t="s">
        <v>4355</v>
      </c>
      <c r="H20" s="21" t="s">
        <v>3095</v>
      </c>
      <c r="I20" s="21" t="s">
        <v>3085</v>
      </c>
      <c r="J20" s="21" t="s">
        <v>4356</v>
      </c>
      <c r="K20" s="21" t="s">
        <v>4357</v>
      </c>
      <c r="L20" s="21" t="s">
        <v>3353</v>
      </c>
      <c r="M20" s="21" t="s">
        <v>3354</v>
      </c>
      <c r="N20" s="21" t="s">
        <v>3355</v>
      </c>
      <c r="O20" s="21" t="s">
        <v>746</v>
      </c>
      <c r="P20" s="21" t="s">
        <v>4415</v>
      </c>
      <c r="Q20" s="21" t="s">
        <v>4416</v>
      </c>
      <c r="R20" s="21" t="s">
        <v>4417</v>
      </c>
      <c r="S20" s="21" t="s">
        <v>4358</v>
      </c>
      <c r="T20" s="21" t="s">
        <v>3356</v>
      </c>
      <c r="U20" s="37" cm="1">
        <f t="array" ref="U20">SUMPRODUCT(('T08'!$U$3:$U$1500=M20)*('T08'!$AF$3:$AF$1500=1)*('T08'!$I$3:$I$1500&lt;=B20)*'T08'!$BK$3:$BK$1500)-SUMPRODUCT(($M$3:$M$1500=M20)*($B$3:$B$1500&lt;B20)*($AK$3:$AK$1500+$AI$3:$AI$1500+$AJ$3:$AJ$1500))</f>
        <v>407619.19999999995</v>
      </c>
      <c r="V20" s="21" t="s">
        <v>3348</v>
      </c>
      <c r="W20" s="21" t="str">
        <f>TEXT(_xlfn.XLOOKUP(V20,'T08'!$G$3:$G$1500,'T08'!$J$3:$J$1500),"dd-mmm-yyyy")&amp;" / due "&amp;TEXT(_xlfn.XLOOKUP(V20,'T08'!$G$3:$G$1500,'T08'!$BQ$3:$BQ$1500),"dd-mmm-yyyy")</f>
        <v>05-Oct-2024 / due 15-Oct-2024</v>
      </c>
      <c r="X20" s="21" t="s">
        <v>4359</v>
      </c>
      <c r="Y20" s="21" t="str">
        <f>_xlfn.XLOOKUP(V20,'T08'!$G$3:$G$1500,'T08'!$AC$3:$AC$1500)</f>
        <v>N/A</v>
      </c>
      <c r="Z20" s="21" t="s">
        <v>844</v>
      </c>
      <c r="AA20" s="37" t="s">
        <v>844</v>
      </c>
      <c r="AB20" s="21" t="str">
        <f>IF(C20="Against bill",IF(V20&lt;&gt;"N/A","OK - bill linked","Missing bill"),IF(Z20&lt;&gt;"N/A","OK - advance request linked","Missing request"))</f>
        <v>OK - bill linked</v>
      </c>
      <c r="AC20" s="21" t="s">
        <v>844</v>
      </c>
      <c r="AD20" s="21" t="s">
        <v>4360</v>
      </c>
      <c r="AE20" s="21">
        <v>1</v>
      </c>
      <c r="AF20" s="21" t="s">
        <v>4418</v>
      </c>
      <c r="AG20" s="37">
        <f>_xlfn.XLOOKUP(V20,'T08'!$G$3:$G$1500,'T08'!$BH$3:$BH$1500)</f>
        <v>100300</v>
      </c>
      <c r="AH20" s="37">
        <v>0</v>
      </c>
      <c r="AI20" s="37">
        <f>_xlfn.XLOOKUP(V20,'T08'!$G$3:$G$1500,'T08'!$BI$3:$BI$1500)</f>
        <v>0</v>
      </c>
      <c r="AJ20" s="37">
        <f>_xlfn.XLOOKUP(V20,'T08'!$G$3:$G$1500,'T08'!$BJ$3:$BJ$1500)</f>
        <v>0</v>
      </c>
      <c r="AK20" s="37">
        <f>AG20-AH20-AI20-AJ20</f>
        <v>100300</v>
      </c>
      <c r="AL20" s="37">
        <f>AG20-AH20-AI20-AJ20-AK20</f>
        <v>0</v>
      </c>
      <c r="AM20" s="21" t="s">
        <v>4419</v>
      </c>
      <c r="AN20" s="37">
        <f>SUMIFS($AG$3:$AG$1500,$A$3:$A$1500,A20)</f>
        <v>407619.19999999995</v>
      </c>
      <c r="AO20" s="37">
        <f>SUMIFS($AI$3:$AI$1500,$A$3:$A$1500,A20)</f>
        <v>0</v>
      </c>
      <c r="AP20" s="37">
        <f>SUMIFS($AJ$3:$AJ$1500,$A$3:$A$1500,A20)</f>
        <v>0</v>
      </c>
      <c r="AQ20" s="37">
        <f>SUMIFS($AK$3:$AK$1500,$A$3:$A$1500,A20)</f>
        <v>407619.19999999995</v>
      </c>
      <c r="AR20" s="21" t="str">
        <f>"PKR "&amp;TEXT(AQ20,"#,##0")&amp;" only"</f>
        <v>PKR 407,619 only</v>
      </c>
      <c r="AS20" s="21" t="str">
        <f>"Sec 153 - deposit by "&amp;TEXT(EOMONTH(B20,0)+15,"dd-mmm-yyyy")</f>
        <v>Sec 153 - deposit by 15-Jul-2025</v>
      </c>
      <c r="AT20" s="21" t="s">
        <v>844</v>
      </c>
      <c r="AU20" s="21" t="s">
        <v>4420</v>
      </c>
      <c r="AV20" s="21" t="s">
        <v>4364</v>
      </c>
      <c r="AW20" s="29">
        <v>45826</v>
      </c>
      <c r="AX20" s="37">
        <f>AQ20+AY20</f>
        <v>407769.19999999995</v>
      </c>
      <c r="AY20" s="37">
        <v>150</v>
      </c>
      <c r="AZ20" s="21" t="s">
        <v>3090</v>
      </c>
      <c r="BA20" s="21" t="s">
        <v>4356</v>
      </c>
      <c r="BB20" s="21" t="s">
        <v>848</v>
      </c>
      <c r="BC20" s="21" t="s">
        <v>4365</v>
      </c>
      <c r="BD20" s="21" t="str">
        <f>IF(AL20&lt;1,"Bill fully settled","Bill partially settled")</f>
        <v>Bill fully settled</v>
      </c>
      <c r="BE20" s="21" t="str">
        <f>"Payable reduced by PKR "&amp;TEXT(AK20+AI20+AJ20,"#,##0")</f>
        <v>Payable reduced by PKR 100,300</v>
      </c>
      <c r="BF20" s="21" t="s">
        <v>4421</v>
      </c>
      <c r="BG20" s="21" t="s">
        <v>753</v>
      </c>
      <c r="BH20" s="21" t="s">
        <v>844</v>
      </c>
      <c r="BI20" s="21" t="s">
        <v>844</v>
      </c>
      <c r="BJ20" s="21" t="s">
        <v>844</v>
      </c>
      <c r="BK20" s="21" t="s">
        <v>753</v>
      </c>
      <c r="BL20" s="21" t="s">
        <v>753</v>
      </c>
      <c r="BM20" s="21" t="s">
        <v>753</v>
      </c>
      <c r="BN20" s="21" t="s">
        <v>4368</v>
      </c>
      <c r="BO20" s="21" t="s">
        <v>848</v>
      </c>
      <c r="BP20" s="21" t="str">
        <f>K20</f>
        <v>Paid</v>
      </c>
    </row>
    <row r="21" spans="1:68" x14ac:dyDescent="0.3">
      <c r="A21" s="21" t="s">
        <v>4414</v>
      </c>
      <c r="B21" s="29">
        <v>45826</v>
      </c>
      <c r="C21" s="21" t="s">
        <v>4354</v>
      </c>
      <c r="D21" s="21" t="s">
        <v>743</v>
      </c>
      <c r="E21" s="21" t="s">
        <v>3350</v>
      </c>
      <c r="F21" s="21" t="s">
        <v>3351</v>
      </c>
      <c r="G21" s="21" t="s">
        <v>4355</v>
      </c>
      <c r="H21" s="21" t="s">
        <v>3095</v>
      </c>
      <c r="I21" s="21" t="s">
        <v>3085</v>
      </c>
      <c r="J21" s="21" t="s">
        <v>4356</v>
      </c>
      <c r="K21" s="21" t="s">
        <v>4357</v>
      </c>
      <c r="L21" s="21" t="s">
        <v>3353</v>
      </c>
      <c r="M21" s="21" t="s">
        <v>3354</v>
      </c>
      <c r="N21" s="21" t="s">
        <v>3355</v>
      </c>
      <c r="O21" s="21" t="s">
        <v>746</v>
      </c>
      <c r="P21" s="21" t="s">
        <v>4415</v>
      </c>
      <c r="Q21" s="21" t="s">
        <v>4416</v>
      </c>
      <c r="R21" s="21" t="s">
        <v>4417</v>
      </c>
      <c r="S21" s="21" t="s">
        <v>4358</v>
      </c>
      <c r="T21" s="21" t="s">
        <v>3356</v>
      </c>
      <c r="U21" s="37" cm="1">
        <f t="array" ref="U21">SUMPRODUCT(('T08'!$U$3:$U$1500=M21)*('T08'!$AF$3:$AF$1500=1)*('T08'!$I$3:$I$1500&lt;=B21)*'T08'!$BK$3:$BK$1500)-SUMPRODUCT(($M$3:$M$1500=M21)*($B$3:$B$1500&lt;B21)*($AK$3:$AK$1500+$AI$3:$AI$1500+$AJ$3:$AJ$1500))</f>
        <v>407619.19999999995</v>
      </c>
      <c r="V21" s="21" t="s">
        <v>3558</v>
      </c>
      <c r="W21" s="21" t="str">
        <f>TEXT(_xlfn.XLOOKUP(V21,'T08'!$G$3:$G$1500,'T08'!$J$3:$J$1500),"dd-mmm-yyyy")&amp;" / due "&amp;TEXT(_xlfn.XLOOKUP(V21,'T08'!$G$3:$G$1500,'T08'!$BQ$3:$BQ$1500),"dd-mmm-yyyy")</f>
        <v>09-Jan-2025 / due 19-Jan-2025</v>
      </c>
      <c r="X21" s="21" t="s">
        <v>4359</v>
      </c>
      <c r="Y21" s="21" t="str">
        <f>_xlfn.XLOOKUP(V21,'T08'!$G$3:$G$1500,'T08'!$AC$3:$AC$1500)</f>
        <v>N/A</v>
      </c>
      <c r="Z21" s="21" t="s">
        <v>844</v>
      </c>
      <c r="AA21" s="37" t="s">
        <v>844</v>
      </c>
      <c r="AB21" s="21" t="str">
        <f>IF(C21="Against bill",IF(V21&lt;&gt;"N/A","OK - bill linked","Missing bill"),IF(Z21&lt;&gt;"N/A","OK - advance request linked","Missing request"))</f>
        <v>OK - bill linked</v>
      </c>
      <c r="AC21" s="21" t="s">
        <v>844</v>
      </c>
      <c r="AD21" s="21" t="s">
        <v>4360</v>
      </c>
      <c r="AE21" s="21">
        <v>2</v>
      </c>
      <c r="AF21" s="21" t="s">
        <v>4418</v>
      </c>
      <c r="AG21" s="37">
        <f>_xlfn.XLOOKUP(V21,'T08'!$G$3:$G$1500,'T08'!$BH$3:$BH$1500)</f>
        <v>101503.6</v>
      </c>
      <c r="AH21" s="37">
        <v>0</v>
      </c>
      <c r="AI21" s="37">
        <f>_xlfn.XLOOKUP(V21,'T08'!$G$3:$G$1500,'T08'!$BI$3:$BI$1500)</f>
        <v>0</v>
      </c>
      <c r="AJ21" s="37">
        <f>_xlfn.XLOOKUP(V21,'T08'!$G$3:$G$1500,'T08'!$BJ$3:$BJ$1500)</f>
        <v>0</v>
      </c>
      <c r="AK21" s="37">
        <f>AG21-AH21-AI21-AJ21</f>
        <v>101503.6</v>
      </c>
      <c r="AL21" s="37">
        <f>AG21-AH21-AI21-AJ21-AK21</f>
        <v>0</v>
      </c>
      <c r="AM21" s="21" t="s">
        <v>4422</v>
      </c>
      <c r="AN21" s="37">
        <f>SUMIFS($AG$3:$AG$1500,$A$3:$A$1500,A21)</f>
        <v>407619.19999999995</v>
      </c>
      <c r="AO21" s="37">
        <f>SUMIFS($AI$3:$AI$1500,$A$3:$A$1500,A21)</f>
        <v>0</v>
      </c>
      <c r="AP21" s="37">
        <f>SUMIFS($AJ$3:$AJ$1500,$A$3:$A$1500,A21)</f>
        <v>0</v>
      </c>
      <c r="AQ21" s="37">
        <f>SUMIFS($AK$3:$AK$1500,$A$3:$A$1500,A21)</f>
        <v>407619.19999999995</v>
      </c>
      <c r="AR21" s="21" t="str">
        <f>"PKR "&amp;TEXT(AQ21,"#,##0")&amp;" only"</f>
        <v>PKR 407,619 only</v>
      </c>
      <c r="AS21" s="21" t="str">
        <f>"Sec 153 - deposit by "&amp;TEXT(EOMONTH(B21,0)+15,"dd-mmm-yyyy")</f>
        <v>Sec 153 - deposit by 15-Jul-2025</v>
      </c>
      <c r="AT21" s="21" t="s">
        <v>844</v>
      </c>
      <c r="AU21" s="21" t="s">
        <v>4423</v>
      </c>
      <c r="AV21" s="21" t="s">
        <v>4364</v>
      </c>
      <c r="AW21" s="29">
        <v>45826</v>
      </c>
      <c r="AX21" s="37">
        <f>AQ21+AY21</f>
        <v>407619.19999999995</v>
      </c>
      <c r="AY21" s="37">
        <v>0</v>
      </c>
      <c r="AZ21" s="21" t="s">
        <v>3090</v>
      </c>
      <c r="BA21" s="21" t="s">
        <v>4356</v>
      </c>
      <c r="BB21" s="21" t="s">
        <v>848</v>
      </c>
      <c r="BC21" s="21" t="s">
        <v>4365</v>
      </c>
      <c r="BD21" s="21" t="str">
        <f>IF(AL21&lt;1,"Bill fully settled","Bill partially settled")</f>
        <v>Bill fully settled</v>
      </c>
      <c r="BE21" s="21" t="str">
        <f>"Payable reduced by PKR "&amp;TEXT(AK21+AI21+AJ21,"#,##0")</f>
        <v>Payable reduced by PKR 101,504</v>
      </c>
      <c r="BF21" s="21" t="s">
        <v>4421</v>
      </c>
      <c r="BG21" s="21" t="s">
        <v>753</v>
      </c>
      <c r="BH21" s="21" t="s">
        <v>844</v>
      </c>
      <c r="BI21" s="21" t="s">
        <v>844</v>
      </c>
      <c r="BJ21" s="21" t="s">
        <v>844</v>
      </c>
      <c r="BK21" s="21" t="s">
        <v>753</v>
      </c>
      <c r="BL21" s="21" t="s">
        <v>753</v>
      </c>
      <c r="BM21" s="21" t="s">
        <v>753</v>
      </c>
      <c r="BN21" s="21" t="s">
        <v>4368</v>
      </c>
      <c r="BO21" s="21" t="s">
        <v>848</v>
      </c>
      <c r="BP21" s="21" t="str">
        <f>K21</f>
        <v>Paid</v>
      </c>
    </row>
    <row r="22" spans="1:68" x14ac:dyDescent="0.3">
      <c r="A22" s="21" t="s">
        <v>4414</v>
      </c>
      <c r="B22" s="29">
        <v>45826</v>
      </c>
      <c r="C22" s="21" t="s">
        <v>4354</v>
      </c>
      <c r="D22" s="21" t="s">
        <v>743</v>
      </c>
      <c r="E22" s="21" t="s">
        <v>3350</v>
      </c>
      <c r="F22" s="21" t="s">
        <v>3351</v>
      </c>
      <c r="G22" s="21" t="s">
        <v>4355</v>
      </c>
      <c r="H22" s="21" t="s">
        <v>3095</v>
      </c>
      <c r="I22" s="21" t="s">
        <v>3085</v>
      </c>
      <c r="J22" s="21" t="s">
        <v>4356</v>
      </c>
      <c r="K22" s="21" t="s">
        <v>4357</v>
      </c>
      <c r="L22" s="21" t="s">
        <v>3353</v>
      </c>
      <c r="M22" s="21" t="s">
        <v>3354</v>
      </c>
      <c r="N22" s="21" t="s">
        <v>3355</v>
      </c>
      <c r="O22" s="21" t="s">
        <v>746</v>
      </c>
      <c r="P22" s="21" t="s">
        <v>4415</v>
      </c>
      <c r="Q22" s="21" t="s">
        <v>4416</v>
      </c>
      <c r="R22" s="21" t="s">
        <v>4417</v>
      </c>
      <c r="S22" s="21" t="s">
        <v>4358</v>
      </c>
      <c r="T22" s="21" t="s">
        <v>3356</v>
      </c>
      <c r="U22" s="37" cm="1">
        <f t="array" ref="U22">SUMPRODUCT(('T08'!$U$3:$U$1500=M22)*('T08'!$AF$3:$AF$1500=1)*('T08'!$I$3:$I$1500&lt;=B22)*'T08'!$BK$3:$BK$1500)-SUMPRODUCT(($M$3:$M$1500=M22)*($B$3:$B$1500&lt;B22)*($AK$3:$AK$1500+$AI$3:$AI$1500+$AJ$3:$AJ$1500))</f>
        <v>407619.19999999995</v>
      </c>
      <c r="V22" s="21" t="s">
        <v>3641</v>
      </c>
      <c r="W22" s="21" t="str">
        <f>TEXT(_xlfn.XLOOKUP(V22,'T08'!$G$3:$G$1500,'T08'!$J$3:$J$1500),"dd-mmm-yyyy")&amp;" / due "&amp;TEXT(_xlfn.XLOOKUP(V22,'T08'!$G$3:$G$1500,'T08'!$BQ$3:$BQ$1500),"dd-mmm-yyyy")</f>
        <v>23-Mar-2025 / due 02-Apr-2025</v>
      </c>
      <c r="X22" s="21" t="s">
        <v>4359</v>
      </c>
      <c r="Y22" s="21" t="str">
        <f>_xlfn.XLOOKUP(V22,'T08'!$G$3:$G$1500,'T08'!$AC$3:$AC$1500)</f>
        <v>N/A</v>
      </c>
      <c r="Z22" s="21" t="s">
        <v>844</v>
      </c>
      <c r="AA22" s="37" t="s">
        <v>844</v>
      </c>
      <c r="AB22" s="21" t="str">
        <f>IF(C22="Against bill",IF(V22&lt;&gt;"N/A","OK - bill linked","Missing bill"),IF(Z22&lt;&gt;"N/A","OK - advance request linked","Missing request"))</f>
        <v>OK - bill linked</v>
      </c>
      <c r="AC22" s="21" t="s">
        <v>844</v>
      </c>
      <c r="AD22" s="21" t="s">
        <v>4360</v>
      </c>
      <c r="AE22" s="21">
        <v>3</v>
      </c>
      <c r="AF22" s="21" t="s">
        <v>4418</v>
      </c>
      <c r="AG22" s="37">
        <f>_xlfn.XLOOKUP(V22,'T08'!$G$3:$G$1500,'T08'!$BH$3:$BH$1500)</f>
        <v>102306</v>
      </c>
      <c r="AH22" s="37">
        <v>0</v>
      </c>
      <c r="AI22" s="37">
        <f>_xlfn.XLOOKUP(V22,'T08'!$G$3:$G$1500,'T08'!$BI$3:$BI$1500)</f>
        <v>0</v>
      </c>
      <c r="AJ22" s="37">
        <f>_xlfn.XLOOKUP(V22,'T08'!$G$3:$G$1500,'T08'!$BJ$3:$BJ$1500)</f>
        <v>0</v>
      </c>
      <c r="AK22" s="37">
        <f>AG22-AH22-AI22-AJ22</f>
        <v>102306</v>
      </c>
      <c r="AL22" s="37">
        <f>AG22-AH22-AI22-AJ22-AK22</f>
        <v>0</v>
      </c>
      <c r="AM22" s="21" t="s">
        <v>4424</v>
      </c>
      <c r="AN22" s="37">
        <f>SUMIFS($AG$3:$AG$1500,$A$3:$A$1500,A22)</f>
        <v>407619.19999999995</v>
      </c>
      <c r="AO22" s="37">
        <f>SUMIFS($AI$3:$AI$1500,$A$3:$A$1500,A22)</f>
        <v>0</v>
      </c>
      <c r="AP22" s="37">
        <f>SUMIFS($AJ$3:$AJ$1500,$A$3:$A$1500,A22)</f>
        <v>0</v>
      </c>
      <c r="AQ22" s="37">
        <f>SUMIFS($AK$3:$AK$1500,$A$3:$A$1500,A22)</f>
        <v>407619.19999999995</v>
      </c>
      <c r="AR22" s="21" t="str">
        <f>"PKR "&amp;TEXT(AQ22,"#,##0")&amp;" only"</f>
        <v>PKR 407,619 only</v>
      </c>
      <c r="AS22" s="21" t="str">
        <f>"Sec 153 - deposit by "&amp;TEXT(EOMONTH(B22,0)+15,"dd-mmm-yyyy")</f>
        <v>Sec 153 - deposit by 15-Jul-2025</v>
      </c>
      <c r="AT22" s="21" t="s">
        <v>844</v>
      </c>
      <c r="AU22" s="21" t="s">
        <v>4423</v>
      </c>
      <c r="AV22" s="21" t="s">
        <v>4364</v>
      </c>
      <c r="AW22" s="29">
        <v>45826</v>
      </c>
      <c r="AX22" s="37">
        <f>AQ22+AY22</f>
        <v>407619.19999999995</v>
      </c>
      <c r="AY22" s="37">
        <v>0</v>
      </c>
      <c r="AZ22" s="21" t="s">
        <v>3090</v>
      </c>
      <c r="BA22" s="21" t="s">
        <v>4356</v>
      </c>
      <c r="BB22" s="21" t="s">
        <v>848</v>
      </c>
      <c r="BC22" s="21" t="s">
        <v>4365</v>
      </c>
      <c r="BD22" s="21" t="str">
        <f>IF(AL22&lt;1,"Bill fully settled","Bill partially settled")</f>
        <v>Bill fully settled</v>
      </c>
      <c r="BE22" s="21" t="str">
        <f>"Payable reduced by PKR "&amp;TEXT(AK22+AI22+AJ22,"#,##0")</f>
        <v>Payable reduced by PKR 102,306</v>
      </c>
      <c r="BF22" s="21" t="s">
        <v>4421</v>
      </c>
      <c r="BG22" s="21" t="s">
        <v>753</v>
      </c>
      <c r="BH22" s="21" t="s">
        <v>844</v>
      </c>
      <c r="BI22" s="21" t="s">
        <v>844</v>
      </c>
      <c r="BJ22" s="21" t="s">
        <v>844</v>
      </c>
      <c r="BK22" s="21" t="s">
        <v>753</v>
      </c>
      <c r="BL22" s="21" t="s">
        <v>753</v>
      </c>
      <c r="BM22" s="21" t="s">
        <v>753</v>
      </c>
      <c r="BN22" s="21" t="s">
        <v>4368</v>
      </c>
      <c r="BO22" s="21" t="s">
        <v>848</v>
      </c>
      <c r="BP22" s="21" t="str">
        <f>K22</f>
        <v>Paid</v>
      </c>
    </row>
    <row r="23" spans="1:68" x14ac:dyDescent="0.3">
      <c r="A23" s="21" t="s">
        <v>4414</v>
      </c>
      <c r="B23" s="29">
        <v>45826</v>
      </c>
      <c r="C23" s="21" t="s">
        <v>4354</v>
      </c>
      <c r="D23" s="21" t="s">
        <v>743</v>
      </c>
      <c r="E23" s="21" t="s">
        <v>3350</v>
      </c>
      <c r="F23" s="21" t="s">
        <v>3351</v>
      </c>
      <c r="G23" s="21" t="s">
        <v>4355</v>
      </c>
      <c r="H23" s="21" t="s">
        <v>3095</v>
      </c>
      <c r="I23" s="21" t="s">
        <v>3085</v>
      </c>
      <c r="J23" s="21" t="s">
        <v>4356</v>
      </c>
      <c r="K23" s="21" t="s">
        <v>4357</v>
      </c>
      <c r="L23" s="21" t="s">
        <v>3353</v>
      </c>
      <c r="M23" s="21" t="s">
        <v>3354</v>
      </c>
      <c r="N23" s="21" t="s">
        <v>3355</v>
      </c>
      <c r="O23" s="21" t="s">
        <v>746</v>
      </c>
      <c r="P23" s="21" t="s">
        <v>4415</v>
      </c>
      <c r="Q23" s="21" t="s">
        <v>4416</v>
      </c>
      <c r="R23" s="21" t="s">
        <v>4417</v>
      </c>
      <c r="S23" s="21" t="s">
        <v>4358</v>
      </c>
      <c r="T23" s="21" t="s">
        <v>3356</v>
      </c>
      <c r="U23" s="37" cm="1">
        <f t="array" ref="U23">SUMPRODUCT(('T08'!$U$3:$U$1500=M23)*('T08'!$AF$3:$AF$1500=1)*('T08'!$I$3:$I$1500&lt;=B23)*'T08'!$BK$3:$BK$1500)-SUMPRODUCT(($M$3:$M$1500=M23)*($B$3:$B$1500&lt;B23)*($AK$3:$AK$1500+$AI$3:$AI$1500+$AJ$3:$AJ$1500))</f>
        <v>407619.19999999995</v>
      </c>
      <c r="V23" s="21" t="s">
        <v>3779</v>
      </c>
      <c r="W23" s="21" t="str">
        <f>TEXT(_xlfn.XLOOKUP(V23,'T08'!$G$3:$G$1500,'T08'!$J$3:$J$1500),"dd-mmm-yyyy")&amp;" / due "&amp;TEXT(_xlfn.XLOOKUP(V23,'T08'!$G$3:$G$1500,'T08'!$BQ$3:$BQ$1500),"dd-mmm-yyyy")</f>
        <v>05-Jun-2025 / due 15-Jun-2025</v>
      </c>
      <c r="X23" s="21" t="s">
        <v>4359</v>
      </c>
      <c r="Y23" s="21" t="str">
        <f>_xlfn.XLOOKUP(V23,'T08'!$G$3:$G$1500,'T08'!$AC$3:$AC$1500)</f>
        <v>N/A</v>
      </c>
      <c r="Z23" s="21" t="s">
        <v>844</v>
      </c>
      <c r="AA23" s="37" t="s">
        <v>844</v>
      </c>
      <c r="AB23" s="21" t="str">
        <f>IF(C23="Against bill",IF(V23&lt;&gt;"N/A","OK - bill linked","Missing bill"),IF(Z23&lt;&gt;"N/A","OK - advance request linked","Missing request"))</f>
        <v>OK - bill linked</v>
      </c>
      <c r="AC23" s="21" t="s">
        <v>844</v>
      </c>
      <c r="AD23" s="21" t="s">
        <v>4360</v>
      </c>
      <c r="AE23" s="21">
        <v>4</v>
      </c>
      <c r="AF23" s="21" t="s">
        <v>4418</v>
      </c>
      <c r="AG23" s="37">
        <f>_xlfn.XLOOKUP(V23,'T08'!$G$3:$G$1500,'T08'!$BH$3:$BH$1500)</f>
        <v>103509.6</v>
      </c>
      <c r="AH23" s="37">
        <v>0</v>
      </c>
      <c r="AI23" s="37">
        <f>_xlfn.XLOOKUP(V23,'T08'!$G$3:$G$1500,'T08'!$BI$3:$BI$1500)</f>
        <v>0</v>
      </c>
      <c r="AJ23" s="37">
        <f>_xlfn.XLOOKUP(V23,'T08'!$G$3:$G$1500,'T08'!$BJ$3:$BJ$1500)</f>
        <v>0</v>
      </c>
      <c r="AK23" s="37">
        <f>AG23-AH23-AI23-AJ23</f>
        <v>103509.6</v>
      </c>
      <c r="AL23" s="37">
        <f>AG23-AH23-AI23-AJ23-AK23</f>
        <v>0</v>
      </c>
      <c r="AM23" s="21" t="s">
        <v>4425</v>
      </c>
      <c r="AN23" s="37">
        <f>SUMIFS($AG$3:$AG$1500,$A$3:$A$1500,A23)</f>
        <v>407619.19999999995</v>
      </c>
      <c r="AO23" s="37">
        <f>SUMIFS($AI$3:$AI$1500,$A$3:$A$1500,A23)</f>
        <v>0</v>
      </c>
      <c r="AP23" s="37">
        <f>SUMIFS($AJ$3:$AJ$1500,$A$3:$A$1500,A23)</f>
        <v>0</v>
      </c>
      <c r="AQ23" s="37">
        <f>SUMIFS($AK$3:$AK$1500,$A$3:$A$1500,A23)</f>
        <v>407619.19999999995</v>
      </c>
      <c r="AR23" s="21" t="str">
        <f>"PKR "&amp;TEXT(AQ23,"#,##0")&amp;" only"</f>
        <v>PKR 407,619 only</v>
      </c>
      <c r="AS23" s="21" t="str">
        <f>"Sec 153 - deposit by "&amp;TEXT(EOMONTH(B23,0)+15,"dd-mmm-yyyy")</f>
        <v>Sec 153 - deposit by 15-Jul-2025</v>
      </c>
      <c r="AT23" s="21" t="s">
        <v>844</v>
      </c>
      <c r="AU23" s="21" t="s">
        <v>4426</v>
      </c>
      <c r="AV23" s="21" t="s">
        <v>4364</v>
      </c>
      <c r="AW23" s="29">
        <v>45826</v>
      </c>
      <c r="AX23" s="37">
        <f>AQ23+AY23</f>
        <v>407619.19999999995</v>
      </c>
      <c r="AY23" s="37">
        <v>0</v>
      </c>
      <c r="AZ23" s="21" t="s">
        <v>3090</v>
      </c>
      <c r="BA23" s="21" t="s">
        <v>4356</v>
      </c>
      <c r="BB23" s="21" t="s">
        <v>848</v>
      </c>
      <c r="BC23" s="21" t="s">
        <v>4365</v>
      </c>
      <c r="BD23" s="21" t="str">
        <f>IF(AL23&lt;1,"Bill fully settled","Bill partially settled")</f>
        <v>Bill fully settled</v>
      </c>
      <c r="BE23" s="21" t="str">
        <f>"Payable reduced by PKR "&amp;TEXT(AK23+AI23+AJ23,"#,##0")</f>
        <v>Payable reduced by PKR 103,510</v>
      </c>
      <c r="BF23" s="21" t="s">
        <v>4421</v>
      </c>
      <c r="BG23" s="21" t="s">
        <v>753</v>
      </c>
      <c r="BH23" s="21" t="s">
        <v>844</v>
      </c>
      <c r="BI23" s="21" t="s">
        <v>844</v>
      </c>
      <c r="BJ23" s="21" t="s">
        <v>844</v>
      </c>
      <c r="BK23" s="21" t="s">
        <v>753</v>
      </c>
      <c r="BL23" s="21" t="s">
        <v>753</v>
      </c>
      <c r="BM23" s="21" t="s">
        <v>753</v>
      </c>
      <c r="BN23" s="21" t="s">
        <v>4368</v>
      </c>
      <c r="BO23" s="21" t="s">
        <v>848</v>
      </c>
      <c r="BP23" s="21" t="str">
        <f>K23</f>
        <v>Paid</v>
      </c>
    </row>
    <row r="24" spans="1:68" x14ac:dyDescent="0.3">
      <c r="A24" s="21" t="s">
        <v>4427</v>
      </c>
      <c r="B24" s="29">
        <v>45846</v>
      </c>
      <c r="C24" s="21" t="s">
        <v>4354</v>
      </c>
      <c r="D24" s="21" t="s">
        <v>743</v>
      </c>
      <c r="E24" s="21" t="s">
        <v>3350</v>
      </c>
      <c r="F24" s="21" t="s">
        <v>3351</v>
      </c>
      <c r="G24" s="21" t="s">
        <v>4355</v>
      </c>
      <c r="H24" s="21" t="s">
        <v>3084</v>
      </c>
      <c r="I24" s="21" t="s">
        <v>3085</v>
      </c>
      <c r="J24" s="21" t="s">
        <v>4428</v>
      </c>
      <c r="K24" s="21" t="s">
        <v>4357</v>
      </c>
      <c r="L24" s="21" t="s">
        <v>3387</v>
      </c>
      <c r="M24" s="21" t="s">
        <v>3388</v>
      </c>
      <c r="N24" s="21" t="s">
        <v>3389</v>
      </c>
      <c r="O24" s="21" t="s">
        <v>746</v>
      </c>
      <c r="P24" s="21" t="s">
        <v>4429</v>
      </c>
      <c r="Q24" s="21" t="s">
        <v>4430</v>
      </c>
      <c r="R24" s="21" t="s">
        <v>4431</v>
      </c>
      <c r="S24" s="21" t="s">
        <v>4358</v>
      </c>
      <c r="T24" s="21" t="s">
        <v>3390</v>
      </c>
      <c r="U24" s="37" cm="1">
        <f t="array" ref="U24">SUMPRODUCT(('T08'!$U$3:$U$1500=M24)*('T08'!$AF$3:$AF$1500=1)*('T08'!$I$3:$I$1500&lt;=B24)*'T08'!$BK$3:$BK$1500)-SUMPRODUCT(($M$3:$M$1500=M24)*($B$3:$B$1500&lt;B24)*($AK$3:$AK$1500+$AI$3:$AI$1500+$AJ$3:$AJ$1500))</f>
        <v>755965.4</v>
      </c>
      <c r="V24" s="21" t="s">
        <v>3384</v>
      </c>
      <c r="W24" s="21" t="str">
        <f>TEXT(_xlfn.XLOOKUP(V24,'T08'!$G$3:$G$1500,'T08'!$J$3:$J$1500),"dd-mmm-yyyy")&amp;" / due "&amp;TEXT(_xlfn.XLOOKUP(V24,'T08'!$G$3:$G$1500,'T08'!$BQ$3:$BQ$1500),"dd-mmm-yyyy")</f>
        <v>23-Oct-2024 / due 22-Nov-2024</v>
      </c>
      <c r="X24" s="21" t="s">
        <v>4359</v>
      </c>
      <c r="Y24" s="21" t="str">
        <f>_xlfn.XLOOKUP(V24,'T08'!$G$3:$G$1500,'T08'!$AC$3:$AC$1500)</f>
        <v>N/A</v>
      </c>
      <c r="Z24" s="21" t="s">
        <v>844</v>
      </c>
      <c r="AA24" s="37" t="s">
        <v>844</v>
      </c>
      <c r="AB24" s="21" t="str">
        <f>IF(C24="Against bill",IF(V24&lt;&gt;"N/A","OK - bill linked","Missing bill"),IF(Z24&lt;&gt;"N/A","OK - advance request linked","Missing request"))</f>
        <v>OK - bill linked</v>
      </c>
      <c r="AC24" s="21" t="s">
        <v>844</v>
      </c>
      <c r="AD24" s="21" t="s">
        <v>4360</v>
      </c>
      <c r="AE24" s="21">
        <v>1</v>
      </c>
      <c r="AF24" s="21" t="s">
        <v>4432</v>
      </c>
      <c r="AG24" s="37">
        <f>_xlfn.XLOOKUP(V24,'T08'!$G$3:$G$1500,'T08'!$BH$3:$BH$1500)</f>
        <v>208800</v>
      </c>
      <c r="AH24" s="37">
        <v>0</v>
      </c>
      <c r="AI24" s="37">
        <f>_xlfn.XLOOKUP(V24,'T08'!$G$3:$G$1500,'T08'!$BI$3:$BI$1500)</f>
        <v>22968</v>
      </c>
      <c r="AJ24" s="37">
        <f>_xlfn.XLOOKUP(V24,'T08'!$G$3:$G$1500,'T08'!$BJ$3:$BJ$1500)</f>
        <v>0</v>
      </c>
      <c r="AK24" s="37">
        <f>AG24-AH24-AI24-AJ24</f>
        <v>185832</v>
      </c>
      <c r="AL24" s="37">
        <f>AG24-AH24-AI24-AJ24-AK24</f>
        <v>0</v>
      </c>
      <c r="AM24" s="21" t="s">
        <v>4433</v>
      </c>
      <c r="AN24" s="37">
        <f>SUMIFS($AG$3:$AG$1500,$A$3:$A$1500,A24)</f>
        <v>849398.4</v>
      </c>
      <c r="AO24" s="37">
        <f>SUMIFS($AI$3:$AI$1500,$A$3:$A$1500,A24)</f>
        <v>93433</v>
      </c>
      <c r="AP24" s="37">
        <f>SUMIFS($AJ$3:$AJ$1500,$A$3:$A$1500,A24)</f>
        <v>0</v>
      </c>
      <c r="AQ24" s="37">
        <f>SUMIFS($AK$3:$AK$1500,$A$3:$A$1500,A24)</f>
        <v>755965.4</v>
      </c>
      <c r="AR24" s="21" t="str">
        <f>"PKR "&amp;TEXT(AQ24,"#,##0")&amp;" only"</f>
        <v>PKR 755,965 only</v>
      </c>
      <c r="AS24" s="21" t="str">
        <f>"Sec 153 - deposit by "&amp;TEXT(EOMONTH(B24,0)+15,"dd-mmm-yyyy")</f>
        <v>Sec 153 - deposit by 15-Aug-2025</v>
      </c>
      <c r="AT24" s="21" t="s">
        <v>844</v>
      </c>
      <c r="AU24" s="21" t="s">
        <v>4434</v>
      </c>
      <c r="AV24" s="21" t="s">
        <v>4364</v>
      </c>
      <c r="AW24" s="29">
        <v>45848</v>
      </c>
      <c r="AX24" s="37">
        <f>AQ24+AY24</f>
        <v>755965.4</v>
      </c>
      <c r="AY24" s="37">
        <v>0</v>
      </c>
      <c r="AZ24" s="21" t="s">
        <v>3090</v>
      </c>
      <c r="BA24" s="21" t="s">
        <v>4435</v>
      </c>
      <c r="BB24" s="21" t="s">
        <v>848</v>
      </c>
      <c r="BC24" s="21" t="s">
        <v>4365</v>
      </c>
      <c r="BD24" s="21" t="str">
        <f>IF(AL24&lt;1,"Bill fully settled","Bill partially settled")</f>
        <v>Bill fully settled</v>
      </c>
      <c r="BE24" s="21" t="str">
        <f>"Payable reduced by PKR "&amp;TEXT(AK24+AI24+AJ24,"#,##0")</f>
        <v>Payable reduced by PKR 208,800</v>
      </c>
      <c r="BF24" s="21" t="s">
        <v>4436</v>
      </c>
      <c r="BG24" s="21" t="s">
        <v>753</v>
      </c>
      <c r="BH24" s="21" t="s">
        <v>844</v>
      </c>
      <c r="BI24" s="21" t="s">
        <v>844</v>
      </c>
      <c r="BJ24" s="21" t="s">
        <v>844</v>
      </c>
      <c r="BK24" s="21" t="s">
        <v>753</v>
      </c>
      <c r="BL24" s="21" t="s">
        <v>753</v>
      </c>
      <c r="BM24" s="21" t="s">
        <v>753</v>
      </c>
      <c r="BN24" s="21" t="s">
        <v>4368</v>
      </c>
      <c r="BO24" s="21" t="s">
        <v>848</v>
      </c>
      <c r="BP24" s="21" t="str">
        <f>K24</f>
        <v>Paid</v>
      </c>
    </row>
    <row r="25" spans="1:68" x14ac:dyDescent="0.3">
      <c r="A25" s="21" t="s">
        <v>4427</v>
      </c>
      <c r="B25" s="29">
        <v>45846</v>
      </c>
      <c r="C25" s="21" t="s">
        <v>4354</v>
      </c>
      <c r="D25" s="21" t="s">
        <v>743</v>
      </c>
      <c r="E25" s="21" t="s">
        <v>3350</v>
      </c>
      <c r="F25" s="21" t="s">
        <v>3351</v>
      </c>
      <c r="G25" s="21" t="s">
        <v>4355</v>
      </c>
      <c r="H25" s="21" t="s">
        <v>3084</v>
      </c>
      <c r="I25" s="21" t="s">
        <v>3085</v>
      </c>
      <c r="J25" s="21" t="s">
        <v>4428</v>
      </c>
      <c r="K25" s="21" t="s">
        <v>4357</v>
      </c>
      <c r="L25" s="21" t="s">
        <v>3387</v>
      </c>
      <c r="M25" s="21" t="s">
        <v>3388</v>
      </c>
      <c r="N25" s="21" t="s">
        <v>3389</v>
      </c>
      <c r="O25" s="21" t="s">
        <v>746</v>
      </c>
      <c r="P25" s="21" t="s">
        <v>4429</v>
      </c>
      <c r="Q25" s="21" t="s">
        <v>4430</v>
      </c>
      <c r="R25" s="21" t="s">
        <v>4431</v>
      </c>
      <c r="S25" s="21" t="s">
        <v>4358</v>
      </c>
      <c r="T25" s="21" t="s">
        <v>3390</v>
      </c>
      <c r="U25" s="37" cm="1">
        <f t="array" ref="U25">SUMPRODUCT(('T08'!$U$3:$U$1500=M25)*('T08'!$AF$3:$AF$1500=1)*('T08'!$I$3:$I$1500&lt;=B25)*'T08'!$BK$3:$BK$1500)-SUMPRODUCT(($M$3:$M$1500=M25)*($B$3:$B$1500&lt;B25)*($AK$3:$AK$1500+$AI$3:$AI$1500+$AJ$3:$AJ$1500))</f>
        <v>755965.4</v>
      </c>
      <c r="V25" s="21" t="s">
        <v>3596</v>
      </c>
      <c r="W25" s="21" t="str">
        <f>TEXT(_xlfn.XLOOKUP(V25,'T08'!$G$3:$G$1500,'T08'!$J$3:$J$1500),"dd-mmm-yyyy")&amp;" / due "&amp;TEXT(_xlfn.XLOOKUP(V25,'T08'!$G$3:$G$1500,'T08'!$BQ$3:$BQ$1500),"dd-mmm-yyyy")</f>
        <v>11-Feb-2025 / due 13-Mar-2025</v>
      </c>
      <c r="X25" s="21" t="s">
        <v>4359</v>
      </c>
      <c r="Y25" s="21" t="str">
        <f>_xlfn.XLOOKUP(V25,'T08'!$G$3:$G$1500,'T08'!$AC$3:$AC$1500)</f>
        <v>N/A</v>
      </c>
      <c r="Z25" s="21" t="s">
        <v>844</v>
      </c>
      <c r="AA25" s="37" t="s">
        <v>844</v>
      </c>
      <c r="AB25" s="21" t="str">
        <f>IF(C25="Against bill",IF(V25&lt;&gt;"N/A","OK - bill linked","Missing bill"),IF(Z25&lt;&gt;"N/A","OK - advance request linked","Missing request"))</f>
        <v>OK - bill linked</v>
      </c>
      <c r="AC25" s="21" t="s">
        <v>844</v>
      </c>
      <c r="AD25" s="21" t="s">
        <v>4360</v>
      </c>
      <c r="AE25" s="21">
        <v>2</v>
      </c>
      <c r="AF25" s="21" t="s">
        <v>4432</v>
      </c>
      <c r="AG25" s="37">
        <f>_xlfn.XLOOKUP(V25,'T08'!$G$3:$G$1500,'T08'!$BH$3:$BH$1500)</f>
        <v>212140.79999999999</v>
      </c>
      <c r="AH25" s="37">
        <v>0</v>
      </c>
      <c r="AI25" s="37">
        <f>_xlfn.XLOOKUP(V25,'T08'!$G$3:$G$1500,'T08'!$BI$3:$BI$1500)</f>
        <v>23335</v>
      </c>
      <c r="AJ25" s="37">
        <f>_xlfn.XLOOKUP(V25,'T08'!$G$3:$G$1500,'T08'!$BJ$3:$BJ$1500)</f>
        <v>0</v>
      </c>
      <c r="AK25" s="37">
        <f>AG25-AH25-AI25-AJ25</f>
        <v>188805.8</v>
      </c>
      <c r="AL25" s="37">
        <f>AG25-AH25-AI25-AJ25-AK25</f>
        <v>0</v>
      </c>
      <c r="AM25" s="21" t="s">
        <v>4437</v>
      </c>
      <c r="AN25" s="37">
        <f>SUMIFS($AG$3:$AG$1500,$A$3:$A$1500,A25)</f>
        <v>849398.4</v>
      </c>
      <c r="AO25" s="37">
        <f>SUMIFS($AI$3:$AI$1500,$A$3:$A$1500,A25)</f>
        <v>93433</v>
      </c>
      <c r="AP25" s="37">
        <f>SUMIFS($AJ$3:$AJ$1500,$A$3:$A$1500,A25)</f>
        <v>0</v>
      </c>
      <c r="AQ25" s="37">
        <f>SUMIFS($AK$3:$AK$1500,$A$3:$A$1500,A25)</f>
        <v>755965.4</v>
      </c>
      <c r="AR25" s="21" t="str">
        <f>"PKR "&amp;TEXT(AQ25,"#,##0")&amp;" only"</f>
        <v>PKR 755,965 only</v>
      </c>
      <c r="AS25" s="21" t="str">
        <f>"Sec 153 - deposit by "&amp;TEXT(EOMONTH(B25,0)+15,"dd-mmm-yyyy")</f>
        <v>Sec 153 - deposit by 15-Aug-2025</v>
      </c>
      <c r="AT25" s="21" t="s">
        <v>844</v>
      </c>
      <c r="AU25" s="21" t="s">
        <v>4438</v>
      </c>
      <c r="AV25" s="21" t="s">
        <v>4364</v>
      </c>
      <c r="AW25" s="29">
        <v>45848</v>
      </c>
      <c r="AX25" s="37">
        <f>AQ25+AY25</f>
        <v>755965.4</v>
      </c>
      <c r="AY25" s="37">
        <v>0</v>
      </c>
      <c r="AZ25" s="21" t="s">
        <v>3090</v>
      </c>
      <c r="BA25" s="21" t="s">
        <v>4435</v>
      </c>
      <c r="BB25" s="21" t="s">
        <v>848</v>
      </c>
      <c r="BC25" s="21" t="s">
        <v>4365</v>
      </c>
      <c r="BD25" s="21" t="str">
        <f>IF(AL25&lt;1,"Bill fully settled","Bill partially settled")</f>
        <v>Bill fully settled</v>
      </c>
      <c r="BE25" s="21" t="str">
        <f>"Payable reduced by PKR "&amp;TEXT(AK25+AI25+AJ25,"#,##0")</f>
        <v>Payable reduced by PKR 212,141</v>
      </c>
      <c r="BF25" s="21" t="s">
        <v>4436</v>
      </c>
      <c r="BG25" s="21" t="s">
        <v>753</v>
      </c>
      <c r="BH25" s="21" t="s">
        <v>844</v>
      </c>
      <c r="BI25" s="21" t="s">
        <v>844</v>
      </c>
      <c r="BJ25" s="21" t="s">
        <v>844</v>
      </c>
      <c r="BK25" s="21" t="s">
        <v>753</v>
      </c>
      <c r="BL25" s="21" t="s">
        <v>753</v>
      </c>
      <c r="BM25" s="21" t="s">
        <v>753</v>
      </c>
      <c r="BN25" s="21" t="s">
        <v>4368</v>
      </c>
      <c r="BO25" s="21" t="s">
        <v>848</v>
      </c>
      <c r="BP25" s="21" t="str">
        <f>K25</f>
        <v>Paid</v>
      </c>
    </row>
    <row r="26" spans="1:68" x14ac:dyDescent="0.3">
      <c r="A26" s="21" t="s">
        <v>4427</v>
      </c>
      <c r="B26" s="29">
        <v>45846</v>
      </c>
      <c r="C26" s="21" t="s">
        <v>4354</v>
      </c>
      <c r="D26" s="21" t="s">
        <v>743</v>
      </c>
      <c r="E26" s="21" t="s">
        <v>3350</v>
      </c>
      <c r="F26" s="21" t="s">
        <v>3351</v>
      </c>
      <c r="G26" s="21" t="s">
        <v>4355</v>
      </c>
      <c r="H26" s="21" t="s">
        <v>3084</v>
      </c>
      <c r="I26" s="21" t="s">
        <v>3085</v>
      </c>
      <c r="J26" s="21" t="s">
        <v>4428</v>
      </c>
      <c r="K26" s="21" t="s">
        <v>4357</v>
      </c>
      <c r="L26" s="21" t="s">
        <v>3387</v>
      </c>
      <c r="M26" s="21" t="s">
        <v>3388</v>
      </c>
      <c r="N26" s="21" t="s">
        <v>3389</v>
      </c>
      <c r="O26" s="21" t="s">
        <v>746</v>
      </c>
      <c r="P26" s="21" t="s">
        <v>4429</v>
      </c>
      <c r="Q26" s="21" t="s">
        <v>4430</v>
      </c>
      <c r="R26" s="21" t="s">
        <v>4431</v>
      </c>
      <c r="S26" s="21" t="s">
        <v>4358</v>
      </c>
      <c r="T26" s="21" t="s">
        <v>3390</v>
      </c>
      <c r="U26" s="37" cm="1">
        <f t="array" ref="U26">SUMPRODUCT(('T08'!$U$3:$U$1500=M26)*('T08'!$AF$3:$AF$1500=1)*('T08'!$I$3:$I$1500&lt;=B26)*'T08'!$BK$3:$BK$1500)-SUMPRODUCT(($M$3:$M$1500=M26)*($B$3:$B$1500&lt;B26)*($AK$3:$AK$1500+$AI$3:$AI$1500+$AJ$3:$AJ$1500))</f>
        <v>755965.4</v>
      </c>
      <c r="V26" s="21" t="s">
        <v>3635</v>
      </c>
      <c r="W26" s="21" t="str">
        <f>TEXT(_xlfn.XLOOKUP(V26,'T08'!$G$3:$G$1500,'T08'!$J$3:$J$1500),"dd-mmm-yyyy")&amp;" / due "&amp;TEXT(_xlfn.XLOOKUP(V26,'T08'!$G$3:$G$1500,'T08'!$BQ$3:$BQ$1500),"dd-mmm-yyyy")</f>
        <v>05-Mar-2025 / due 04-Apr-2025</v>
      </c>
      <c r="X26" s="21" t="s">
        <v>4359</v>
      </c>
      <c r="Y26" s="21" t="str">
        <f>_xlfn.XLOOKUP(V26,'T08'!$G$3:$G$1500,'T08'!$AC$3:$AC$1500)</f>
        <v>N/A</v>
      </c>
      <c r="Z26" s="21" t="s">
        <v>844</v>
      </c>
      <c r="AA26" s="37" t="s">
        <v>844</v>
      </c>
      <c r="AB26" s="21" t="str">
        <f>IF(C26="Against bill",IF(V26&lt;&gt;"N/A","OK - bill linked","Missing bill"),IF(Z26&lt;&gt;"N/A","OK - advance request linked","Missing request"))</f>
        <v>OK - bill linked</v>
      </c>
      <c r="AC26" s="21" t="s">
        <v>844</v>
      </c>
      <c r="AD26" s="21" t="s">
        <v>4360</v>
      </c>
      <c r="AE26" s="21">
        <v>3</v>
      </c>
      <c r="AF26" s="21" t="s">
        <v>4432</v>
      </c>
      <c r="AG26" s="37">
        <f>_xlfn.XLOOKUP(V26,'T08'!$G$3:$G$1500,'T08'!$BH$3:$BH$1500)</f>
        <v>212976</v>
      </c>
      <c r="AH26" s="37">
        <v>0</v>
      </c>
      <c r="AI26" s="37">
        <f>_xlfn.XLOOKUP(V26,'T08'!$G$3:$G$1500,'T08'!$BI$3:$BI$1500)</f>
        <v>23427</v>
      </c>
      <c r="AJ26" s="37">
        <f>_xlfn.XLOOKUP(V26,'T08'!$G$3:$G$1500,'T08'!$BJ$3:$BJ$1500)</f>
        <v>0</v>
      </c>
      <c r="AK26" s="37">
        <f>AG26-AH26-AI26-AJ26</f>
        <v>189549</v>
      </c>
      <c r="AL26" s="37">
        <f>AG26-AH26-AI26-AJ26-AK26</f>
        <v>0</v>
      </c>
      <c r="AM26" s="21" t="s">
        <v>4439</v>
      </c>
      <c r="AN26" s="37">
        <f>SUMIFS($AG$3:$AG$1500,$A$3:$A$1500,A26)</f>
        <v>849398.4</v>
      </c>
      <c r="AO26" s="37">
        <f>SUMIFS($AI$3:$AI$1500,$A$3:$A$1500,A26)</f>
        <v>93433</v>
      </c>
      <c r="AP26" s="37">
        <f>SUMIFS($AJ$3:$AJ$1500,$A$3:$A$1500,A26)</f>
        <v>0</v>
      </c>
      <c r="AQ26" s="37">
        <f>SUMIFS($AK$3:$AK$1500,$A$3:$A$1500,A26)</f>
        <v>755965.4</v>
      </c>
      <c r="AR26" s="21" t="str">
        <f>"PKR "&amp;TEXT(AQ26,"#,##0")&amp;" only"</f>
        <v>PKR 755,965 only</v>
      </c>
      <c r="AS26" s="21" t="str">
        <f>"Sec 153 - deposit by "&amp;TEXT(EOMONTH(B26,0)+15,"dd-mmm-yyyy")</f>
        <v>Sec 153 - deposit by 15-Aug-2025</v>
      </c>
      <c r="AT26" s="21" t="s">
        <v>844</v>
      </c>
      <c r="AU26" s="21" t="s">
        <v>4434</v>
      </c>
      <c r="AV26" s="21" t="s">
        <v>4364</v>
      </c>
      <c r="AW26" s="29">
        <v>45848</v>
      </c>
      <c r="AX26" s="37">
        <f>AQ26+AY26</f>
        <v>755965.4</v>
      </c>
      <c r="AY26" s="37">
        <v>0</v>
      </c>
      <c r="AZ26" s="21" t="s">
        <v>3090</v>
      </c>
      <c r="BA26" s="21" t="s">
        <v>4435</v>
      </c>
      <c r="BB26" s="21" t="s">
        <v>848</v>
      </c>
      <c r="BC26" s="21" t="s">
        <v>4365</v>
      </c>
      <c r="BD26" s="21" t="str">
        <f>IF(AL26&lt;1,"Bill fully settled","Bill partially settled")</f>
        <v>Bill fully settled</v>
      </c>
      <c r="BE26" s="21" t="str">
        <f>"Payable reduced by PKR "&amp;TEXT(AK26+AI26+AJ26,"#,##0")</f>
        <v>Payable reduced by PKR 212,976</v>
      </c>
      <c r="BF26" s="21" t="s">
        <v>4436</v>
      </c>
      <c r="BG26" s="21" t="s">
        <v>753</v>
      </c>
      <c r="BH26" s="21" t="s">
        <v>844</v>
      </c>
      <c r="BI26" s="21" t="s">
        <v>844</v>
      </c>
      <c r="BJ26" s="21" t="s">
        <v>844</v>
      </c>
      <c r="BK26" s="21" t="s">
        <v>753</v>
      </c>
      <c r="BL26" s="21" t="s">
        <v>753</v>
      </c>
      <c r="BM26" s="21" t="s">
        <v>753</v>
      </c>
      <c r="BN26" s="21" t="s">
        <v>4368</v>
      </c>
      <c r="BO26" s="21" t="s">
        <v>848</v>
      </c>
      <c r="BP26" s="21" t="str">
        <f>K26</f>
        <v>Paid</v>
      </c>
    </row>
    <row r="27" spans="1:68" x14ac:dyDescent="0.3">
      <c r="A27" s="21" t="s">
        <v>4427</v>
      </c>
      <c r="B27" s="29">
        <v>45846</v>
      </c>
      <c r="C27" s="21" t="s">
        <v>4354</v>
      </c>
      <c r="D27" s="21" t="s">
        <v>743</v>
      </c>
      <c r="E27" s="21" t="s">
        <v>3350</v>
      </c>
      <c r="F27" s="21" t="s">
        <v>3351</v>
      </c>
      <c r="G27" s="21" t="s">
        <v>4355</v>
      </c>
      <c r="H27" s="21" t="s">
        <v>3084</v>
      </c>
      <c r="I27" s="21" t="s">
        <v>3085</v>
      </c>
      <c r="J27" s="21" t="s">
        <v>4428</v>
      </c>
      <c r="K27" s="21" t="s">
        <v>4357</v>
      </c>
      <c r="L27" s="21" t="s">
        <v>3387</v>
      </c>
      <c r="M27" s="21" t="s">
        <v>3388</v>
      </c>
      <c r="N27" s="21" t="s">
        <v>3389</v>
      </c>
      <c r="O27" s="21" t="s">
        <v>746</v>
      </c>
      <c r="P27" s="21" t="s">
        <v>4429</v>
      </c>
      <c r="Q27" s="21" t="s">
        <v>4430</v>
      </c>
      <c r="R27" s="21" t="s">
        <v>4431</v>
      </c>
      <c r="S27" s="21" t="s">
        <v>4358</v>
      </c>
      <c r="T27" s="21" t="s">
        <v>3390</v>
      </c>
      <c r="U27" s="37" cm="1">
        <f t="array" ref="U27">SUMPRODUCT(('T08'!$U$3:$U$1500=M27)*('T08'!$AF$3:$AF$1500=1)*('T08'!$I$3:$I$1500&lt;=B27)*'T08'!$BK$3:$BK$1500)-SUMPRODUCT(($M$3:$M$1500=M27)*($B$3:$B$1500&lt;B27)*($AK$3:$AK$1500+$AI$3:$AI$1500+$AJ$3:$AJ$1500))</f>
        <v>755965.4</v>
      </c>
      <c r="V27" s="21" t="s">
        <v>3758</v>
      </c>
      <c r="W27" s="21" t="str">
        <f>TEXT(_xlfn.XLOOKUP(V27,'T08'!$G$3:$G$1500,'T08'!$J$3:$J$1500),"dd-mmm-yyyy")&amp;" / due "&amp;TEXT(_xlfn.XLOOKUP(V27,'T08'!$G$3:$G$1500,'T08'!$BQ$3:$BQ$1500),"dd-mmm-yyyy")</f>
        <v>04-Jun-2025 / due 04-Jul-2025</v>
      </c>
      <c r="X27" s="21" t="s">
        <v>4359</v>
      </c>
      <c r="Y27" s="21" t="str">
        <f>_xlfn.XLOOKUP(V27,'T08'!$G$3:$G$1500,'T08'!$AC$3:$AC$1500)</f>
        <v>N/A</v>
      </c>
      <c r="Z27" s="21" t="s">
        <v>844</v>
      </c>
      <c r="AA27" s="37" t="s">
        <v>844</v>
      </c>
      <c r="AB27" s="21" t="str">
        <f>IF(C27="Against bill",IF(V27&lt;&gt;"N/A","OK - bill linked","Missing bill"),IF(Z27&lt;&gt;"N/A","OK - advance request linked","Missing request"))</f>
        <v>OK - bill linked</v>
      </c>
      <c r="AC27" s="21" t="s">
        <v>844</v>
      </c>
      <c r="AD27" s="21" t="s">
        <v>4360</v>
      </c>
      <c r="AE27" s="21">
        <v>4</v>
      </c>
      <c r="AF27" s="21" t="s">
        <v>4432</v>
      </c>
      <c r="AG27" s="37">
        <f>_xlfn.XLOOKUP(V27,'T08'!$G$3:$G$1500,'T08'!$BH$3:$BH$1500)</f>
        <v>215481.60000000001</v>
      </c>
      <c r="AH27" s="37">
        <v>0</v>
      </c>
      <c r="AI27" s="37">
        <f>_xlfn.XLOOKUP(V27,'T08'!$G$3:$G$1500,'T08'!$BI$3:$BI$1500)</f>
        <v>23703</v>
      </c>
      <c r="AJ27" s="37">
        <f>_xlfn.XLOOKUP(V27,'T08'!$G$3:$G$1500,'T08'!$BJ$3:$BJ$1500)</f>
        <v>0</v>
      </c>
      <c r="AK27" s="37">
        <f>AG27-AH27-AI27-AJ27</f>
        <v>191778.6</v>
      </c>
      <c r="AL27" s="37">
        <f>AG27-AH27-AI27-AJ27-AK27</f>
        <v>0</v>
      </c>
      <c r="AM27" s="21" t="s">
        <v>4440</v>
      </c>
      <c r="AN27" s="37">
        <f>SUMIFS($AG$3:$AG$1500,$A$3:$A$1500,A27)</f>
        <v>849398.4</v>
      </c>
      <c r="AO27" s="37">
        <f>SUMIFS($AI$3:$AI$1500,$A$3:$A$1500,A27)</f>
        <v>93433</v>
      </c>
      <c r="AP27" s="37">
        <f>SUMIFS($AJ$3:$AJ$1500,$A$3:$A$1500,A27)</f>
        <v>0</v>
      </c>
      <c r="AQ27" s="37">
        <f>SUMIFS($AK$3:$AK$1500,$A$3:$A$1500,A27)</f>
        <v>755965.4</v>
      </c>
      <c r="AR27" s="21" t="str">
        <f>"PKR "&amp;TEXT(AQ27,"#,##0")&amp;" only"</f>
        <v>PKR 755,965 only</v>
      </c>
      <c r="AS27" s="21" t="str">
        <f>"Sec 153 - deposit by "&amp;TEXT(EOMONTH(B27,0)+15,"dd-mmm-yyyy")</f>
        <v>Sec 153 - deposit by 15-Aug-2025</v>
      </c>
      <c r="AT27" s="21" t="s">
        <v>844</v>
      </c>
      <c r="AU27" s="21" t="s">
        <v>4434</v>
      </c>
      <c r="AV27" s="21" t="s">
        <v>4364</v>
      </c>
      <c r="AW27" s="29">
        <v>45848</v>
      </c>
      <c r="AX27" s="37">
        <f>AQ27+AY27</f>
        <v>755965.4</v>
      </c>
      <c r="AY27" s="37">
        <v>0</v>
      </c>
      <c r="AZ27" s="21" t="s">
        <v>3090</v>
      </c>
      <c r="BA27" s="21" t="s">
        <v>4435</v>
      </c>
      <c r="BB27" s="21" t="s">
        <v>848</v>
      </c>
      <c r="BC27" s="21" t="s">
        <v>4365</v>
      </c>
      <c r="BD27" s="21" t="str">
        <f>IF(AL27&lt;1,"Bill fully settled","Bill partially settled")</f>
        <v>Bill fully settled</v>
      </c>
      <c r="BE27" s="21" t="str">
        <f>"Payable reduced by PKR "&amp;TEXT(AK27+AI27+AJ27,"#,##0")</f>
        <v>Payable reduced by PKR 215,482</v>
      </c>
      <c r="BF27" s="21" t="s">
        <v>4436</v>
      </c>
      <c r="BG27" s="21" t="s">
        <v>753</v>
      </c>
      <c r="BH27" s="21" t="s">
        <v>844</v>
      </c>
      <c r="BI27" s="21" t="s">
        <v>844</v>
      </c>
      <c r="BJ27" s="21" t="s">
        <v>844</v>
      </c>
      <c r="BK27" s="21" t="s">
        <v>753</v>
      </c>
      <c r="BL27" s="21" t="s">
        <v>753</v>
      </c>
      <c r="BM27" s="21" t="s">
        <v>753</v>
      </c>
      <c r="BN27" s="21" t="s">
        <v>4368</v>
      </c>
      <c r="BO27" s="21" t="s">
        <v>848</v>
      </c>
      <c r="BP27" s="21" t="str">
        <f>K27</f>
        <v>Paid</v>
      </c>
    </row>
    <row r="28" spans="1:68" x14ac:dyDescent="0.3">
      <c r="A28" s="21" t="s">
        <v>4441</v>
      </c>
      <c r="B28" s="29">
        <v>45847</v>
      </c>
      <c r="C28" s="21" t="s">
        <v>4354</v>
      </c>
      <c r="D28" s="21" t="s">
        <v>743</v>
      </c>
      <c r="E28" s="21" t="s">
        <v>3368</v>
      </c>
      <c r="F28" s="21" t="s">
        <v>3369</v>
      </c>
      <c r="G28" s="21" t="s">
        <v>4355</v>
      </c>
      <c r="H28" s="21" t="s">
        <v>3095</v>
      </c>
      <c r="I28" s="21" t="s">
        <v>3085</v>
      </c>
      <c r="J28" s="21" t="s">
        <v>4356</v>
      </c>
      <c r="K28" s="21" t="s">
        <v>4357</v>
      </c>
      <c r="L28" s="21" t="s">
        <v>3768</v>
      </c>
      <c r="M28" s="21" t="s">
        <v>3769</v>
      </c>
      <c r="N28" s="21" t="s">
        <v>3770</v>
      </c>
      <c r="O28" s="21" t="s">
        <v>746</v>
      </c>
      <c r="P28" s="21" t="s">
        <v>4442</v>
      </c>
      <c r="Q28" s="21" t="s">
        <v>4443</v>
      </c>
      <c r="R28" s="21" t="s">
        <v>4444</v>
      </c>
      <c r="S28" s="21" t="s">
        <v>4358</v>
      </c>
      <c r="T28" s="21" t="s">
        <v>3771</v>
      </c>
      <c r="U28" s="37" cm="1">
        <f t="array" ref="U28">SUMPRODUCT(('T08'!$U$3:$U$1500=M28)*('T08'!$AF$3:$AF$1500=1)*('T08'!$I$3:$I$1500&lt;=B28)*'T08'!$BK$3:$BK$1500)-SUMPRODUCT(($M$3:$M$1500=M28)*($B$3:$B$1500&lt;B28)*($AK$3:$AK$1500+$AI$3:$AI$1500+$AJ$3:$AJ$1500))</f>
        <v>4858862</v>
      </c>
      <c r="V28" s="21" t="s">
        <v>3765</v>
      </c>
      <c r="W28" s="21" t="str">
        <f>TEXT(_xlfn.XLOOKUP(V28,'T08'!$G$3:$G$1500,'T08'!$J$3:$J$1500),"dd-mmm-yyyy")&amp;" / due "&amp;TEXT(_xlfn.XLOOKUP(V28,'T08'!$G$3:$G$1500,'T08'!$BQ$3:$BQ$1500),"dd-mmm-yyyy")</f>
        <v>05-Jun-2025 / due 05-Jul-2025</v>
      </c>
      <c r="X28" s="21" t="s">
        <v>4359</v>
      </c>
      <c r="Y28" s="21" t="str">
        <f>_xlfn.XLOOKUP(V28,'T08'!$G$3:$G$1500,'T08'!$AC$3:$AC$1500)</f>
        <v>PO-2506-920</v>
      </c>
      <c r="Z28" s="21" t="s">
        <v>844</v>
      </c>
      <c r="AA28" s="37" t="s">
        <v>844</v>
      </c>
      <c r="AB28" s="21" t="str">
        <f>IF(C28="Against bill",IF(V28&lt;&gt;"N/A","OK - bill linked","Missing bill"),IF(Z28&lt;&gt;"N/A","OK - advance request linked","Missing request"))</f>
        <v>OK - bill linked</v>
      </c>
      <c r="AC28" s="21" t="s">
        <v>844</v>
      </c>
      <c r="AD28" s="21" t="s">
        <v>4360</v>
      </c>
      <c r="AE28" s="21">
        <v>1</v>
      </c>
      <c r="AF28" s="21" t="s">
        <v>4445</v>
      </c>
      <c r="AG28" s="37">
        <f>_xlfn.XLOOKUP(V28,'T08'!$G$3:$G$1500,'T08'!$BH$3:$BH$1500)</f>
        <v>5114592</v>
      </c>
      <c r="AH28" s="37">
        <v>0</v>
      </c>
      <c r="AI28" s="37">
        <f>_xlfn.XLOOKUP(V28,'T08'!$G$3:$G$1500,'T08'!$BI$3:$BI$1500)</f>
        <v>255730</v>
      </c>
      <c r="AJ28" s="37">
        <f>_xlfn.XLOOKUP(V28,'T08'!$G$3:$G$1500,'T08'!$BJ$3:$BJ$1500)</f>
        <v>0</v>
      </c>
      <c r="AK28" s="37">
        <f>AG28-AH28-AI28-AJ28</f>
        <v>4858862</v>
      </c>
      <c r="AL28" s="37">
        <f>AG28-AH28-AI28-AJ28-AK28</f>
        <v>0</v>
      </c>
      <c r="AM28" s="21" t="s">
        <v>4446</v>
      </c>
      <c r="AN28" s="37">
        <f>SUMIFS($AG$3:$AG$1500,$A$3:$A$1500,A28)</f>
        <v>5114592</v>
      </c>
      <c r="AO28" s="37">
        <f>SUMIFS($AI$3:$AI$1500,$A$3:$A$1500,A28)</f>
        <v>255730</v>
      </c>
      <c r="AP28" s="37">
        <f>SUMIFS($AJ$3:$AJ$1500,$A$3:$A$1500,A28)</f>
        <v>0</v>
      </c>
      <c r="AQ28" s="37">
        <f>SUMIFS($AK$3:$AK$1500,$A$3:$A$1500,A28)</f>
        <v>4858862</v>
      </c>
      <c r="AR28" s="21" t="str">
        <f>"PKR "&amp;TEXT(AQ28,"#,##0")&amp;" only"</f>
        <v>PKR 4,858,862 only</v>
      </c>
      <c r="AS28" s="21" t="str">
        <f>"Sec 153 - deposit by "&amp;TEXT(EOMONTH(B28,0)+15,"dd-mmm-yyyy")</f>
        <v>Sec 153 - deposit by 15-Aug-2025</v>
      </c>
      <c r="AT28" s="21" t="s">
        <v>844</v>
      </c>
      <c r="AU28" s="21" t="s">
        <v>4447</v>
      </c>
      <c r="AV28" s="21" t="s">
        <v>4364</v>
      </c>
      <c r="AW28" s="29">
        <v>45847</v>
      </c>
      <c r="AX28" s="37">
        <f>AQ28+AY28</f>
        <v>4859012</v>
      </c>
      <c r="AY28" s="37">
        <v>150</v>
      </c>
      <c r="AZ28" s="21" t="s">
        <v>3090</v>
      </c>
      <c r="BA28" s="21" t="s">
        <v>4356</v>
      </c>
      <c r="BB28" s="21" t="s">
        <v>848</v>
      </c>
      <c r="BC28" s="21" t="s">
        <v>4365</v>
      </c>
      <c r="BD28" s="21" t="str">
        <f>IF(AL28&lt;1,"Bill fully settled","Bill partially settled")</f>
        <v>Bill fully settled</v>
      </c>
      <c r="BE28" s="21" t="str">
        <f>"Payable reduced by PKR "&amp;TEXT(AK28+AI28+AJ28,"#,##0")</f>
        <v>Payable reduced by PKR 5,114,592</v>
      </c>
      <c r="BF28" s="21" t="s">
        <v>4448</v>
      </c>
      <c r="BG28" s="21" t="s">
        <v>753</v>
      </c>
      <c r="BH28" s="21" t="s">
        <v>844</v>
      </c>
      <c r="BI28" s="21" t="s">
        <v>844</v>
      </c>
      <c r="BJ28" s="21" t="s">
        <v>844</v>
      </c>
      <c r="BK28" s="21" t="s">
        <v>753</v>
      </c>
      <c r="BL28" s="21" t="s">
        <v>753</v>
      </c>
      <c r="BM28" s="21" t="s">
        <v>753</v>
      </c>
      <c r="BN28" s="21" t="s">
        <v>4368</v>
      </c>
      <c r="BO28" s="21" t="s">
        <v>848</v>
      </c>
      <c r="BP28" s="21" t="str">
        <f>K28</f>
        <v>Paid</v>
      </c>
    </row>
    <row r="29" spans="1:68" x14ac:dyDescent="0.3">
      <c r="A29" s="21" t="s">
        <v>4449</v>
      </c>
      <c r="B29" s="29">
        <v>45850</v>
      </c>
      <c r="C29" s="21" t="s">
        <v>4354</v>
      </c>
      <c r="D29" s="21" t="s">
        <v>743</v>
      </c>
      <c r="E29" s="21" t="s">
        <v>3400</v>
      </c>
      <c r="F29" s="21" t="s">
        <v>3401</v>
      </c>
      <c r="G29" s="21" t="s">
        <v>4355</v>
      </c>
      <c r="H29" s="21" t="s">
        <v>3095</v>
      </c>
      <c r="I29" s="21" t="s">
        <v>3085</v>
      </c>
      <c r="J29" s="21" t="s">
        <v>4356</v>
      </c>
      <c r="K29" s="21" t="s">
        <v>4357</v>
      </c>
      <c r="L29" s="21" t="s">
        <v>3403</v>
      </c>
      <c r="M29" s="21" t="s">
        <v>3578</v>
      </c>
      <c r="N29" s="21" t="s">
        <v>1021</v>
      </c>
      <c r="O29" s="21" t="s">
        <v>746</v>
      </c>
      <c r="P29" s="21" t="s">
        <v>1037</v>
      </c>
      <c r="Q29" s="21" t="s">
        <v>1019</v>
      </c>
      <c r="R29" s="21" t="s">
        <v>1038</v>
      </c>
      <c r="S29" s="21" t="s">
        <v>4358</v>
      </c>
      <c r="T29" s="21" t="s">
        <v>3579</v>
      </c>
      <c r="U29" s="37" cm="1">
        <f t="array" ref="U29">SUMPRODUCT(('T08'!$U$3:$U$1500=M29)*('T08'!$AF$3:$AF$1500=1)*('T08'!$I$3:$I$1500&lt;=B29)*'T08'!$BK$3:$BK$1500)-SUMPRODUCT(($M$3:$M$1500=M29)*($B$3:$B$1500&lt;B29)*($AK$3:$AK$1500+$AI$3:$AI$1500+$AJ$3:$AJ$1500))</f>
        <v>23387327.800000001</v>
      </c>
      <c r="V29" s="21" t="s">
        <v>3576</v>
      </c>
      <c r="W29" s="21" t="str">
        <f>TEXT(_xlfn.XLOOKUP(V29,'T08'!$G$3:$G$1500,'T08'!$J$3:$J$1500),"dd-mmm-yyyy")&amp;" / due "&amp;TEXT(_xlfn.XLOOKUP(V29,'T08'!$G$3:$G$1500,'T08'!$BQ$3:$BQ$1500),"dd-mmm-yyyy")</f>
        <v>31-Jan-2025 / due 15-Feb-2025</v>
      </c>
      <c r="X29" s="21" t="s">
        <v>4359</v>
      </c>
      <c r="Y29" s="21" t="str">
        <f>_xlfn.XLOOKUP(V29,'T08'!$G$3:$G$1500,'T08'!$AC$3:$AC$1500)</f>
        <v>PO-2501-3</v>
      </c>
      <c r="Z29" s="21" t="s">
        <v>844</v>
      </c>
      <c r="AA29" s="37" t="s">
        <v>844</v>
      </c>
      <c r="AB29" s="21" t="str">
        <f>IF(C29="Against bill",IF(V29&lt;&gt;"N/A","OK - bill linked","Missing bill"),IF(Z29&lt;&gt;"N/A","OK - advance request linked","Missing request"))</f>
        <v>OK - bill linked</v>
      </c>
      <c r="AC29" s="21" t="s">
        <v>844</v>
      </c>
      <c r="AD29" s="21" t="s">
        <v>4360</v>
      </c>
      <c r="AE29" s="21">
        <v>1</v>
      </c>
      <c r="AF29" s="21" t="s">
        <v>4450</v>
      </c>
      <c r="AG29" s="37">
        <f>_xlfn.XLOOKUP(V29,'T08'!$G$3:$G$1500,'T08'!$BH$3:$BH$1500)</f>
        <v>11491695</v>
      </c>
      <c r="AH29" s="37">
        <v>0</v>
      </c>
      <c r="AI29" s="37">
        <f>_xlfn.XLOOKUP(V29,'T08'!$G$3:$G$1500,'T08'!$BI$3:$BI$1500)</f>
        <v>574585</v>
      </c>
      <c r="AJ29" s="37">
        <f>_xlfn.XLOOKUP(V29,'T08'!$G$3:$G$1500,'T08'!$BJ$3:$BJ$1500)</f>
        <v>0</v>
      </c>
      <c r="AK29" s="37">
        <f>AG29-AH29-AI29-AJ29</f>
        <v>10917110</v>
      </c>
      <c r="AL29" s="37">
        <f>AG29-AH29-AI29-AJ29-AK29</f>
        <v>0</v>
      </c>
      <c r="AM29" s="21" t="s">
        <v>4451</v>
      </c>
      <c r="AN29" s="37">
        <f>SUMIFS($AG$3:$AG$1500,$A$3:$A$1500,A29)</f>
        <v>24618239.800000001</v>
      </c>
      <c r="AO29" s="37">
        <f>SUMIFS($AI$3:$AI$1500,$A$3:$A$1500,A29)</f>
        <v>1230912</v>
      </c>
      <c r="AP29" s="37">
        <f>SUMIFS($AJ$3:$AJ$1500,$A$3:$A$1500,A29)</f>
        <v>0</v>
      </c>
      <c r="AQ29" s="37">
        <f>SUMIFS($AK$3:$AK$1500,$A$3:$A$1500,A29)</f>
        <v>23387327.800000001</v>
      </c>
      <c r="AR29" s="21" t="str">
        <f>"PKR "&amp;TEXT(AQ29,"#,##0")&amp;" only"</f>
        <v>PKR 23,387,328 only</v>
      </c>
      <c r="AS29" s="21" t="str">
        <f>"Sec 153 - deposit by "&amp;TEXT(EOMONTH(B29,0)+15,"dd-mmm-yyyy")</f>
        <v>Sec 153 - deposit by 15-Aug-2025</v>
      </c>
      <c r="AT29" s="21" t="s">
        <v>844</v>
      </c>
      <c r="AU29" s="21" t="s">
        <v>4452</v>
      </c>
      <c r="AV29" s="21" t="s">
        <v>4364</v>
      </c>
      <c r="AW29" s="29">
        <v>45850</v>
      </c>
      <c r="AX29" s="37">
        <f>AQ29+AY29</f>
        <v>23387477.800000001</v>
      </c>
      <c r="AY29" s="37">
        <v>150</v>
      </c>
      <c r="AZ29" s="21" t="s">
        <v>3090</v>
      </c>
      <c r="BA29" s="21" t="s">
        <v>4356</v>
      </c>
      <c r="BB29" s="21" t="s">
        <v>848</v>
      </c>
      <c r="BC29" s="21" t="s">
        <v>4365</v>
      </c>
      <c r="BD29" s="21" t="str">
        <f>IF(AL29&lt;1,"Bill fully settled","Bill partially settled")</f>
        <v>Bill fully settled</v>
      </c>
      <c r="BE29" s="21" t="str">
        <f>"Payable reduced by PKR "&amp;TEXT(AK29+AI29+AJ29,"#,##0")</f>
        <v>Payable reduced by PKR 11,491,695</v>
      </c>
      <c r="BF29" s="21" t="s">
        <v>4453</v>
      </c>
      <c r="BG29" s="21" t="s">
        <v>753</v>
      </c>
      <c r="BH29" s="21" t="s">
        <v>4367</v>
      </c>
      <c r="BI29" s="21" t="s">
        <v>844</v>
      </c>
      <c r="BJ29" s="21" t="s">
        <v>844</v>
      </c>
      <c r="BK29" s="21" t="s">
        <v>753</v>
      </c>
      <c r="BL29" s="21" t="s">
        <v>753</v>
      </c>
      <c r="BM29" s="21" t="s">
        <v>753</v>
      </c>
      <c r="BN29" s="21" t="s">
        <v>4368</v>
      </c>
      <c r="BO29" s="21" t="s">
        <v>848</v>
      </c>
      <c r="BP29" s="21" t="str">
        <f>K29</f>
        <v>Paid</v>
      </c>
    </row>
    <row r="30" spans="1:68" x14ac:dyDescent="0.3">
      <c r="A30" s="21" t="s">
        <v>4449</v>
      </c>
      <c r="B30" s="29">
        <v>45850</v>
      </c>
      <c r="C30" s="21" t="s">
        <v>4354</v>
      </c>
      <c r="D30" s="21" t="s">
        <v>743</v>
      </c>
      <c r="E30" s="21" t="s">
        <v>3400</v>
      </c>
      <c r="F30" s="21" t="s">
        <v>3401</v>
      </c>
      <c r="G30" s="21" t="s">
        <v>4355</v>
      </c>
      <c r="H30" s="21" t="s">
        <v>3095</v>
      </c>
      <c r="I30" s="21" t="s">
        <v>3085</v>
      </c>
      <c r="J30" s="21" t="s">
        <v>4356</v>
      </c>
      <c r="K30" s="21" t="s">
        <v>4357</v>
      </c>
      <c r="L30" s="21" t="s">
        <v>3403</v>
      </c>
      <c r="M30" s="21" t="s">
        <v>3578</v>
      </c>
      <c r="N30" s="21" t="s">
        <v>1021</v>
      </c>
      <c r="O30" s="21" t="s">
        <v>746</v>
      </c>
      <c r="P30" s="21" t="s">
        <v>1037</v>
      </c>
      <c r="Q30" s="21" t="s">
        <v>1019</v>
      </c>
      <c r="R30" s="21" t="s">
        <v>1038</v>
      </c>
      <c r="S30" s="21" t="s">
        <v>4358</v>
      </c>
      <c r="T30" s="21" t="s">
        <v>3579</v>
      </c>
      <c r="U30" s="37" cm="1">
        <f t="array" ref="U30">SUMPRODUCT(('T08'!$U$3:$U$1500=M30)*('T08'!$AF$3:$AF$1500=1)*('T08'!$I$3:$I$1500&lt;=B30)*'T08'!$BK$3:$BK$1500)-SUMPRODUCT(($M$3:$M$1500=M30)*($B$3:$B$1500&lt;B30)*($AK$3:$AK$1500+$AI$3:$AI$1500+$AJ$3:$AJ$1500))</f>
        <v>23387327.800000001</v>
      </c>
      <c r="V30" s="21" t="s">
        <v>3700</v>
      </c>
      <c r="W30" s="21" t="str">
        <f>TEXT(_xlfn.XLOOKUP(V30,'T08'!$G$3:$G$1500,'T08'!$J$3:$J$1500),"dd-mmm-yyyy")&amp;" / due "&amp;TEXT(_xlfn.XLOOKUP(V30,'T08'!$G$3:$G$1500,'T08'!$BQ$3:$BQ$1500),"dd-mmm-yyyy")</f>
        <v>30-Apr-2025 / due 15-May-2025</v>
      </c>
      <c r="X30" s="21" t="s">
        <v>4359</v>
      </c>
      <c r="Y30" s="21" t="str">
        <f>_xlfn.XLOOKUP(V30,'T08'!$G$3:$G$1500,'T08'!$AC$3:$AC$1500)</f>
        <v>PO-2504-3</v>
      </c>
      <c r="Z30" s="21" t="s">
        <v>844</v>
      </c>
      <c r="AA30" s="37" t="s">
        <v>844</v>
      </c>
      <c r="AB30" s="21" t="str">
        <f>IF(C30="Against bill",IF(V30&lt;&gt;"N/A","OK - bill linked","Missing bill"),IF(Z30&lt;&gt;"N/A","OK - advance request linked","Missing request"))</f>
        <v>OK - bill linked</v>
      </c>
      <c r="AC30" s="21" t="s">
        <v>844</v>
      </c>
      <c r="AD30" s="21" t="s">
        <v>4360</v>
      </c>
      <c r="AE30" s="21">
        <v>2</v>
      </c>
      <c r="AF30" s="21" t="s">
        <v>4450</v>
      </c>
      <c r="AG30" s="37">
        <f>_xlfn.XLOOKUP(V30,'T08'!$G$3:$G$1500,'T08'!$BH$3:$BH$1500)</f>
        <v>821044.8</v>
      </c>
      <c r="AH30" s="37">
        <v>0</v>
      </c>
      <c r="AI30" s="37">
        <f>_xlfn.XLOOKUP(V30,'T08'!$G$3:$G$1500,'T08'!$BI$3:$BI$1500)</f>
        <v>41052</v>
      </c>
      <c r="AJ30" s="37">
        <f>_xlfn.XLOOKUP(V30,'T08'!$G$3:$G$1500,'T08'!$BJ$3:$BJ$1500)</f>
        <v>0</v>
      </c>
      <c r="AK30" s="37">
        <f>AG30-AH30-AI30-AJ30</f>
        <v>779992.8</v>
      </c>
      <c r="AL30" s="37">
        <f>AG30-AH30-AI30-AJ30-AK30</f>
        <v>0</v>
      </c>
      <c r="AM30" s="21" t="s">
        <v>4454</v>
      </c>
      <c r="AN30" s="37">
        <f>SUMIFS($AG$3:$AG$1500,$A$3:$A$1500,A30)</f>
        <v>24618239.800000001</v>
      </c>
      <c r="AO30" s="37">
        <f>SUMIFS($AI$3:$AI$1500,$A$3:$A$1500,A30)</f>
        <v>1230912</v>
      </c>
      <c r="AP30" s="37">
        <f>SUMIFS($AJ$3:$AJ$1500,$A$3:$A$1500,A30)</f>
        <v>0</v>
      </c>
      <c r="AQ30" s="37">
        <f>SUMIFS($AK$3:$AK$1500,$A$3:$A$1500,A30)</f>
        <v>23387327.800000001</v>
      </c>
      <c r="AR30" s="21" t="str">
        <f>"PKR "&amp;TEXT(AQ30,"#,##0")&amp;" only"</f>
        <v>PKR 23,387,328 only</v>
      </c>
      <c r="AS30" s="21" t="str">
        <f>"Sec 153 - deposit by "&amp;TEXT(EOMONTH(B30,0)+15,"dd-mmm-yyyy")</f>
        <v>Sec 153 - deposit by 15-Aug-2025</v>
      </c>
      <c r="AT30" s="21" t="s">
        <v>844</v>
      </c>
      <c r="AU30" s="21" t="s">
        <v>4455</v>
      </c>
      <c r="AV30" s="21" t="s">
        <v>4364</v>
      </c>
      <c r="AW30" s="29">
        <v>45850</v>
      </c>
      <c r="AX30" s="37">
        <f>AQ30+AY30</f>
        <v>23387327.800000001</v>
      </c>
      <c r="AY30" s="37">
        <v>0</v>
      </c>
      <c r="AZ30" s="21" t="s">
        <v>3090</v>
      </c>
      <c r="BA30" s="21" t="s">
        <v>4356</v>
      </c>
      <c r="BB30" s="21" t="s">
        <v>848</v>
      </c>
      <c r="BC30" s="21" t="s">
        <v>4365</v>
      </c>
      <c r="BD30" s="21" t="str">
        <f>IF(AL30&lt;1,"Bill fully settled","Bill partially settled")</f>
        <v>Bill fully settled</v>
      </c>
      <c r="BE30" s="21" t="str">
        <f>"Payable reduced by PKR "&amp;TEXT(AK30+AI30+AJ30,"#,##0")</f>
        <v>Payable reduced by PKR 821,045</v>
      </c>
      <c r="BF30" s="21" t="s">
        <v>4453</v>
      </c>
      <c r="BG30" s="21" t="s">
        <v>753</v>
      </c>
      <c r="BH30" s="21" t="s">
        <v>4367</v>
      </c>
      <c r="BI30" s="21" t="s">
        <v>844</v>
      </c>
      <c r="BJ30" s="21" t="s">
        <v>844</v>
      </c>
      <c r="BK30" s="21" t="s">
        <v>753</v>
      </c>
      <c r="BL30" s="21" t="s">
        <v>753</v>
      </c>
      <c r="BM30" s="21" t="s">
        <v>753</v>
      </c>
      <c r="BN30" s="21" t="s">
        <v>4368</v>
      </c>
      <c r="BO30" s="21" t="s">
        <v>848</v>
      </c>
      <c r="BP30" s="21" t="str">
        <f>K30</f>
        <v>Paid</v>
      </c>
    </row>
    <row r="31" spans="1:68" x14ac:dyDescent="0.3">
      <c r="A31" s="21" t="s">
        <v>4449</v>
      </c>
      <c r="B31" s="29">
        <v>45850</v>
      </c>
      <c r="C31" s="21" t="s">
        <v>4354</v>
      </c>
      <c r="D31" s="21" t="s">
        <v>743</v>
      </c>
      <c r="E31" s="21" t="s">
        <v>3400</v>
      </c>
      <c r="F31" s="21" t="s">
        <v>3401</v>
      </c>
      <c r="G31" s="21" t="s">
        <v>4355</v>
      </c>
      <c r="H31" s="21" t="s">
        <v>3095</v>
      </c>
      <c r="I31" s="21" t="s">
        <v>3085</v>
      </c>
      <c r="J31" s="21" t="s">
        <v>4356</v>
      </c>
      <c r="K31" s="21" t="s">
        <v>4357</v>
      </c>
      <c r="L31" s="21" t="s">
        <v>3403</v>
      </c>
      <c r="M31" s="21" t="s">
        <v>3578</v>
      </c>
      <c r="N31" s="21" t="s">
        <v>1021</v>
      </c>
      <c r="O31" s="21" t="s">
        <v>746</v>
      </c>
      <c r="P31" s="21" t="s">
        <v>1037</v>
      </c>
      <c r="Q31" s="21" t="s">
        <v>1019</v>
      </c>
      <c r="R31" s="21" t="s">
        <v>1038</v>
      </c>
      <c r="S31" s="21" t="s">
        <v>4358</v>
      </c>
      <c r="T31" s="21" t="s">
        <v>3579</v>
      </c>
      <c r="U31" s="37" cm="1">
        <f t="array" ref="U31">SUMPRODUCT(('T08'!$U$3:$U$1500=M31)*('T08'!$AF$3:$AF$1500=1)*('T08'!$I$3:$I$1500&lt;=B31)*'T08'!$BK$3:$BK$1500)-SUMPRODUCT(($M$3:$M$1500=M31)*($B$3:$B$1500&lt;B31)*($AK$3:$AK$1500+$AI$3:$AI$1500+$AJ$3:$AJ$1500))</f>
        <v>23387327.800000001</v>
      </c>
      <c r="V31" s="21" t="s">
        <v>3743</v>
      </c>
      <c r="W31" s="21" t="str">
        <f>TEXT(_xlfn.XLOOKUP(V31,'T08'!$G$3:$G$1500,'T08'!$J$3:$J$1500),"dd-mmm-yyyy")&amp;" / due "&amp;TEXT(_xlfn.XLOOKUP(V31,'T08'!$G$3:$G$1500,'T08'!$BQ$3:$BQ$1500),"dd-mmm-yyyy")</f>
        <v>31-May-2025 / due 15-Jun-2025</v>
      </c>
      <c r="X31" s="21" t="s">
        <v>4359</v>
      </c>
      <c r="Y31" s="21" t="str">
        <f>_xlfn.XLOOKUP(V31,'T08'!$G$3:$G$1500,'T08'!$AC$3:$AC$1500)</f>
        <v>PO-2505-3</v>
      </c>
      <c r="Z31" s="21" t="s">
        <v>844</v>
      </c>
      <c r="AA31" s="37" t="s">
        <v>844</v>
      </c>
      <c r="AB31" s="21" t="str">
        <f>IF(C31="Against bill",IF(V31&lt;&gt;"N/A","OK - bill linked","Missing bill"),IF(Z31&lt;&gt;"N/A","OK - advance request linked","Missing request"))</f>
        <v>OK - bill linked</v>
      </c>
      <c r="AC31" s="21" t="s">
        <v>844</v>
      </c>
      <c r="AD31" s="21" t="s">
        <v>4360</v>
      </c>
      <c r="AE31" s="21">
        <v>3</v>
      </c>
      <c r="AF31" s="21" t="s">
        <v>4450</v>
      </c>
      <c r="AG31" s="37">
        <f>_xlfn.XLOOKUP(V31,'T08'!$G$3:$G$1500,'T08'!$BH$3:$BH$1500)</f>
        <v>3535900</v>
      </c>
      <c r="AH31" s="37">
        <v>0</v>
      </c>
      <c r="AI31" s="37">
        <f>_xlfn.XLOOKUP(V31,'T08'!$G$3:$G$1500,'T08'!$BI$3:$BI$1500)</f>
        <v>176795</v>
      </c>
      <c r="AJ31" s="37">
        <f>_xlfn.XLOOKUP(V31,'T08'!$G$3:$G$1500,'T08'!$BJ$3:$BJ$1500)</f>
        <v>0</v>
      </c>
      <c r="AK31" s="37">
        <f>AG31-AH31-AI31-AJ31</f>
        <v>3359105</v>
      </c>
      <c r="AL31" s="37">
        <f>AG31-AH31-AI31-AJ31-AK31</f>
        <v>0</v>
      </c>
      <c r="AM31" s="21" t="s">
        <v>4456</v>
      </c>
      <c r="AN31" s="37">
        <f>SUMIFS($AG$3:$AG$1500,$A$3:$A$1500,A31)</f>
        <v>24618239.800000001</v>
      </c>
      <c r="AO31" s="37">
        <f>SUMIFS($AI$3:$AI$1500,$A$3:$A$1500,A31)</f>
        <v>1230912</v>
      </c>
      <c r="AP31" s="37">
        <f>SUMIFS($AJ$3:$AJ$1500,$A$3:$A$1500,A31)</f>
        <v>0</v>
      </c>
      <c r="AQ31" s="37">
        <f>SUMIFS($AK$3:$AK$1500,$A$3:$A$1500,A31)</f>
        <v>23387327.800000001</v>
      </c>
      <c r="AR31" s="21" t="str">
        <f>"PKR "&amp;TEXT(AQ31,"#,##0")&amp;" only"</f>
        <v>PKR 23,387,328 only</v>
      </c>
      <c r="AS31" s="21" t="str">
        <f>"Sec 153 - deposit by "&amp;TEXT(EOMONTH(B31,0)+15,"dd-mmm-yyyy")</f>
        <v>Sec 153 - deposit by 15-Aug-2025</v>
      </c>
      <c r="AT31" s="21" t="s">
        <v>844</v>
      </c>
      <c r="AU31" s="21" t="s">
        <v>4457</v>
      </c>
      <c r="AV31" s="21" t="s">
        <v>4364</v>
      </c>
      <c r="AW31" s="29">
        <v>45850</v>
      </c>
      <c r="AX31" s="37">
        <f>AQ31+AY31</f>
        <v>23387327.800000001</v>
      </c>
      <c r="AY31" s="37">
        <v>0</v>
      </c>
      <c r="AZ31" s="21" t="s">
        <v>3090</v>
      </c>
      <c r="BA31" s="21" t="s">
        <v>4356</v>
      </c>
      <c r="BB31" s="21" t="s">
        <v>848</v>
      </c>
      <c r="BC31" s="21" t="s">
        <v>4365</v>
      </c>
      <c r="BD31" s="21" t="str">
        <f>IF(AL31&lt;1,"Bill fully settled","Bill partially settled")</f>
        <v>Bill fully settled</v>
      </c>
      <c r="BE31" s="21" t="str">
        <f>"Payable reduced by PKR "&amp;TEXT(AK31+AI31+AJ31,"#,##0")</f>
        <v>Payable reduced by PKR 3,535,900</v>
      </c>
      <c r="BF31" s="21" t="s">
        <v>4453</v>
      </c>
      <c r="BG31" s="21" t="s">
        <v>753</v>
      </c>
      <c r="BH31" s="21" t="s">
        <v>4367</v>
      </c>
      <c r="BI31" s="21" t="s">
        <v>844</v>
      </c>
      <c r="BJ31" s="21" t="s">
        <v>844</v>
      </c>
      <c r="BK31" s="21" t="s">
        <v>753</v>
      </c>
      <c r="BL31" s="21" t="s">
        <v>753</v>
      </c>
      <c r="BM31" s="21" t="s">
        <v>753</v>
      </c>
      <c r="BN31" s="21" t="s">
        <v>4368</v>
      </c>
      <c r="BO31" s="21" t="s">
        <v>848</v>
      </c>
      <c r="BP31" s="21" t="str">
        <f>K31</f>
        <v>Paid</v>
      </c>
    </row>
    <row r="32" spans="1:68" x14ac:dyDescent="0.3">
      <c r="A32" s="21" t="s">
        <v>4449</v>
      </c>
      <c r="B32" s="29">
        <v>45850</v>
      </c>
      <c r="C32" s="21" t="s">
        <v>4354</v>
      </c>
      <c r="D32" s="21" t="s">
        <v>743</v>
      </c>
      <c r="E32" s="21" t="s">
        <v>3400</v>
      </c>
      <c r="F32" s="21" t="s">
        <v>3401</v>
      </c>
      <c r="G32" s="21" t="s">
        <v>4355</v>
      </c>
      <c r="H32" s="21" t="s">
        <v>3095</v>
      </c>
      <c r="I32" s="21" t="s">
        <v>3085</v>
      </c>
      <c r="J32" s="21" t="s">
        <v>4356</v>
      </c>
      <c r="K32" s="21" t="s">
        <v>4357</v>
      </c>
      <c r="L32" s="21" t="s">
        <v>3403</v>
      </c>
      <c r="M32" s="21" t="s">
        <v>3578</v>
      </c>
      <c r="N32" s="21" t="s">
        <v>1021</v>
      </c>
      <c r="O32" s="21" t="s">
        <v>746</v>
      </c>
      <c r="P32" s="21" t="s">
        <v>1037</v>
      </c>
      <c r="Q32" s="21" t="s">
        <v>1019</v>
      </c>
      <c r="R32" s="21" t="s">
        <v>1038</v>
      </c>
      <c r="S32" s="21" t="s">
        <v>4358</v>
      </c>
      <c r="T32" s="21" t="s">
        <v>3579</v>
      </c>
      <c r="U32" s="37" cm="1">
        <f t="array" ref="U32">SUMPRODUCT(('T08'!$U$3:$U$1500=M32)*('T08'!$AF$3:$AF$1500=1)*('T08'!$I$3:$I$1500&lt;=B32)*'T08'!$BK$3:$BK$1500)-SUMPRODUCT(($M$3:$M$1500=M32)*($B$3:$B$1500&lt;B32)*($AK$3:$AK$1500+$AI$3:$AI$1500+$AJ$3:$AJ$1500))</f>
        <v>23387327.800000001</v>
      </c>
      <c r="V32" s="21" t="s">
        <v>3782</v>
      </c>
      <c r="W32" s="21" t="str">
        <f>TEXT(_xlfn.XLOOKUP(V32,'T08'!$G$3:$G$1500,'T08'!$J$3:$J$1500),"dd-mmm-yyyy")&amp;" / due "&amp;TEXT(_xlfn.XLOOKUP(V32,'T08'!$G$3:$G$1500,'T08'!$BQ$3:$BQ$1500),"dd-mmm-yyyy")</f>
        <v>30-Jun-2025 / due 15-Jul-2025</v>
      </c>
      <c r="X32" s="21" t="s">
        <v>4359</v>
      </c>
      <c r="Y32" s="21" t="str">
        <f>_xlfn.XLOOKUP(V32,'T08'!$G$3:$G$1500,'T08'!$AC$3:$AC$1500)</f>
        <v>PO-2506-3</v>
      </c>
      <c r="Z32" s="21" t="s">
        <v>844</v>
      </c>
      <c r="AA32" s="37" t="s">
        <v>844</v>
      </c>
      <c r="AB32" s="21" t="str">
        <f>IF(C32="Against bill",IF(V32&lt;&gt;"N/A","OK - bill linked","Missing bill"),IF(Z32&lt;&gt;"N/A","OK - advance request linked","Missing request"))</f>
        <v>OK - bill linked</v>
      </c>
      <c r="AC32" s="21" t="s">
        <v>844</v>
      </c>
      <c r="AD32" s="21" t="s">
        <v>4360</v>
      </c>
      <c r="AE32" s="21">
        <v>4</v>
      </c>
      <c r="AF32" s="21" t="s">
        <v>4450</v>
      </c>
      <c r="AG32" s="37">
        <f>_xlfn.XLOOKUP(V32,'T08'!$G$3:$G$1500,'T08'!$BH$3:$BH$1500)</f>
        <v>8769600</v>
      </c>
      <c r="AH32" s="37">
        <v>0</v>
      </c>
      <c r="AI32" s="37">
        <f>_xlfn.XLOOKUP(V32,'T08'!$G$3:$G$1500,'T08'!$BI$3:$BI$1500)</f>
        <v>438480</v>
      </c>
      <c r="AJ32" s="37">
        <f>_xlfn.XLOOKUP(V32,'T08'!$G$3:$G$1500,'T08'!$BJ$3:$BJ$1500)</f>
        <v>0</v>
      </c>
      <c r="AK32" s="37">
        <f>AG32-AH32-AI32-AJ32</f>
        <v>8331120</v>
      </c>
      <c r="AL32" s="37">
        <f>AG32-AH32-AI32-AJ32-AK32</f>
        <v>0</v>
      </c>
      <c r="AM32" s="21" t="s">
        <v>4458</v>
      </c>
      <c r="AN32" s="37">
        <f>SUMIFS($AG$3:$AG$1500,$A$3:$A$1500,A32)</f>
        <v>24618239.800000001</v>
      </c>
      <c r="AO32" s="37">
        <f>SUMIFS($AI$3:$AI$1500,$A$3:$A$1500,A32)</f>
        <v>1230912</v>
      </c>
      <c r="AP32" s="37">
        <f>SUMIFS($AJ$3:$AJ$1500,$A$3:$A$1500,A32)</f>
        <v>0</v>
      </c>
      <c r="AQ32" s="37">
        <f>SUMIFS($AK$3:$AK$1500,$A$3:$A$1500,A32)</f>
        <v>23387327.800000001</v>
      </c>
      <c r="AR32" s="21" t="str">
        <f>"PKR "&amp;TEXT(AQ32,"#,##0")&amp;" only"</f>
        <v>PKR 23,387,328 only</v>
      </c>
      <c r="AS32" s="21" t="str">
        <f>"Sec 153 - deposit by "&amp;TEXT(EOMONTH(B32,0)+15,"dd-mmm-yyyy")</f>
        <v>Sec 153 - deposit by 15-Aug-2025</v>
      </c>
      <c r="AT32" s="21" t="s">
        <v>844</v>
      </c>
      <c r="AU32" s="21" t="s">
        <v>4459</v>
      </c>
      <c r="AV32" s="21" t="s">
        <v>4364</v>
      </c>
      <c r="AW32" s="29">
        <v>45850</v>
      </c>
      <c r="AX32" s="37">
        <f>AQ32+AY32</f>
        <v>23387327.800000001</v>
      </c>
      <c r="AY32" s="37">
        <v>0</v>
      </c>
      <c r="AZ32" s="21" t="s">
        <v>3090</v>
      </c>
      <c r="BA32" s="21" t="s">
        <v>4356</v>
      </c>
      <c r="BB32" s="21" t="s">
        <v>848</v>
      </c>
      <c r="BC32" s="21" t="s">
        <v>4365</v>
      </c>
      <c r="BD32" s="21" t="str">
        <f>IF(AL32&lt;1,"Bill fully settled","Bill partially settled")</f>
        <v>Bill fully settled</v>
      </c>
      <c r="BE32" s="21" t="str">
        <f>"Payable reduced by PKR "&amp;TEXT(AK32+AI32+AJ32,"#,##0")</f>
        <v>Payable reduced by PKR 8,769,600</v>
      </c>
      <c r="BF32" s="21" t="s">
        <v>4453</v>
      </c>
      <c r="BG32" s="21" t="s">
        <v>753</v>
      </c>
      <c r="BH32" s="21" t="s">
        <v>4367</v>
      </c>
      <c r="BI32" s="21" t="s">
        <v>844</v>
      </c>
      <c r="BJ32" s="21" t="s">
        <v>844</v>
      </c>
      <c r="BK32" s="21" t="s">
        <v>753</v>
      </c>
      <c r="BL32" s="21" t="s">
        <v>753</v>
      </c>
      <c r="BM32" s="21" t="s">
        <v>753</v>
      </c>
      <c r="BN32" s="21" t="s">
        <v>4368</v>
      </c>
      <c r="BO32" s="21" t="s">
        <v>848</v>
      </c>
      <c r="BP32" s="21" t="str">
        <f>K32</f>
        <v>Paid</v>
      </c>
    </row>
    <row r="33" spans="1:68" x14ac:dyDescent="0.3">
      <c r="A33" s="21" t="s">
        <v>4460</v>
      </c>
      <c r="B33" s="29">
        <v>45879</v>
      </c>
      <c r="C33" s="21" t="s">
        <v>4354</v>
      </c>
      <c r="D33" s="21" t="s">
        <v>743</v>
      </c>
      <c r="E33" s="21" t="s">
        <v>3350</v>
      </c>
      <c r="F33" s="21" t="s">
        <v>3351</v>
      </c>
      <c r="G33" s="21" t="s">
        <v>4355</v>
      </c>
      <c r="H33" s="21" t="s">
        <v>3084</v>
      </c>
      <c r="I33" s="21" t="s">
        <v>3085</v>
      </c>
      <c r="J33" s="21" t="s">
        <v>4461</v>
      </c>
      <c r="K33" s="21" t="s">
        <v>4357</v>
      </c>
      <c r="L33" s="21" t="s">
        <v>3353</v>
      </c>
      <c r="M33" s="21" t="s">
        <v>3450</v>
      </c>
      <c r="N33" s="21" t="s">
        <v>3451</v>
      </c>
      <c r="O33" s="21" t="s">
        <v>746</v>
      </c>
      <c r="P33" s="21" t="s">
        <v>4462</v>
      </c>
      <c r="Q33" s="21" t="s">
        <v>4463</v>
      </c>
      <c r="R33" s="21" t="s">
        <v>4464</v>
      </c>
      <c r="S33" s="21" t="s">
        <v>4358</v>
      </c>
      <c r="T33" s="21" t="s">
        <v>3452</v>
      </c>
      <c r="U33" s="37" cm="1">
        <f t="array" ref="U33">SUMPRODUCT(('T08'!$U$3:$U$1500=M33)*('T08'!$AF$3:$AF$1500=1)*('T08'!$I$3:$I$1500&lt;=B33)*'T08'!$BK$3:$BK$1500)-SUMPRODUCT(($M$3:$M$1500=M33)*($B$3:$B$1500&lt;B33)*($AK$3:$AK$1500+$AI$3:$AI$1500+$AJ$3:$AJ$1500))</f>
        <v>118320</v>
      </c>
      <c r="V33" s="21" t="s">
        <v>3448</v>
      </c>
      <c r="W33" s="21" t="str">
        <f>TEXT(_xlfn.XLOOKUP(V33,'T08'!$G$3:$G$1500,'T08'!$J$3:$J$1500),"dd-mmm-yyyy")&amp;" / due "&amp;TEXT(_xlfn.XLOOKUP(V33,'T08'!$G$3:$G$1500,'T08'!$BQ$3:$BQ$1500),"dd-mmm-yyyy")</f>
        <v>20-Nov-2024 / due 05-Dec-2024</v>
      </c>
      <c r="X33" s="21" t="s">
        <v>4359</v>
      </c>
      <c r="Y33" s="21" t="str">
        <f>_xlfn.XLOOKUP(V33,'T08'!$G$3:$G$1500,'T08'!$AC$3:$AC$1500)</f>
        <v>N/A</v>
      </c>
      <c r="Z33" s="21" t="s">
        <v>844</v>
      </c>
      <c r="AA33" s="37" t="s">
        <v>844</v>
      </c>
      <c r="AB33" s="21" t="str">
        <f>IF(C33="Against bill",IF(V33&lt;&gt;"N/A","OK - bill linked","Missing bill"),IF(Z33&lt;&gt;"N/A","OK - advance request linked","Missing request"))</f>
        <v>OK - bill linked</v>
      </c>
      <c r="AC33" s="21" t="s">
        <v>844</v>
      </c>
      <c r="AD33" s="21" t="s">
        <v>4360</v>
      </c>
      <c r="AE33" s="21">
        <v>1</v>
      </c>
      <c r="AF33" s="21" t="s">
        <v>4465</v>
      </c>
      <c r="AG33" s="37">
        <f>_xlfn.XLOOKUP(V33,'T08'!$G$3:$G$1500,'T08'!$BH$3:$BH$1500)</f>
        <v>29116</v>
      </c>
      <c r="AH33" s="37">
        <v>0</v>
      </c>
      <c r="AI33" s="37">
        <f>_xlfn.XLOOKUP(V33,'T08'!$G$3:$G$1500,'T08'!$BI$3:$BI$1500)</f>
        <v>0</v>
      </c>
      <c r="AJ33" s="37">
        <f>_xlfn.XLOOKUP(V33,'T08'!$G$3:$G$1500,'T08'!$BJ$3:$BJ$1500)</f>
        <v>0</v>
      </c>
      <c r="AK33" s="37">
        <f>AG33-AH33-AI33-AJ33</f>
        <v>29116</v>
      </c>
      <c r="AL33" s="37">
        <f>AG33-AH33-AI33-AJ33-AK33</f>
        <v>0</v>
      </c>
      <c r="AM33" s="21" t="s">
        <v>4466</v>
      </c>
      <c r="AN33" s="37">
        <f>SUMIFS($AG$3:$AG$1500,$A$3:$A$1500,A33)</f>
        <v>118320</v>
      </c>
      <c r="AO33" s="37">
        <f>SUMIFS($AI$3:$AI$1500,$A$3:$A$1500,A33)</f>
        <v>0</v>
      </c>
      <c r="AP33" s="37">
        <f>SUMIFS($AJ$3:$AJ$1500,$A$3:$A$1500,A33)</f>
        <v>0</v>
      </c>
      <c r="AQ33" s="37">
        <f>SUMIFS($AK$3:$AK$1500,$A$3:$A$1500,A33)</f>
        <v>118320</v>
      </c>
      <c r="AR33" s="21" t="str">
        <f>"PKR "&amp;TEXT(AQ33,"#,##0")&amp;" only"</f>
        <v>PKR 118,320 only</v>
      </c>
      <c r="AS33" s="21" t="str">
        <f>"Sec 153 - deposit by "&amp;TEXT(EOMONTH(B33,0)+15,"dd-mmm-yyyy")</f>
        <v>Sec 153 - deposit by 15-Sep-2025</v>
      </c>
      <c r="AT33" s="21" t="s">
        <v>844</v>
      </c>
      <c r="AU33" s="21" t="s">
        <v>4467</v>
      </c>
      <c r="AV33" s="21" t="s">
        <v>4364</v>
      </c>
      <c r="AW33" s="29">
        <v>45881</v>
      </c>
      <c r="AX33" s="37">
        <f>AQ33+AY33</f>
        <v>118320</v>
      </c>
      <c r="AY33" s="37">
        <v>0</v>
      </c>
      <c r="AZ33" s="21" t="s">
        <v>3090</v>
      </c>
      <c r="BA33" s="21" t="s">
        <v>4435</v>
      </c>
      <c r="BB33" s="21" t="s">
        <v>848</v>
      </c>
      <c r="BC33" s="21" t="s">
        <v>4365</v>
      </c>
      <c r="BD33" s="21" t="str">
        <f>IF(AL33&lt;1,"Bill fully settled","Bill partially settled")</f>
        <v>Bill fully settled</v>
      </c>
      <c r="BE33" s="21" t="str">
        <f>"Payable reduced by PKR "&amp;TEXT(AK33+AI33+AJ33,"#,##0")</f>
        <v>Payable reduced by PKR 29,116</v>
      </c>
      <c r="BF33" s="21" t="s">
        <v>4468</v>
      </c>
      <c r="BG33" s="21" t="s">
        <v>753</v>
      </c>
      <c r="BH33" s="21" t="s">
        <v>844</v>
      </c>
      <c r="BI33" s="21" t="s">
        <v>844</v>
      </c>
      <c r="BJ33" s="21" t="s">
        <v>844</v>
      </c>
      <c r="BK33" s="21" t="s">
        <v>753</v>
      </c>
      <c r="BL33" s="21" t="s">
        <v>753</v>
      </c>
      <c r="BM33" s="21" t="s">
        <v>753</v>
      </c>
      <c r="BN33" s="21" t="s">
        <v>4368</v>
      </c>
      <c r="BO33" s="21" t="s">
        <v>848</v>
      </c>
      <c r="BP33" s="21" t="str">
        <f>K33</f>
        <v>Paid</v>
      </c>
    </row>
    <row r="34" spans="1:68" x14ac:dyDescent="0.3">
      <c r="A34" s="21" t="s">
        <v>4460</v>
      </c>
      <c r="B34" s="29">
        <v>45879</v>
      </c>
      <c r="C34" s="21" t="s">
        <v>4354</v>
      </c>
      <c r="D34" s="21" t="s">
        <v>743</v>
      </c>
      <c r="E34" s="21" t="s">
        <v>3350</v>
      </c>
      <c r="F34" s="21" t="s">
        <v>3351</v>
      </c>
      <c r="G34" s="21" t="s">
        <v>4355</v>
      </c>
      <c r="H34" s="21" t="s">
        <v>3084</v>
      </c>
      <c r="I34" s="21" t="s">
        <v>3085</v>
      </c>
      <c r="J34" s="21" t="s">
        <v>4461</v>
      </c>
      <c r="K34" s="21" t="s">
        <v>4357</v>
      </c>
      <c r="L34" s="21" t="s">
        <v>3353</v>
      </c>
      <c r="M34" s="21" t="s">
        <v>3450</v>
      </c>
      <c r="N34" s="21" t="s">
        <v>3451</v>
      </c>
      <c r="O34" s="21" t="s">
        <v>746</v>
      </c>
      <c r="P34" s="21" t="s">
        <v>4462</v>
      </c>
      <c r="Q34" s="21" t="s">
        <v>4463</v>
      </c>
      <c r="R34" s="21" t="s">
        <v>4464</v>
      </c>
      <c r="S34" s="21" t="s">
        <v>4358</v>
      </c>
      <c r="T34" s="21" t="s">
        <v>3452</v>
      </c>
      <c r="U34" s="37" cm="1">
        <f t="array" ref="U34">SUMPRODUCT(('T08'!$U$3:$U$1500=M34)*('T08'!$AF$3:$AF$1500=1)*('T08'!$I$3:$I$1500&lt;=B34)*'T08'!$BK$3:$BK$1500)-SUMPRODUCT(($M$3:$M$1500=M34)*($B$3:$B$1500&lt;B34)*($AK$3:$AK$1500+$AI$3:$AI$1500+$AJ$3:$AJ$1500))</f>
        <v>118320</v>
      </c>
      <c r="V34" s="21" t="s">
        <v>3602</v>
      </c>
      <c r="W34" s="21" t="str">
        <f>TEXT(_xlfn.XLOOKUP(V34,'T08'!$G$3:$G$1500,'T08'!$J$3:$J$1500),"dd-mmm-yyyy")&amp;" / due "&amp;TEXT(_xlfn.XLOOKUP(V34,'T08'!$G$3:$G$1500,'T08'!$BQ$3:$BQ$1500),"dd-mmm-yyyy")</f>
        <v>14-Feb-2025 / due 01-Mar-2025</v>
      </c>
      <c r="X34" s="21" t="s">
        <v>4359</v>
      </c>
      <c r="Y34" s="21" t="str">
        <f>_xlfn.XLOOKUP(V34,'T08'!$G$3:$G$1500,'T08'!$AC$3:$AC$1500)</f>
        <v>N/A</v>
      </c>
      <c r="Z34" s="21" t="s">
        <v>844</v>
      </c>
      <c r="AA34" s="37" t="s">
        <v>844</v>
      </c>
      <c r="AB34" s="21" t="str">
        <f>IF(C34="Against bill",IF(V34&lt;&gt;"N/A","OK - bill linked","Missing bill"),IF(Z34&lt;&gt;"N/A","OK - advance request linked","Missing request"))</f>
        <v>OK - bill linked</v>
      </c>
      <c r="AC34" s="21" t="s">
        <v>844</v>
      </c>
      <c r="AD34" s="21" t="s">
        <v>4360</v>
      </c>
      <c r="AE34" s="21">
        <v>2</v>
      </c>
      <c r="AF34" s="21" t="s">
        <v>4465</v>
      </c>
      <c r="AG34" s="37">
        <f>_xlfn.XLOOKUP(V34,'T08'!$G$3:$G$1500,'T08'!$BH$3:$BH$1500)</f>
        <v>29464</v>
      </c>
      <c r="AH34" s="37">
        <v>0</v>
      </c>
      <c r="AI34" s="37">
        <f>_xlfn.XLOOKUP(V34,'T08'!$G$3:$G$1500,'T08'!$BI$3:$BI$1500)</f>
        <v>0</v>
      </c>
      <c r="AJ34" s="37">
        <f>_xlfn.XLOOKUP(V34,'T08'!$G$3:$G$1500,'T08'!$BJ$3:$BJ$1500)</f>
        <v>0</v>
      </c>
      <c r="AK34" s="37">
        <f>AG34-AH34-AI34-AJ34</f>
        <v>29464</v>
      </c>
      <c r="AL34" s="37">
        <f>AG34-AH34-AI34-AJ34-AK34</f>
        <v>0</v>
      </c>
      <c r="AM34" s="21" t="s">
        <v>4469</v>
      </c>
      <c r="AN34" s="37">
        <f>SUMIFS($AG$3:$AG$1500,$A$3:$A$1500,A34)</f>
        <v>118320</v>
      </c>
      <c r="AO34" s="37">
        <f>SUMIFS($AI$3:$AI$1500,$A$3:$A$1500,A34)</f>
        <v>0</v>
      </c>
      <c r="AP34" s="37">
        <f>SUMIFS($AJ$3:$AJ$1500,$A$3:$A$1500,A34)</f>
        <v>0</v>
      </c>
      <c r="AQ34" s="37">
        <f>SUMIFS($AK$3:$AK$1500,$A$3:$A$1500,A34)</f>
        <v>118320</v>
      </c>
      <c r="AR34" s="21" t="str">
        <f>"PKR "&amp;TEXT(AQ34,"#,##0")&amp;" only"</f>
        <v>PKR 118,320 only</v>
      </c>
      <c r="AS34" s="21" t="str">
        <f>"Sec 153 - deposit by "&amp;TEXT(EOMONTH(B34,0)+15,"dd-mmm-yyyy")</f>
        <v>Sec 153 - deposit by 15-Sep-2025</v>
      </c>
      <c r="AT34" s="21" t="s">
        <v>844</v>
      </c>
      <c r="AU34" s="21" t="s">
        <v>4470</v>
      </c>
      <c r="AV34" s="21" t="s">
        <v>4364</v>
      </c>
      <c r="AW34" s="29">
        <v>45881</v>
      </c>
      <c r="AX34" s="37">
        <f>AQ34+AY34</f>
        <v>118320</v>
      </c>
      <c r="AY34" s="37">
        <v>0</v>
      </c>
      <c r="AZ34" s="21" t="s">
        <v>3090</v>
      </c>
      <c r="BA34" s="21" t="s">
        <v>4435</v>
      </c>
      <c r="BB34" s="21" t="s">
        <v>848</v>
      </c>
      <c r="BC34" s="21" t="s">
        <v>4365</v>
      </c>
      <c r="BD34" s="21" t="str">
        <f>IF(AL34&lt;1,"Bill fully settled","Bill partially settled")</f>
        <v>Bill fully settled</v>
      </c>
      <c r="BE34" s="21" t="str">
        <f>"Payable reduced by PKR "&amp;TEXT(AK34+AI34+AJ34,"#,##0")</f>
        <v>Payable reduced by PKR 29,464</v>
      </c>
      <c r="BF34" s="21" t="s">
        <v>4468</v>
      </c>
      <c r="BG34" s="21" t="s">
        <v>753</v>
      </c>
      <c r="BH34" s="21" t="s">
        <v>844</v>
      </c>
      <c r="BI34" s="21" t="s">
        <v>844</v>
      </c>
      <c r="BJ34" s="21" t="s">
        <v>844</v>
      </c>
      <c r="BK34" s="21" t="s">
        <v>753</v>
      </c>
      <c r="BL34" s="21" t="s">
        <v>753</v>
      </c>
      <c r="BM34" s="21" t="s">
        <v>753</v>
      </c>
      <c r="BN34" s="21" t="s">
        <v>4368</v>
      </c>
      <c r="BO34" s="21" t="s">
        <v>848</v>
      </c>
      <c r="BP34" s="21" t="str">
        <f>K34</f>
        <v>Paid</v>
      </c>
    </row>
    <row r="35" spans="1:68" x14ac:dyDescent="0.3">
      <c r="A35" s="21" t="s">
        <v>4460</v>
      </c>
      <c r="B35" s="29">
        <v>45879</v>
      </c>
      <c r="C35" s="21" t="s">
        <v>4354</v>
      </c>
      <c r="D35" s="21" t="s">
        <v>743</v>
      </c>
      <c r="E35" s="21" t="s">
        <v>3350</v>
      </c>
      <c r="F35" s="21" t="s">
        <v>3351</v>
      </c>
      <c r="G35" s="21" t="s">
        <v>4355</v>
      </c>
      <c r="H35" s="21" t="s">
        <v>3084</v>
      </c>
      <c r="I35" s="21" t="s">
        <v>3085</v>
      </c>
      <c r="J35" s="21" t="s">
        <v>4461</v>
      </c>
      <c r="K35" s="21" t="s">
        <v>4357</v>
      </c>
      <c r="L35" s="21" t="s">
        <v>3353</v>
      </c>
      <c r="M35" s="21" t="s">
        <v>3450</v>
      </c>
      <c r="N35" s="21" t="s">
        <v>3451</v>
      </c>
      <c r="O35" s="21" t="s">
        <v>746</v>
      </c>
      <c r="P35" s="21" t="s">
        <v>4462</v>
      </c>
      <c r="Q35" s="21" t="s">
        <v>4463</v>
      </c>
      <c r="R35" s="21" t="s">
        <v>4464</v>
      </c>
      <c r="S35" s="21" t="s">
        <v>4358</v>
      </c>
      <c r="T35" s="21" t="s">
        <v>3452</v>
      </c>
      <c r="U35" s="37" cm="1">
        <f t="array" ref="U35">SUMPRODUCT(('T08'!$U$3:$U$1500=M35)*('T08'!$AF$3:$AF$1500=1)*('T08'!$I$3:$I$1500&lt;=B35)*'T08'!$BK$3:$BK$1500)-SUMPRODUCT(($M$3:$M$1500=M35)*($B$3:$B$1500&lt;B35)*($AK$3:$AK$1500+$AI$3:$AI$1500+$AJ$3:$AJ$1500))</f>
        <v>118320</v>
      </c>
      <c r="V35" s="21" t="s">
        <v>3676</v>
      </c>
      <c r="W35" s="21" t="str">
        <f>TEXT(_xlfn.XLOOKUP(V35,'T08'!$G$3:$G$1500,'T08'!$J$3:$J$1500),"dd-mmm-yyyy")&amp;" / due "&amp;TEXT(_xlfn.XLOOKUP(V35,'T08'!$G$3:$G$1500,'T08'!$BQ$3:$BQ$1500),"dd-mmm-yyyy")</f>
        <v>13-Apr-2025 / due 28-Apr-2025</v>
      </c>
      <c r="X35" s="21" t="s">
        <v>4359</v>
      </c>
      <c r="Y35" s="21" t="str">
        <f>_xlfn.XLOOKUP(V35,'T08'!$G$3:$G$1500,'T08'!$AC$3:$AC$1500)</f>
        <v>N/A</v>
      </c>
      <c r="Z35" s="21" t="s">
        <v>844</v>
      </c>
      <c r="AA35" s="37" t="s">
        <v>844</v>
      </c>
      <c r="AB35" s="21" t="str">
        <f>IF(C35="Against bill",IF(V35&lt;&gt;"N/A","OK - bill linked","Missing bill"),IF(Z35&lt;&gt;"N/A","OK - advance request linked","Missing request"))</f>
        <v>OK - bill linked</v>
      </c>
      <c r="AC35" s="21" t="s">
        <v>844</v>
      </c>
      <c r="AD35" s="21" t="s">
        <v>4360</v>
      </c>
      <c r="AE35" s="21">
        <v>3</v>
      </c>
      <c r="AF35" s="21" t="s">
        <v>4465</v>
      </c>
      <c r="AG35" s="37">
        <f>_xlfn.XLOOKUP(V35,'T08'!$G$3:$G$1500,'T08'!$BH$3:$BH$1500)</f>
        <v>29696</v>
      </c>
      <c r="AH35" s="37">
        <v>0</v>
      </c>
      <c r="AI35" s="37">
        <f>_xlfn.XLOOKUP(V35,'T08'!$G$3:$G$1500,'T08'!$BI$3:$BI$1500)</f>
        <v>0</v>
      </c>
      <c r="AJ35" s="37">
        <f>_xlfn.XLOOKUP(V35,'T08'!$G$3:$G$1500,'T08'!$BJ$3:$BJ$1500)</f>
        <v>0</v>
      </c>
      <c r="AK35" s="37">
        <f>AG35-AH35-AI35-AJ35</f>
        <v>29696</v>
      </c>
      <c r="AL35" s="37">
        <f>AG35-AH35-AI35-AJ35-AK35</f>
        <v>0</v>
      </c>
      <c r="AM35" s="21" t="s">
        <v>4471</v>
      </c>
      <c r="AN35" s="37">
        <f>SUMIFS($AG$3:$AG$1500,$A$3:$A$1500,A35)</f>
        <v>118320</v>
      </c>
      <c r="AO35" s="37">
        <f>SUMIFS($AI$3:$AI$1500,$A$3:$A$1500,A35)</f>
        <v>0</v>
      </c>
      <c r="AP35" s="37">
        <f>SUMIFS($AJ$3:$AJ$1500,$A$3:$A$1500,A35)</f>
        <v>0</v>
      </c>
      <c r="AQ35" s="37">
        <f>SUMIFS($AK$3:$AK$1500,$A$3:$A$1500,A35)</f>
        <v>118320</v>
      </c>
      <c r="AR35" s="21" t="str">
        <f>"PKR "&amp;TEXT(AQ35,"#,##0")&amp;" only"</f>
        <v>PKR 118,320 only</v>
      </c>
      <c r="AS35" s="21" t="str">
        <f>"Sec 153 - deposit by "&amp;TEXT(EOMONTH(B35,0)+15,"dd-mmm-yyyy")</f>
        <v>Sec 153 - deposit by 15-Sep-2025</v>
      </c>
      <c r="AT35" s="21" t="s">
        <v>844</v>
      </c>
      <c r="AU35" s="21" t="s">
        <v>4467</v>
      </c>
      <c r="AV35" s="21" t="s">
        <v>4364</v>
      </c>
      <c r="AW35" s="29">
        <v>45881</v>
      </c>
      <c r="AX35" s="37">
        <f>AQ35+AY35</f>
        <v>118320</v>
      </c>
      <c r="AY35" s="37">
        <v>0</v>
      </c>
      <c r="AZ35" s="21" t="s">
        <v>3090</v>
      </c>
      <c r="BA35" s="21" t="s">
        <v>4435</v>
      </c>
      <c r="BB35" s="21" t="s">
        <v>848</v>
      </c>
      <c r="BC35" s="21" t="s">
        <v>4365</v>
      </c>
      <c r="BD35" s="21" t="str">
        <f>IF(AL35&lt;1,"Bill fully settled","Bill partially settled")</f>
        <v>Bill fully settled</v>
      </c>
      <c r="BE35" s="21" t="str">
        <f>"Payable reduced by PKR "&amp;TEXT(AK35+AI35+AJ35,"#,##0")</f>
        <v>Payable reduced by PKR 29,696</v>
      </c>
      <c r="BF35" s="21" t="s">
        <v>4468</v>
      </c>
      <c r="BG35" s="21" t="s">
        <v>753</v>
      </c>
      <c r="BH35" s="21" t="s">
        <v>844</v>
      </c>
      <c r="BI35" s="21" t="s">
        <v>844</v>
      </c>
      <c r="BJ35" s="21" t="s">
        <v>844</v>
      </c>
      <c r="BK35" s="21" t="s">
        <v>753</v>
      </c>
      <c r="BL35" s="21" t="s">
        <v>753</v>
      </c>
      <c r="BM35" s="21" t="s">
        <v>753</v>
      </c>
      <c r="BN35" s="21" t="s">
        <v>4368</v>
      </c>
      <c r="BO35" s="21" t="s">
        <v>848</v>
      </c>
      <c r="BP35" s="21" t="str">
        <f>K35</f>
        <v>Paid</v>
      </c>
    </row>
    <row r="36" spans="1:68" x14ac:dyDescent="0.3">
      <c r="A36" s="21" t="s">
        <v>4460</v>
      </c>
      <c r="B36" s="29">
        <v>45879</v>
      </c>
      <c r="C36" s="21" t="s">
        <v>4354</v>
      </c>
      <c r="D36" s="21" t="s">
        <v>743</v>
      </c>
      <c r="E36" s="21" t="s">
        <v>3350</v>
      </c>
      <c r="F36" s="21" t="s">
        <v>3351</v>
      </c>
      <c r="G36" s="21" t="s">
        <v>4355</v>
      </c>
      <c r="H36" s="21" t="s">
        <v>3084</v>
      </c>
      <c r="I36" s="21" t="s">
        <v>3085</v>
      </c>
      <c r="J36" s="21" t="s">
        <v>4461</v>
      </c>
      <c r="K36" s="21" t="s">
        <v>4357</v>
      </c>
      <c r="L36" s="21" t="s">
        <v>3353</v>
      </c>
      <c r="M36" s="21" t="s">
        <v>3450</v>
      </c>
      <c r="N36" s="21" t="s">
        <v>3451</v>
      </c>
      <c r="O36" s="21" t="s">
        <v>746</v>
      </c>
      <c r="P36" s="21" t="s">
        <v>4462</v>
      </c>
      <c r="Q36" s="21" t="s">
        <v>4463</v>
      </c>
      <c r="R36" s="21" t="s">
        <v>4464</v>
      </c>
      <c r="S36" s="21" t="s">
        <v>4358</v>
      </c>
      <c r="T36" s="21" t="s">
        <v>3452</v>
      </c>
      <c r="U36" s="37" cm="1">
        <f t="array" ref="U36">SUMPRODUCT(('T08'!$U$3:$U$1500=M36)*('T08'!$AF$3:$AF$1500=1)*('T08'!$I$3:$I$1500&lt;=B36)*'T08'!$BK$3:$BK$1500)-SUMPRODUCT(($M$3:$M$1500=M36)*($B$3:$B$1500&lt;B36)*($AK$3:$AK$1500+$AI$3:$AI$1500+$AJ$3:$AJ$1500))</f>
        <v>118320</v>
      </c>
      <c r="V36" s="21" t="s">
        <v>3804</v>
      </c>
      <c r="W36" s="21" t="str">
        <f>TEXT(_xlfn.XLOOKUP(V36,'T08'!$G$3:$G$1500,'T08'!$J$3:$J$1500),"dd-mmm-yyyy")&amp;" / due "&amp;TEXT(_xlfn.XLOOKUP(V36,'T08'!$G$3:$G$1500,'T08'!$BQ$3:$BQ$1500),"dd-mmm-yyyy")</f>
        <v>21-Jul-2025 / due 05-Aug-2025</v>
      </c>
      <c r="X36" s="21" t="s">
        <v>4359</v>
      </c>
      <c r="Y36" s="21" t="str">
        <f>_xlfn.XLOOKUP(V36,'T08'!$G$3:$G$1500,'T08'!$AC$3:$AC$1500)</f>
        <v>N/A</v>
      </c>
      <c r="Z36" s="21" t="s">
        <v>844</v>
      </c>
      <c r="AA36" s="37" t="s">
        <v>844</v>
      </c>
      <c r="AB36" s="21" t="str">
        <f>IF(C36="Against bill",IF(V36&lt;&gt;"N/A","OK - bill linked","Missing bill"),IF(Z36&lt;&gt;"N/A","OK - advance request linked","Missing request"))</f>
        <v>OK - bill linked</v>
      </c>
      <c r="AC36" s="21" t="s">
        <v>844</v>
      </c>
      <c r="AD36" s="21" t="s">
        <v>4360</v>
      </c>
      <c r="AE36" s="21">
        <v>4</v>
      </c>
      <c r="AF36" s="21" t="s">
        <v>4465</v>
      </c>
      <c r="AG36" s="37">
        <f>_xlfn.XLOOKUP(V36,'T08'!$G$3:$G$1500,'T08'!$BH$3:$BH$1500)</f>
        <v>30044</v>
      </c>
      <c r="AH36" s="37">
        <v>0</v>
      </c>
      <c r="AI36" s="37">
        <f>_xlfn.XLOOKUP(V36,'T08'!$G$3:$G$1500,'T08'!$BI$3:$BI$1500)</f>
        <v>0</v>
      </c>
      <c r="AJ36" s="37">
        <f>_xlfn.XLOOKUP(V36,'T08'!$G$3:$G$1500,'T08'!$BJ$3:$BJ$1500)</f>
        <v>0</v>
      </c>
      <c r="AK36" s="37">
        <f>AG36-AH36-AI36-AJ36</f>
        <v>30044</v>
      </c>
      <c r="AL36" s="37">
        <f>AG36-AH36-AI36-AJ36-AK36</f>
        <v>0</v>
      </c>
      <c r="AM36" s="21" t="s">
        <v>4472</v>
      </c>
      <c r="AN36" s="37">
        <f>SUMIFS($AG$3:$AG$1500,$A$3:$A$1500,A36)</f>
        <v>118320</v>
      </c>
      <c r="AO36" s="37">
        <f>SUMIFS($AI$3:$AI$1500,$A$3:$A$1500,A36)</f>
        <v>0</v>
      </c>
      <c r="AP36" s="37">
        <f>SUMIFS($AJ$3:$AJ$1500,$A$3:$A$1500,A36)</f>
        <v>0</v>
      </c>
      <c r="AQ36" s="37">
        <f>SUMIFS($AK$3:$AK$1500,$A$3:$A$1500,A36)</f>
        <v>118320</v>
      </c>
      <c r="AR36" s="21" t="str">
        <f>"PKR "&amp;TEXT(AQ36,"#,##0")&amp;" only"</f>
        <v>PKR 118,320 only</v>
      </c>
      <c r="AS36" s="21" t="str">
        <f>"Sec 153 - deposit by "&amp;TEXT(EOMONTH(B36,0)+15,"dd-mmm-yyyy")</f>
        <v>Sec 153 - deposit by 15-Sep-2025</v>
      </c>
      <c r="AT36" s="21" t="s">
        <v>844</v>
      </c>
      <c r="AU36" s="21" t="s">
        <v>4473</v>
      </c>
      <c r="AV36" s="21" t="s">
        <v>4364</v>
      </c>
      <c r="AW36" s="29">
        <v>45881</v>
      </c>
      <c r="AX36" s="37">
        <f>AQ36+AY36</f>
        <v>118320</v>
      </c>
      <c r="AY36" s="37">
        <v>0</v>
      </c>
      <c r="AZ36" s="21" t="s">
        <v>3090</v>
      </c>
      <c r="BA36" s="21" t="s">
        <v>4435</v>
      </c>
      <c r="BB36" s="21" t="s">
        <v>848</v>
      </c>
      <c r="BC36" s="21" t="s">
        <v>4365</v>
      </c>
      <c r="BD36" s="21" t="str">
        <f>IF(AL36&lt;1,"Bill fully settled","Bill partially settled")</f>
        <v>Bill fully settled</v>
      </c>
      <c r="BE36" s="21" t="str">
        <f>"Payable reduced by PKR "&amp;TEXT(AK36+AI36+AJ36,"#,##0")</f>
        <v>Payable reduced by PKR 30,044</v>
      </c>
      <c r="BF36" s="21" t="s">
        <v>4468</v>
      </c>
      <c r="BG36" s="21" t="s">
        <v>753</v>
      </c>
      <c r="BH36" s="21" t="s">
        <v>844</v>
      </c>
      <c r="BI36" s="21" t="s">
        <v>844</v>
      </c>
      <c r="BJ36" s="21" t="s">
        <v>844</v>
      </c>
      <c r="BK36" s="21" t="s">
        <v>753</v>
      </c>
      <c r="BL36" s="21" t="s">
        <v>753</v>
      </c>
      <c r="BM36" s="21" t="s">
        <v>753</v>
      </c>
      <c r="BN36" s="21" t="s">
        <v>4368</v>
      </c>
      <c r="BO36" s="21" t="s">
        <v>848</v>
      </c>
      <c r="BP36" s="21" t="str">
        <f>K36</f>
        <v>Paid</v>
      </c>
    </row>
    <row r="37" spans="1:68" x14ac:dyDescent="0.3">
      <c r="A37" s="21" t="s">
        <v>4474</v>
      </c>
      <c r="B37" s="29">
        <v>45900</v>
      </c>
      <c r="C37" s="21" t="s">
        <v>4354</v>
      </c>
      <c r="D37" s="21" t="s">
        <v>743</v>
      </c>
      <c r="E37" s="21" t="s">
        <v>3400</v>
      </c>
      <c r="F37" s="21" t="s">
        <v>3401</v>
      </c>
      <c r="G37" s="21" t="s">
        <v>4355</v>
      </c>
      <c r="H37" s="21" t="s">
        <v>3095</v>
      </c>
      <c r="I37" s="21" t="s">
        <v>3085</v>
      </c>
      <c r="J37" s="21" t="s">
        <v>4356</v>
      </c>
      <c r="K37" s="21" t="s">
        <v>4357</v>
      </c>
      <c r="L37" s="21" t="s">
        <v>3403</v>
      </c>
      <c r="M37" s="21" t="s">
        <v>3419</v>
      </c>
      <c r="N37" s="21" t="s">
        <v>999</v>
      </c>
      <c r="O37" s="21" t="s">
        <v>746</v>
      </c>
      <c r="P37" s="21" t="s">
        <v>1014</v>
      </c>
      <c r="Q37" s="21" t="s">
        <v>998</v>
      </c>
      <c r="R37" s="21" t="s">
        <v>1015</v>
      </c>
      <c r="S37" s="21" t="s">
        <v>4358</v>
      </c>
      <c r="T37" s="21" t="s">
        <v>3420</v>
      </c>
      <c r="U37" s="37" cm="1">
        <f t="array" ref="U37">SUMPRODUCT(('T08'!$U$3:$U$1500=M37)*('T08'!$AF$3:$AF$1500=1)*('T08'!$I$3:$I$1500&lt;=B37)*'T08'!$BK$3:$BK$1500)-SUMPRODUCT(($M$3:$M$1500=M37)*($B$3:$B$1500&lt;B37)*($AK$3:$AK$1500+$AI$3:$AI$1500+$AJ$3:$AJ$1500))</f>
        <v>11337410</v>
      </c>
      <c r="V37" s="21" t="s">
        <v>3810</v>
      </c>
      <c r="W37" s="21" t="str">
        <f>TEXT(_xlfn.XLOOKUP(V37,'T08'!$G$3:$G$1500,'T08'!$J$3:$J$1500),"dd-mmm-yyyy")&amp;" / due "&amp;TEXT(_xlfn.XLOOKUP(V37,'T08'!$G$3:$G$1500,'T08'!$BQ$3:$BQ$1500),"dd-mmm-yyyy")</f>
        <v>31-Jul-2025 / due 15-Aug-2025</v>
      </c>
      <c r="X37" s="21" t="s">
        <v>4359</v>
      </c>
      <c r="Y37" s="21" t="str">
        <f>_xlfn.XLOOKUP(V37,'T08'!$G$3:$G$1500,'T08'!$AC$3:$AC$1500)</f>
        <v>PO-2507-2</v>
      </c>
      <c r="Z37" s="21" t="s">
        <v>844</v>
      </c>
      <c r="AA37" s="37" t="s">
        <v>844</v>
      </c>
      <c r="AB37" s="21" t="str">
        <f>IF(C37="Against bill",IF(V37&lt;&gt;"N/A","OK - bill linked","Missing bill"),IF(Z37&lt;&gt;"N/A","OK - advance request linked","Missing request"))</f>
        <v>OK - bill linked</v>
      </c>
      <c r="AC37" s="21" t="s">
        <v>844</v>
      </c>
      <c r="AD37" s="21" t="s">
        <v>4360</v>
      </c>
      <c r="AE37" s="21">
        <v>1</v>
      </c>
      <c r="AF37" s="21" t="s">
        <v>4394</v>
      </c>
      <c r="AG37" s="37">
        <f>_xlfn.XLOOKUP(V37,'T08'!$G$3:$G$1500,'T08'!$BH$3:$BH$1500)</f>
        <v>3913654</v>
      </c>
      <c r="AH37" s="37">
        <f>AK44+AI44+AJ44</f>
        <v>1939137</v>
      </c>
      <c r="AI37" s="37">
        <v>0</v>
      </c>
      <c r="AJ37" s="37">
        <v>0</v>
      </c>
      <c r="AK37" s="37">
        <f>AG37-AH37-AI37-AJ37</f>
        <v>1974517</v>
      </c>
      <c r="AL37" s="37">
        <f>AG37-AH37-AI37-AJ37-AK37</f>
        <v>0</v>
      </c>
      <c r="AM37" s="21" t="s">
        <v>4475</v>
      </c>
      <c r="AN37" s="37">
        <f>SUMIFS($AG$3:$AG$1500,$A$3:$A$1500,A37)</f>
        <v>3913654</v>
      </c>
      <c r="AO37" s="37">
        <f>SUMIFS($AI$3:$AI$1500,$A$3:$A$1500,A37)</f>
        <v>0</v>
      </c>
      <c r="AP37" s="37">
        <f>SUMIFS($AJ$3:$AJ$1500,$A$3:$A$1500,A37)</f>
        <v>0</v>
      </c>
      <c r="AQ37" s="37">
        <f>SUMIFS($AK$3:$AK$1500,$A$3:$A$1500,A37)</f>
        <v>1974517</v>
      </c>
      <c r="AR37" s="21" t="str">
        <f>"PKR "&amp;TEXT(AQ37,"#,##0")&amp;" only"</f>
        <v>PKR 1,974,517 only</v>
      </c>
      <c r="AS37" s="21" t="str">
        <f>"Sec 153 - deposit by "&amp;TEXT(EOMONTH(B37,0)+15,"dd-mmm-yyyy")</f>
        <v>Sec 153 - deposit by 15-Sep-2025</v>
      </c>
      <c r="AT37" s="21" t="s">
        <v>844</v>
      </c>
      <c r="AU37" s="21" t="s">
        <v>4476</v>
      </c>
      <c r="AV37" s="21" t="s">
        <v>4364</v>
      </c>
      <c r="AW37" s="29">
        <v>45900</v>
      </c>
      <c r="AX37" s="37">
        <f>AQ37+AY37</f>
        <v>1974667</v>
      </c>
      <c r="AY37" s="37">
        <v>150</v>
      </c>
      <c r="AZ37" s="21" t="s">
        <v>3090</v>
      </c>
      <c r="BA37" s="21" t="s">
        <v>4356</v>
      </c>
      <c r="BB37" s="21" t="s">
        <v>848</v>
      </c>
      <c r="BC37" s="21" t="s">
        <v>4365</v>
      </c>
      <c r="BD37" s="21" t="str">
        <f>IF(AL37&lt;1,"Bill fully settled","Bill partially settled")</f>
        <v>Bill fully settled</v>
      </c>
      <c r="BE37" s="21" t="str">
        <f>"Payable reduced by PKR "&amp;TEXT(AK37+AI37+AJ37,"#,##0")</f>
        <v>Payable reduced by PKR 1,974,517</v>
      </c>
      <c r="BF37" s="21" t="s">
        <v>4477</v>
      </c>
      <c r="BG37" s="21" t="s">
        <v>753</v>
      </c>
      <c r="BH37" s="21" t="s">
        <v>4367</v>
      </c>
      <c r="BI37" s="21" t="s">
        <v>844</v>
      </c>
      <c r="BJ37" s="21" t="s">
        <v>844</v>
      </c>
      <c r="BK37" s="21" t="s">
        <v>753</v>
      </c>
      <c r="BL37" s="21" t="s">
        <v>753</v>
      </c>
      <c r="BM37" s="21" t="s">
        <v>753</v>
      </c>
      <c r="BN37" s="21" t="s">
        <v>4368</v>
      </c>
      <c r="BO37" s="21" t="s">
        <v>848</v>
      </c>
      <c r="BP37" s="21" t="str">
        <f>K37</f>
        <v>Paid</v>
      </c>
    </row>
    <row r="38" spans="1:68" x14ac:dyDescent="0.3">
      <c r="A38" s="21" t="s">
        <v>4478</v>
      </c>
      <c r="B38" s="29">
        <v>45906</v>
      </c>
      <c r="C38" s="21" t="s">
        <v>4354</v>
      </c>
      <c r="D38" s="21" t="s">
        <v>743</v>
      </c>
      <c r="E38" s="21" t="s">
        <v>3350</v>
      </c>
      <c r="F38" s="21" t="s">
        <v>3429</v>
      </c>
      <c r="G38" s="21" t="s">
        <v>4355</v>
      </c>
      <c r="H38" s="21" t="s">
        <v>3095</v>
      </c>
      <c r="I38" s="21" t="s">
        <v>3085</v>
      </c>
      <c r="J38" s="21" t="s">
        <v>4356</v>
      </c>
      <c r="K38" s="21" t="s">
        <v>4357</v>
      </c>
      <c r="L38" s="21" t="s">
        <v>3431</v>
      </c>
      <c r="M38" s="21" t="s">
        <v>1278</v>
      </c>
      <c r="N38" s="21" t="s">
        <v>1200</v>
      </c>
      <c r="O38" s="21" t="s">
        <v>746</v>
      </c>
      <c r="P38" s="21" t="s">
        <v>1014</v>
      </c>
      <c r="Q38" s="21" t="s">
        <v>1199</v>
      </c>
      <c r="R38" s="21" t="s">
        <v>1204</v>
      </c>
      <c r="S38" s="21" t="s">
        <v>4358</v>
      </c>
      <c r="T38" s="21" t="s">
        <v>3441</v>
      </c>
      <c r="U38" s="37" cm="1">
        <f t="array" ref="U38">SUMPRODUCT(('T08'!$U$3:$U$1500=M38)*('T08'!$AF$3:$AF$1500=1)*('T08'!$I$3:$I$1500&lt;=B38)*'T08'!$BK$3:$BK$1500)-SUMPRODUCT(($M$3:$M$1500=M38)*($B$3:$B$1500&lt;B38)*($AK$3:$AK$1500+$AI$3:$AI$1500+$AJ$3:$AJ$1500))</f>
        <v>579918</v>
      </c>
      <c r="V38" s="21" t="s">
        <v>3662</v>
      </c>
      <c r="W38" s="21" t="str">
        <f>TEXT(_xlfn.XLOOKUP(V38,'T08'!$G$3:$G$1500,'T08'!$J$3:$J$1500),"dd-mmm-yyyy")&amp;" / due "&amp;TEXT(_xlfn.XLOOKUP(V38,'T08'!$G$3:$G$1500,'T08'!$BQ$3:$BQ$1500),"dd-mmm-yyyy")</f>
        <v>01-Apr-2025 / due 01-May-2025</v>
      </c>
      <c r="X38" s="21" t="s">
        <v>4359</v>
      </c>
      <c r="Y38" s="21" t="str">
        <f>_xlfn.XLOOKUP(V38,'T08'!$G$3:$G$1500,'T08'!$AC$3:$AC$1500)</f>
        <v>N/A</v>
      </c>
      <c r="Z38" s="21" t="s">
        <v>844</v>
      </c>
      <c r="AA38" s="37" t="s">
        <v>844</v>
      </c>
      <c r="AB38" s="21" t="str">
        <f>IF(C38="Against bill",IF(V38&lt;&gt;"N/A","OK - bill linked","Missing bill"),IF(Z38&lt;&gt;"N/A","OK - advance request linked","Missing request"))</f>
        <v>OK - bill linked</v>
      </c>
      <c r="AC38" s="21" t="s">
        <v>844</v>
      </c>
      <c r="AD38" s="21" t="s">
        <v>4360</v>
      </c>
      <c r="AE38" s="21">
        <v>1</v>
      </c>
      <c r="AF38" s="21" t="s">
        <v>4383</v>
      </c>
      <c r="AG38" s="37">
        <f>_xlfn.XLOOKUP(V38,'T08'!$G$3:$G$1500,'T08'!$BH$3:$BH$1500)</f>
        <v>135720</v>
      </c>
      <c r="AH38" s="37">
        <v>0</v>
      </c>
      <c r="AI38" s="37">
        <f>_xlfn.XLOOKUP(V38,'T08'!$G$3:$G$1500,'T08'!$BI$3:$BI$1500)</f>
        <v>5429</v>
      </c>
      <c r="AJ38" s="37">
        <f>_xlfn.XLOOKUP(V38,'T08'!$G$3:$G$1500,'T08'!$BJ$3:$BJ$1500)</f>
        <v>0</v>
      </c>
      <c r="AK38" s="37">
        <f>AG38-AH38-AI38-AJ38</f>
        <v>130291</v>
      </c>
      <c r="AL38" s="37">
        <f>AG38-AH38-AI38-AJ38-AK38</f>
        <v>0</v>
      </c>
      <c r="AM38" s="21" t="s">
        <v>4479</v>
      </c>
      <c r="AN38" s="37">
        <f>SUMIFS($AG$3:$AG$1500,$A$3:$A$1500,A38)</f>
        <v>410408</v>
      </c>
      <c r="AO38" s="37">
        <f>SUMIFS($AI$3:$AI$1500,$A$3:$A$1500,A38)</f>
        <v>16416</v>
      </c>
      <c r="AP38" s="37">
        <f>SUMIFS($AJ$3:$AJ$1500,$A$3:$A$1500,A38)</f>
        <v>0</v>
      </c>
      <c r="AQ38" s="37">
        <f>SUMIFS($AK$3:$AK$1500,$A$3:$A$1500,A38)</f>
        <v>393992</v>
      </c>
      <c r="AR38" s="21" t="str">
        <f>"PKR "&amp;TEXT(AQ38,"#,##0")&amp;" only"</f>
        <v>PKR 393,992 only</v>
      </c>
      <c r="AS38" s="21" t="str">
        <f>"Sec 153 - deposit by "&amp;TEXT(EOMONTH(B38,0)+15,"dd-mmm-yyyy")</f>
        <v>Sec 153 - deposit by 15-Oct-2025</v>
      </c>
      <c r="AT38" s="21" t="s">
        <v>844</v>
      </c>
      <c r="AU38" s="21" t="s">
        <v>4480</v>
      </c>
      <c r="AV38" s="21" t="s">
        <v>4364</v>
      </c>
      <c r="AW38" s="29">
        <v>45906</v>
      </c>
      <c r="AX38" s="37">
        <f>AQ38+AY38</f>
        <v>394142</v>
      </c>
      <c r="AY38" s="37">
        <v>150</v>
      </c>
      <c r="AZ38" s="21" t="s">
        <v>3090</v>
      </c>
      <c r="BA38" s="21" t="s">
        <v>4356</v>
      </c>
      <c r="BB38" s="21" t="s">
        <v>848</v>
      </c>
      <c r="BC38" s="21" t="s">
        <v>4365</v>
      </c>
      <c r="BD38" s="21" t="str">
        <f>IF(AL38&lt;1,"Bill fully settled","Bill partially settled")</f>
        <v>Bill fully settled</v>
      </c>
      <c r="BE38" s="21" t="str">
        <f>"Payable reduced by PKR "&amp;TEXT(AK38+AI38+AJ38,"#,##0")</f>
        <v>Payable reduced by PKR 135,720</v>
      </c>
      <c r="BF38" s="21" t="s">
        <v>4481</v>
      </c>
      <c r="BG38" s="21" t="s">
        <v>753</v>
      </c>
      <c r="BH38" s="21" t="s">
        <v>844</v>
      </c>
      <c r="BI38" s="21" t="s">
        <v>844</v>
      </c>
      <c r="BJ38" s="21" t="s">
        <v>4387</v>
      </c>
      <c r="BK38" s="21" t="s">
        <v>753</v>
      </c>
      <c r="BL38" s="21" t="s">
        <v>753</v>
      </c>
      <c r="BM38" s="21" t="s">
        <v>753</v>
      </c>
      <c r="BN38" s="21" t="s">
        <v>4368</v>
      </c>
      <c r="BO38" s="21" t="s">
        <v>848</v>
      </c>
      <c r="BP38" s="21" t="str">
        <f>K38</f>
        <v>Paid</v>
      </c>
    </row>
    <row r="39" spans="1:68" x14ac:dyDescent="0.3">
      <c r="A39" s="21" t="s">
        <v>4478</v>
      </c>
      <c r="B39" s="29">
        <v>45906</v>
      </c>
      <c r="C39" s="21" t="s">
        <v>4354</v>
      </c>
      <c r="D39" s="21" t="s">
        <v>743</v>
      </c>
      <c r="E39" s="21" t="s">
        <v>3350</v>
      </c>
      <c r="F39" s="21" t="s">
        <v>3429</v>
      </c>
      <c r="G39" s="21" t="s">
        <v>4355</v>
      </c>
      <c r="H39" s="21" t="s">
        <v>3095</v>
      </c>
      <c r="I39" s="21" t="s">
        <v>3085</v>
      </c>
      <c r="J39" s="21" t="s">
        <v>4356</v>
      </c>
      <c r="K39" s="21" t="s">
        <v>4357</v>
      </c>
      <c r="L39" s="21" t="s">
        <v>3431</v>
      </c>
      <c r="M39" s="21" t="s">
        <v>1278</v>
      </c>
      <c r="N39" s="21" t="s">
        <v>1200</v>
      </c>
      <c r="O39" s="21" t="s">
        <v>746</v>
      </c>
      <c r="P39" s="21" t="s">
        <v>1014</v>
      </c>
      <c r="Q39" s="21" t="s">
        <v>1199</v>
      </c>
      <c r="R39" s="21" t="s">
        <v>1204</v>
      </c>
      <c r="S39" s="21" t="s">
        <v>4358</v>
      </c>
      <c r="T39" s="21" t="s">
        <v>3441</v>
      </c>
      <c r="U39" s="37" cm="1">
        <f t="array" ref="U39">SUMPRODUCT(('T08'!$U$3:$U$1500=M39)*('T08'!$AF$3:$AF$1500=1)*('T08'!$I$3:$I$1500&lt;=B39)*'T08'!$BK$3:$BK$1500)-SUMPRODUCT(($M$3:$M$1500=M39)*($B$3:$B$1500&lt;B39)*($AK$3:$AK$1500+$AI$3:$AI$1500+$AJ$3:$AJ$1500))</f>
        <v>579918</v>
      </c>
      <c r="V39" s="21" t="s">
        <v>3709</v>
      </c>
      <c r="W39" s="21" t="str">
        <f>TEXT(_xlfn.XLOOKUP(V39,'T08'!$G$3:$G$1500,'T08'!$J$3:$J$1500),"dd-mmm-yyyy")&amp;" / due "&amp;TEXT(_xlfn.XLOOKUP(V39,'T08'!$G$3:$G$1500,'T08'!$BQ$3:$BQ$1500),"dd-mmm-yyyy")</f>
        <v>01-May-2025 / due 31-May-2025</v>
      </c>
      <c r="X39" s="21" t="s">
        <v>4359</v>
      </c>
      <c r="Y39" s="21" t="str">
        <f>_xlfn.XLOOKUP(V39,'T08'!$G$3:$G$1500,'T08'!$AC$3:$AC$1500)</f>
        <v>N/A</v>
      </c>
      <c r="Z39" s="21" t="s">
        <v>844</v>
      </c>
      <c r="AA39" s="37" t="s">
        <v>844</v>
      </c>
      <c r="AB39" s="21" t="str">
        <f>IF(C39="Against bill",IF(V39&lt;&gt;"N/A","OK - bill linked","Missing bill"),IF(Z39&lt;&gt;"N/A","OK - advance request linked","Missing request"))</f>
        <v>OK - bill linked</v>
      </c>
      <c r="AC39" s="21" t="s">
        <v>844</v>
      </c>
      <c r="AD39" s="21" t="s">
        <v>4360</v>
      </c>
      <c r="AE39" s="21">
        <v>2</v>
      </c>
      <c r="AF39" s="21" t="s">
        <v>4383</v>
      </c>
      <c r="AG39" s="37">
        <f>_xlfn.XLOOKUP(V39,'T08'!$G$3:$G$1500,'T08'!$BH$3:$BH$1500)</f>
        <v>90712</v>
      </c>
      <c r="AH39" s="37">
        <v>0</v>
      </c>
      <c r="AI39" s="37">
        <f>_xlfn.XLOOKUP(V39,'T08'!$G$3:$G$1500,'T08'!$BI$3:$BI$1500)</f>
        <v>3628</v>
      </c>
      <c r="AJ39" s="37">
        <f>_xlfn.XLOOKUP(V39,'T08'!$G$3:$G$1500,'T08'!$BJ$3:$BJ$1500)</f>
        <v>0</v>
      </c>
      <c r="AK39" s="37">
        <f>AG39-AH39-AI39-AJ39</f>
        <v>87084</v>
      </c>
      <c r="AL39" s="37">
        <f>AG39-AH39-AI39-AJ39-AK39</f>
        <v>0</v>
      </c>
      <c r="AM39" s="21" t="s">
        <v>4482</v>
      </c>
      <c r="AN39" s="37">
        <f>SUMIFS($AG$3:$AG$1500,$A$3:$A$1500,A39)</f>
        <v>410408</v>
      </c>
      <c r="AO39" s="37">
        <f>SUMIFS($AI$3:$AI$1500,$A$3:$A$1500,A39)</f>
        <v>16416</v>
      </c>
      <c r="AP39" s="37">
        <f>SUMIFS($AJ$3:$AJ$1500,$A$3:$A$1500,A39)</f>
        <v>0</v>
      </c>
      <c r="AQ39" s="37">
        <f>SUMIFS($AK$3:$AK$1500,$A$3:$A$1500,A39)</f>
        <v>393992</v>
      </c>
      <c r="AR39" s="21" t="str">
        <f>"PKR "&amp;TEXT(AQ39,"#,##0")&amp;" only"</f>
        <v>PKR 393,992 only</v>
      </c>
      <c r="AS39" s="21" t="str">
        <f>"Sec 153 - deposit by "&amp;TEXT(EOMONTH(B39,0)+15,"dd-mmm-yyyy")</f>
        <v>Sec 153 - deposit by 15-Oct-2025</v>
      </c>
      <c r="AT39" s="21" t="s">
        <v>844</v>
      </c>
      <c r="AU39" s="21" t="s">
        <v>4483</v>
      </c>
      <c r="AV39" s="21" t="s">
        <v>4364</v>
      </c>
      <c r="AW39" s="29">
        <v>45906</v>
      </c>
      <c r="AX39" s="37">
        <f>AQ39+AY39</f>
        <v>393992</v>
      </c>
      <c r="AY39" s="37">
        <v>0</v>
      </c>
      <c r="AZ39" s="21" t="s">
        <v>3090</v>
      </c>
      <c r="BA39" s="21" t="s">
        <v>4356</v>
      </c>
      <c r="BB39" s="21" t="s">
        <v>848</v>
      </c>
      <c r="BC39" s="21" t="s">
        <v>4365</v>
      </c>
      <c r="BD39" s="21" t="str">
        <f>IF(AL39&lt;1,"Bill fully settled","Bill partially settled")</f>
        <v>Bill fully settled</v>
      </c>
      <c r="BE39" s="21" t="str">
        <f>"Payable reduced by PKR "&amp;TEXT(AK39+AI39+AJ39,"#,##0")</f>
        <v>Payable reduced by PKR 90,712</v>
      </c>
      <c r="BF39" s="21" t="s">
        <v>4481</v>
      </c>
      <c r="BG39" s="21" t="s">
        <v>753</v>
      </c>
      <c r="BH39" s="21" t="s">
        <v>844</v>
      </c>
      <c r="BI39" s="21" t="s">
        <v>844</v>
      </c>
      <c r="BJ39" s="21" t="s">
        <v>4387</v>
      </c>
      <c r="BK39" s="21" t="s">
        <v>753</v>
      </c>
      <c r="BL39" s="21" t="s">
        <v>753</v>
      </c>
      <c r="BM39" s="21" t="s">
        <v>753</v>
      </c>
      <c r="BN39" s="21" t="s">
        <v>4368</v>
      </c>
      <c r="BO39" s="21" t="s">
        <v>848</v>
      </c>
      <c r="BP39" s="21" t="str">
        <f>K39</f>
        <v>Paid</v>
      </c>
    </row>
    <row r="40" spans="1:68" x14ac:dyDescent="0.3">
      <c r="A40" s="21" t="s">
        <v>4478</v>
      </c>
      <c r="B40" s="29">
        <v>45906</v>
      </c>
      <c r="C40" s="21" t="s">
        <v>4354</v>
      </c>
      <c r="D40" s="21" t="s">
        <v>743</v>
      </c>
      <c r="E40" s="21" t="s">
        <v>3350</v>
      </c>
      <c r="F40" s="21" t="s">
        <v>3429</v>
      </c>
      <c r="G40" s="21" t="s">
        <v>4355</v>
      </c>
      <c r="H40" s="21" t="s">
        <v>3095</v>
      </c>
      <c r="I40" s="21" t="s">
        <v>3085</v>
      </c>
      <c r="J40" s="21" t="s">
        <v>4356</v>
      </c>
      <c r="K40" s="21" t="s">
        <v>4357</v>
      </c>
      <c r="L40" s="21" t="s">
        <v>3431</v>
      </c>
      <c r="M40" s="21" t="s">
        <v>1278</v>
      </c>
      <c r="N40" s="21" t="s">
        <v>1200</v>
      </c>
      <c r="O40" s="21" t="s">
        <v>746</v>
      </c>
      <c r="P40" s="21" t="s">
        <v>1014</v>
      </c>
      <c r="Q40" s="21" t="s">
        <v>1199</v>
      </c>
      <c r="R40" s="21" t="s">
        <v>1204</v>
      </c>
      <c r="S40" s="21" t="s">
        <v>4358</v>
      </c>
      <c r="T40" s="21" t="s">
        <v>3441</v>
      </c>
      <c r="U40" s="37" cm="1">
        <f t="array" ref="U40">SUMPRODUCT(('T08'!$U$3:$U$1500=M40)*('T08'!$AF$3:$AF$1500=1)*('T08'!$I$3:$I$1500&lt;=B40)*'T08'!$BK$3:$BK$1500)-SUMPRODUCT(($M$3:$M$1500=M40)*($B$3:$B$1500&lt;B40)*($AK$3:$AK$1500+$AI$3:$AI$1500+$AJ$3:$AJ$1500))</f>
        <v>579918</v>
      </c>
      <c r="V40" s="21" t="s">
        <v>3790</v>
      </c>
      <c r="W40" s="21" t="str">
        <f>TEXT(_xlfn.XLOOKUP(V40,'T08'!$G$3:$G$1500,'T08'!$J$3:$J$1500),"dd-mmm-yyyy")&amp;" / due "&amp;TEXT(_xlfn.XLOOKUP(V40,'T08'!$G$3:$G$1500,'T08'!$BQ$3:$BQ$1500),"dd-mmm-yyyy")</f>
        <v>01-Jul-2025 / due 31-Jul-2025</v>
      </c>
      <c r="X40" s="21" t="s">
        <v>4359</v>
      </c>
      <c r="Y40" s="21" t="str">
        <f>_xlfn.XLOOKUP(V40,'T08'!$G$3:$G$1500,'T08'!$AC$3:$AC$1500)</f>
        <v>N/A</v>
      </c>
      <c r="Z40" s="21" t="s">
        <v>844</v>
      </c>
      <c r="AA40" s="37" t="s">
        <v>844</v>
      </c>
      <c r="AB40" s="21" t="str">
        <f>IF(C40="Against bill",IF(V40&lt;&gt;"N/A","OK - bill linked","Missing bill"),IF(Z40&lt;&gt;"N/A","OK - advance request linked","Missing request"))</f>
        <v>OK - bill linked</v>
      </c>
      <c r="AC40" s="21" t="s">
        <v>844</v>
      </c>
      <c r="AD40" s="21" t="s">
        <v>4360</v>
      </c>
      <c r="AE40" s="21">
        <v>3</v>
      </c>
      <c r="AF40" s="21" t="s">
        <v>4383</v>
      </c>
      <c r="AG40" s="37">
        <f>_xlfn.XLOOKUP(V40,'T08'!$G$3:$G$1500,'T08'!$BH$3:$BH$1500)</f>
        <v>45820</v>
      </c>
      <c r="AH40" s="37">
        <v>0</v>
      </c>
      <c r="AI40" s="37">
        <f>_xlfn.XLOOKUP(V40,'T08'!$G$3:$G$1500,'T08'!$BI$3:$BI$1500)</f>
        <v>1833</v>
      </c>
      <c r="AJ40" s="37">
        <f>_xlfn.XLOOKUP(V40,'T08'!$G$3:$G$1500,'T08'!$BJ$3:$BJ$1500)</f>
        <v>0</v>
      </c>
      <c r="AK40" s="37">
        <f>AG40-AH40-AI40-AJ40</f>
        <v>43987</v>
      </c>
      <c r="AL40" s="37">
        <f>AG40-AH40-AI40-AJ40-AK40</f>
        <v>0</v>
      </c>
      <c r="AM40" s="21" t="s">
        <v>4484</v>
      </c>
      <c r="AN40" s="37">
        <f>SUMIFS($AG$3:$AG$1500,$A$3:$A$1500,A40)</f>
        <v>410408</v>
      </c>
      <c r="AO40" s="37">
        <f>SUMIFS($AI$3:$AI$1500,$A$3:$A$1500,A40)</f>
        <v>16416</v>
      </c>
      <c r="AP40" s="37">
        <f>SUMIFS($AJ$3:$AJ$1500,$A$3:$A$1500,A40)</f>
        <v>0</v>
      </c>
      <c r="AQ40" s="37">
        <f>SUMIFS($AK$3:$AK$1500,$A$3:$A$1500,A40)</f>
        <v>393992</v>
      </c>
      <c r="AR40" s="21" t="str">
        <f>"PKR "&amp;TEXT(AQ40,"#,##0")&amp;" only"</f>
        <v>PKR 393,992 only</v>
      </c>
      <c r="AS40" s="21" t="str">
        <f>"Sec 153 - deposit by "&amp;TEXT(EOMONTH(B40,0)+15,"dd-mmm-yyyy")</f>
        <v>Sec 153 - deposit by 15-Oct-2025</v>
      </c>
      <c r="AT40" s="21" t="s">
        <v>844</v>
      </c>
      <c r="AU40" s="21" t="s">
        <v>4485</v>
      </c>
      <c r="AV40" s="21" t="s">
        <v>4364</v>
      </c>
      <c r="AW40" s="29">
        <v>45906</v>
      </c>
      <c r="AX40" s="37">
        <f>AQ40+AY40</f>
        <v>393992</v>
      </c>
      <c r="AY40" s="37">
        <v>0</v>
      </c>
      <c r="AZ40" s="21" t="s">
        <v>3090</v>
      </c>
      <c r="BA40" s="21" t="s">
        <v>4356</v>
      </c>
      <c r="BB40" s="21" t="s">
        <v>848</v>
      </c>
      <c r="BC40" s="21" t="s">
        <v>4365</v>
      </c>
      <c r="BD40" s="21" t="str">
        <f>IF(AL40&lt;1,"Bill fully settled","Bill partially settled")</f>
        <v>Bill fully settled</v>
      </c>
      <c r="BE40" s="21" t="str">
        <f>"Payable reduced by PKR "&amp;TEXT(AK40+AI40+AJ40,"#,##0")</f>
        <v>Payable reduced by PKR 45,820</v>
      </c>
      <c r="BF40" s="21" t="s">
        <v>4481</v>
      </c>
      <c r="BG40" s="21" t="s">
        <v>753</v>
      </c>
      <c r="BH40" s="21" t="s">
        <v>844</v>
      </c>
      <c r="BI40" s="21" t="s">
        <v>844</v>
      </c>
      <c r="BJ40" s="21" t="s">
        <v>4387</v>
      </c>
      <c r="BK40" s="21" t="s">
        <v>753</v>
      </c>
      <c r="BL40" s="21" t="s">
        <v>753</v>
      </c>
      <c r="BM40" s="21" t="s">
        <v>753</v>
      </c>
      <c r="BN40" s="21" t="s">
        <v>4368</v>
      </c>
      <c r="BO40" s="21" t="s">
        <v>848</v>
      </c>
      <c r="BP40" s="21" t="str">
        <f>K40</f>
        <v>Paid</v>
      </c>
    </row>
    <row r="41" spans="1:68" x14ac:dyDescent="0.3">
      <c r="A41" s="21" t="s">
        <v>4478</v>
      </c>
      <c r="B41" s="29">
        <v>45906</v>
      </c>
      <c r="C41" s="21" t="s">
        <v>4354</v>
      </c>
      <c r="D41" s="21" t="s">
        <v>743</v>
      </c>
      <c r="E41" s="21" t="s">
        <v>3350</v>
      </c>
      <c r="F41" s="21" t="s">
        <v>3429</v>
      </c>
      <c r="G41" s="21" t="s">
        <v>4355</v>
      </c>
      <c r="H41" s="21" t="s">
        <v>3095</v>
      </c>
      <c r="I41" s="21" t="s">
        <v>3085</v>
      </c>
      <c r="J41" s="21" t="s">
        <v>4356</v>
      </c>
      <c r="K41" s="21" t="s">
        <v>4357</v>
      </c>
      <c r="L41" s="21" t="s">
        <v>3431</v>
      </c>
      <c r="M41" s="21" t="s">
        <v>1278</v>
      </c>
      <c r="N41" s="21" t="s">
        <v>1200</v>
      </c>
      <c r="O41" s="21" t="s">
        <v>746</v>
      </c>
      <c r="P41" s="21" t="s">
        <v>1014</v>
      </c>
      <c r="Q41" s="21" t="s">
        <v>1199</v>
      </c>
      <c r="R41" s="21" t="s">
        <v>1204</v>
      </c>
      <c r="S41" s="21" t="s">
        <v>4358</v>
      </c>
      <c r="T41" s="21" t="s">
        <v>3441</v>
      </c>
      <c r="U41" s="37" cm="1">
        <f t="array" ref="U41">SUMPRODUCT(('T08'!$U$3:$U$1500=M41)*('T08'!$AF$3:$AF$1500=1)*('T08'!$I$3:$I$1500&lt;=B41)*'T08'!$BK$3:$BK$1500)-SUMPRODUCT(($M$3:$M$1500=M41)*($B$3:$B$1500&lt;B41)*($AK$3:$AK$1500+$AI$3:$AI$1500+$AJ$3:$AJ$1500))</f>
        <v>579918</v>
      </c>
      <c r="V41" s="21" t="s">
        <v>3832</v>
      </c>
      <c r="W41" s="21" t="str">
        <f>TEXT(_xlfn.XLOOKUP(V41,'T08'!$G$3:$G$1500,'T08'!$J$3:$J$1500),"dd-mmm-yyyy")&amp;" / due "&amp;TEXT(_xlfn.XLOOKUP(V41,'T08'!$G$3:$G$1500,'T08'!$BQ$3:$BQ$1500),"dd-mmm-yyyy")</f>
        <v>01-Aug-2025 / due 31-Aug-2025</v>
      </c>
      <c r="X41" s="21" t="s">
        <v>4359</v>
      </c>
      <c r="Y41" s="21" t="str">
        <f>_xlfn.XLOOKUP(V41,'T08'!$G$3:$G$1500,'T08'!$AC$3:$AC$1500)</f>
        <v>N/A</v>
      </c>
      <c r="Z41" s="21" t="s">
        <v>844</v>
      </c>
      <c r="AA41" s="37" t="s">
        <v>844</v>
      </c>
      <c r="AB41" s="21" t="str">
        <f>IF(C41="Against bill",IF(V41&lt;&gt;"N/A","OK - bill linked","Missing bill"),IF(Z41&lt;&gt;"N/A","OK - advance request linked","Missing request"))</f>
        <v>OK - bill linked</v>
      </c>
      <c r="AC41" s="21" t="s">
        <v>844</v>
      </c>
      <c r="AD41" s="21" t="s">
        <v>4360</v>
      </c>
      <c r="AE41" s="21">
        <v>4</v>
      </c>
      <c r="AF41" s="21" t="s">
        <v>4383</v>
      </c>
      <c r="AG41" s="37">
        <f>_xlfn.XLOOKUP(V41,'T08'!$G$3:$G$1500,'T08'!$BH$3:$BH$1500)</f>
        <v>138156</v>
      </c>
      <c r="AH41" s="37">
        <v>0</v>
      </c>
      <c r="AI41" s="37">
        <f>_xlfn.XLOOKUP(V41,'T08'!$G$3:$G$1500,'T08'!$BI$3:$BI$1500)</f>
        <v>5526</v>
      </c>
      <c r="AJ41" s="37">
        <f>_xlfn.XLOOKUP(V41,'T08'!$G$3:$G$1500,'T08'!$BJ$3:$BJ$1500)</f>
        <v>0</v>
      </c>
      <c r="AK41" s="37">
        <f>AG41-AH41-AI41-AJ41</f>
        <v>132630</v>
      </c>
      <c r="AL41" s="37">
        <f>AG41-AH41-AI41-AJ41-AK41</f>
        <v>0</v>
      </c>
      <c r="AM41" s="21" t="s">
        <v>4486</v>
      </c>
      <c r="AN41" s="37">
        <f>SUMIFS($AG$3:$AG$1500,$A$3:$A$1500,A41)</f>
        <v>410408</v>
      </c>
      <c r="AO41" s="37">
        <f>SUMIFS($AI$3:$AI$1500,$A$3:$A$1500,A41)</f>
        <v>16416</v>
      </c>
      <c r="AP41" s="37">
        <f>SUMIFS($AJ$3:$AJ$1500,$A$3:$A$1500,A41)</f>
        <v>0</v>
      </c>
      <c r="AQ41" s="37">
        <f>SUMIFS($AK$3:$AK$1500,$A$3:$A$1500,A41)</f>
        <v>393992</v>
      </c>
      <c r="AR41" s="21" t="str">
        <f>"PKR "&amp;TEXT(AQ41,"#,##0")&amp;" only"</f>
        <v>PKR 393,992 only</v>
      </c>
      <c r="AS41" s="21" t="str">
        <f>"Sec 153 - deposit by "&amp;TEXT(EOMONTH(B41,0)+15,"dd-mmm-yyyy")</f>
        <v>Sec 153 - deposit by 15-Oct-2025</v>
      </c>
      <c r="AT41" s="21" t="s">
        <v>844</v>
      </c>
      <c r="AU41" s="21" t="s">
        <v>4487</v>
      </c>
      <c r="AV41" s="21" t="s">
        <v>4364</v>
      </c>
      <c r="AW41" s="29">
        <v>45906</v>
      </c>
      <c r="AX41" s="37">
        <f>AQ41+AY41</f>
        <v>393992</v>
      </c>
      <c r="AY41" s="37">
        <v>0</v>
      </c>
      <c r="AZ41" s="21" t="s">
        <v>3090</v>
      </c>
      <c r="BA41" s="21" t="s">
        <v>4356</v>
      </c>
      <c r="BB41" s="21" t="s">
        <v>848</v>
      </c>
      <c r="BC41" s="21" t="s">
        <v>4365</v>
      </c>
      <c r="BD41" s="21" t="str">
        <f>IF(AL41&lt;1,"Bill fully settled","Bill partially settled")</f>
        <v>Bill fully settled</v>
      </c>
      <c r="BE41" s="21" t="str">
        <f>"Payable reduced by PKR "&amp;TEXT(AK41+AI41+AJ41,"#,##0")</f>
        <v>Payable reduced by PKR 138,156</v>
      </c>
      <c r="BF41" s="21" t="s">
        <v>4481</v>
      </c>
      <c r="BG41" s="21" t="s">
        <v>753</v>
      </c>
      <c r="BH41" s="21" t="s">
        <v>844</v>
      </c>
      <c r="BI41" s="21" t="s">
        <v>844</v>
      </c>
      <c r="BJ41" s="21" t="s">
        <v>4387</v>
      </c>
      <c r="BK41" s="21" t="s">
        <v>753</v>
      </c>
      <c r="BL41" s="21" t="s">
        <v>753</v>
      </c>
      <c r="BM41" s="21" t="s">
        <v>753</v>
      </c>
      <c r="BN41" s="21" t="s">
        <v>4368</v>
      </c>
      <c r="BO41" s="21" t="s">
        <v>848</v>
      </c>
      <c r="BP41" s="21" t="str">
        <f>K41</f>
        <v>Paid</v>
      </c>
    </row>
    <row r="42" spans="1:68" x14ac:dyDescent="0.3">
      <c r="A42" s="21" t="s">
        <v>4488</v>
      </c>
      <c r="B42" s="29">
        <v>45913</v>
      </c>
      <c r="C42" s="21" t="s">
        <v>4354</v>
      </c>
      <c r="D42" s="21" t="s">
        <v>743</v>
      </c>
      <c r="E42" s="21" t="s">
        <v>3400</v>
      </c>
      <c r="F42" s="21" t="s">
        <v>3401</v>
      </c>
      <c r="G42" s="21" t="s">
        <v>4355</v>
      </c>
      <c r="H42" s="21" t="s">
        <v>3095</v>
      </c>
      <c r="I42" s="21" t="s">
        <v>3085</v>
      </c>
      <c r="J42" s="21" t="s">
        <v>4356</v>
      </c>
      <c r="K42" s="21" t="s">
        <v>4357</v>
      </c>
      <c r="L42" s="21" t="s">
        <v>3403</v>
      </c>
      <c r="M42" s="21" t="s">
        <v>3419</v>
      </c>
      <c r="N42" s="21" t="s">
        <v>999</v>
      </c>
      <c r="O42" s="21" t="s">
        <v>746</v>
      </c>
      <c r="P42" s="21" t="s">
        <v>1014</v>
      </c>
      <c r="Q42" s="21" t="s">
        <v>998</v>
      </c>
      <c r="R42" s="21" t="s">
        <v>1015</v>
      </c>
      <c r="S42" s="21" t="s">
        <v>4358</v>
      </c>
      <c r="T42" s="21" t="s">
        <v>3420</v>
      </c>
      <c r="U42" s="37" cm="1">
        <f t="array" ref="U42">SUMPRODUCT(('T08'!$U$3:$U$1500=M42)*('T08'!$AF$3:$AF$1500=1)*('T08'!$I$3:$I$1500&lt;=B42)*'T08'!$BK$3:$BK$1500)-SUMPRODUCT(($M$3:$M$1500=M42)*($B$3:$B$1500&lt;B42)*($AK$3:$AK$1500+$AI$3:$AI$1500+$AJ$3:$AJ$1500))</f>
        <v>9362893</v>
      </c>
      <c r="V42" s="21" t="s">
        <v>3705</v>
      </c>
      <c r="W42" s="21" t="str">
        <f>TEXT(_xlfn.XLOOKUP(V42,'T08'!$G$3:$G$1500,'T08'!$J$3:$J$1500),"dd-mmm-yyyy")&amp;" / due "&amp;TEXT(_xlfn.XLOOKUP(V42,'T08'!$G$3:$G$1500,'T08'!$BQ$3:$BQ$1500),"dd-mmm-yyyy")</f>
        <v>30-Apr-2025 / due 15-May-2025</v>
      </c>
      <c r="X42" s="21" t="s">
        <v>4359</v>
      </c>
      <c r="Y42" s="21" t="str">
        <f>_xlfn.XLOOKUP(V42,'T08'!$G$3:$G$1500,'T08'!$AC$3:$AC$1500)</f>
        <v>PO-2504-2</v>
      </c>
      <c r="Z42" s="21" t="s">
        <v>844</v>
      </c>
      <c r="AA42" s="37" t="s">
        <v>844</v>
      </c>
      <c r="AB42" s="21" t="str">
        <f>IF(C42="Against bill",IF(V42&lt;&gt;"N/A","OK - bill linked","Missing bill"),IF(Z42&lt;&gt;"N/A","OK - advance request linked","Missing request"))</f>
        <v>OK - bill linked</v>
      </c>
      <c r="AC42" s="21" t="s">
        <v>844</v>
      </c>
      <c r="AD42" s="21" t="s">
        <v>4360</v>
      </c>
      <c r="AE42" s="21">
        <v>1</v>
      </c>
      <c r="AF42" s="21" t="s">
        <v>4394</v>
      </c>
      <c r="AG42" s="37">
        <f>_xlfn.XLOOKUP(V42,'T08'!$G$3:$G$1500,'T08'!$BH$3:$BH$1500)</f>
        <v>2444784</v>
      </c>
      <c r="AH42" s="37">
        <v>0</v>
      </c>
      <c r="AI42" s="37">
        <f>_xlfn.XLOOKUP(V42,'T08'!$G$3:$G$1500,'T08'!$BI$3:$BI$1500)</f>
        <v>122239</v>
      </c>
      <c r="AJ42" s="37">
        <f>_xlfn.XLOOKUP(V42,'T08'!$G$3:$G$1500,'T08'!$BJ$3:$BJ$1500)</f>
        <v>0</v>
      </c>
      <c r="AK42" s="37">
        <f>AG42-AH42-AI42-AJ42</f>
        <v>2322545</v>
      </c>
      <c r="AL42" s="37">
        <f>AG42-AH42-AI42-AJ42-AK42</f>
        <v>0</v>
      </c>
      <c r="AM42" s="21" t="s">
        <v>4489</v>
      </c>
      <c r="AN42" s="37">
        <f>SUMIFS($AG$3:$AG$1500,$A$3:$A$1500,A42)</f>
        <v>12533448</v>
      </c>
      <c r="AO42" s="37">
        <f>SUMIFS($AI$3:$AI$1500,$A$3:$A$1500,A42)</f>
        <v>328664</v>
      </c>
      <c r="AP42" s="37">
        <f>SUMIFS($AJ$3:$AJ$1500,$A$3:$A$1500,A42)</f>
        <v>0</v>
      </c>
      <c r="AQ42" s="37">
        <f>SUMIFS($AK$3:$AK$1500,$A$3:$A$1500,A42)</f>
        <v>10230267</v>
      </c>
      <c r="AR42" s="21" t="str">
        <f>"PKR "&amp;TEXT(AQ42,"#,##0")&amp;" only"</f>
        <v>PKR 10,230,267 only</v>
      </c>
      <c r="AS42" s="21" t="str">
        <f>"Sec 153 - deposit by "&amp;TEXT(EOMONTH(B42,0)+15,"dd-mmm-yyyy")</f>
        <v>Sec 153 - deposit by 15-Oct-2025</v>
      </c>
      <c r="AT42" s="21" t="s">
        <v>844</v>
      </c>
      <c r="AU42" s="21" t="s">
        <v>4490</v>
      </c>
      <c r="AV42" s="21" t="s">
        <v>4364</v>
      </c>
      <c r="AW42" s="29">
        <v>45913</v>
      </c>
      <c r="AX42" s="37">
        <f>AQ42+AY42</f>
        <v>10230417</v>
      </c>
      <c r="AY42" s="37">
        <v>150</v>
      </c>
      <c r="AZ42" s="21" t="s">
        <v>3090</v>
      </c>
      <c r="BA42" s="21" t="s">
        <v>4356</v>
      </c>
      <c r="BB42" s="21" t="s">
        <v>848</v>
      </c>
      <c r="BC42" s="21" t="s">
        <v>4365</v>
      </c>
      <c r="BD42" s="21" t="str">
        <f>IF(AL42&lt;1,"Bill fully settled","Bill partially settled")</f>
        <v>Bill fully settled</v>
      </c>
      <c r="BE42" s="21" t="str">
        <f>"Payable reduced by PKR "&amp;TEXT(AK42+AI42+AJ42,"#,##0")</f>
        <v>Payable reduced by PKR 2,444,784</v>
      </c>
      <c r="BF42" s="21" t="s">
        <v>4491</v>
      </c>
      <c r="BG42" s="21" t="s">
        <v>753</v>
      </c>
      <c r="BH42" s="21" t="s">
        <v>4367</v>
      </c>
      <c r="BI42" s="21" t="s">
        <v>844</v>
      </c>
      <c r="BJ42" s="21" t="s">
        <v>844</v>
      </c>
      <c r="BK42" s="21" t="s">
        <v>753</v>
      </c>
      <c r="BL42" s="21" t="s">
        <v>753</v>
      </c>
      <c r="BM42" s="21" t="s">
        <v>753</v>
      </c>
      <c r="BN42" s="21" t="s">
        <v>4368</v>
      </c>
      <c r="BO42" s="21" t="s">
        <v>848</v>
      </c>
      <c r="BP42" s="21" t="str">
        <f>K42</f>
        <v>Paid</v>
      </c>
    </row>
    <row r="43" spans="1:68" x14ac:dyDescent="0.3">
      <c r="A43" s="21" t="s">
        <v>4488</v>
      </c>
      <c r="B43" s="29">
        <v>45913</v>
      </c>
      <c r="C43" s="21" t="s">
        <v>4354</v>
      </c>
      <c r="D43" s="21" t="s">
        <v>743</v>
      </c>
      <c r="E43" s="21" t="s">
        <v>3400</v>
      </c>
      <c r="F43" s="21" t="s">
        <v>3401</v>
      </c>
      <c r="G43" s="21" t="s">
        <v>4355</v>
      </c>
      <c r="H43" s="21" t="s">
        <v>3095</v>
      </c>
      <c r="I43" s="21" t="s">
        <v>3085</v>
      </c>
      <c r="J43" s="21" t="s">
        <v>4356</v>
      </c>
      <c r="K43" s="21" t="s">
        <v>4357</v>
      </c>
      <c r="L43" s="21" t="s">
        <v>3403</v>
      </c>
      <c r="M43" s="21" t="s">
        <v>3419</v>
      </c>
      <c r="N43" s="21" t="s">
        <v>999</v>
      </c>
      <c r="O43" s="21" t="s">
        <v>746</v>
      </c>
      <c r="P43" s="21" t="s">
        <v>1014</v>
      </c>
      <c r="Q43" s="21" t="s">
        <v>998</v>
      </c>
      <c r="R43" s="21" t="s">
        <v>1015</v>
      </c>
      <c r="S43" s="21" t="s">
        <v>4358</v>
      </c>
      <c r="T43" s="21" t="s">
        <v>3420</v>
      </c>
      <c r="U43" s="37" cm="1">
        <f t="array" ref="U43">SUMPRODUCT(('T08'!$U$3:$U$1500=M43)*('T08'!$AF$3:$AF$1500=1)*('T08'!$I$3:$I$1500&lt;=B43)*'T08'!$BK$3:$BK$1500)-SUMPRODUCT(($M$3:$M$1500=M43)*($B$3:$B$1500&lt;B43)*($AK$3:$AK$1500+$AI$3:$AI$1500+$AJ$3:$AJ$1500))</f>
        <v>9362893</v>
      </c>
      <c r="V43" s="21" t="s">
        <v>3748</v>
      </c>
      <c r="W43" s="21" t="str">
        <f>TEXT(_xlfn.XLOOKUP(V43,'T08'!$G$3:$G$1500,'T08'!$J$3:$J$1500),"dd-mmm-yyyy")&amp;" / due "&amp;TEXT(_xlfn.XLOOKUP(V43,'T08'!$G$3:$G$1500,'T08'!$BQ$3:$BQ$1500),"dd-mmm-yyyy")</f>
        <v>31-May-2025 / due 15-Jun-2025</v>
      </c>
      <c r="X43" s="21" t="s">
        <v>4359</v>
      </c>
      <c r="Y43" s="21" t="str">
        <f>_xlfn.XLOOKUP(V43,'T08'!$G$3:$G$1500,'T08'!$AC$3:$AC$1500)</f>
        <v>PO-2505-2</v>
      </c>
      <c r="Z43" s="21" t="s">
        <v>844</v>
      </c>
      <c r="AA43" s="37" t="s">
        <v>844</v>
      </c>
      <c r="AB43" s="21" t="str">
        <f>IF(C43="Against bill",IF(V43&lt;&gt;"N/A","OK - bill linked","Missing bill"),IF(Z43&lt;&gt;"N/A","OK - advance request linked","Missing request"))</f>
        <v>OK - bill linked</v>
      </c>
      <c r="AC43" s="21" t="s">
        <v>844</v>
      </c>
      <c r="AD43" s="21" t="s">
        <v>4360</v>
      </c>
      <c r="AE43" s="21">
        <v>2</v>
      </c>
      <c r="AF43" s="21" t="s">
        <v>4394</v>
      </c>
      <c r="AG43" s="37">
        <f>_xlfn.XLOOKUP(V43,'T08'!$G$3:$G$1500,'T08'!$BH$3:$BH$1500)</f>
        <v>2638440</v>
      </c>
      <c r="AH43" s="37">
        <v>0</v>
      </c>
      <c r="AI43" s="37">
        <f>_xlfn.XLOOKUP(V43,'T08'!$G$3:$G$1500,'T08'!$BI$3:$BI$1500)</f>
        <v>131922</v>
      </c>
      <c r="AJ43" s="37">
        <f>_xlfn.XLOOKUP(V43,'T08'!$G$3:$G$1500,'T08'!$BJ$3:$BJ$1500)</f>
        <v>0</v>
      </c>
      <c r="AK43" s="37">
        <f>AG43-AH43-AI43-AJ43</f>
        <v>2506518</v>
      </c>
      <c r="AL43" s="37">
        <f>AG43-AH43-AI43-AJ43-AK43</f>
        <v>0</v>
      </c>
      <c r="AM43" s="21" t="s">
        <v>4492</v>
      </c>
      <c r="AN43" s="37">
        <f>SUMIFS($AG$3:$AG$1500,$A$3:$A$1500,A43)</f>
        <v>12533448</v>
      </c>
      <c r="AO43" s="37">
        <f>SUMIFS($AI$3:$AI$1500,$A$3:$A$1500,A43)</f>
        <v>328664</v>
      </c>
      <c r="AP43" s="37">
        <f>SUMIFS($AJ$3:$AJ$1500,$A$3:$A$1500,A43)</f>
        <v>0</v>
      </c>
      <c r="AQ43" s="37">
        <f>SUMIFS($AK$3:$AK$1500,$A$3:$A$1500,A43)</f>
        <v>10230267</v>
      </c>
      <c r="AR43" s="21" t="str">
        <f>"PKR "&amp;TEXT(AQ43,"#,##0")&amp;" only"</f>
        <v>PKR 10,230,267 only</v>
      </c>
      <c r="AS43" s="21" t="str">
        <f>"Sec 153 - deposit by "&amp;TEXT(EOMONTH(B43,0)+15,"dd-mmm-yyyy")</f>
        <v>Sec 153 - deposit by 15-Oct-2025</v>
      </c>
      <c r="AT43" s="21" t="s">
        <v>844</v>
      </c>
      <c r="AU43" s="21" t="s">
        <v>4493</v>
      </c>
      <c r="AV43" s="21" t="s">
        <v>4364</v>
      </c>
      <c r="AW43" s="29">
        <v>45913</v>
      </c>
      <c r="AX43" s="37">
        <f>AQ43+AY43</f>
        <v>10230267</v>
      </c>
      <c r="AY43" s="37">
        <v>0</v>
      </c>
      <c r="AZ43" s="21" t="s">
        <v>3090</v>
      </c>
      <c r="BA43" s="21" t="s">
        <v>4356</v>
      </c>
      <c r="BB43" s="21" t="s">
        <v>848</v>
      </c>
      <c r="BC43" s="21" t="s">
        <v>4365</v>
      </c>
      <c r="BD43" s="21" t="str">
        <f>IF(AL43&lt;1,"Bill fully settled","Bill partially settled")</f>
        <v>Bill fully settled</v>
      </c>
      <c r="BE43" s="21" t="str">
        <f>"Payable reduced by PKR "&amp;TEXT(AK43+AI43+AJ43,"#,##0")</f>
        <v>Payable reduced by PKR 2,638,440</v>
      </c>
      <c r="BF43" s="21" t="s">
        <v>4491</v>
      </c>
      <c r="BG43" s="21" t="s">
        <v>753</v>
      </c>
      <c r="BH43" s="21" t="s">
        <v>4367</v>
      </c>
      <c r="BI43" s="21" t="s">
        <v>844</v>
      </c>
      <c r="BJ43" s="21" t="s">
        <v>844</v>
      </c>
      <c r="BK43" s="21" t="s">
        <v>753</v>
      </c>
      <c r="BL43" s="21" t="s">
        <v>753</v>
      </c>
      <c r="BM43" s="21" t="s">
        <v>753</v>
      </c>
      <c r="BN43" s="21" t="s">
        <v>4368</v>
      </c>
      <c r="BO43" s="21" t="s">
        <v>848</v>
      </c>
      <c r="BP43" s="21" t="str">
        <f>K43</f>
        <v>Paid</v>
      </c>
    </row>
    <row r="44" spans="1:68" x14ac:dyDescent="0.3">
      <c r="A44" s="21" t="s">
        <v>4488</v>
      </c>
      <c r="B44" s="29">
        <v>45913</v>
      </c>
      <c r="C44" s="21" t="s">
        <v>4354</v>
      </c>
      <c r="D44" s="21" t="s">
        <v>743</v>
      </c>
      <c r="E44" s="21" t="s">
        <v>3400</v>
      </c>
      <c r="F44" s="21" t="s">
        <v>3401</v>
      </c>
      <c r="G44" s="21" t="s">
        <v>4355</v>
      </c>
      <c r="H44" s="21" t="s">
        <v>3095</v>
      </c>
      <c r="I44" s="21" t="s">
        <v>3085</v>
      </c>
      <c r="J44" s="21" t="s">
        <v>4356</v>
      </c>
      <c r="K44" s="21" t="s">
        <v>4357</v>
      </c>
      <c r="L44" s="21" t="s">
        <v>3403</v>
      </c>
      <c r="M44" s="21" t="s">
        <v>3419</v>
      </c>
      <c r="N44" s="21" t="s">
        <v>999</v>
      </c>
      <c r="O44" s="21" t="s">
        <v>746</v>
      </c>
      <c r="P44" s="21" t="s">
        <v>1014</v>
      </c>
      <c r="Q44" s="21" t="s">
        <v>998</v>
      </c>
      <c r="R44" s="21" t="s">
        <v>1015</v>
      </c>
      <c r="S44" s="21" t="s">
        <v>4358</v>
      </c>
      <c r="T44" s="21" t="s">
        <v>3420</v>
      </c>
      <c r="U44" s="37" cm="1">
        <f t="array" ref="U44">SUMPRODUCT(('T08'!$U$3:$U$1500=M44)*('T08'!$AF$3:$AF$1500=1)*('T08'!$I$3:$I$1500&lt;=B44)*'T08'!$BK$3:$BK$1500)-SUMPRODUCT(($M$3:$M$1500=M44)*($B$3:$B$1500&lt;B44)*($AK$3:$AK$1500+$AI$3:$AI$1500+$AJ$3:$AJ$1500))</f>
        <v>9362893</v>
      </c>
      <c r="V44" s="21" t="s">
        <v>3810</v>
      </c>
      <c r="W44" s="21" t="str">
        <f>TEXT(_xlfn.XLOOKUP(V44,'T08'!$G$3:$G$1500,'T08'!$J$3:$J$1500),"dd-mmm-yyyy")&amp;" / due "&amp;TEXT(_xlfn.XLOOKUP(V44,'T08'!$G$3:$G$1500,'T08'!$BQ$3:$BQ$1500),"dd-mmm-yyyy")</f>
        <v>31-Jul-2025 / due 15-Aug-2025</v>
      </c>
      <c r="X44" s="21" t="s">
        <v>4359</v>
      </c>
      <c r="Y44" s="21" t="str">
        <f>_xlfn.XLOOKUP(V44,'T08'!$G$3:$G$1500,'T08'!$AC$3:$AC$1500)</f>
        <v>PO-2507-2</v>
      </c>
      <c r="Z44" s="21" t="s">
        <v>844</v>
      </c>
      <c r="AA44" s="37" t="s">
        <v>844</v>
      </c>
      <c r="AB44" s="21" t="str">
        <f>IF(C44="Against bill",IF(V44&lt;&gt;"N/A","OK - bill linked","Missing bill"),IF(Z44&lt;&gt;"N/A","OK - advance request linked","Missing request"))</f>
        <v>OK - bill linked</v>
      </c>
      <c r="AC44" s="21" t="s">
        <v>844</v>
      </c>
      <c r="AD44" s="21" t="s">
        <v>4360</v>
      </c>
      <c r="AE44" s="21">
        <v>3</v>
      </c>
      <c r="AF44" s="21" t="s">
        <v>4394</v>
      </c>
      <c r="AG44" s="37">
        <f>_xlfn.XLOOKUP(V44,'T08'!$G$3:$G$1500,'T08'!$BH$3:$BH$1500)</f>
        <v>3913654</v>
      </c>
      <c r="AH44" s="37">
        <v>0</v>
      </c>
      <c r="AI44" s="37">
        <f>_xlfn.XLOOKUP(V44,'T08'!$G$3:$G$1500,'T08'!$BI$3:$BI$1500)</f>
        <v>39137</v>
      </c>
      <c r="AJ44" s="37">
        <f>_xlfn.XLOOKUP(V44,'T08'!$G$3:$G$1500,'T08'!$BJ$3:$BJ$1500)</f>
        <v>0</v>
      </c>
      <c r="AK44" s="37">
        <v>1900000</v>
      </c>
      <c r="AL44" s="37">
        <f>AG44-AH44-AI44-AJ44-AK44</f>
        <v>1974517</v>
      </c>
      <c r="AM44" s="21" t="s">
        <v>4494</v>
      </c>
      <c r="AN44" s="37">
        <f>SUMIFS($AG$3:$AG$1500,$A$3:$A$1500,A44)</f>
        <v>12533448</v>
      </c>
      <c r="AO44" s="37">
        <f>SUMIFS($AI$3:$AI$1500,$A$3:$A$1500,A44)</f>
        <v>328664</v>
      </c>
      <c r="AP44" s="37">
        <f>SUMIFS($AJ$3:$AJ$1500,$A$3:$A$1500,A44)</f>
        <v>0</v>
      </c>
      <c r="AQ44" s="37">
        <f>SUMIFS($AK$3:$AK$1500,$A$3:$A$1500,A44)</f>
        <v>10230267</v>
      </c>
      <c r="AR44" s="21" t="str">
        <f>"PKR "&amp;TEXT(AQ44,"#,##0")&amp;" only"</f>
        <v>PKR 10,230,267 only</v>
      </c>
      <c r="AS44" s="21" t="str">
        <f>"Sec 153 - deposit by "&amp;TEXT(EOMONTH(B44,0)+15,"dd-mmm-yyyy")</f>
        <v>Sec 153 - deposit by 15-Oct-2025</v>
      </c>
      <c r="AT44" s="21" t="s">
        <v>844</v>
      </c>
      <c r="AU44" s="21" t="s">
        <v>4495</v>
      </c>
      <c r="AV44" s="21" t="s">
        <v>4364</v>
      </c>
      <c r="AW44" s="29">
        <v>45913</v>
      </c>
      <c r="AX44" s="37">
        <f>AQ44+AY44</f>
        <v>10230267</v>
      </c>
      <c r="AY44" s="37">
        <v>0</v>
      </c>
      <c r="AZ44" s="21" t="s">
        <v>3090</v>
      </c>
      <c r="BA44" s="21" t="s">
        <v>4356</v>
      </c>
      <c r="BB44" s="21" t="s">
        <v>848</v>
      </c>
      <c r="BC44" s="21" t="s">
        <v>4365</v>
      </c>
      <c r="BD44" s="21" t="str">
        <f>IF(AL44&lt;1,"Bill fully settled","Bill partially settled")</f>
        <v>Bill partially settled</v>
      </c>
      <c r="BE44" s="21" t="str">
        <f>"Payable reduced by PKR "&amp;TEXT(AK44+AI44+AJ44,"#,##0")</f>
        <v>Payable reduced by PKR 1,939,137</v>
      </c>
      <c r="BF44" s="21" t="s">
        <v>4491</v>
      </c>
      <c r="BG44" s="21" t="s">
        <v>753</v>
      </c>
      <c r="BH44" s="21" t="s">
        <v>4367</v>
      </c>
      <c r="BI44" s="21" t="s">
        <v>844</v>
      </c>
      <c r="BJ44" s="21" t="s">
        <v>844</v>
      </c>
      <c r="BK44" s="21" t="s">
        <v>753</v>
      </c>
      <c r="BL44" s="21" t="s">
        <v>753</v>
      </c>
      <c r="BM44" s="21" t="s">
        <v>753</v>
      </c>
      <c r="BN44" s="21" t="s">
        <v>4368</v>
      </c>
      <c r="BO44" s="21" t="s">
        <v>848</v>
      </c>
      <c r="BP44" s="21" t="str">
        <f>K44</f>
        <v>Paid</v>
      </c>
    </row>
    <row r="45" spans="1:68" x14ac:dyDescent="0.3">
      <c r="A45" s="21" t="s">
        <v>4488</v>
      </c>
      <c r="B45" s="29">
        <v>45913</v>
      </c>
      <c r="C45" s="21" t="s">
        <v>4354</v>
      </c>
      <c r="D45" s="21" t="s">
        <v>743</v>
      </c>
      <c r="E45" s="21" t="s">
        <v>3400</v>
      </c>
      <c r="F45" s="21" t="s">
        <v>3401</v>
      </c>
      <c r="G45" s="21" t="s">
        <v>4355</v>
      </c>
      <c r="H45" s="21" t="s">
        <v>3095</v>
      </c>
      <c r="I45" s="21" t="s">
        <v>3085</v>
      </c>
      <c r="J45" s="21" t="s">
        <v>4356</v>
      </c>
      <c r="K45" s="21" t="s">
        <v>4357</v>
      </c>
      <c r="L45" s="21" t="s">
        <v>3403</v>
      </c>
      <c r="M45" s="21" t="s">
        <v>3419</v>
      </c>
      <c r="N45" s="21" t="s">
        <v>999</v>
      </c>
      <c r="O45" s="21" t="s">
        <v>746</v>
      </c>
      <c r="P45" s="21" t="s">
        <v>1014</v>
      </c>
      <c r="Q45" s="21" t="s">
        <v>998</v>
      </c>
      <c r="R45" s="21" t="s">
        <v>1015</v>
      </c>
      <c r="S45" s="21" t="s">
        <v>4358</v>
      </c>
      <c r="T45" s="21" t="s">
        <v>3420</v>
      </c>
      <c r="U45" s="37" cm="1">
        <f t="array" ref="U45">SUMPRODUCT(('T08'!$U$3:$U$1500=M45)*('T08'!$AF$3:$AF$1500=1)*('T08'!$I$3:$I$1500&lt;=B45)*'T08'!$BK$3:$BK$1500)-SUMPRODUCT(($M$3:$M$1500=M45)*($B$3:$B$1500&lt;B45)*($AK$3:$AK$1500+$AI$3:$AI$1500+$AJ$3:$AJ$1500))</f>
        <v>9362893</v>
      </c>
      <c r="V45" s="21" t="s">
        <v>3862</v>
      </c>
      <c r="W45" s="21" t="str">
        <f>TEXT(_xlfn.XLOOKUP(V45,'T08'!$G$3:$G$1500,'T08'!$J$3:$J$1500),"dd-mmm-yyyy")&amp;" / due "&amp;TEXT(_xlfn.XLOOKUP(V45,'T08'!$G$3:$G$1500,'T08'!$BQ$3:$BQ$1500),"dd-mmm-yyyy")</f>
        <v>31-Aug-2025 / due 15-Sep-2025</v>
      </c>
      <c r="X45" s="21" t="s">
        <v>4359</v>
      </c>
      <c r="Y45" s="21" t="str">
        <f>_xlfn.XLOOKUP(V45,'T08'!$G$3:$G$1500,'T08'!$AC$3:$AC$1500)</f>
        <v>PO-2508-2</v>
      </c>
      <c r="Z45" s="21" t="s">
        <v>844</v>
      </c>
      <c r="AA45" s="37" t="s">
        <v>844</v>
      </c>
      <c r="AB45" s="21" t="str">
        <f>IF(C45="Against bill",IF(V45&lt;&gt;"N/A","OK - bill linked","Missing bill"),IF(Z45&lt;&gt;"N/A","OK - advance request linked","Missing request"))</f>
        <v>OK - bill linked</v>
      </c>
      <c r="AC45" s="21" t="s">
        <v>844</v>
      </c>
      <c r="AD45" s="21" t="s">
        <v>4360</v>
      </c>
      <c r="AE45" s="21">
        <v>4</v>
      </c>
      <c r="AF45" s="21" t="s">
        <v>4394</v>
      </c>
      <c r="AG45" s="37">
        <f>_xlfn.XLOOKUP(V45,'T08'!$G$3:$G$1500,'T08'!$BH$3:$BH$1500)</f>
        <v>3536570</v>
      </c>
      <c r="AH45" s="37">
        <v>0</v>
      </c>
      <c r="AI45" s="37">
        <f>_xlfn.XLOOKUP(V45,'T08'!$G$3:$G$1500,'T08'!$BI$3:$BI$1500)</f>
        <v>35366</v>
      </c>
      <c r="AJ45" s="37">
        <f>_xlfn.XLOOKUP(V45,'T08'!$G$3:$G$1500,'T08'!$BJ$3:$BJ$1500)</f>
        <v>0</v>
      </c>
      <c r="AK45" s="37">
        <f>AG45-AH45-AI45-AJ45</f>
        <v>3501204</v>
      </c>
      <c r="AL45" s="37">
        <f>AG45-AH45-AI45-AJ45-AK45</f>
        <v>0</v>
      </c>
      <c r="AM45" s="21" t="s">
        <v>4496</v>
      </c>
      <c r="AN45" s="37">
        <f>SUMIFS($AG$3:$AG$1500,$A$3:$A$1500,A45)</f>
        <v>12533448</v>
      </c>
      <c r="AO45" s="37">
        <f>SUMIFS($AI$3:$AI$1500,$A$3:$A$1500,A45)</f>
        <v>328664</v>
      </c>
      <c r="AP45" s="37">
        <f>SUMIFS($AJ$3:$AJ$1500,$A$3:$A$1500,A45)</f>
        <v>0</v>
      </c>
      <c r="AQ45" s="37">
        <f>SUMIFS($AK$3:$AK$1500,$A$3:$A$1500,A45)</f>
        <v>10230267</v>
      </c>
      <c r="AR45" s="21" t="str">
        <f>"PKR "&amp;TEXT(AQ45,"#,##0")&amp;" only"</f>
        <v>PKR 10,230,267 only</v>
      </c>
      <c r="AS45" s="21" t="str">
        <f>"Sec 153 - deposit by "&amp;TEXT(EOMONTH(B45,0)+15,"dd-mmm-yyyy")</f>
        <v>Sec 153 - deposit by 15-Oct-2025</v>
      </c>
      <c r="AT45" s="21" t="s">
        <v>844</v>
      </c>
      <c r="AU45" s="21" t="s">
        <v>4490</v>
      </c>
      <c r="AV45" s="21" t="s">
        <v>4364</v>
      </c>
      <c r="AW45" s="29">
        <v>45913</v>
      </c>
      <c r="AX45" s="37">
        <f>AQ45+AY45</f>
        <v>10230267</v>
      </c>
      <c r="AY45" s="37">
        <v>0</v>
      </c>
      <c r="AZ45" s="21" t="s">
        <v>3090</v>
      </c>
      <c r="BA45" s="21" t="s">
        <v>4356</v>
      </c>
      <c r="BB45" s="21" t="s">
        <v>848</v>
      </c>
      <c r="BC45" s="21" t="s">
        <v>4365</v>
      </c>
      <c r="BD45" s="21" t="str">
        <f>IF(AL45&lt;1,"Bill fully settled","Bill partially settled")</f>
        <v>Bill fully settled</v>
      </c>
      <c r="BE45" s="21" t="str">
        <f>"Payable reduced by PKR "&amp;TEXT(AK45+AI45+AJ45,"#,##0")</f>
        <v>Payable reduced by PKR 3,536,570</v>
      </c>
      <c r="BF45" s="21" t="s">
        <v>4491</v>
      </c>
      <c r="BG45" s="21" t="s">
        <v>753</v>
      </c>
      <c r="BH45" s="21" t="s">
        <v>4367</v>
      </c>
      <c r="BI45" s="21" t="s">
        <v>844</v>
      </c>
      <c r="BJ45" s="21" t="s">
        <v>844</v>
      </c>
      <c r="BK45" s="21" t="s">
        <v>753</v>
      </c>
      <c r="BL45" s="21" t="s">
        <v>753</v>
      </c>
      <c r="BM45" s="21" t="s">
        <v>753</v>
      </c>
      <c r="BN45" s="21" t="s">
        <v>4368</v>
      </c>
      <c r="BO45" s="21" t="s">
        <v>848</v>
      </c>
      <c r="BP45" s="21" t="str">
        <f>K45</f>
        <v>Paid</v>
      </c>
    </row>
    <row r="46" spans="1:68" x14ac:dyDescent="0.3">
      <c r="A46" s="21" t="s">
        <v>4497</v>
      </c>
      <c r="B46" s="29">
        <v>45929</v>
      </c>
      <c r="C46" s="21" t="s">
        <v>4354</v>
      </c>
      <c r="D46" s="21" t="s">
        <v>743</v>
      </c>
      <c r="E46" s="21" t="s">
        <v>3350</v>
      </c>
      <c r="F46" s="21" t="s">
        <v>3429</v>
      </c>
      <c r="G46" s="21" t="s">
        <v>4355</v>
      </c>
      <c r="H46" s="21" t="s">
        <v>3095</v>
      </c>
      <c r="I46" s="21" t="s">
        <v>3085</v>
      </c>
      <c r="J46" s="21" t="s">
        <v>4356</v>
      </c>
      <c r="K46" s="21" t="s">
        <v>4357</v>
      </c>
      <c r="L46" s="21" t="s">
        <v>3431</v>
      </c>
      <c r="M46" s="21" t="s">
        <v>1278</v>
      </c>
      <c r="N46" s="21" t="s">
        <v>1200</v>
      </c>
      <c r="O46" s="21" t="s">
        <v>746</v>
      </c>
      <c r="P46" s="21" t="s">
        <v>1014</v>
      </c>
      <c r="Q46" s="21" t="s">
        <v>1199</v>
      </c>
      <c r="R46" s="21" t="s">
        <v>1204</v>
      </c>
      <c r="S46" s="21" t="s">
        <v>4358</v>
      </c>
      <c r="T46" s="21" t="s">
        <v>3441</v>
      </c>
      <c r="U46" s="37" cm="1">
        <f t="array" ref="U46">SUMPRODUCT(('T08'!$U$3:$U$1500=M46)*('T08'!$AF$3:$AF$1500=1)*('T08'!$I$3:$I$1500&lt;=B46)*'T08'!$BK$3:$BK$1500)-SUMPRODUCT(($M$3:$M$1500=M46)*($B$3:$B$1500&lt;B46)*($AK$3:$AK$1500+$AI$3:$AI$1500+$AJ$3:$AJ$1500))</f>
        <v>169510</v>
      </c>
      <c r="V46" s="21" t="s">
        <v>3867</v>
      </c>
      <c r="W46" s="21" t="str">
        <f>TEXT(_xlfn.XLOOKUP(V46,'T08'!$G$3:$G$1500,'T08'!$J$3:$J$1500),"dd-mmm-yyyy")&amp;" / due "&amp;TEXT(_xlfn.XLOOKUP(V46,'T08'!$G$3:$G$1500,'T08'!$BQ$3:$BQ$1500),"dd-mmm-yyyy")</f>
        <v>01-Sep-2025 / due 01-Oct-2025</v>
      </c>
      <c r="X46" s="21" t="s">
        <v>4359</v>
      </c>
      <c r="Y46" s="21" t="str">
        <f>_xlfn.XLOOKUP(V46,'T08'!$G$3:$G$1500,'T08'!$AC$3:$AC$1500)</f>
        <v>N/A</v>
      </c>
      <c r="Z46" s="21" t="s">
        <v>844</v>
      </c>
      <c r="AA46" s="37" t="s">
        <v>844</v>
      </c>
      <c r="AB46" s="21" t="str">
        <f>IF(C46="Against bill",IF(V46&lt;&gt;"N/A","OK - bill linked","Missing bill"),IF(Z46&lt;&gt;"N/A","OK - advance request linked","Missing request"))</f>
        <v>OK - bill linked</v>
      </c>
      <c r="AC46" s="21" t="s">
        <v>844</v>
      </c>
      <c r="AD46" s="21" t="s">
        <v>4360</v>
      </c>
      <c r="AE46" s="21">
        <v>1</v>
      </c>
      <c r="AF46" s="21" t="s">
        <v>4383</v>
      </c>
      <c r="AG46" s="37">
        <f>_xlfn.XLOOKUP(V46,'T08'!$G$3:$G$1500,'T08'!$BH$3:$BH$1500)</f>
        <v>240420</v>
      </c>
      <c r="AH46" s="37">
        <v>0</v>
      </c>
      <c r="AI46" s="37">
        <f>_xlfn.XLOOKUP(V46,'T08'!$G$3:$G$1500,'T08'!$BI$3:$BI$1500)</f>
        <v>9617</v>
      </c>
      <c r="AJ46" s="37">
        <f>_xlfn.XLOOKUP(V46,'T08'!$G$3:$G$1500,'T08'!$BJ$3:$BJ$1500)</f>
        <v>0</v>
      </c>
      <c r="AK46" s="37">
        <f>AG46-AH46-AI46-AJ46</f>
        <v>230803</v>
      </c>
      <c r="AL46" s="37">
        <f>AG46-AH46-AI46-AJ46-AK46</f>
        <v>0</v>
      </c>
      <c r="AM46" s="21" t="s">
        <v>4498</v>
      </c>
      <c r="AN46" s="37">
        <f>SUMIFS($AG$3:$AG$1500,$A$3:$A$1500,A46)</f>
        <v>240420</v>
      </c>
      <c r="AO46" s="37">
        <f>SUMIFS($AI$3:$AI$1500,$A$3:$A$1500,A46)</f>
        <v>9617</v>
      </c>
      <c r="AP46" s="37">
        <f>SUMIFS($AJ$3:$AJ$1500,$A$3:$A$1500,A46)</f>
        <v>0</v>
      </c>
      <c r="AQ46" s="37">
        <f>SUMIFS($AK$3:$AK$1500,$A$3:$A$1500,A46)</f>
        <v>230803</v>
      </c>
      <c r="AR46" s="21" t="str">
        <f>"PKR "&amp;TEXT(AQ46,"#,##0")&amp;" only"</f>
        <v>PKR 230,803 only</v>
      </c>
      <c r="AS46" s="21" t="str">
        <f>"Sec 153 - deposit by "&amp;TEXT(EOMONTH(B46,0)+15,"dd-mmm-yyyy")</f>
        <v>Sec 153 - deposit by 15-Oct-2025</v>
      </c>
      <c r="AT46" s="21" t="s">
        <v>844</v>
      </c>
      <c r="AU46" s="21" t="s">
        <v>4499</v>
      </c>
      <c r="AV46" s="21" t="s">
        <v>4364</v>
      </c>
      <c r="AW46" s="29">
        <v>45929</v>
      </c>
      <c r="AX46" s="37">
        <f>AQ46+AY46</f>
        <v>230953</v>
      </c>
      <c r="AY46" s="37">
        <v>150</v>
      </c>
      <c r="AZ46" s="21" t="s">
        <v>3090</v>
      </c>
      <c r="BA46" s="21" t="s">
        <v>4356</v>
      </c>
      <c r="BB46" s="21" t="s">
        <v>848</v>
      </c>
      <c r="BC46" s="21" t="s">
        <v>4365</v>
      </c>
      <c r="BD46" s="21" t="str">
        <f>IF(AL46&lt;1,"Bill fully settled","Bill partially settled")</f>
        <v>Bill fully settled</v>
      </c>
      <c r="BE46" s="21" t="str">
        <f>"Payable reduced by PKR "&amp;TEXT(AK46+AI46+AJ46,"#,##0")</f>
        <v>Payable reduced by PKR 240,420</v>
      </c>
      <c r="BF46" s="21" t="s">
        <v>4500</v>
      </c>
      <c r="BG46" s="21" t="s">
        <v>753</v>
      </c>
      <c r="BH46" s="21" t="s">
        <v>844</v>
      </c>
      <c r="BI46" s="21" t="s">
        <v>844</v>
      </c>
      <c r="BJ46" s="21" t="s">
        <v>4387</v>
      </c>
      <c r="BK46" s="21" t="s">
        <v>753</v>
      </c>
      <c r="BL46" s="21" t="s">
        <v>753</v>
      </c>
      <c r="BM46" s="21" t="s">
        <v>753</v>
      </c>
      <c r="BN46" s="21" t="s">
        <v>4368</v>
      </c>
      <c r="BO46" s="21" t="s">
        <v>848</v>
      </c>
      <c r="BP46" s="21" t="str">
        <f>K46</f>
        <v>Paid</v>
      </c>
    </row>
    <row r="47" spans="1:68" x14ac:dyDescent="0.3">
      <c r="A47" s="21" t="s">
        <v>4501</v>
      </c>
      <c r="B47" s="29">
        <v>45934</v>
      </c>
      <c r="C47" s="21" t="s">
        <v>4354</v>
      </c>
      <c r="D47" s="21" t="s">
        <v>743</v>
      </c>
      <c r="E47" s="21" t="s">
        <v>3350</v>
      </c>
      <c r="F47" s="21" t="s">
        <v>3429</v>
      </c>
      <c r="G47" s="21" t="s">
        <v>4355</v>
      </c>
      <c r="H47" s="21" t="s">
        <v>3095</v>
      </c>
      <c r="I47" s="21" t="s">
        <v>3085</v>
      </c>
      <c r="J47" s="21" t="s">
        <v>4356</v>
      </c>
      <c r="K47" s="21" t="s">
        <v>4357</v>
      </c>
      <c r="L47" s="21" t="s">
        <v>3431</v>
      </c>
      <c r="M47" s="21" t="s">
        <v>1213</v>
      </c>
      <c r="N47" s="21" t="s">
        <v>1194</v>
      </c>
      <c r="O47" s="21" t="s">
        <v>746</v>
      </c>
      <c r="P47" s="21" t="s">
        <v>983</v>
      </c>
      <c r="Q47" s="21" t="s">
        <v>1193</v>
      </c>
      <c r="R47" s="21" t="s">
        <v>1198</v>
      </c>
      <c r="S47" s="21" t="s">
        <v>4358</v>
      </c>
      <c r="T47" s="21" t="s">
        <v>3493</v>
      </c>
      <c r="U47" s="37" cm="1">
        <f t="array" ref="U47">SUMPRODUCT(('T08'!$U$3:$U$1500=M47)*('T08'!$AF$3:$AF$1500=1)*('T08'!$I$3:$I$1500&lt;=B47)*'T08'!$BK$3:$BK$1500)-SUMPRODUCT(($M$3:$M$1500=M47)*($B$3:$B$1500&lt;B47)*($AK$3:$AK$1500+$AI$3:$AI$1500+$AJ$3:$AJ$1500))</f>
        <v>1109934</v>
      </c>
      <c r="V47" s="21" t="s">
        <v>3714</v>
      </c>
      <c r="W47" s="21" t="str">
        <f>TEXT(_xlfn.XLOOKUP(V47,'T08'!$G$3:$G$1500,'T08'!$J$3:$J$1500),"dd-mmm-yyyy")&amp;" / due "&amp;TEXT(_xlfn.XLOOKUP(V47,'T08'!$G$3:$G$1500,'T08'!$BQ$3:$BQ$1500),"dd-mmm-yyyy")</f>
        <v>01-May-2025 / due 31-May-2025</v>
      </c>
      <c r="X47" s="21" t="s">
        <v>4359</v>
      </c>
      <c r="Y47" s="21" t="str">
        <f>_xlfn.XLOOKUP(V47,'T08'!$G$3:$G$1500,'T08'!$AC$3:$AC$1500)</f>
        <v>N/A</v>
      </c>
      <c r="Z47" s="21" t="s">
        <v>844</v>
      </c>
      <c r="AA47" s="37" t="s">
        <v>844</v>
      </c>
      <c r="AB47" s="21" t="str">
        <f>IF(C47="Against bill",IF(V47&lt;&gt;"N/A","OK - bill linked","Missing bill"),IF(Z47&lt;&gt;"N/A","OK - advance request linked","Missing request"))</f>
        <v>OK - bill linked</v>
      </c>
      <c r="AC47" s="21" t="s">
        <v>844</v>
      </c>
      <c r="AD47" s="21" t="s">
        <v>4360</v>
      </c>
      <c r="AE47" s="21">
        <v>1</v>
      </c>
      <c r="AF47" s="21" t="s">
        <v>4404</v>
      </c>
      <c r="AG47" s="37">
        <f>_xlfn.XLOOKUP(V47,'T08'!$G$3:$G$1500,'T08'!$BH$3:$BH$1500)</f>
        <v>181424</v>
      </c>
      <c r="AH47" s="37">
        <v>0</v>
      </c>
      <c r="AI47" s="37">
        <f>_xlfn.XLOOKUP(V47,'T08'!$G$3:$G$1500,'T08'!$BI$3:$BI$1500)</f>
        <v>7257</v>
      </c>
      <c r="AJ47" s="37">
        <f>_xlfn.XLOOKUP(V47,'T08'!$G$3:$G$1500,'T08'!$BJ$3:$BJ$1500)</f>
        <v>5000</v>
      </c>
      <c r="AK47" s="37">
        <f>AG47-AH47-AI47-AJ47</f>
        <v>169167</v>
      </c>
      <c r="AL47" s="37">
        <f>AG47-AH47-AI47-AJ47-AK47</f>
        <v>0</v>
      </c>
      <c r="AM47" s="21" t="s">
        <v>4502</v>
      </c>
      <c r="AN47" s="37">
        <f>SUMIFS($AG$3:$AG$1500,$A$3:$A$1500,A47)</f>
        <v>1061376</v>
      </c>
      <c r="AO47" s="37">
        <f>SUMIFS($AI$3:$AI$1500,$A$3:$A$1500,A47)</f>
        <v>42455</v>
      </c>
      <c r="AP47" s="37">
        <f>SUMIFS($AJ$3:$AJ$1500,$A$3:$A$1500,A47)</f>
        <v>5000</v>
      </c>
      <c r="AQ47" s="37">
        <f>SUMIFS($AK$3:$AK$1500,$A$3:$A$1500,A47)</f>
        <v>1013921</v>
      </c>
      <c r="AR47" s="21" t="str">
        <f>"PKR "&amp;TEXT(AQ47,"#,##0")&amp;" only"</f>
        <v>PKR 1,013,921 only</v>
      </c>
      <c r="AS47" s="21" t="str">
        <f>"Sec 153 - deposit by "&amp;TEXT(EOMONTH(B47,0)+15,"dd-mmm-yyyy")</f>
        <v>Sec 153 - deposit by 15-Nov-2025</v>
      </c>
      <c r="AT47" s="21" t="s">
        <v>844</v>
      </c>
      <c r="AU47" s="21" t="s">
        <v>4503</v>
      </c>
      <c r="AV47" s="21" t="s">
        <v>4364</v>
      </c>
      <c r="AW47" s="29">
        <v>45934</v>
      </c>
      <c r="AX47" s="37">
        <f>AQ47+AY47</f>
        <v>1014071</v>
      </c>
      <c r="AY47" s="37">
        <v>150</v>
      </c>
      <c r="AZ47" s="21" t="s">
        <v>3090</v>
      </c>
      <c r="BA47" s="21" t="s">
        <v>4356</v>
      </c>
      <c r="BB47" s="21" t="s">
        <v>848</v>
      </c>
      <c r="BC47" s="21" t="s">
        <v>4365</v>
      </c>
      <c r="BD47" s="21" t="str">
        <f>IF(AL47&lt;1,"Bill fully settled","Bill partially settled")</f>
        <v>Bill fully settled</v>
      </c>
      <c r="BE47" s="21" t="str">
        <f>"Payable reduced by PKR "&amp;TEXT(AK47+AI47+AJ47,"#,##0")</f>
        <v>Payable reduced by PKR 181,424</v>
      </c>
      <c r="BF47" s="21" t="s">
        <v>4504</v>
      </c>
      <c r="BG47" s="21" t="s">
        <v>753</v>
      </c>
      <c r="BH47" s="21" t="s">
        <v>844</v>
      </c>
      <c r="BI47" s="21" t="s">
        <v>844</v>
      </c>
      <c r="BJ47" s="21" t="s">
        <v>4387</v>
      </c>
      <c r="BK47" s="21" t="s">
        <v>753</v>
      </c>
      <c r="BL47" s="21" t="s">
        <v>753</v>
      </c>
      <c r="BM47" s="21" t="s">
        <v>753</v>
      </c>
      <c r="BN47" s="21" t="s">
        <v>4368</v>
      </c>
      <c r="BO47" s="21" t="s">
        <v>848</v>
      </c>
      <c r="BP47" s="21" t="str">
        <f>K47</f>
        <v>Paid</v>
      </c>
    </row>
    <row r="48" spans="1:68" x14ac:dyDescent="0.3">
      <c r="A48" s="21" t="s">
        <v>4501</v>
      </c>
      <c r="B48" s="29">
        <v>45934</v>
      </c>
      <c r="C48" s="21" t="s">
        <v>4354</v>
      </c>
      <c r="D48" s="21" t="s">
        <v>743</v>
      </c>
      <c r="E48" s="21" t="s">
        <v>3350</v>
      </c>
      <c r="F48" s="21" t="s">
        <v>3429</v>
      </c>
      <c r="G48" s="21" t="s">
        <v>4355</v>
      </c>
      <c r="H48" s="21" t="s">
        <v>3095</v>
      </c>
      <c r="I48" s="21" t="s">
        <v>3085</v>
      </c>
      <c r="J48" s="21" t="s">
        <v>4356</v>
      </c>
      <c r="K48" s="21" t="s">
        <v>4357</v>
      </c>
      <c r="L48" s="21" t="s">
        <v>3431</v>
      </c>
      <c r="M48" s="21" t="s">
        <v>1213</v>
      </c>
      <c r="N48" s="21" t="s">
        <v>1194</v>
      </c>
      <c r="O48" s="21" t="s">
        <v>746</v>
      </c>
      <c r="P48" s="21" t="s">
        <v>983</v>
      </c>
      <c r="Q48" s="21" t="s">
        <v>1193</v>
      </c>
      <c r="R48" s="21" t="s">
        <v>1198</v>
      </c>
      <c r="S48" s="21" t="s">
        <v>4358</v>
      </c>
      <c r="T48" s="21" t="s">
        <v>3493</v>
      </c>
      <c r="U48" s="37" cm="1">
        <f t="array" ref="U48">SUMPRODUCT(('T08'!$U$3:$U$1500=M48)*('T08'!$AF$3:$AF$1500=1)*('T08'!$I$3:$I$1500&lt;=B48)*'T08'!$BK$3:$BK$1500)-SUMPRODUCT(($M$3:$M$1500=M48)*($B$3:$B$1500&lt;B48)*($AK$3:$AK$1500+$AI$3:$AI$1500+$AJ$3:$AJ$1500))</f>
        <v>1109934</v>
      </c>
      <c r="V48" s="21" t="s">
        <v>3794</v>
      </c>
      <c r="W48" s="21" t="str">
        <f>TEXT(_xlfn.XLOOKUP(V48,'T08'!$G$3:$G$1500,'T08'!$J$3:$J$1500),"dd-mmm-yyyy")&amp;" / due "&amp;TEXT(_xlfn.XLOOKUP(V48,'T08'!$G$3:$G$1500,'T08'!$BQ$3:$BQ$1500),"dd-mmm-yyyy")</f>
        <v>01-Jul-2025 / due 31-Jul-2025</v>
      </c>
      <c r="X48" s="21" t="s">
        <v>4359</v>
      </c>
      <c r="Y48" s="21" t="str">
        <f>_xlfn.XLOOKUP(V48,'T08'!$G$3:$G$1500,'T08'!$AC$3:$AC$1500)</f>
        <v>N/A</v>
      </c>
      <c r="Z48" s="21" t="s">
        <v>844</v>
      </c>
      <c r="AA48" s="37" t="s">
        <v>844</v>
      </c>
      <c r="AB48" s="21" t="str">
        <f>IF(C48="Against bill",IF(V48&lt;&gt;"N/A","OK - bill linked","Missing bill"),IF(Z48&lt;&gt;"N/A","OK - advance request linked","Missing request"))</f>
        <v>OK - bill linked</v>
      </c>
      <c r="AC48" s="21" t="s">
        <v>844</v>
      </c>
      <c r="AD48" s="21" t="s">
        <v>4360</v>
      </c>
      <c r="AE48" s="21">
        <v>2</v>
      </c>
      <c r="AF48" s="21" t="s">
        <v>4404</v>
      </c>
      <c r="AG48" s="37">
        <f>_xlfn.XLOOKUP(V48,'T08'!$G$3:$G$1500,'T08'!$BH$3:$BH$1500)</f>
        <v>187780</v>
      </c>
      <c r="AH48" s="37">
        <v>0</v>
      </c>
      <c r="AI48" s="37">
        <f>_xlfn.XLOOKUP(V48,'T08'!$G$3:$G$1500,'T08'!$BI$3:$BI$1500)</f>
        <v>7511</v>
      </c>
      <c r="AJ48" s="37">
        <f>_xlfn.XLOOKUP(V48,'T08'!$G$3:$G$1500,'T08'!$BJ$3:$BJ$1500)</f>
        <v>0</v>
      </c>
      <c r="AK48" s="37">
        <f>AG48-AH48-AI48-AJ48</f>
        <v>180269</v>
      </c>
      <c r="AL48" s="37">
        <f>AG48-AH48-AI48-AJ48-AK48</f>
        <v>0</v>
      </c>
      <c r="AM48" s="21" t="s">
        <v>4505</v>
      </c>
      <c r="AN48" s="37">
        <f>SUMIFS($AG$3:$AG$1500,$A$3:$A$1500,A48)</f>
        <v>1061376</v>
      </c>
      <c r="AO48" s="37">
        <f>SUMIFS($AI$3:$AI$1500,$A$3:$A$1500,A48)</f>
        <v>42455</v>
      </c>
      <c r="AP48" s="37">
        <f>SUMIFS($AJ$3:$AJ$1500,$A$3:$A$1500,A48)</f>
        <v>5000</v>
      </c>
      <c r="AQ48" s="37">
        <f>SUMIFS($AK$3:$AK$1500,$A$3:$A$1500,A48)</f>
        <v>1013921</v>
      </c>
      <c r="AR48" s="21" t="str">
        <f>"PKR "&amp;TEXT(AQ48,"#,##0")&amp;" only"</f>
        <v>PKR 1,013,921 only</v>
      </c>
      <c r="AS48" s="21" t="str">
        <f>"Sec 153 - deposit by "&amp;TEXT(EOMONTH(B48,0)+15,"dd-mmm-yyyy")</f>
        <v>Sec 153 - deposit by 15-Nov-2025</v>
      </c>
      <c r="AT48" s="21" t="s">
        <v>844</v>
      </c>
      <c r="AU48" s="21" t="s">
        <v>4506</v>
      </c>
      <c r="AV48" s="21" t="s">
        <v>4364</v>
      </c>
      <c r="AW48" s="29">
        <v>45934</v>
      </c>
      <c r="AX48" s="37">
        <f>AQ48+AY48</f>
        <v>1013921</v>
      </c>
      <c r="AY48" s="37">
        <v>0</v>
      </c>
      <c r="AZ48" s="21" t="s">
        <v>3090</v>
      </c>
      <c r="BA48" s="21" t="s">
        <v>4356</v>
      </c>
      <c r="BB48" s="21" t="s">
        <v>848</v>
      </c>
      <c r="BC48" s="21" t="s">
        <v>4365</v>
      </c>
      <c r="BD48" s="21" t="str">
        <f>IF(AL48&lt;1,"Bill fully settled","Bill partially settled")</f>
        <v>Bill fully settled</v>
      </c>
      <c r="BE48" s="21" t="str">
        <f>"Payable reduced by PKR "&amp;TEXT(AK48+AI48+AJ48,"#,##0")</f>
        <v>Payable reduced by PKR 187,780</v>
      </c>
      <c r="BF48" s="21" t="s">
        <v>4504</v>
      </c>
      <c r="BG48" s="21" t="s">
        <v>753</v>
      </c>
      <c r="BH48" s="21" t="s">
        <v>844</v>
      </c>
      <c r="BI48" s="21" t="s">
        <v>844</v>
      </c>
      <c r="BJ48" s="21" t="s">
        <v>4387</v>
      </c>
      <c r="BK48" s="21" t="s">
        <v>753</v>
      </c>
      <c r="BL48" s="21" t="s">
        <v>753</v>
      </c>
      <c r="BM48" s="21" t="s">
        <v>753</v>
      </c>
      <c r="BN48" s="21" t="s">
        <v>4368</v>
      </c>
      <c r="BO48" s="21" t="s">
        <v>848</v>
      </c>
      <c r="BP48" s="21" t="str">
        <f>K48</f>
        <v>Paid</v>
      </c>
    </row>
    <row r="49" spans="1:68" x14ac:dyDescent="0.3">
      <c r="A49" s="21" t="s">
        <v>4501</v>
      </c>
      <c r="B49" s="29">
        <v>45934</v>
      </c>
      <c r="C49" s="21" t="s">
        <v>4354</v>
      </c>
      <c r="D49" s="21" t="s">
        <v>743</v>
      </c>
      <c r="E49" s="21" t="s">
        <v>3350</v>
      </c>
      <c r="F49" s="21" t="s">
        <v>3429</v>
      </c>
      <c r="G49" s="21" t="s">
        <v>4355</v>
      </c>
      <c r="H49" s="21" t="s">
        <v>3095</v>
      </c>
      <c r="I49" s="21" t="s">
        <v>3085</v>
      </c>
      <c r="J49" s="21" t="s">
        <v>4356</v>
      </c>
      <c r="K49" s="21" t="s">
        <v>4357</v>
      </c>
      <c r="L49" s="21" t="s">
        <v>3431</v>
      </c>
      <c r="M49" s="21" t="s">
        <v>1213</v>
      </c>
      <c r="N49" s="21" t="s">
        <v>1194</v>
      </c>
      <c r="O49" s="21" t="s">
        <v>746</v>
      </c>
      <c r="P49" s="21" t="s">
        <v>983</v>
      </c>
      <c r="Q49" s="21" t="s">
        <v>1193</v>
      </c>
      <c r="R49" s="21" t="s">
        <v>1198</v>
      </c>
      <c r="S49" s="21" t="s">
        <v>4358</v>
      </c>
      <c r="T49" s="21" t="s">
        <v>3493</v>
      </c>
      <c r="U49" s="37" cm="1">
        <f t="array" ref="U49">SUMPRODUCT(('T08'!$U$3:$U$1500=M49)*('T08'!$AF$3:$AF$1500=1)*('T08'!$I$3:$I$1500&lt;=B49)*'T08'!$BK$3:$BK$1500)-SUMPRODUCT(($M$3:$M$1500=M49)*($B$3:$B$1500&lt;B49)*($AK$3:$AK$1500+$AI$3:$AI$1500+$AJ$3:$AJ$1500))</f>
        <v>1109934</v>
      </c>
      <c r="V49" s="21" t="s">
        <v>3827</v>
      </c>
      <c r="W49" s="21" t="str">
        <f>TEXT(_xlfn.XLOOKUP(V49,'T08'!$G$3:$G$1500,'T08'!$J$3:$J$1500),"dd-mmm-yyyy")&amp;" / due "&amp;TEXT(_xlfn.XLOOKUP(V49,'T08'!$G$3:$G$1500,'T08'!$BQ$3:$BQ$1500),"dd-mmm-yyyy")</f>
        <v>01-Aug-2025 / due 31-Aug-2025</v>
      </c>
      <c r="X49" s="21" t="s">
        <v>4359</v>
      </c>
      <c r="Y49" s="21" t="str">
        <f>_xlfn.XLOOKUP(V49,'T08'!$G$3:$G$1500,'T08'!$AC$3:$AC$1500)</f>
        <v>N/A</v>
      </c>
      <c r="Z49" s="21" t="s">
        <v>844</v>
      </c>
      <c r="AA49" s="37" t="s">
        <v>844</v>
      </c>
      <c r="AB49" s="21" t="str">
        <f>IF(C49="Against bill",IF(V49&lt;&gt;"N/A","OK - bill linked","Missing bill"),IF(Z49&lt;&gt;"N/A","OK - advance request linked","Missing request"))</f>
        <v>OK - bill linked</v>
      </c>
      <c r="AC49" s="21" t="s">
        <v>844</v>
      </c>
      <c r="AD49" s="21" t="s">
        <v>4360</v>
      </c>
      <c r="AE49" s="21">
        <v>3</v>
      </c>
      <c r="AF49" s="21" t="s">
        <v>4404</v>
      </c>
      <c r="AG49" s="37">
        <f>_xlfn.XLOOKUP(V49,'T08'!$G$3:$G$1500,'T08'!$BH$3:$BH$1500)</f>
        <v>414468</v>
      </c>
      <c r="AH49" s="37">
        <v>0</v>
      </c>
      <c r="AI49" s="37">
        <f>_xlfn.XLOOKUP(V49,'T08'!$G$3:$G$1500,'T08'!$BI$3:$BI$1500)</f>
        <v>16579</v>
      </c>
      <c r="AJ49" s="37">
        <f>_xlfn.XLOOKUP(V49,'T08'!$G$3:$G$1500,'T08'!$BJ$3:$BJ$1500)</f>
        <v>0</v>
      </c>
      <c r="AK49" s="37">
        <f>AG49-AH49-AI49-AJ49</f>
        <v>397889</v>
      </c>
      <c r="AL49" s="37">
        <f>AG49-AH49-AI49-AJ49-AK49</f>
        <v>0</v>
      </c>
      <c r="AM49" s="21" t="s">
        <v>4507</v>
      </c>
      <c r="AN49" s="37">
        <f>SUMIFS($AG$3:$AG$1500,$A$3:$A$1500,A49)</f>
        <v>1061376</v>
      </c>
      <c r="AO49" s="37">
        <f>SUMIFS($AI$3:$AI$1500,$A$3:$A$1500,A49)</f>
        <v>42455</v>
      </c>
      <c r="AP49" s="37">
        <f>SUMIFS($AJ$3:$AJ$1500,$A$3:$A$1500,A49)</f>
        <v>5000</v>
      </c>
      <c r="AQ49" s="37">
        <f>SUMIFS($AK$3:$AK$1500,$A$3:$A$1500,A49)</f>
        <v>1013921</v>
      </c>
      <c r="AR49" s="21" t="str">
        <f>"PKR "&amp;TEXT(AQ49,"#,##0")&amp;" only"</f>
        <v>PKR 1,013,921 only</v>
      </c>
      <c r="AS49" s="21" t="str">
        <f>"Sec 153 - deposit by "&amp;TEXT(EOMONTH(B49,0)+15,"dd-mmm-yyyy")</f>
        <v>Sec 153 - deposit by 15-Nov-2025</v>
      </c>
      <c r="AT49" s="21" t="s">
        <v>844</v>
      </c>
      <c r="AU49" s="21" t="s">
        <v>4508</v>
      </c>
      <c r="AV49" s="21" t="s">
        <v>4364</v>
      </c>
      <c r="AW49" s="29">
        <v>45934</v>
      </c>
      <c r="AX49" s="37">
        <f>AQ49+AY49</f>
        <v>1013921</v>
      </c>
      <c r="AY49" s="37">
        <v>0</v>
      </c>
      <c r="AZ49" s="21" t="s">
        <v>3090</v>
      </c>
      <c r="BA49" s="21" t="s">
        <v>4356</v>
      </c>
      <c r="BB49" s="21" t="s">
        <v>848</v>
      </c>
      <c r="BC49" s="21" t="s">
        <v>4365</v>
      </c>
      <c r="BD49" s="21" t="str">
        <f>IF(AL49&lt;1,"Bill fully settled","Bill partially settled")</f>
        <v>Bill fully settled</v>
      </c>
      <c r="BE49" s="21" t="str">
        <f>"Payable reduced by PKR "&amp;TEXT(AK49+AI49+AJ49,"#,##0")</f>
        <v>Payable reduced by PKR 414,468</v>
      </c>
      <c r="BF49" s="21" t="s">
        <v>4504</v>
      </c>
      <c r="BG49" s="21" t="s">
        <v>753</v>
      </c>
      <c r="BH49" s="21" t="s">
        <v>844</v>
      </c>
      <c r="BI49" s="21" t="s">
        <v>844</v>
      </c>
      <c r="BJ49" s="21" t="s">
        <v>4387</v>
      </c>
      <c r="BK49" s="21" t="s">
        <v>753</v>
      </c>
      <c r="BL49" s="21" t="s">
        <v>753</v>
      </c>
      <c r="BM49" s="21" t="s">
        <v>753</v>
      </c>
      <c r="BN49" s="21" t="s">
        <v>4368</v>
      </c>
      <c r="BO49" s="21" t="s">
        <v>848</v>
      </c>
      <c r="BP49" s="21" t="str">
        <f>K49</f>
        <v>Paid</v>
      </c>
    </row>
    <row r="50" spans="1:68" x14ac:dyDescent="0.3">
      <c r="A50" s="21" t="s">
        <v>4501</v>
      </c>
      <c r="B50" s="29">
        <v>45934</v>
      </c>
      <c r="C50" s="21" t="s">
        <v>4354</v>
      </c>
      <c r="D50" s="21" t="s">
        <v>743</v>
      </c>
      <c r="E50" s="21" t="s">
        <v>3350</v>
      </c>
      <c r="F50" s="21" t="s">
        <v>3429</v>
      </c>
      <c r="G50" s="21" t="s">
        <v>4355</v>
      </c>
      <c r="H50" s="21" t="s">
        <v>3095</v>
      </c>
      <c r="I50" s="21" t="s">
        <v>3085</v>
      </c>
      <c r="J50" s="21" t="s">
        <v>4356</v>
      </c>
      <c r="K50" s="21" t="s">
        <v>4357</v>
      </c>
      <c r="L50" s="21" t="s">
        <v>3431</v>
      </c>
      <c r="M50" s="21" t="s">
        <v>1213</v>
      </c>
      <c r="N50" s="21" t="s">
        <v>1194</v>
      </c>
      <c r="O50" s="21" t="s">
        <v>746</v>
      </c>
      <c r="P50" s="21" t="s">
        <v>983</v>
      </c>
      <c r="Q50" s="21" t="s">
        <v>1193</v>
      </c>
      <c r="R50" s="21" t="s">
        <v>1198</v>
      </c>
      <c r="S50" s="21" t="s">
        <v>4358</v>
      </c>
      <c r="T50" s="21" t="s">
        <v>3493</v>
      </c>
      <c r="U50" s="37" cm="1">
        <f t="array" ref="U50">SUMPRODUCT(('T08'!$U$3:$U$1500=M50)*('T08'!$AF$3:$AF$1500=1)*('T08'!$I$3:$I$1500&lt;=B50)*'T08'!$BK$3:$BK$1500)-SUMPRODUCT(($M$3:$M$1500=M50)*($B$3:$B$1500&lt;B50)*($AK$3:$AK$1500+$AI$3:$AI$1500+$AJ$3:$AJ$1500))</f>
        <v>1109934</v>
      </c>
      <c r="V50" s="21" t="s">
        <v>3872</v>
      </c>
      <c r="W50" s="21" t="str">
        <f>TEXT(_xlfn.XLOOKUP(V50,'T08'!$G$3:$G$1500,'T08'!$J$3:$J$1500),"dd-mmm-yyyy")&amp;" / due "&amp;TEXT(_xlfn.XLOOKUP(V50,'T08'!$G$3:$G$1500,'T08'!$BQ$3:$BQ$1500),"dd-mmm-yyyy")</f>
        <v>01-Sep-2025 / due 01-Oct-2025</v>
      </c>
      <c r="X50" s="21" t="s">
        <v>4359</v>
      </c>
      <c r="Y50" s="21" t="str">
        <f>_xlfn.XLOOKUP(V50,'T08'!$G$3:$G$1500,'T08'!$AC$3:$AC$1500)</f>
        <v>N/A</v>
      </c>
      <c r="Z50" s="21" t="s">
        <v>844</v>
      </c>
      <c r="AA50" s="37" t="s">
        <v>844</v>
      </c>
      <c r="AB50" s="21" t="str">
        <f>IF(C50="Against bill",IF(V50&lt;&gt;"N/A","OK - bill linked","Missing bill"),IF(Z50&lt;&gt;"N/A","OK - advance request linked","Missing request"))</f>
        <v>OK - bill linked</v>
      </c>
      <c r="AC50" s="21" t="s">
        <v>844</v>
      </c>
      <c r="AD50" s="21" t="s">
        <v>4360</v>
      </c>
      <c r="AE50" s="21">
        <v>4</v>
      </c>
      <c r="AF50" s="21" t="s">
        <v>4404</v>
      </c>
      <c r="AG50" s="37">
        <f>_xlfn.XLOOKUP(V50,'T08'!$G$3:$G$1500,'T08'!$BH$3:$BH$1500)</f>
        <v>277704</v>
      </c>
      <c r="AH50" s="37">
        <v>0</v>
      </c>
      <c r="AI50" s="37">
        <f>_xlfn.XLOOKUP(V50,'T08'!$G$3:$G$1500,'T08'!$BI$3:$BI$1500)</f>
        <v>11108</v>
      </c>
      <c r="AJ50" s="37">
        <f>_xlfn.XLOOKUP(V50,'T08'!$G$3:$G$1500,'T08'!$BJ$3:$BJ$1500)</f>
        <v>0</v>
      </c>
      <c r="AK50" s="37">
        <f>AG50-AH50-AI50-AJ50</f>
        <v>266596</v>
      </c>
      <c r="AL50" s="37">
        <f>AG50-AH50-AI50-AJ50-AK50</f>
        <v>0</v>
      </c>
      <c r="AM50" s="21" t="s">
        <v>4509</v>
      </c>
      <c r="AN50" s="37">
        <f>SUMIFS($AG$3:$AG$1500,$A$3:$A$1500,A50)</f>
        <v>1061376</v>
      </c>
      <c r="AO50" s="37">
        <f>SUMIFS($AI$3:$AI$1500,$A$3:$A$1500,A50)</f>
        <v>42455</v>
      </c>
      <c r="AP50" s="37">
        <f>SUMIFS($AJ$3:$AJ$1500,$A$3:$A$1500,A50)</f>
        <v>5000</v>
      </c>
      <c r="AQ50" s="37">
        <f>SUMIFS($AK$3:$AK$1500,$A$3:$A$1500,A50)</f>
        <v>1013921</v>
      </c>
      <c r="AR50" s="21" t="str">
        <f>"PKR "&amp;TEXT(AQ50,"#,##0")&amp;" only"</f>
        <v>PKR 1,013,921 only</v>
      </c>
      <c r="AS50" s="21" t="str">
        <f>"Sec 153 - deposit by "&amp;TEXT(EOMONTH(B50,0)+15,"dd-mmm-yyyy")</f>
        <v>Sec 153 - deposit by 15-Nov-2025</v>
      </c>
      <c r="AT50" s="21" t="s">
        <v>844</v>
      </c>
      <c r="AU50" s="21" t="s">
        <v>4506</v>
      </c>
      <c r="AV50" s="21" t="s">
        <v>4364</v>
      </c>
      <c r="AW50" s="29">
        <v>45934</v>
      </c>
      <c r="AX50" s="37">
        <f>AQ50+AY50</f>
        <v>1013921</v>
      </c>
      <c r="AY50" s="37">
        <v>0</v>
      </c>
      <c r="AZ50" s="21" t="s">
        <v>3090</v>
      </c>
      <c r="BA50" s="21" t="s">
        <v>4356</v>
      </c>
      <c r="BB50" s="21" t="s">
        <v>848</v>
      </c>
      <c r="BC50" s="21" t="s">
        <v>4365</v>
      </c>
      <c r="BD50" s="21" t="str">
        <f>IF(AL50&lt;1,"Bill fully settled","Bill partially settled")</f>
        <v>Bill fully settled</v>
      </c>
      <c r="BE50" s="21" t="str">
        <f>"Payable reduced by PKR "&amp;TEXT(AK50+AI50+AJ50,"#,##0")</f>
        <v>Payable reduced by PKR 277,704</v>
      </c>
      <c r="BF50" s="21" t="s">
        <v>4504</v>
      </c>
      <c r="BG50" s="21" t="s">
        <v>753</v>
      </c>
      <c r="BH50" s="21" t="s">
        <v>844</v>
      </c>
      <c r="BI50" s="21" t="s">
        <v>844</v>
      </c>
      <c r="BJ50" s="21" t="s">
        <v>4387</v>
      </c>
      <c r="BK50" s="21" t="s">
        <v>753</v>
      </c>
      <c r="BL50" s="21" t="s">
        <v>753</v>
      </c>
      <c r="BM50" s="21" t="s">
        <v>753</v>
      </c>
      <c r="BN50" s="21" t="s">
        <v>4368</v>
      </c>
      <c r="BO50" s="21" t="s">
        <v>848</v>
      </c>
      <c r="BP50" s="21" t="str">
        <f>K50</f>
        <v>Paid</v>
      </c>
    </row>
    <row r="51" spans="1:68" x14ac:dyDescent="0.3">
      <c r="A51" s="21" t="s">
        <v>4510</v>
      </c>
      <c r="B51" s="29">
        <v>45944</v>
      </c>
      <c r="C51" s="21" t="s">
        <v>4354</v>
      </c>
      <c r="D51" s="21" t="s">
        <v>743</v>
      </c>
      <c r="E51" s="21" t="s">
        <v>3400</v>
      </c>
      <c r="F51" s="21" t="s">
        <v>3401</v>
      </c>
      <c r="G51" s="21" t="s">
        <v>4355</v>
      </c>
      <c r="H51" s="21" t="s">
        <v>3095</v>
      </c>
      <c r="I51" s="21" t="s">
        <v>3085</v>
      </c>
      <c r="J51" s="21" t="s">
        <v>4356</v>
      </c>
      <c r="K51" s="21" t="s">
        <v>4357</v>
      </c>
      <c r="L51" s="21" t="s">
        <v>3403</v>
      </c>
      <c r="M51" s="21" t="s">
        <v>3404</v>
      </c>
      <c r="N51" s="21" t="s">
        <v>967</v>
      </c>
      <c r="O51" s="21" t="s">
        <v>746</v>
      </c>
      <c r="P51" s="21" t="s">
        <v>983</v>
      </c>
      <c r="Q51" s="21" t="s">
        <v>965</v>
      </c>
      <c r="R51" s="21" t="s">
        <v>985</v>
      </c>
      <c r="S51" s="21" t="s">
        <v>4358</v>
      </c>
      <c r="T51" s="21" t="s">
        <v>3405</v>
      </c>
      <c r="U51" s="37" cm="1">
        <f t="array" ref="U51">SUMPRODUCT(('T08'!$U$3:$U$1500=M51)*('T08'!$AF$3:$AF$1500=1)*('T08'!$I$3:$I$1500&lt;=B51)*'T08'!$BK$3:$BK$1500)-SUMPRODUCT(($M$3:$M$1500=M51)*($B$3:$B$1500&lt;B51)*($AK$3:$AK$1500+$AI$3:$AI$1500+$AJ$3:$AJ$1500))</f>
        <v>14910636.000000004</v>
      </c>
      <c r="V51" s="21" t="s">
        <v>3647</v>
      </c>
      <c r="W51" s="21" t="str">
        <f>TEXT(_xlfn.XLOOKUP(V51,'T08'!$G$3:$G$1500,'T08'!$J$3:$J$1500),"dd-mmm-yyyy")&amp;" / due "&amp;TEXT(_xlfn.XLOOKUP(V51,'T08'!$G$3:$G$1500,'T08'!$BQ$3:$BQ$1500),"dd-mmm-yyyy")</f>
        <v>31-Mar-2025 / due 15-Apr-2025</v>
      </c>
      <c r="X51" s="21" t="s">
        <v>4359</v>
      </c>
      <c r="Y51" s="21" t="str">
        <f>_xlfn.XLOOKUP(V51,'T08'!$G$3:$G$1500,'T08'!$AC$3:$AC$1500)</f>
        <v>PO-2503-1</v>
      </c>
      <c r="Z51" s="21" t="s">
        <v>844</v>
      </c>
      <c r="AA51" s="37" t="s">
        <v>844</v>
      </c>
      <c r="AB51" s="21" t="str">
        <f>IF(C51="Against bill",IF(V51&lt;&gt;"N/A","OK - bill linked","Missing bill"),IF(Z51&lt;&gt;"N/A","OK - advance request linked","Missing request"))</f>
        <v>OK - bill linked</v>
      </c>
      <c r="AC51" s="21" t="s">
        <v>844</v>
      </c>
      <c r="AD51" s="21" t="s">
        <v>4360</v>
      </c>
      <c r="AE51" s="21">
        <v>1</v>
      </c>
      <c r="AF51" s="21" t="s">
        <v>4361</v>
      </c>
      <c r="AG51" s="37">
        <f>_xlfn.XLOOKUP(V51,'T08'!$G$3:$G$1500,'T08'!$BH$3:$BH$1500)</f>
        <v>1963740</v>
      </c>
      <c r="AH51" s="37">
        <v>0</v>
      </c>
      <c r="AI51" s="37">
        <f>_xlfn.XLOOKUP(V51,'T08'!$G$3:$G$1500,'T08'!$BI$3:$BI$1500)</f>
        <v>98187</v>
      </c>
      <c r="AJ51" s="37">
        <f>_xlfn.XLOOKUP(V51,'T08'!$G$3:$G$1500,'T08'!$BJ$3:$BJ$1500)</f>
        <v>600000</v>
      </c>
      <c r="AK51" s="37">
        <f>AG51-AH51-AI51-AJ51</f>
        <v>1265553</v>
      </c>
      <c r="AL51" s="37">
        <f>AG51-AH51-AI51-AJ51-AK51</f>
        <v>0</v>
      </c>
      <c r="AM51" s="21" t="s">
        <v>4511</v>
      </c>
      <c r="AN51" s="37">
        <f>SUMIFS($AG$3:$AG$1500,$A$3:$A$1500,A51)</f>
        <v>18482075</v>
      </c>
      <c r="AO51" s="37">
        <f>SUMIFS($AI$3:$AI$1500,$A$3:$A$1500,A51)</f>
        <v>924105</v>
      </c>
      <c r="AP51" s="37">
        <f>SUMIFS($AJ$3:$AJ$1500,$A$3:$A$1500,A51)</f>
        <v>600000</v>
      </c>
      <c r="AQ51" s="37">
        <f>SUMIFS($AK$3:$AK$1500,$A$3:$A$1500,A51)</f>
        <v>16957970</v>
      </c>
      <c r="AR51" s="21" t="str">
        <f>"PKR "&amp;TEXT(AQ51,"#,##0")&amp;" only"</f>
        <v>PKR 16,957,970 only</v>
      </c>
      <c r="AS51" s="21" t="str">
        <f>"Sec 153 - deposit by "&amp;TEXT(EOMONTH(B51,0)+15,"dd-mmm-yyyy")</f>
        <v>Sec 153 - deposit by 15-Nov-2025</v>
      </c>
      <c r="AT51" s="21" t="s">
        <v>844</v>
      </c>
      <c r="AU51" s="21" t="s">
        <v>4512</v>
      </c>
      <c r="AV51" s="21" t="s">
        <v>4364</v>
      </c>
      <c r="AW51" s="29">
        <v>45944</v>
      </c>
      <c r="AX51" s="37">
        <f>AQ51+AY51</f>
        <v>16958120</v>
      </c>
      <c r="AY51" s="37">
        <v>150</v>
      </c>
      <c r="AZ51" s="21" t="s">
        <v>3090</v>
      </c>
      <c r="BA51" s="21" t="s">
        <v>4356</v>
      </c>
      <c r="BB51" s="21" t="s">
        <v>848</v>
      </c>
      <c r="BC51" s="21" t="s">
        <v>4365</v>
      </c>
      <c r="BD51" s="21" t="str">
        <f>IF(AL51&lt;1,"Bill fully settled","Bill partially settled")</f>
        <v>Bill fully settled</v>
      </c>
      <c r="BE51" s="21" t="str">
        <f>"Payable reduced by PKR "&amp;TEXT(AK51+AI51+AJ51,"#,##0")</f>
        <v>Payable reduced by PKR 1,963,740</v>
      </c>
      <c r="BF51" s="21" t="s">
        <v>4513</v>
      </c>
      <c r="BG51" s="21" t="s">
        <v>753</v>
      </c>
      <c r="BH51" s="21" t="s">
        <v>4367</v>
      </c>
      <c r="BI51" s="21" t="s">
        <v>844</v>
      </c>
      <c r="BJ51" s="21" t="s">
        <v>844</v>
      </c>
      <c r="BK51" s="21" t="s">
        <v>753</v>
      </c>
      <c r="BL51" s="21" t="s">
        <v>753</v>
      </c>
      <c r="BM51" s="21" t="s">
        <v>753</v>
      </c>
      <c r="BN51" s="21" t="s">
        <v>4368</v>
      </c>
      <c r="BO51" s="21" t="s">
        <v>848</v>
      </c>
      <c r="BP51" s="21" t="str">
        <f>K51</f>
        <v>Paid</v>
      </c>
    </row>
    <row r="52" spans="1:68" x14ac:dyDescent="0.3">
      <c r="A52" s="21" t="s">
        <v>4510</v>
      </c>
      <c r="B52" s="29">
        <v>45944</v>
      </c>
      <c r="C52" s="21" t="s">
        <v>4354</v>
      </c>
      <c r="D52" s="21" t="s">
        <v>743</v>
      </c>
      <c r="E52" s="21" t="s">
        <v>3400</v>
      </c>
      <c r="F52" s="21" t="s">
        <v>3401</v>
      </c>
      <c r="G52" s="21" t="s">
        <v>4355</v>
      </c>
      <c r="H52" s="21" t="s">
        <v>3095</v>
      </c>
      <c r="I52" s="21" t="s">
        <v>3085</v>
      </c>
      <c r="J52" s="21" t="s">
        <v>4356</v>
      </c>
      <c r="K52" s="21" t="s">
        <v>4357</v>
      </c>
      <c r="L52" s="21" t="s">
        <v>3403</v>
      </c>
      <c r="M52" s="21" t="s">
        <v>3404</v>
      </c>
      <c r="N52" s="21" t="s">
        <v>967</v>
      </c>
      <c r="O52" s="21" t="s">
        <v>746</v>
      </c>
      <c r="P52" s="21" t="s">
        <v>983</v>
      </c>
      <c r="Q52" s="21" t="s">
        <v>965</v>
      </c>
      <c r="R52" s="21" t="s">
        <v>985</v>
      </c>
      <c r="S52" s="21" t="s">
        <v>4358</v>
      </c>
      <c r="T52" s="21" t="s">
        <v>3405</v>
      </c>
      <c r="U52" s="37" cm="1">
        <f t="array" ref="U52">SUMPRODUCT(('T08'!$U$3:$U$1500=M52)*('T08'!$AF$3:$AF$1500=1)*('T08'!$I$3:$I$1500&lt;=B52)*'T08'!$BK$3:$BK$1500)-SUMPRODUCT(($M$3:$M$1500=M52)*($B$3:$B$1500&lt;B52)*($AK$3:$AK$1500+$AI$3:$AI$1500+$AJ$3:$AJ$1500))</f>
        <v>14910636.000000004</v>
      </c>
      <c r="V52" s="21" t="s">
        <v>3691</v>
      </c>
      <c r="W52" s="21" t="str">
        <f>TEXT(_xlfn.XLOOKUP(V52,'T08'!$G$3:$G$1500,'T08'!$J$3:$J$1500),"dd-mmm-yyyy")&amp;" / due "&amp;TEXT(_xlfn.XLOOKUP(V52,'T08'!$G$3:$G$1500,'T08'!$BQ$3:$BQ$1500),"dd-mmm-yyyy")</f>
        <v>30-Apr-2025 / due 15-May-2025</v>
      </c>
      <c r="X52" s="21" t="s">
        <v>4359</v>
      </c>
      <c r="Y52" s="21" t="str">
        <f>_xlfn.XLOOKUP(V52,'T08'!$G$3:$G$1500,'T08'!$AC$3:$AC$1500)</f>
        <v>PO-2504-1</v>
      </c>
      <c r="Z52" s="21" t="s">
        <v>844</v>
      </c>
      <c r="AA52" s="37" t="s">
        <v>844</v>
      </c>
      <c r="AB52" s="21" t="str">
        <f>IF(C52="Against bill",IF(V52&lt;&gt;"N/A","OK - bill linked","Missing bill"),IF(Z52&lt;&gt;"N/A","OK - advance request linked","Missing request"))</f>
        <v>OK - bill linked</v>
      </c>
      <c r="AC52" s="21" t="s">
        <v>844</v>
      </c>
      <c r="AD52" s="21" t="s">
        <v>4360</v>
      </c>
      <c r="AE52" s="21">
        <v>2</v>
      </c>
      <c r="AF52" s="21" t="s">
        <v>4361</v>
      </c>
      <c r="AG52" s="37">
        <f>_xlfn.XLOOKUP(V52,'T08'!$G$3:$G$1500,'T08'!$BH$3:$BH$1500)</f>
        <v>970450</v>
      </c>
      <c r="AH52" s="37">
        <v>0</v>
      </c>
      <c r="AI52" s="37">
        <f>_xlfn.XLOOKUP(V52,'T08'!$G$3:$G$1500,'T08'!$BI$3:$BI$1500)</f>
        <v>48523</v>
      </c>
      <c r="AJ52" s="37">
        <f>_xlfn.XLOOKUP(V52,'T08'!$G$3:$G$1500,'T08'!$BJ$3:$BJ$1500)</f>
        <v>0</v>
      </c>
      <c r="AK52" s="37">
        <f>AG52-AH52-AI52-AJ52</f>
        <v>921927</v>
      </c>
      <c r="AL52" s="37">
        <f>AG52-AH52-AI52-AJ52-AK52</f>
        <v>0</v>
      </c>
      <c r="AM52" s="21" t="s">
        <v>4514</v>
      </c>
      <c r="AN52" s="37">
        <f>SUMIFS($AG$3:$AG$1500,$A$3:$A$1500,A52)</f>
        <v>18482075</v>
      </c>
      <c r="AO52" s="37">
        <f>SUMIFS($AI$3:$AI$1500,$A$3:$A$1500,A52)</f>
        <v>924105</v>
      </c>
      <c r="AP52" s="37">
        <f>SUMIFS($AJ$3:$AJ$1500,$A$3:$A$1500,A52)</f>
        <v>600000</v>
      </c>
      <c r="AQ52" s="37">
        <f>SUMIFS($AK$3:$AK$1500,$A$3:$A$1500,A52)</f>
        <v>16957970</v>
      </c>
      <c r="AR52" s="21" t="str">
        <f>"PKR "&amp;TEXT(AQ52,"#,##0")&amp;" only"</f>
        <v>PKR 16,957,970 only</v>
      </c>
      <c r="AS52" s="21" t="str">
        <f>"Sec 153 - deposit by "&amp;TEXT(EOMONTH(B52,0)+15,"dd-mmm-yyyy")</f>
        <v>Sec 153 - deposit by 15-Nov-2025</v>
      </c>
      <c r="AT52" s="21" t="s">
        <v>844</v>
      </c>
      <c r="AU52" s="21" t="s">
        <v>4512</v>
      </c>
      <c r="AV52" s="21" t="s">
        <v>4364</v>
      </c>
      <c r="AW52" s="29">
        <v>45944</v>
      </c>
      <c r="AX52" s="37">
        <f>AQ52+AY52</f>
        <v>16957970</v>
      </c>
      <c r="AY52" s="37">
        <v>0</v>
      </c>
      <c r="AZ52" s="21" t="s">
        <v>3090</v>
      </c>
      <c r="BA52" s="21" t="s">
        <v>4356</v>
      </c>
      <c r="BB52" s="21" t="s">
        <v>848</v>
      </c>
      <c r="BC52" s="21" t="s">
        <v>4365</v>
      </c>
      <c r="BD52" s="21" t="str">
        <f>IF(AL52&lt;1,"Bill fully settled","Bill partially settled")</f>
        <v>Bill fully settled</v>
      </c>
      <c r="BE52" s="21" t="str">
        <f>"Payable reduced by PKR "&amp;TEXT(AK52+AI52+AJ52,"#,##0")</f>
        <v>Payable reduced by PKR 970,450</v>
      </c>
      <c r="BF52" s="21" t="s">
        <v>4513</v>
      </c>
      <c r="BG52" s="21" t="s">
        <v>753</v>
      </c>
      <c r="BH52" s="21" t="s">
        <v>4367</v>
      </c>
      <c r="BI52" s="21" t="s">
        <v>844</v>
      </c>
      <c r="BJ52" s="21" t="s">
        <v>844</v>
      </c>
      <c r="BK52" s="21" t="s">
        <v>753</v>
      </c>
      <c r="BL52" s="21" t="s">
        <v>753</v>
      </c>
      <c r="BM52" s="21" t="s">
        <v>753</v>
      </c>
      <c r="BN52" s="21" t="s">
        <v>4368</v>
      </c>
      <c r="BO52" s="21" t="s">
        <v>848</v>
      </c>
      <c r="BP52" s="21" t="str">
        <f>K52</f>
        <v>Paid</v>
      </c>
    </row>
    <row r="53" spans="1:68" x14ac:dyDescent="0.3">
      <c r="A53" s="21" t="s">
        <v>4510</v>
      </c>
      <c r="B53" s="29">
        <v>45944</v>
      </c>
      <c r="C53" s="21" t="s">
        <v>4354</v>
      </c>
      <c r="D53" s="21" t="s">
        <v>743</v>
      </c>
      <c r="E53" s="21" t="s">
        <v>3400</v>
      </c>
      <c r="F53" s="21" t="s">
        <v>3401</v>
      </c>
      <c r="G53" s="21" t="s">
        <v>4355</v>
      </c>
      <c r="H53" s="21" t="s">
        <v>3095</v>
      </c>
      <c r="I53" s="21" t="s">
        <v>3085</v>
      </c>
      <c r="J53" s="21" t="s">
        <v>4356</v>
      </c>
      <c r="K53" s="21" t="s">
        <v>4357</v>
      </c>
      <c r="L53" s="21" t="s">
        <v>3403</v>
      </c>
      <c r="M53" s="21" t="s">
        <v>3404</v>
      </c>
      <c r="N53" s="21" t="s">
        <v>967</v>
      </c>
      <c r="O53" s="21" t="s">
        <v>746</v>
      </c>
      <c r="P53" s="21" t="s">
        <v>983</v>
      </c>
      <c r="Q53" s="21" t="s">
        <v>965</v>
      </c>
      <c r="R53" s="21" t="s">
        <v>985</v>
      </c>
      <c r="S53" s="21" t="s">
        <v>4358</v>
      </c>
      <c r="T53" s="21" t="s">
        <v>3405</v>
      </c>
      <c r="U53" s="37" cm="1">
        <f t="array" ref="U53">SUMPRODUCT(('T08'!$U$3:$U$1500=M53)*('T08'!$AF$3:$AF$1500=1)*('T08'!$I$3:$I$1500&lt;=B53)*'T08'!$BK$3:$BK$1500)-SUMPRODUCT(($M$3:$M$1500=M53)*($B$3:$B$1500&lt;B53)*($AK$3:$AK$1500+$AI$3:$AI$1500+$AJ$3:$AJ$1500))</f>
        <v>14910636.000000004</v>
      </c>
      <c r="V53" s="21" t="s">
        <v>3735</v>
      </c>
      <c r="W53" s="21" t="str">
        <f>TEXT(_xlfn.XLOOKUP(V53,'T08'!$G$3:$G$1500,'T08'!$J$3:$J$1500),"dd-mmm-yyyy")&amp;" / due "&amp;TEXT(_xlfn.XLOOKUP(V53,'T08'!$G$3:$G$1500,'T08'!$BQ$3:$BQ$1500),"dd-mmm-yyyy")</f>
        <v>31-May-2025 / due 15-Jun-2025</v>
      </c>
      <c r="X53" s="21" t="s">
        <v>4359</v>
      </c>
      <c r="Y53" s="21" t="str">
        <f>_xlfn.XLOOKUP(V53,'T08'!$G$3:$G$1500,'T08'!$AC$3:$AC$1500)</f>
        <v>PO-2505-1</v>
      </c>
      <c r="Z53" s="21" t="s">
        <v>844</v>
      </c>
      <c r="AA53" s="37" t="s">
        <v>844</v>
      </c>
      <c r="AB53" s="21" t="str">
        <f>IF(C53="Against bill",IF(V53&lt;&gt;"N/A","OK - bill linked","Missing bill"),IF(Z53&lt;&gt;"N/A","OK - advance request linked","Missing request"))</f>
        <v>OK - bill linked</v>
      </c>
      <c r="AC53" s="21" t="s">
        <v>844</v>
      </c>
      <c r="AD53" s="21" t="s">
        <v>4360</v>
      </c>
      <c r="AE53" s="21">
        <v>3</v>
      </c>
      <c r="AF53" s="21" t="s">
        <v>4361</v>
      </c>
      <c r="AG53" s="37">
        <f>_xlfn.XLOOKUP(V53,'T08'!$G$3:$G$1500,'T08'!$BH$3:$BH$1500)</f>
        <v>8150415</v>
      </c>
      <c r="AH53" s="37">
        <v>0</v>
      </c>
      <c r="AI53" s="37">
        <f>_xlfn.XLOOKUP(V53,'T08'!$G$3:$G$1500,'T08'!$BI$3:$BI$1500)</f>
        <v>407521</v>
      </c>
      <c r="AJ53" s="37">
        <f>_xlfn.XLOOKUP(V53,'T08'!$G$3:$G$1500,'T08'!$BJ$3:$BJ$1500)</f>
        <v>0</v>
      </c>
      <c r="AK53" s="37">
        <f>AG53-AH53-AI53-AJ53</f>
        <v>7742894</v>
      </c>
      <c r="AL53" s="37">
        <f>AG53-AH53-AI53-AJ53-AK53</f>
        <v>0</v>
      </c>
      <c r="AM53" s="21" t="s">
        <v>4515</v>
      </c>
      <c r="AN53" s="37">
        <f>SUMIFS($AG$3:$AG$1500,$A$3:$A$1500,A53)</f>
        <v>18482075</v>
      </c>
      <c r="AO53" s="37">
        <f>SUMIFS($AI$3:$AI$1500,$A$3:$A$1500,A53)</f>
        <v>924105</v>
      </c>
      <c r="AP53" s="37">
        <f>SUMIFS($AJ$3:$AJ$1500,$A$3:$A$1500,A53)</f>
        <v>600000</v>
      </c>
      <c r="AQ53" s="37">
        <f>SUMIFS($AK$3:$AK$1500,$A$3:$A$1500,A53)</f>
        <v>16957970</v>
      </c>
      <c r="AR53" s="21" t="str">
        <f>"PKR "&amp;TEXT(AQ53,"#,##0")&amp;" only"</f>
        <v>PKR 16,957,970 only</v>
      </c>
      <c r="AS53" s="21" t="str">
        <f>"Sec 153 - deposit by "&amp;TEXT(EOMONTH(B53,0)+15,"dd-mmm-yyyy")</f>
        <v>Sec 153 - deposit by 15-Nov-2025</v>
      </c>
      <c r="AT53" s="21" t="s">
        <v>844</v>
      </c>
      <c r="AU53" s="21" t="s">
        <v>4516</v>
      </c>
      <c r="AV53" s="21" t="s">
        <v>4364</v>
      </c>
      <c r="AW53" s="29">
        <v>45944</v>
      </c>
      <c r="AX53" s="37">
        <f>AQ53+AY53</f>
        <v>16957970</v>
      </c>
      <c r="AY53" s="37">
        <v>0</v>
      </c>
      <c r="AZ53" s="21" t="s">
        <v>3090</v>
      </c>
      <c r="BA53" s="21" t="s">
        <v>4356</v>
      </c>
      <c r="BB53" s="21" t="s">
        <v>848</v>
      </c>
      <c r="BC53" s="21" t="s">
        <v>4365</v>
      </c>
      <c r="BD53" s="21" t="str">
        <f>IF(AL53&lt;1,"Bill fully settled","Bill partially settled")</f>
        <v>Bill fully settled</v>
      </c>
      <c r="BE53" s="21" t="str">
        <f>"Payable reduced by PKR "&amp;TEXT(AK53+AI53+AJ53,"#,##0")</f>
        <v>Payable reduced by PKR 8,150,415</v>
      </c>
      <c r="BF53" s="21" t="s">
        <v>4513</v>
      </c>
      <c r="BG53" s="21" t="s">
        <v>753</v>
      </c>
      <c r="BH53" s="21" t="s">
        <v>4367</v>
      </c>
      <c r="BI53" s="21" t="s">
        <v>844</v>
      </c>
      <c r="BJ53" s="21" t="s">
        <v>844</v>
      </c>
      <c r="BK53" s="21" t="s">
        <v>753</v>
      </c>
      <c r="BL53" s="21" t="s">
        <v>753</v>
      </c>
      <c r="BM53" s="21" t="s">
        <v>753</v>
      </c>
      <c r="BN53" s="21" t="s">
        <v>4368</v>
      </c>
      <c r="BO53" s="21" t="s">
        <v>848</v>
      </c>
      <c r="BP53" s="21" t="str">
        <f>K53</f>
        <v>Paid</v>
      </c>
    </row>
    <row r="54" spans="1:68" x14ac:dyDescent="0.3">
      <c r="A54" s="21" t="s">
        <v>4510</v>
      </c>
      <c r="B54" s="29">
        <v>45944</v>
      </c>
      <c r="C54" s="21" t="s">
        <v>4354</v>
      </c>
      <c r="D54" s="21" t="s">
        <v>743</v>
      </c>
      <c r="E54" s="21" t="s">
        <v>3400</v>
      </c>
      <c r="F54" s="21" t="s">
        <v>3401</v>
      </c>
      <c r="G54" s="21" t="s">
        <v>4355</v>
      </c>
      <c r="H54" s="21" t="s">
        <v>3095</v>
      </c>
      <c r="I54" s="21" t="s">
        <v>3085</v>
      </c>
      <c r="J54" s="21" t="s">
        <v>4356</v>
      </c>
      <c r="K54" s="21" t="s">
        <v>4357</v>
      </c>
      <c r="L54" s="21" t="s">
        <v>3403</v>
      </c>
      <c r="M54" s="21" t="s">
        <v>3404</v>
      </c>
      <c r="N54" s="21" t="s">
        <v>967</v>
      </c>
      <c r="O54" s="21" t="s">
        <v>746</v>
      </c>
      <c r="P54" s="21" t="s">
        <v>983</v>
      </c>
      <c r="Q54" s="21" t="s">
        <v>965</v>
      </c>
      <c r="R54" s="21" t="s">
        <v>985</v>
      </c>
      <c r="S54" s="21" t="s">
        <v>4358</v>
      </c>
      <c r="T54" s="21" t="s">
        <v>3405</v>
      </c>
      <c r="U54" s="37" cm="1">
        <f t="array" ref="U54">SUMPRODUCT(('T08'!$U$3:$U$1500=M54)*('T08'!$AF$3:$AF$1500=1)*('T08'!$I$3:$I$1500&lt;=B54)*'T08'!$BK$3:$BK$1500)-SUMPRODUCT(($M$3:$M$1500=M54)*($B$3:$B$1500&lt;B54)*($AK$3:$AK$1500+$AI$3:$AI$1500+$AJ$3:$AJ$1500))</f>
        <v>14910636.000000004</v>
      </c>
      <c r="V54" s="21" t="s">
        <v>3890</v>
      </c>
      <c r="W54" s="21" t="str">
        <f>TEXT(_xlfn.XLOOKUP(V54,'T08'!$G$3:$G$1500,'T08'!$J$3:$J$1500),"dd-mmm-yyyy")&amp;" / due "&amp;TEXT(_xlfn.XLOOKUP(V54,'T08'!$G$3:$G$1500,'T08'!$BQ$3:$BQ$1500),"dd-mmm-yyyy")</f>
        <v>30-Sep-2025 / due 15-Oct-2025</v>
      </c>
      <c r="X54" s="21" t="s">
        <v>4359</v>
      </c>
      <c r="Y54" s="21" t="str">
        <f>_xlfn.XLOOKUP(V54,'T08'!$G$3:$G$1500,'T08'!$AC$3:$AC$1500)</f>
        <v>PO-2509-1</v>
      </c>
      <c r="Z54" s="21" t="s">
        <v>844</v>
      </c>
      <c r="AA54" s="37" t="s">
        <v>844</v>
      </c>
      <c r="AB54" s="21" t="str">
        <f>IF(C54="Against bill",IF(V54&lt;&gt;"N/A","OK - bill linked","Missing bill"),IF(Z54&lt;&gt;"N/A","OK - advance request linked","Missing request"))</f>
        <v>OK - bill linked</v>
      </c>
      <c r="AC54" s="21" t="s">
        <v>844</v>
      </c>
      <c r="AD54" s="21" t="s">
        <v>4360</v>
      </c>
      <c r="AE54" s="21">
        <v>4</v>
      </c>
      <c r="AF54" s="21" t="s">
        <v>4361</v>
      </c>
      <c r="AG54" s="37">
        <f>_xlfn.XLOOKUP(V54,'T08'!$G$3:$G$1500,'T08'!$BH$3:$BH$1500)</f>
        <v>7397470</v>
      </c>
      <c r="AH54" s="37">
        <v>0</v>
      </c>
      <c r="AI54" s="37">
        <f>_xlfn.XLOOKUP(V54,'T08'!$G$3:$G$1500,'T08'!$BI$3:$BI$1500)</f>
        <v>369874</v>
      </c>
      <c r="AJ54" s="37">
        <f>_xlfn.XLOOKUP(V54,'T08'!$G$3:$G$1500,'T08'!$BJ$3:$BJ$1500)</f>
        <v>0</v>
      </c>
      <c r="AK54" s="37">
        <f>AG54-AH54-AI54-AJ54</f>
        <v>7027596</v>
      </c>
      <c r="AL54" s="37">
        <f>AG54-AH54-AI54-AJ54-AK54</f>
        <v>0</v>
      </c>
      <c r="AM54" s="21" t="s">
        <v>4517</v>
      </c>
      <c r="AN54" s="37">
        <f>SUMIFS($AG$3:$AG$1500,$A$3:$A$1500,A54)</f>
        <v>18482075</v>
      </c>
      <c r="AO54" s="37">
        <f>SUMIFS($AI$3:$AI$1500,$A$3:$A$1500,A54)</f>
        <v>924105</v>
      </c>
      <c r="AP54" s="37">
        <f>SUMIFS($AJ$3:$AJ$1500,$A$3:$A$1500,A54)</f>
        <v>600000</v>
      </c>
      <c r="AQ54" s="37">
        <f>SUMIFS($AK$3:$AK$1500,$A$3:$A$1500,A54)</f>
        <v>16957970</v>
      </c>
      <c r="AR54" s="21" t="str">
        <f>"PKR "&amp;TEXT(AQ54,"#,##0")&amp;" only"</f>
        <v>PKR 16,957,970 only</v>
      </c>
      <c r="AS54" s="21" t="str">
        <f>"Sec 153 - deposit by "&amp;TEXT(EOMONTH(B54,0)+15,"dd-mmm-yyyy")</f>
        <v>Sec 153 - deposit by 15-Nov-2025</v>
      </c>
      <c r="AT54" s="21" t="s">
        <v>844</v>
      </c>
      <c r="AU54" s="21" t="s">
        <v>4518</v>
      </c>
      <c r="AV54" s="21" t="s">
        <v>4364</v>
      </c>
      <c r="AW54" s="29">
        <v>45944</v>
      </c>
      <c r="AX54" s="37">
        <f>AQ54+AY54</f>
        <v>16957970</v>
      </c>
      <c r="AY54" s="37">
        <v>0</v>
      </c>
      <c r="AZ54" s="21" t="s">
        <v>3090</v>
      </c>
      <c r="BA54" s="21" t="s">
        <v>4356</v>
      </c>
      <c r="BB54" s="21" t="s">
        <v>848</v>
      </c>
      <c r="BC54" s="21" t="s">
        <v>4365</v>
      </c>
      <c r="BD54" s="21" t="str">
        <f>IF(AL54&lt;1,"Bill fully settled","Bill partially settled")</f>
        <v>Bill fully settled</v>
      </c>
      <c r="BE54" s="21" t="str">
        <f>"Payable reduced by PKR "&amp;TEXT(AK54+AI54+AJ54,"#,##0")</f>
        <v>Payable reduced by PKR 7,397,470</v>
      </c>
      <c r="BF54" s="21" t="s">
        <v>4513</v>
      </c>
      <c r="BG54" s="21" t="s">
        <v>753</v>
      </c>
      <c r="BH54" s="21" t="s">
        <v>4367</v>
      </c>
      <c r="BI54" s="21" t="s">
        <v>844</v>
      </c>
      <c r="BJ54" s="21" t="s">
        <v>844</v>
      </c>
      <c r="BK54" s="21" t="s">
        <v>753</v>
      </c>
      <c r="BL54" s="21" t="s">
        <v>753</v>
      </c>
      <c r="BM54" s="21" t="s">
        <v>753</v>
      </c>
      <c r="BN54" s="21" t="s">
        <v>4368</v>
      </c>
      <c r="BO54" s="21" t="s">
        <v>848</v>
      </c>
      <c r="BP54" s="21" t="str">
        <f>K54</f>
        <v>Paid</v>
      </c>
    </row>
    <row r="55" spans="1:68" x14ac:dyDescent="0.3">
      <c r="A55" s="21" t="s">
        <v>4519</v>
      </c>
      <c r="B55" s="29">
        <v>45958</v>
      </c>
      <c r="C55" s="21" t="s">
        <v>4354</v>
      </c>
      <c r="D55" s="21" t="s">
        <v>743</v>
      </c>
      <c r="E55" s="21" t="s">
        <v>3350</v>
      </c>
      <c r="F55" s="21" t="s">
        <v>3429</v>
      </c>
      <c r="G55" s="21" t="s">
        <v>4355</v>
      </c>
      <c r="H55" s="21" t="s">
        <v>3095</v>
      </c>
      <c r="I55" s="21" t="s">
        <v>3085</v>
      </c>
      <c r="J55" s="21" t="s">
        <v>4356</v>
      </c>
      <c r="K55" s="21" t="s">
        <v>4357</v>
      </c>
      <c r="L55" s="21" t="s">
        <v>3431</v>
      </c>
      <c r="M55" s="21" t="s">
        <v>1278</v>
      </c>
      <c r="N55" s="21" t="s">
        <v>1200</v>
      </c>
      <c r="O55" s="21" t="s">
        <v>746</v>
      </c>
      <c r="P55" s="21" t="s">
        <v>1014</v>
      </c>
      <c r="Q55" s="21" t="s">
        <v>1199</v>
      </c>
      <c r="R55" s="21" t="s">
        <v>1204</v>
      </c>
      <c r="S55" s="21" t="s">
        <v>4358</v>
      </c>
      <c r="T55" s="21" t="s">
        <v>3441</v>
      </c>
      <c r="U55" s="37" cm="1">
        <f t="array" ref="U55">SUMPRODUCT(('T08'!$U$3:$U$1500=M55)*('T08'!$AF$3:$AF$1500=1)*('T08'!$I$3:$I$1500&lt;=B55)*'T08'!$BK$3:$BK$1500)-SUMPRODUCT(($M$3:$M$1500=M55)*($B$3:$B$1500&lt;B55)*($AK$3:$AK$1500+$AI$3:$AI$1500+$AJ$3:$AJ$1500))</f>
        <v>63056</v>
      </c>
      <c r="V55" s="21" t="s">
        <v>3898</v>
      </c>
      <c r="W55" s="21" t="str">
        <f>TEXT(_xlfn.XLOOKUP(V55,'T08'!$G$3:$G$1500,'T08'!$J$3:$J$1500),"dd-mmm-yyyy")&amp;" / due "&amp;TEXT(_xlfn.XLOOKUP(V55,'T08'!$G$3:$G$1500,'T08'!$BQ$3:$BQ$1500),"dd-mmm-yyyy")</f>
        <v>01-Oct-2025 / due 31-Oct-2025</v>
      </c>
      <c r="X55" s="21" t="s">
        <v>4359</v>
      </c>
      <c r="Y55" s="21" t="str">
        <f>_xlfn.XLOOKUP(V55,'T08'!$G$3:$G$1500,'T08'!$AC$3:$AC$1500)</f>
        <v>N/A</v>
      </c>
      <c r="Z55" s="21" t="s">
        <v>844</v>
      </c>
      <c r="AA55" s="37" t="s">
        <v>844</v>
      </c>
      <c r="AB55" s="21" t="str">
        <f>IF(C55="Against bill",IF(V55&lt;&gt;"N/A","OK - bill linked","Missing bill"),IF(Z55&lt;&gt;"N/A","OK - advance request linked","Missing request"))</f>
        <v>OK - bill linked</v>
      </c>
      <c r="AC55" s="21" t="s">
        <v>844</v>
      </c>
      <c r="AD55" s="21" t="s">
        <v>4360</v>
      </c>
      <c r="AE55" s="21">
        <v>1</v>
      </c>
      <c r="AF55" s="21" t="s">
        <v>4383</v>
      </c>
      <c r="AG55" s="37">
        <f>_xlfn.XLOOKUP(V55,'T08'!$G$3:$G$1500,'T08'!$BH$3:$BH$1500)</f>
        <v>139548</v>
      </c>
      <c r="AH55" s="37">
        <v>0</v>
      </c>
      <c r="AI55" s="37">
        <f>_xlfn.XLOOKUP(V55,'T08'!$G$3:$G$1500,'T08'!$BI$3:$BI$1500)</f>
        <v>5582</v>
      </c>
      <c r="AJ55" s="37">
        <f>_xlfn.XLOOKUP(V55,'T08'!$G$3:$G$1500,'T08'!$BJ$3:$BJ$1500)</f>
        <v>0</v>
      </c>
      <c r="AK55" s="37">
        <f>AG55-AH55-AI55-AJ55</f>
        <v>133966</v>
      </c>
      <c r="AL55" s="37">
        <f>AG55-AH55-AI55-AJ55-AK55</f>
        <v>0</v>
      </c>
      <c r="AM55" s="21" t="s">
        <v>4520</v>
      </c>
      <c r="AN55" s="37">
        <f>SUMIFS($AG$3:$AG$1500,$A$3:$A$1500,A55)</f>
        <v>139548</v>
      </c>
      <c r="AO55" s="37">
        <f>SUMIFS($AI$3:$AI$1500,$A$3:$A$1500,A55)</f>
        <v>5582</v>
      </c>
      <c r="AP55" s="37">
        <f>SUMIFS($AJ$3:$AJ$1500,$A$3:$A$1500,A55)</f>
        <v>0</v>
      </c>
      <c r="AQ55" s="37">
        <f>SUMIFS($AK$3:$AK$1500,$A$3:$A$1500,A55)</f>
        <v>133966</v>
      </c>
      <c r="AR55" s="21" t="str">
        <f>"PKR "&amp;TEXT(AQ55,"#,##0")&amp;" only"</f>
        <v>PKR 133,966 only</v>
      </c>
      <c r="AS55" s="21" t="str">
        <f>"Sec 153 - deposit by "&amp;TEXT(EOMONTH(B55,0)+15,"dd-mmm-yyyy")</f>
        <v>Sec 153 - deposit by 15-Nov-2025</v>
      </c>
      <c r="AT55" s="21" t="s">
        <v>844</v>
      </c>
      <c r="AU55" s="21" t="s">
        <v>4521</v>
      </c>
      <c r="AV55" s="21" t="s">
        <v>4364</v>
      </c>
      <c r="AW55" s="29">
        <v>45958</v>
      </c>
      <c r="AX55" s="37">
        <f>AQ55+AY55</f>
        <v>134116</v>
      </c>
      <c r="AY55" s="37">
        <v>150</v>
      </c>
      <c r="AZ55" s="21" t="s">
        <v>3090</v>
      </c>
      <c r="BA55" s="21" t="s">
        <v>4356</v>
      </c>
      <c r="BB55" s="21" t="s">
        <v>848</v>
      </c>
      <c r="BC55" s="21" t="s">
        <v>4365</v>
      </c>
      <c r="BD55" s="21" t="str">
        <f>IF(AL55&lt;1,"Bill fully settled","Bill partially settled")</f>
        <v>Bill fully settled</v>
      </c>
      <c r="BE55" s="21" t="str">
        <f>"Payable reduced by PKR "&amp;TEXT(AK55+AI55+AJ55,"#,##0")</f>
        <v>Payable reduced by PKR 139,548</v>
      </c>
      <c r="BF55" s="21" t="s">
        <v>4522</v>
      </c>
      <c r="BG55" s="21" t="s">
        <v>753</v>
      </c>
      <c r="BH55" s="21" t="s">
        <v>844</v>
      </c>
      <c r="BI55" s="21" t="s">
        <v>844</v>
      </c>
      <c r="BJ55" s="21" t="s">
        <v>4387</v>
      </c>
      <c r="BK55" s="21" t="s">
        <v>753</v>
      </c>
      <c r="BL55" s="21" t="s">
        <v>753</v>
      </c>
      <c r="BM55" s="21" t="s">
        <v>753</v>
      </c>
      <c r="BN55" s="21" t="s">
        <v>4368</v>
      </c>
      <c r="BO55" s="21" t="s">
        <v>848</v>
      </c>
      <c r="BP55" s="21" t="str">
        <f>K55</f>
        <v>Paid</v>
      </c>
    </row>
    <row r="56" spans="1:68" x14ac:dyDescent="0.3">
      <c r="A56" s="21" t="s">
        <v>4523</v>
      </c>
      <c r="B56" s="29">
        <v>45962</v>
      </c>
      <c r="C56" s="21" t="s">
        <v>4354</v>
      </c>
      <c r="D56" s="21" t="s">
        <v>743</v>
      </c>
      <c r="E56" s="21" t="s">
        <v>3350</v>
      </c>
      <c r="F56" s="21" t="s">
        <v>3429</v>
      </c>
      <c r="G56" s="21" t="s">
        <v>4355</v>
      </c>
      <c r="H56" s="21" t="s">
        <v>3095</v>
      </c>
      <c r="I56" s="21" t="s">
        <v>3085</v>
      </c>
      <c r="J56" s="21" t="s">
        <v>4356</v>
      </c>
      <c r="K56" s="21" t="s">
        <v>4357</v>
      </c>
      <c r="L56" s="21" t="s">
        <v>3431</v>
      </c>
      <c r="M56" s="21" t="s">
        <v>1213</v>
      </c>
      <c r="N56" s="21" t="s">
        <v>1194</v>
      </c>
      <c r="O56" s="21" t="s">
        <v>746</v>
      </c>
      <c r="P56" s="21" t="s">
        <v>983</v>
      </c>
      <c r="Q56" s="21" t="s">
        <v>1193</v>
      </c>
      <c r="R56" s="21" t="s">
        <v>1198</v>
      </c>
      <c r="S56" s="21" t="s">
        <v>4358</v>
      </c>
      <c r="T56" s="21" t="s">
        <v>3493</v>
      </c>
      <c r="U56" s="37" cm="1">
        <f t="array" ref="U56">SUMPRODUCT(('T08'!$U$3:$U$1500=M56)*('T08'!$AF$3:$AF$1500=1)*('T08'!$I$3:$I$1500&lt;=B56)*'T08'!$BK$3:$BK$1500)-SUMPRODUCT(($M$3:$M$1500=M56)*($B$3:$B$1500&lt;B56)*($AK$3:$AK$1500+$AI$3:$AI$1500+$AJ$3:$AJ$1500))</f>
        <v>48558</v>
      </c>
      <c r="V56" s="21" t="s">
        <v>3903</v>
      </c>
      <c r="W56" s="21" t="str">
        <f>TEXT(_xlfn.XLOOKUP(V56,'T08'!$G$3:$G$1500,'T08'!$J$3:$J$1500),"dd-mmm-yyyy")&amp;" / due "&amp;TEXT(_xlfn.XLOOKUP(V56,'T08'!$G$3:$G$1500,'T08'!$BQ$3:$BQ$1500),"dd-mmm-yyyy")</f>
        <v>01-Oct-2025 / due 31-Oct-2025</v>
      </c>
      <c r="X56" s="21" t="s">
        <v>4359</v>
      </c>
      <c r="Y56" s="21" t="str">
        <f>_xlfn.XLOOKUP(V56,'T08'!$G$3:$G$1500,'T08'!$AC$3:$AC$1500)</f>
        <v>N/A</v>
      </c>
      <c r="Z56" s="21" t="s">
        <v>844</v>
      </c>
      <c r="AA56" s="37" t="s">
        <v>844</v>
      </c>
      <c r="AB56" s="21" t="str">
        <f>IF(C56="Against bill",IF(V56&lt;&gt;"N/A","OK - bill linked","Missing bill"),IF(Z56&lt;&gt;"N/A","OK - advance request linked","Missing request"))</f>
        <v>OK - bill linked</v>
      </c>
      <c r="AC56" s="21" t="s">
        <v>844</v>
      </c>
      <c r="AD56" s="21" t="s">
        <v>4360</v>
      </c>
      <c r="AE56" s="21">
        <v>1</v>
      </c>
      <c r="AF56" s="21" t="s">
        <v>4404</v>
      </c>
      <c r="AG56" s="37">
        <f>_xlfn.XLOOKUP(V56,'T08'!$G$3:$G$1500,'T08'!$BH$3:$BH$1500)</f>
        <v>139548</v>
      </c>
      <c r="AH56" s="37">
        <v>0</v>
      </c>
      <c r="AI56" s="37">
        <f>_xlfn.XLOOKUP(V56,'T08'!$G$3:$G$1500,'T08'!$BI$3:$BI$1500)</f>
        <v>5582</v>
      </c>
      <c r="AJ56" s="37">
        <f>_xlfn.XLOOKUP(V56,'T08'!$G$3:$G$1500,'T08'!$BJ$3:$BJ$1500)</f>
        <v>0</v>
      </c>
      <c r="AK56" s="37">
        <f>AG56-AH56-AI56-AJ56</f>
        <v>133966</v>
      </c>
      <c r="AL56" s="37">
        <f>AG56-AH56-AI56-AJ56-AK56</f>
        <v>0</v>
      </c>
      <c r="AM56" s="21" t="s">
        <v>4524</v>
      </c>
      <c r="AN56" s="37">
        <f>SUMIFS($AG$3:$AG$1500,$A$3:$A$1500,A56)</f>
        <v>139548</v>
      </c>
      <c r="AO56" s="37">
        <f>SUMIFS($AI$3:$AI$1500,$A$3:$A$1500,A56)</f>
        <v>5582</v>
      </c>
      <c r="AP56" s="37">
        <f>SUMIFS($AJ$3:$AJ$1500,$A$3:$A$1500,A56)</f>
        <v>0</v>
      </c>
      <c r="AQ56" s="37">
        <f>SUMIFS($AK$3:$AK$1500,$A$3:$A$1500,A56)</f>
        <v>133966</v>
      </c>
      <c r="AR56" s="21" t="str">
        <f>"PKR "&amp;TEXT(AQ56,"#,##0")&amp;" only"</f>
        <v>PKR 133,966 only</v>
      </c>
      <c r="AS56" s="21" t="str">
        <f>"Sec 153 - deposit by "&amp;TEXT(EOMONTH(B56,0)+15,"dd-mmm-yyyy")</f>
        <v>Sec 153 - deposit by 15-Dec-2025</v>
      </c>
      <c r="AT56" s="21" t="s">
        <v>844</v>
      </c>
      <c r="AU56" s="21" t="s">
        <v>4525</v>
      </c>
      <c r="AV56" s="21" t="s">
        <v>4364</v>
      </c>
      <c r="AW56" s="29">
        <v>45962</v>
      </c>
      <c r="AX56" s="37">
        <f>AQ56+AY56</f>
        <v>134116</v>
      </c>
      <c r="AY56" s="37">
        <v>150</v>
      </c>
      <c r="AZ56" s="21" t="s">
        <v>3090</v>
      </c>
      <c r="BA56" s="21" t="s">
        <v>4356</v>
      </c>
      <c r="BB56" s="21" t="s">
        <v>848</v>
      </c>
      <c r="BC56" s="21" t="s">
        <v>4365</v>
      </c>
      <c r="BD56" s="21" t="str">
        <f>IF(AL56&lt;1,"Bill fully settled","Bill partially settled")</f>
        <v>Bill fully settled</v>
      </c>
      <c r="BE56" s="21" t="str">
        <f>"Payable reduced by PKR "&amp;TEXT(AK56+AI56+AJ56,"#,##0")</f>
        <v>Payable reduced by PKR 139,548</v>
      </c>
      <c r="BF56" s="21" t="s">
        <v>4526</v>
      </c>
      <c r="BG56" s="21" t="s">
        <v>753</v>
      </c>
      <c r="BH56" s="21" t="s">
        <v>844</v>
      </c>
      <c r="BI56" s="21" t="s">
        <v>844</v>
      </c>
      <c r="BJ56" s="21" t="s">
        <v>4387</v>
      </c>
      <c r="BK56" s="21" t="s">
        <v>753</v>
      </c>
      <c r="BL56" s="21" t="s">
        <v>753</v>
      </c>
      <c r="BM56" s="21" t="s">
        <v>753</v>
      </c>
      <c r="BN56" s="21" t="s">
        <v>4368</v>
      </c>
      <c r="BO56" s="21" t="s">
        <v>848</v>
      </c>
      <c r="BP56" s="21" t="str">
        <f>K56</f>
        <v>Paid</v>
      </c>
    </row>
    <row r="57" spans="1:68" x14ac:dyDescent="0.3">
      <c r="A57" s="21" t="s">
        <v>4527</v>
      </c>
      <c r="B57" s="29">
        <v>45976</v>
      </c>
      <c r="C57" s="21" t="s">
        <v>4354</v>
      </c>
      <c r="D57" s="21" t="s">
        <v>743</v>
      </c>
      <c r="E57" s="21" t="s">
        <v>3400</v>
      </c>
      <c r="F57" s="21" t="s">
        <v>3401</v>
      </c>
      <c r="G57" s="21" t="s">
        <v>4355</v>
      </c>
      <c r="H57" s="21" t="s">
        <v>3095</v>
      </c>
      <c r="I57" s="21" t="s">
        <v>3085</v>
      </c>
      <c r="J57" s="21" t="s">
        <v>4356</v>
      </c>
      <c r="K57" s="21" t="s">
        <v>4357</v>
      </c>
      <c r="L57" s="21" t="s">
        <v>3403</v>
      </c>
      <c r="M57" s="21" t="s">
        <v>3404</v>
      </c>
      <c r="N57" s="21" t="s">
        <v>967</v>
      </c>
      <c r="O57" s="21" t="s">
        <v>746</v>
      </c>
      <c r="P57" s="21" t="s">
        <v>983</v>
      </c>
      <c r="Q57" s="21" t="s">
        <v>965</v>
      </c>
      <c r="R57" s="21" t="s">
        <v>985</v>
      </c>
      <c r="S57" s="21" t="s">
        <v>4358</v>
      </c>
      <c r="T57" s="21" t="s">
        <v>3405</v>
      </c>
      <c r="U57" s="37" cm="1">
        <f t="array" ref="U57">SUMPRODUCT(('T08'!$U$3:$U$1500=M57)*('T08'!$AF$3:$AF$1500=1)*('T08'!$I$3:$I$1500&lt;=B57)*'T08'!$BK$3:$BK$1500)-SUMPRODUCT(($M$3:$M$1500=M57)*($B$3:$B$1500&lt;B57)*($AK$3:$AK$1500+$AI$3:$AI$1500+$AJ$3:$AJ$1500))</f>
        <v>9678852</v>
      </c>
      <c r="V57" s="21" t="s">
        <v>3930</v>
      </c>
      <c r="W57" s="21" t="str">
        <f>TEXT(_xlfn.XLOOKUP(V57,'T08'!$G$3:$G$1500,'T08'!$J$3:$J$1500),"dd-mmm-yyyy")&amp;" / due "&amp;TEXT(_xlfn.XLOOKUP(V57,'T08'!$G$3:$G$1500,'T08'!$BQ$3:$BQ$1500),"dd-mmm-yyyy")</f>
        <v>31-Oct-2025 / due 15-Nov-2025</v>
      </c>
      <c r="X57" s="21" t="s">
        <v>4359</v>
      </c>
      <c r="Y57" s="21" t="str">
        <f>_xlfn.XLOOKUP(V57,'T08'!$G$3:$G$1500,'T08'!$AC$3:$AC$1500)</f>
        <v>PO-2510-1</v>
      </c>
      <c r="Z57" s="21" t="s">
        <v>844</v>
      </c>
      <c r="AA57" s="37" t="s">
        <v>844</v>
      </c>
      <c r="AB57" s="21" t="str">
        <f>IF(C57="Against bill",IF(V57&lt;&gt;"N/A","OK - bill linked","Missing bill"),IF(Z57&lt;&gt;"N/A","OK - advance request linked","Missing request"))</f>
        <v>OK - bill linked</v>
      </c>
      <c r="AC57" s="21" t="s">
        <v>844</v>
      </c>
      <c r="AD57" s="21" t="s">
        <v>4360</v>
      </c>
      <c r="AE57" s="21">
        <v>1</v>
      </c>
      <c r="AF57" s="21" t="s">
        <v>4361</v>
      </c>
      <c r="AG57" s="37">
        <f>_xlfn.XLOOKUP(V57,'T08'!$G$3:$G$1500,'T08'!$BH$3:$BH$1500)</f>
        <v>13947675</v>
      </c>
      <c r="AH57" s="37">
        <v>0</v>
      </c>
      <c r="AI57" s="37">
        <f>_xlfn.XLOOKUP(V57,'T08'!$G$3:$G$1500,'T08'!$BI$3:$BI$1500)</f>
        <v>697384</v>
      </c>
      <c r="AJ57" s="37">
        <f>_xlfn.XLOOKUP(V57,'T08'!$G$3:$G$1500,'T08'!$BJ$3:$BJ$1500)</f>
        <v>0</v>
      </c>
      <c r="AK57" s="37">
        <f>AG57-AH57-AI57-AJ57</f>
        <v>13250291</v>
      </c>
      <c r="AL57" s="37">
        <f>AG57-AH57-AI57-AJ57-AK57</f>
        <v>0</v>
      </c>
      <c r="AM57" s="21" t="s">
        <v>4528</v>
      </c>
      <c r="AN57" s="37">
        <f>SUMIFS($AG$3:$AG$1500,$A$3:$A$1500,A57)</f>
        <v>13947675</v>
      </c>
      <c r="AO57" s="37">
        <f>SUMIFS($AI$3:$AI$1500,$A$3:$A$1500,A57)</f>
        <v>697384</v>
      </c>
      <c r="AP57" s="37">
        <f>SUMIFS($AJ$3:$AJ$1500,$A$3:$A$1500,A57)</f>
        <v>0</v>
      </c>
      <c r="AQ57" s="37">
        <f>SUMIFS($AK$3:$AK$1500,$A$3:$A$1500,A57)</f>
        <v>13250291</v>
      </c>
      <c r="AR57" s="21" t="str">
        <f>"PKR "&amp;TEXT(AQ57,"#,##0")&amp;" only"</f>
        <v>PKR 13,250,291 only</v>
      </c>
      <c r="AS57" s="21" t="str">
        <f>"Sec 153 - deposit by "&amp;TEXT(EOMONTH(B57,0)+15,"dd-mmm-yyyy")</f>
        <v>Sec 153 - deposit by 15-Dec-2025</v>
      </c>
      <c r="AT57" s="21" t="s">
        <v>844</v>
      </c>
      <c r="AU57" s="21" t="s">
        <v>4529</v>
      </c>
      <c r="AV57" s="21" t="s">
        <v>4364</v>
      </c>
      <c r="AW57" s="29">
        <v>45976</v>
      </c>
      <c r="AX57" s="37">
        <f>AQ57+AY57</f>
        <v>13250441</v>
      </c>
      <c r="AY57" s="37">
        <v>150</v>
      </c>
      <c r="AZ57" s="21" t="s">
        <v>3090</v>
      </c>
      <c r="BA57" s="21" t="s">
        <v>4356</v>
      </c>
      <c r="BB57" s="21" t="s">
        <v>848</v>
      </c>
      <c r="BC57" s="21" t="s">
        <v>4365</v>
      </c>
      <c r="BD57" s="21" t="str">
        <f>IF(AL57&lt;1,"Bill fully settled","Bill partially settled")</f>
        <v>Bill fully settled</v>
      </c>
      <c r="BE57" s="21" t="str">
        <f>"Payable reduced by PKR "&amp;TEXT(AK57+AI57+AJ57,"#,##0")</f>
        <v>Payable reduced by PKR 13,947,675</v>
      </c>
      <c r="BF57" s="21" t="s">
        <v>4530</v>
      </c>
      <c r="BG57" s="21" t="s">
        <v>753</v>
      </c>
      <c r="BH57" s="21" t="s">
        <v>4367</v>
      </c>
      <c r="BI57" s="21" t="s">
        <v>844</v>
      </c>
      <c r="BJ57" s="21" t="s">
        <v>844</v>
      </c>
      <c r="BK57" s="21" t="s">
        <v>753</v>
      </c>
      <c r="BL57" s="21" t="s">
        <v>753</v>
      </c>
      <c r="BM57" s="21" t="s">
        <v>753</v>
      </c>
      <c r="BN57" s="21" t="s">
        <v>4368</v>
      </c>
      <c r="BO57" s="21" t="s">
        <v>848</v>
      </c>
      <c r="BP57" s="21" t="str">
        <f>K57</f>
        <v>Paid</v>
      </c>
    </row>
    <row r="58" spans="1:68" x14ac:dyDescent="0.3">
      <c r="A58" s="21" t="s">
        <v>4531</v>
      </c>
      <c r="B58" s="29">
        <v>45993</v>
      </c>
      <c r="C58" s="21" t="s">
        <v>4354</v>
      </c>
      <c r="D58" s="21" t="s">
        <v>743</v>
      </c>
      <c r="E58" s="21" t="s">
        <v>3350</v>
      </c>
      <c r="F58" s="21" t="s">
        <v>3429</v>
      </c>
      <c r="G58" s="21" t="s">
        <v>4355</v>
      </c>
      <c r="H58" s="21" t="s">
        <v>3095</v>
      </c>
      <c r="I58" s="21" t="s">
        <v>3085</v>
      </c>
      <c r="J58" s="21" t="s">
        <v>4356</v>
      </c>
      <c r="K58" s="21" t="s">
        <v>4357</v>
      </c>
      <c r="L58" s="21" t="s">
        <v>3431</v>
      </c>
      <c r="M58" s="21" t="s">
        <v>1213</v>
      </c>
      <c r="N58" s="21" t="s">
        <v>1194</v>
      </c>
      <c r="O58" s="21" t="s">
        <v>746</v>
      </c>
      <c r="P58" s="21" t="s">
        <v>983</v>
      </c>
      <c r="Q58" s="21" t="s">
        <v>1193</v>
      </c>
      <c r="R58" s="21" t="s">
        <v>1198</v>
      </c>
      <c r="S58" s="21" t="s">
        <v>4358</v>
      </c>
      <c r="T58" s="21" t="s">
        <v>3493</v>
      </c>
      <c r="U58" s="37" cm="1">
        <f t="array" ref="U58">SUMPRODUCT(('T08'!$U$3:$U$1500=M58)*('T08'!$AF$3:$AF$1500=1)*('T08'!$I$3:$I$1500&lt;=B58)*'T08'!$BK$3:$BK$1500)-SUMPRODUCT(($M$3:$M$1500=M58)*($B$3:$B$1500&lt;B58)*($AK$3:$AK$1500+$AI$3:$AI$1500+$AJ$3:$AJ$1500))</f>
        <v>83522</v>
      </c>
      <c r="V58" s="21" t="s">
        <v>3938</v>
      </c>
      <c r="W58" s="21" t="str">
        <f>TEXT(_xlfn.XLOOKUP(V58,'T08'!$G$3:$G$1500,'T08'!$J$3:$J$1500),"dd-mmm-yyyy")&amp;" / due "&amp;TEXT(_xlfn.XLOOKUP(V58,'T08'!$G$3:$G$1500,'T08'!$BQ$3:$BQ$1500),"dd-mmm-yyyy")</f>
        <v>01-Nov-2025 / due 01-Dec-2025</v>
      </c>
      <c r="X58" s="21" t="s">
        <v>4359</v>
      </c>
      <c r="Y58" s="21" t="str">
        <f>_xlfn.XLOOKUP(V58,'T08'!$G$3:$G$1500,'T08'!$AC$3:$AC$1500)</f>
        <v>N/A</v>
      </c>
      <c r="Z58" s="21" t="s">
        <v>844</v>
      </c>
      <c r="AA58" s="37" t="s">
        <v>844</v>
      </c>
      <c r="AB58" s="21" t="str">
        <f>IF(C58="Against bill",IF(V58&lt;&gt;"N/A","OK - bill linked","Missing bill"),IF(Z58&lt;&gt;"N/A","OK - advance request linked","Missing request"))</f>
        <v>OK - bill linked</v>
      </c>
      <c r="AC58" s="21" t="s">
        <v>844</v>
      </c>
      <c r="AD58" s="21" t="s">
        <v>4360</v>
      </c>
      <c r="AE58" s="21">
        <v>1</v>
      </c>
      <c r="AF58" s="21" t="s">
        <v>4404</v>
      </c>
      <c r="AG58" s="37">
        <f>_xlfn.XLOOKUP(V58,'T08'!$G$3:$G$1500,'T08'!$BH$3:$BH$1500)</f>
        <v>186992</v>
      </c>
      <c r="AH58" s="37">
        <v>0</v>
      </c>
      <c r="AI58" s="37">
        <f>_xlfn.XLOOKUP(V58,'T08'!$G$3:$G$1500,'T08'!$BI$3:$BI$1500)</f>
        <v>7480</v>
      </c>
      <c r="AJ58" s="37">
        <f>_xlfn.XLOOKUP(V58,'T08'!$G$3:$G$1500,'T08'!$BJ$3:$BJ$1500)</f>
        <v>5000</v>
      </c>
      <c r="AK58" s="37">
        <f>AG58-AH58-AI58-AJ58</f>
        <v>174512</v>
      </c>
      <c r="AL58" s="37">
        <f>AG58-AH58-AI58-AJ58-AK58</f>
        <v>0</v>
      </c>
      <c r="AM58" s="21" t="s">
        <v>4532</v>
      </c>
      <c r="AN58" s="37">
        <f>SUMIFS($AG$3:$AG$1500,$A$3:$A$1500,A58)</f>
        <v>186992</v>
      </c>
      <c r="AO58" s="37">
        <f>SUMIFS($AI$3:$AI$1500,$A$3:$A$1500,A58)</f>
        <v>7480</v>
      </c>
      <c r="AP58" s="37">
        <f>SUMIFS($AJ$3:$AJ$1500,$A$3:$A$1500,A58)</f>
        <v>5000</v>
      </c>
      <c r="AQ58" s="37">
        <f>SUMIFS($AK$3:$AK$1500,$A$3:$A$1500,A58)</f>
        <v>174512</v>
      </c>
      <c r="AR58" s="21" t="str">
        <f>"PKR "&amp;TEXT(AQ58,"#,##0")&amp;" only"</f>
        <v>PKR 174,512 only</v>
      </c>
      <c r="AS58" s="21" t="str">
        <f>"Sec 153 - deposit by "&amp;TEXT(EOMONTH(B58,0)+15,"dd-mmm-yyyy")</f>
        <v>Sec 153 - deposit by 15-Jan-2026</v>
      </c>
      <c r="AT58" s="21" t="s">
        <v>844</v>
      </c>
      <c r="AU58" s="21" t="s">
        <v>4533</v>
      </c>
      <c r="AV58" s="21" t="s">
        <v>4364</v>
      </c>
      <c r="AW58" s="29">
        <v>45993</v>
      </c>
      <c r="AX58" s="37">
        <f>AQ58+AY58</f>
        <v>174662</v>
      </c>
      <c r="AY58" s="37">
        <v>150</v>
      </c>
      <c r="AZ58" s="21" t="s">
        <v>3090</v>
      </c>
      <c r="BA58" s="21" t="s">
        <v>4356</v>
      </c>
      <c r="BB58" s="21" t="s">
        <v>848</v>
      </c>
      <c r="BC58" s="21" t="s">
        <v>4365</v>
      </c>
      <c r="BD58" s="21" t="str">
        <f>IF(AL58&lt;1,"Bill fully settled","Bill partially settled")</f>
        <v>Bill fully settled</v>
      </c>
      <c r="BE58" s="21" t="str">
        <f>"Payable reduced by PKR "&amp;TEXT(AK58+AI58+AJ58,"#,##0")</f>
        <v>Payable reduced by PKR 186,992</v>
      </c>
      <c r="BF58" s="21" t="s">
        <v>4534</v>
      </c>
      <c r="BG58" s="21" t="s">
        <v>753</v>
      </c>
      <c r="BH58" s="21" t="s">
        <v>844</v>
      </c>
      <c r="BI58" s="21" t="s">
        <v>844</v>
      </c>
      <c r="BJ58" s="21" t="s">
        <v>4387</v>
      </c>
      <c r="BK58" s="21" t="s">
        <v>753</v>
      </c>
      <c r="BL58" s="21" t="s">
        <v>753</v>
      </c>
      <c r="BM58" s="21" t="s">
        <v>753</v>
      </c>
      <c r="BN58" s="21" t="s">
        <v>4368</v>
      </c>
      <c r="BO58" s="21" t="s">
        <v>848</v>
      </c>
      <c r="BP58" s="21" t="str">
        <f>K58</f>
        <v>Paid</v>
      </c>
    </row>
    <row r="59" spans="1:68" x14ac:dyDescent="0.3">
      <c r="A59" s="21" t="s">
        <v>4535</v>
      </c>
      <c r="B59" s="29">
        <v>45993</v>
      </c>
      <c r="C59" s="21" t="s">
        <v>4354</v>
      </c>
      <c r="D59" s="21" t="s">
        <v>743</v>
      </c>
      <c r="E59" s="21" t="s">
        <v>3350</v>
      </c>
      <c r="F59" s="21" t="s">
        <v>3429</v>
      </c>
      <c r="G59" s="21" t="s">
        <v>4355</v>
      </c>
      <c r="H59" s="21" t="s">
        <v>3095</v>
      </c>
      <c r="I59" s="21" t="s">
        <v>3085</v>
      </c>
      <c r="J59" s="21" t="s">
        <v>4356</v>
      </c>
      <c r="K59" s="21" t="s">
        <v>4357</v>
      </c>
      <c r="L59" s="21" t="s">
        <v>3431</v>
      </c>
      <c r="M59" s="21" t="s">
        <v>1278</v>
      </c>
      <c r="N59" s="21" t="s">
        <v>1200</v>
      </c>
      <c r="O59" s="21" t="s">
        <v>746</v>
      </c>
      <c r="P59" s="21" t="s">
        <v>1014</v>
      </c>
      <c r="Q59" s="21" t="s">
        <v>1199</v>
      </c>
      <c r="R59" s="21" t="s">
        <v>1204</v>
      </c>
      <c r="S59" s="21" t="s">
        <v>4358</v>
      </c>
      <c r="T59" s="21" t="s">
        <v>3441</v>
      </c>
      <c r="U59" s="37" cm="1">
        <f t="array" ref="U59">SUMPRODUCT(('T08'!$U$3:$U$1500=M59)*('T08'!$AF$3:$AF$1500=1)*('T08'!$I$3:$I$1500&lt;=B59)*'T08'!$BK$3:$BK$1500)-SUMPRODUCT(($M$3:$M$1500=M59)*($B$3:$B$1500&lt;B59)*($AK$3:$AK$1500+$AI$3:$AI$1500+$AJ$3:$AJ$1500))</f>
        <v>13264</v>
      </c>
      <c r="V59" s="21" t="s">
        <v>3946</v>
      </c>
      <c r="W59" s="21" t="str">
        <f>TEXT(_xlfn.XLOOKUP(V59,'T08'!$G$3:$G$1500,'T08'!$J$3:$J$1500),"dd-mmm-yyyy")&amp;" / due "&amp;TEXT(_xlfn.XLOOKUP(V59,'T08'!$G$3:$G$1500,'T08'!$BQ$3:$BQ$1500),"dd-mmm-yyyy")</f>
        <v>01-Nov-2025 / due 01-Dec-2025</v>
      </c>
      <c r="X59" s="21" t="s">
        <v>4359</v>
      </c>
      <c r="Y59" s="21" t="str">
        <f>_xlfn.XLOOKUP(V59,'T08'!$G$3:$G$1500,'T08'!$AC$3:$AC$1500)</f>
        <v>N/A</v>
      </c>
      <c r="Z59" s="21" t="s">
        <v>844</v>
      </c>
      <c r="AA59" s="37" t="s">
        <v>844</v>
      </c>
      <c r="AB59" s="21" t="str">
        <f>IF(C59="Against bill",IF(V59&lt;&gt;"N/A","OK - bill linked","Missing bill"),IF(Z59&lt;&gt;"N/A","OK - advance request linked","Missing request"))</f>
        <v>OK - bill linked</v>
      </c>
      <c r="AC59" s="21" t="s">
        <v>844</v>
      </c>
      <c r="AD59" s="21" t="s">
        <v>4360</v>
      </c>
      <c r="AE59" s="21">
        <v>1</v>
      </c>
      <c r="AF59" s="21" t="s">
        <v>4383</v>
      </c>
      <c r="AG59" s="37">
        <f>_xlfn.XLOOKUP(V59,'T08'!$G$3:$G$1500,'T08'!$BH$3:$BH$1500)</f>
        <v>93496</v>
      </c>
      <c r="AH59" s="37">
        <v>0</v>
      </c>
      <c r="AI59" s="37">
        <f>_xlfn.XLOOKUP(V59,'T08'!$G$3:$G$1500,'T08'!$BI$3:$BI$1500)</f>
        <v>3740</v>
      </c>
      <c r="AJ59" s="37">
        <f>_xlfn.XLOOKUP(V59,'T08'!$G$3:$G$1500,'T08'!$BJ$3:$BJ$1500)</f>
        <v>0</v>
      </c>
      <c r="AK59" s="37">
        <f>AG59-AH59-AI59-AJ59</f>
        <v>89756</v>
      </c>
      <c r="AL59" s="37">
        <f>AG59-AH59-AI59-AJ59-AK59</f>
        <v>0</v>
      </c>
      <c r="AM59" s="21" t="s">
        <v>4536</v>
      </c>
      <c r="AN59" s="37">
        <f>SUMIFS($AG$3:$AG$1500,$A$3:$A$1500,A59)</f>
        <v>93496</v>
      </c>
      <c r="AO59" s="37">
        <f>SUMIFS($AI$3:$AI$1500,$A$3:$A$1500,A59)</f>
        <v>3740</v>
      </c>
      <c r="AP59" s="37">
        <f>SUMIFS($AJ$3:$AJ$1500,$A$3:$A$1500,A59)</f>
        <v>0</v>
      </c>
      <c r="AQ59" s="37">
        <f>SUMIFS($AK$3:$AK$1500,$A$3:$A$1500,A59)</f>
        <v>89756</v>
      </c>
      <c r="AR59" s="21" t="str">
        <f>"PKR "&amp;TEXT(AQ59,"#,##0")&amp;" only"</f>
        <v>PKR 89,756 only</v>
      </c>
      <c r="AS59" s="21" t="str">
        <f>"Sec 153 - deposit by "&amp;TEXT(EOMONTH(B59,0)+15,"dd-mmm-yyyy")</f>
        <v>Sec 153 - deposit by 15-Jan-2026</v>
      </c>
      <c r="AT59" s="21" t="s">
        <v>844</v>
      </c>
      <c r="AU59" s="21" t="s">
        <v>4537</v>
      </c>
      <c r="AV59" s="21" t="s">
        <v>4364</v>
      </c>
      <c r="AW59" s="29">
        <v>45993</v>
      </c>
      <c r="AX59" s="37">
        <f>AQ59+AY59</f>
        <v>89906</v>
      </c>
      <c r="AY59" s="37">
        <v>150</v>
      </c>
      <c r="AZ59" s="21" t="s">
        <v>3090</v>
      </c>
      <c r="BA59" s="21" t="s">
        <v>4356</v>
      </c>
      <c r="BB59" s="21" t="s">
        <v>848</v>
      </c>
      <c r="BC59" s="21" t="s">
        <v>4365</v>
      </c>
      <c r="BD59" s="21" t="str">
        <f>IF(AL59&lt;1,"Bill fully settled","Bill partially settled")</f>
        <v>Bill fully settled</v>
      </c>
      <c r="BE59" s="21" t="str">
        <f>"Payable reduced by PKR "&amp;TEXT(AK59+AI59+AJ59,"#,##0")</f>
        <v>Payable reduced by PKR 93,496</v>
      </c>
      <c r="BF59" s="21" t="s">
        <v>4538</v>
      </c>
      <c r="BG59" s="21" t="s">
        <v>753</v>
      </c>
      <c r="BH59" s="21" t="s">
        <v>844</v>
      </c>
      <c r="BI59" s="21" t="s">
        <v>844</v>
      </c>
      <c r="BJ59" s="21" t="s">
        <v>4387</v>
      </c>
      <c r="BK59" s="21" t="s">
        <v>753</v>
      </c>
      <c r="BL59" s="21" t="s">
        <v>753</v>
      </c>
      <c r="BM59" s="21" t="s">
        <v>753</v>
      </c>
      <c r="BN59" s="21" t="s">
        <v>4368</v>
      </c>
      <c r="BO59" s="21" t="s">
        <v>848</v>
      </c>
      <c r="BP59" s="21" t="str">
        <f>K59</f>
        <v>Paid</v>
      </c>
    </row>
    <row r="60" spans="1:68" x14ac:dyDescent="0.3">
      <c r="A60" s="21" t="s">
        <v>4539</v>
      </c>
      <c r="B60" s="29">
        <v>45995</v>
      </c>
      <c r="C60" s="21" t="s">
        <v>4354</v>
      </c>
      <c r="D60" s="21" t="s">
        <v>743</v>
      </c>
      <c r="E60" s="21" t="s">
        <v>3350</v>
      </c>
      <c r="F60" s="21" t="s">
        <v>3429</v>
      </c>
      <c r="G60" s="21" t="s">
        <v>4355</v>
      </c>
      <c r="H60" s="21" t="s">
        <v>3095</v>
      </c>
      <c r="I60" s="21" t="s">
        <v>3085</v>
      </c>
      <c r="J60" s="21" t="s">
        <v>4356</v>
      </c>
      <c r="K60" s="21" t="s">
        <v>4357</v>
      </c>
      <c r="L60" s="21" t="s">
        <v>3431</v>
      </c>
      <c r="M60" s="21" t="s">
        <v>1339</v>
      </c>
      <c r="N60" s="21" t="s">
        <v>1207</v>
      </c>
      <c r="O60" s="21" t="s">
        <v>1066</v>
      </c>
      <c r="P60" s="21" t="s">
        <v>1059</v>
      </c>
      <c r="Q60" s="21" t="s">
        <v>1206</v>
      </c>
      <c r="R60" s="21" t="s">
        <v>1211</v>
      </c>
      <c r="S60" s="21" t="s">
        <v>4358</v>
      </c>
      <c r="T60" s="21" t="s">
        <v>3432</v>
      </c>
      <c r="U60" s="37" cm="1">
        <f t="array" ref="U60">SUMPRODUCT(('T08'!$U$3:$U$1500=M60)*('T08'!$AF$3:$AF$1500=1)*('T08'!$I$3:$I$1500&lt;=B60)*'T08'!$BK$3:$BK$1500)-SUMPRODUCT(($M$3:$M$1500=M60)*($B$3:$B$1500&lt;B60)*($AK$3:$AK$1500+$AI$3:$AI$1500+$AJ$3:$AJ$1500))</f>
        <v>1932710</v>
      </c>
      <c r="V60" s="21" t="s">
        <v>3427</v>
      </c>
      <c r="W60" s="21" t="str">
        <f>TEXT(_xlfn.XLOOKUP(V60,'T08'!$G$3:$G$1500,'T08'!$J$3:$J$1500),"dd-mmm-yyyy")&amp;" / due "&amp;TEXT(_xlfn.XLOOKUP(V60,'T08'!$G$3:$G$1500,'T08'!$BQ$3:$BQ$1500),"dd-mmm-yyyy")</f>
        <v>01-Nov-2024 / due 01-Dec-2024</v>
      </c>
      <c r="X60" s="21" t="s">
        <v>4359</v>
      </c>
      <c r="Y60" s="21" t="str">
        <f>_xlfn.XLOOKUP(V60,'T08'!$G$3:$G$1500,'T08'!$AC$3:$AC$1500)</f>
        <v>N/A</v>
      </c>
      <c r="Z60" s="21" t="s">
        <v>844</v>
      </c>
      <c r="AA60" s="37" t="s">
        <v>844</v>
      </c>
      <c r="AB60" s="21" t="str">
        <f>IF(C60="Against bill",IF(V60&lt;&gt;"N/A","OK - bill linked","Missing bill"),IF(Z60&lt;&gt;"N/A","OK - advance request linked","Missing request"))</f>
        <v>OK - bill linked</v>
      </c>
      <c r="AC60" s="21" t="s">
        <v>844</v>
      </c>
      <c r="AD60" s="21" t="s">
        <v>4360</v>
      </c>
      <c r="AE60" s="21">
        <v>1</v>
      </c>
      <c r="AF60" s="21" t="s">
        <v>4540</v>
      </c>
      <c r="AG60" s="37">
        <f>_xlfn.XLOOKUP(V60,'T08'!$G$3:$G$1500,'T08'!$BH$3:$BH$1500)</f>
        <v>382800</v>
      </c>
      <c r="AH60" s="37">
        <v>0</v>
      </c>
      <c r="AI60" s="37">
        <f>_xlfn.XLOOKUP(V60,'T08'!$G$3:$G$1500,'T08'!$BI$3:$BI$1500)</f>
        <v>30624</v>
      </c>
      <c r="AJ60" s="37">
        <f>_xlfn.XLOOKUP(V60,'T08'!$G$3:$G$1500,'T08'!$BJ$3:$BJ$1500)</f>
        <v>5000</v>
      </c>
      <c r="AK60" s="37">
        <f>AG60-AH60-AI60-AJ60</f>
        <v>347176</v>
      </c>
      <c r="AL60" s="37">
        <f>AG60-AH60-AI60-AJ60-AK60</f>
        <v>0</v>
      </c>
      <c r="AM60" s="21" t="s">
        <v>4541</v>
      </c>
      <c r="AN60" s="37">
        <f>SUMIFS($AG$3:$AG$1500,$A$3:$A$1500,A60)</f>
        <v>1777196</v>
      </c>
      <c r="AO60" s="37">
        <f>SUMIFS($AI$3:$AI$1500,$A$3:$A$1500,A60)</f>
        <v>142176</v>
      </c>
      <c r="AP60" s="37">
        <f>SUMIFS($AJ$3:$AJ$1500,$A$3:$A$1500,A60)</f>
        <v>15000</v>
      </c>
      <c r="AQ60" s="37">
        <f>SUMIFS($AK$3:$AK$1500,$A$3:$A$1500,A60)</f>
        <v>1620020</v>
      </c>
      <c r="AR60" s="21" t="str">
        <f>"PKR "&amp;TEXT(AQ60,"#,##0")&amp;" only"</f>
        <v>PKR 1,620,020 only</v>
      </c>
      <c r="AS60" s="21" t="str">
        <f>"Sec 153 - deposit by "&amp;TEXT(EOMONTH(B60,0)+15,"dd-mmm-yyyy")</f>
        <v>Sec 153 - deposit by 15-Jan-2026</v>
      </c>
      <c r="AT60" s="21" t="s">
        <v>844</v>
      </c>
      <c r="AU60" s="21" t="s">
        <v>4542</v>
      </c>
      <c r="AV60" s="21" t="s">
        <v>4364</v>
      </c>
      <c r="AW60" s="29">
        <v>45995</v>
      </c>
      <c r="AX60" s="37">
        <f>AQ60+AY60</f>
        <v>1620170</v>
      </c>
      <c r="AY60" s="37">
        <v>150</v>
      </c>
      <c r="AZ60" s="21" t="s">
        <v>3090</v>
      </c>
      <c r="BA60" s="21" t="s">
        <v>4356</v>
      </c>
      <c r="BB60" s="21" t="s">
        <v>848</v>
      </c>
      <c r="BC60" s="21" t="s">
        <v>4365</v>
      </c>
      <c r="BD60" s="21" t="str">
        <f>IF(AL60&lt;1,"Bill fully settled","Bill partially settled")</f>
        <v>Bill fully settled</v>
      </c>
      <c r="BE60" s="21" t="str">
        <f>"Payable reduced by PKR "&amp;TEXT(AK60+AI60+AJ60,"#,##0")</f>
        <v>Payable reduced by PKR 382,800</v>
      </c>
      <c r="BF60" s="21" t="s">
        <v>4543</v>
      </c>
      <c r="BG60" s="21" t="s">
        <v>753</v>
      </c>
      <c r="BH60" s="21" t="s">
        <v>844</v>
      </c>
      <c r="BI60" s="21" t="s">
        <v>844</v>
      </c>
      <c r="BJ60" s="21" t="s">
        <v>4387</v>
      </c>
      <c r="BK60" s="21" t="s">
        <v>753</v>
      </c>
      <c r="BL60" s="21" t="s">
        <v>753</v>
      </c>
      <c r="BM60" s="21" t="s">
        <v>753</v>
      </c>
      <c r="BN60" s="21" t="s">
        <v>4368</v>
      </c>
      <c r="BO60" s="21" t="s">
        <v>848</v>
      </c>
      <c r="BP60" s="21" t="str">
        <f>K60</f>
        <v>Paid</v>
      </c>
    </row>
    <row r="61" spans="1:68" x14ac:dyDescent="0.3">
      <c r="A61" s="21" t="s">
        <v>4539</v>
      </c>
      <c r="B61" s="29">
        <v>45995</v>
      </c>
      <c r="C61" s="21" t="s">
        <v>4354</v>
      </c>
      <c r="D61" s="21" t="s">
        <v>743</v>
      </c>
      <c r="E61" s="21" t="s">
        <v>3350</v>
      </c>
      <c r="F61" s="21" t="s">
        <v>3429</v>
      </c>
      <c r="G61" s="21" t="s">
        <v>4355</v>
      </c>
      <c r="H61" s="21" t="s">
        <v>3095</v>
      </c>
      <c r="I61" s="21" t="s">
        <v>3085</v>
      </c>
      <c r="J61" s="21" t="s">
        <v>4356</v>
      </c>
      <c r="K61" s="21" t="s">
        <v>4357</v>
      </c>
      <c r="L61" s="21" t="s">
        <v>3431</v>
      </c>
      <c r="M61" s="21" t="s">
        <v>1339</v>
      </c>
      <c r="N61" s="21" t="s">
        <v>1207</v>
      </c>
      <c r="O61" s="21" t="s">
        <v>1066</v>
      </c>
      <c r="P61" s="21" t="s">
        <v>1059</v>
      </c>
      <c r="Q61" s="21" t="s">
        <v>1206</v>
      </c>
      <c r="R61" s="21" t="s">
        <v>1211</v>
      </c>
      <c r="S61" s="21" t="s">
        <v>4358</v>
      </c>
      <c r="T61" s="21" t="s">
        <v>3432</v>
      </c>
      <c r="U61" s="37" cm="1">
        <f t="array" ref="U61">SUMPRODUCT(('T08'!$U$3:$U$1500=M61)*('T08'!$AF$3:$AF$1500=1)*('T08'!$I$3:$I$1500&lt;=B61)*'T08'!$BK$3:$BK$1500)-SUMPRODUCT(($M$3:$M$1500=M61)*($B$3:$B$1500&lt;B61)*($AK$3:$AK$1500+$AI$3:$AI$1500+$AJ$3:$AJ$1500))</f>
        <v>1932710</v>
      </c>
      <c r="V61" s="21" t="s">
        <v>3552</v>
      </c>
      <c r="W61" s="21" t="str">
        <f>TEXT(_xlfn.XLOOKUP(V61,'T08'!$G$3:$G$1500,'T08'!$J$3:$J$1500),"dd-mmm-yyyy")&amp;" / due "&amp;TEXT(_xlfn.XLOOKUP(V61,'T08'!$G$3:$G$1500,'T08'!$BQ$3:$BQ$1500),"dd-mmm-yyyy")</f>
        <v>01-Jan-2025 / due 31-Jan-2025</v>
      </c>
      <c r="X61" s="21" t="s">
        <v>4359</v>
      </c>
      <c r="Y61" s="21" t="str">
        <f>_xlfn.XLOOKUP(V61,'T08'!$G$3:$G$1500,'T08'!$AC$3:$AC$1500)</f>
        <v>N/A</v>
      </c>
      <c r="Z61" s="21" t="s">
        <v>844</v>
      </c>
      <c r="AA61" s="37" t="s">
        <v>844</v>
      </c>
      <c r="AB61" s="21" t="str">
        <f>IF(C61="Against bill",IF(V61&lt;&gt;"N/A","OK - bill linked","Missing bill"),IF(Z61&lt;&gt;"N/A","OK - advance request linked","Missing request"))</f>
        <v>OK - bill linked</v>
      </c>
      <c r="AC61" s="21" t="s">
        <v>844</v>
      </c>
      <c r="AD61" s="21" t="s">
        <v>4360</v>
      </c>
      <c r="AE61" s="21">
        <v>2</v>
      </c>
      <c r="AF61" s="21" t="s">
        <v>4540</v>
      </c>
      <c r="AG61" s="37">
        <f>_xlfn.XLOOKUP(V61,'T08'!$G$3:$G$1500,'T08'!$BH$3:$BH$1500)</f>
        <v>451472</v>
      </c>
      <c r="AH61" s="37">
        <v>0</v>
      </c>
      <c r="AI61" s="37">
        <f>_xlfn.XLOOKUP(V61,'T08'!$G$3:$G$1500,'T08'!$BI$3:$BI$1500)</f>
        <v>36118</v>
      </c>
      <c r="AJ61" s="37">
        <f>_xlfn.XLOOKUP(V61,'T08'!$G$3:$G$1500,'T08'!$BJ$3:$BJ$1500)</f>
        <v>0</v>
      </c>
      <c r="AK61" s="37">
        <f>AG61-AH61-AI61-AJ61</f>
        <v>415354</v>
      </c>
      <c r="AL61" s="37">
        <f>AG61-AH61-AI61-AJ61-AK61</f>
        <v>0</v>
      </c>
      <c r="AM61" s="21" t="s">
        <v>4544</v>
      </c>
      <c r="AN61" s="37">
        <f>SUMIFS($AG$3:$AG$1500,$A$3:$A$1500,A61)</f>
        <v>1777196</v>
      </c>
      <c r="AO61" s="37">
        <f>SUMIFS($AI$3:$AI$1500,$A$3:$A$1500,A61)</f>
        <v>142176</v>
      </c>
      <c r="AP61" s="37">
        <f>SUMIFS($AJ$3:$AJ$1500,$A$3:$A$1500,A61)</f>
        <v>15000</v>
      </c>
      <c r="AQ61" s="37">
        <f>SUMIFS($AK$3:$AK$1500,$A$3:$A$1500,A61)</f>
        <v>1620020</v>
      </c>
      <c r="AR61" s="21" t="str">
        <f>"PKR "&amp;TEXT(AQ61,"#,##0")&amp;" only"</f>
        <v>PKR 1,620,020 only</v>
      </c>
      <c r="AS61" s="21" t="str">
        <f>"Sec 153 - deposit by "&amp;TEXT(EOMONTH(B61,0)+15,"dd-mmm-yyyy")</f>
        <v>Sec 153 - deposit by 15-Jan-2026</v>
      </c>
      <c r="AT61" s="21" t="s">
        <v>844</v>
      </c>
      <c r="AU61" s="21" t="s">
        <v>4545</v>
      </c>
      <c r="AV61" s="21" t="s">
        <v>4364</v>
      </c>
      <c r="AW61" s="29">
        <v>45995</v>
      </c>
      <c r="AX61" s="37">
        <f>AQ61+AY61</f>
        <v>1620020</v>
      </c>
      <c r="AY61" s="37">
        <v>0</v>
      </c>
      <c r="AZ61" s="21" t="s">
        <v>3090</v>
      </c>
      <c r="BA61" s="21" t="s">
        <v>4356</v>
      </c>
      <c r="BB61" s="21" t="s">
        <v>848</v>
      </c>
      <c r="BC61" s="21" t="s">
        <v>4365</v>
      </c>
      <c r="BD61" s="21" t="str">
        <f>IF(AL61&lt;1,"Bill fully settled","Bill partially settled")</f>
        <v>Bill fully settled</v>
      </c>
      <c r="BE61" s="21" t="str">
        <f>"Payable reduced by PKR "&amp;TEXT(AK61+AI61+AJ61,"#,##0")</f>
        <v>Payable reduced by PKR 451,472</v>
      </c>
      <c r="BF61" s="21" t="s">
        <v>4543</v>
      </c>
      <c r="BG61" s="21" t="s">
        <v>753</v>
      </c>
      <c r="BH61" s="21" t="s">
        <v>844</v>
      </c>
      <c r="BI61" s="21" t="s">
        <v>844</v>
      </c>
      <c r="BJ61" s="21" t="s">
        <v>4387</v>
      </c>
      <c r="BK61" s="21" t="s">
        <v>753</v>
      </c>
      <c r="BL61" s="21" t="s">
        <v>753</v>
      </c>
      <c r="BM61" s="21" t="s">
        <v>753</v>
      </c>
      <c r="BN61" s="21" t="s">
        <v>4368</v>
      </c>
      <c r="BO61" s="21" t="s">
        <v>848</v>
      </c>
      <c r="BP61" s="21" t="str">
        <f>K61</f>
        <v>Paid</v>
      </c>
    </row>
    <row r="62" spans="1:68" x14ac:dyDescent="0.3">
      <c r="A62" s="21" t="s">
        <v>4539</v>
      </c>
      <c r="B62" s="29">
        <v>45995</v>
      </c>
      <c r="C62" s="21" t="s">
        <v>4354</v>
      </c>
      <c r="D62" s="21" t="s">
        <v>743</v>
      </c>
      <c r="E62" s="21" t="s">
        <v>3350</v>
      </c>
      <c r="F62" s="21" t="s">
        <v>3429</v>
      </c>
      <c r="G62" s="21" t="s">
        <v>4355</v>
      </c>
      <c r="H62" s="21" t="s">
        <v>3095</v>
      </c>
      <c r="I62" s="21" t="s">
        <v>3085</v>
      </c>
      <c r="J62" s="21" t="s">
        <v>4356</v>
      </c>
      <c r="K62" s="21" t="s">
        <v>4357</v>
      </c>
      <c r="L62" s="21" t="s">
        <v>3431</v>
      </c>
      <c r="M62" s="21" t="s">
        <v>1339</v>
      </c>
      <c r="N62" s="21" t="s">
        <v>1207</v>
      </c>
      <c r="O62" s="21" t="s">
        <v>1066</v>
      </c>
      <c r="P62" s="21" t="s">
        <v>1059</v>
      </c>
      <c r="Q62" s="21" t="s">
        <v>1206</v>
      </c>
      <c r="R62" s="21" t="s">
        <v>1211</v>
      </c>
      <c r="S62" s="21" t="s">
        <v>4358</v>
      </c>
      <c r="T62" s="21" t="s">
        <v>3432</v>
      </c>
      <c r="U62" s="37" cm="1">
        <f t="array" ref="U62">SUMPRODUCT(('T08'!$U$3:$U$1500=M62)*('T08'!$AF$3:$AF$1500=1)*('T08'!$I$3:$I$1500&lt;=B62)*'T08'!$BK$3:$BK$1500)-SUMPRODUCT(($M$3:$M$1500=M62)*($B$3:$B$1500&lt;B62)*($AK$3:$AK$1500+$AI$3:$AI$1500+$AJ$3:$AJ$1500))</f>
        <v>1932710</v>
      </c>
      <c r="V62" s="21" t="s">
        <v>3752</v>
      </c>
      <c r="W62" s="21" t="str">
        <f>TEXT(_xlfn.XLOOKUP(V62,'T08'!$G$3:$G$1500,'T08'!$J$3:$J$1500),"dd-mmm-yyyy")&amp;" / due "&amp;TEXT(_xlfn.XLOOKUP(V62,'T08'!$G$3:$G$1500,'T08'!$BQ$3:$BQ$1500),"dd-mmm-yyyy")</f>
        <v>01-Jun-2025 / due 01-Jul-2025</v>
      </c>
      <c r="X62" s="21" t="s">
        <v>4359</v>
      </c>
      <c r="Y62" s="21" t="str">
        <f>_xlfn.XLOOKUP(V62,'T08'!$G$3:$G$1500,'T08'!$AC$3:$AC$1500)</f>
        <v>N/A</v>
      </c>
      <c r="Z62" s="21" t="s">
        <v>844</v>
      </c>
      <c r="AA62" s="37" t="s">
        <v>844</v>
      </c>
      <c r="AB62" s="21" t="str">
        <f>IF(C62="Against bill",IF(V62&lt;&gt;"N/A","OK - bill linked","Missing bill"),IF(Z62&lt;&gt;"N/A","OK - advance request linked","Missing request"))</f>
        <v>OK - bill linked</v>
      </c>
      <c r="AC62" s="21" t="s">
        <v>844</v>
      </c>
      <c r="AD62" s="21" t="s">
        <v>4360</v>
      </c>
      <c r="AE62" s="21">
        <v>3</v>
      </c>
      <c r="AF62" s="21" t="s">
        <v>4540</v>
      </c>
      <c r="AG62" s="37">
        <f>_xlfn.XLOOKUP(V62,'T08'!$G$3:$G$1500,'T08'!$BH$3:$BH$1500)</f>
        <v>465028</v>
      </c>
      <c r="AH62" s="37">
        <v>0</v>
      </c>
      <c r="AI62" s="37">
        <f>_xlfn.XLOOKUP(V62,'T08'!$G$3:$G$1500,'T08'!$BI$3:$BI$1500)</f>
        <v>37202</v>
      </c>
      <c r="AJ62" s="37">
        <f>_xlfn.XLOOKUP(V62,'T08'!$G$3:$G$1500,'T08'!$BJ$3:$BJ$1500)</f>
        <v>0</v>
      </c>
      <c r="AK62" s="37">
        <f>AG62-AH62-AI62-AJ62</f>
        <v>427826</v>
      </c>
      <c r="AL62" s="37">
        <f>AG62-AH62-AI62-AJ62-AK62</f>
        <v>0</v>
      </c>
      <c r="AM62" s="21" t="s">
        <v>4546</v>
      </c>
      <c r="AN62" s="37">
        <f>SUMIFS($AG$3:$AG$1500,$A$3:$A$1500,A62)</f>
        <v>1777196</v>
      </c>
      <c r="AO62" s="37">
        <f>SUMIFS($AI$3:$AI$1500,$A$3:$A$1500,A62)</f>
        <v>142176</v>
      </c>
      <c r="AP62" s="37">
        <f>SUMIFS($AJ$3:$AJ$1500,$A$3:$A$1500,A62)</f>
        <v>15000</v>
      </c>
      <c r="AQ62" s="37">
        <f>SUMIFS($AK$3:$AK$1500,$A$3:$A$1500,A62)</f>
        <v>1620020</v>
      </c>
      <c r="AR62" s="21" t="str">
        <f>"PKR "&amp;TEXT(AQ62,"#,##0")&amp;" only"</f>
        <v>PKR 1,620,020 only</v>
      </c>
      <c r="AS62" s="21" t="str">
        <f>"Sec 153 - deposit by "&amp;TEXT(EOMONTH(B62,0)+15,"dd-mmm-yyyy")</f>
        <v>Sec 153 - deposit by 15-Jan-2026</v>
      </c>
      <c r="AT62" s="21" t="s">
        <v>844</v>
      </c>
      <c r="AU62" s="21" t="s">
        <v>4547</v>
      </c>
      <c r="AV62" s="21" t="s">
        <v>4364</v>
      </c>
      <c r="AW62" s="29">
        <v>45995</v>
      </c>
      <c r="AX62" s="37">
        <f>AQ62+AY62</f>
        <v>1620020</v>
      </c>
      <c r="AY62" s="37">
        <v>0</v>
      </c>
      <c r="AZ62" s="21" t="s">
        <v>3090</v>
      </c>
      <c r="BA62" s="21" t="s">
        <v>4356</v>
      </c>
      <c r="BB62" s="21" t="s">
        <v>848</v>
      </c>
      <c r="BC62" s="21" t="s">
        <v>4365</v>
      </c>
      <c r="BD62" s="21" t="str">
        <f>IF(AL62&lt;1,"Bill fully settled","Bill partially settled")</f>
        <v>Bill fully settled</v>
      </c>
      <c r="BE62" s="21" t="str">
        <f>"Payable reduced by PKR "&amp;TEXT(AK62+AI62+AJ62,"#,##0")</f>
        <v>Payable reduced by PKR 465,028</v>
      </c>
      <c r="BF62" s="21" t="s">
        <v>4543</v>
      </c>
      <c r="BG62" s="21" t="s">
        <v>753</v>
      </c>
      <c r="BH62" s="21" t="s">
        <v>844</v>
      </c>
      <c r="BI62" s="21" t="s">
        <v>844</v>
      </c>
      <c r="BJ62" s="21" t="s">
        <v>4387</v>
      </c>
      <c r="BK62" s="21" t="s">
        <v>753</v>
      </c>
      <c r="BL62" s="21" t="s">
        <v>753</v>
      </c>
      <c r="BM62" s="21" t="s">
        <v>753</v>
      </c>
      <c r="BN62" s="21" t="s">
        <v>4368</v>
      </c>
      <c r="BO62" s="21" t="s">
        <v>848</v>
      </c>
      <c r="BP62" s="21" t="str">
        <f>K62</f>
        <v>Paid</v>
      </c>
    </row>
    <row r="63" spans="1:68" x14ac:dyDescent="0.3">
      <c r="A63" s="21" t="s">
        <v>4539</v>
      </c>
      <c r="B63" s="29">
        <v>45995</v>
      </c>
      <c r="C63" s="21" t="s">
        <v>4354</v>
      </c>
      <c r="D63" s="21" t="s">
        <v>743</v>
      </c>
      <c r="E63" s="21" t="s">
        <v>3350</v>
      </c>
      <c r="F63" s="21" t="s">
        <v>3429</v>
      </c>
      <c r="G63" s="21" t="s">
        <v>4355</v>
      </c>
      <c r="H63" s="21" t="s">
        <v>3095</v>
      </c>
      <c r="I63" s="21" t="s">
        <v>3085</v>
      </c>
      <c r="J63" s="21" t="s">
        <v>4356</v>
      </c>
      <c r="K63" s="21" t="s">
        <v>4357</v>
      </c>
      <c r="L63" s="21" t="s">
        <v>3431</v>
      </c>
      <c r="M63" s="21" t="s">
        <v>1339</v>
      </c>
      <c r="N63" s="21" t="s">
        <v>1207</v>
      </c>
      <c r="O63" s="21" t="s">
        <v>1066</v>
      </c>
      <c r="P63" s="21" t="s">
        <v>1059</v>
      </c>
      <c r="Q63" s="21" t="s">
        <v>1206</v>
      </c>
      <c r="R63" s="21" t="s">
        <v>1211</v>
      </c>
      <c r="S63" s="21" t="s">
        <v>4358</v>
      </c>
      <c r="T63" s="21" t="s">
        <v>3432</v>
      </c>
      <c r="U63" s="37" cm="1">
        <f t="array" ref="U63">SUMPRODUCT(('T08'!$U$3:$U$1500=M63)*('T08'!$AF$3:$AF$1500=1)*('T08'!$I$3:$I$1500&lt;=B63)*'T08'!$BK$3:$BK$1500)-SUMPRODUCT(($M$3:$M$1500=M63)*($B$3:$B$1500&lt;B63)*($AK$3:$AK$1500+$AI$3:$AI$1500+$AJ$3:$AJ$1500))</f>
        <v>1932710</v>
      </c>
      <c r="V63" s="21" t="s">
        <v>3943</v>
      </c>
      <c r="W63" s="21" t="str">
        <f>TEXT(_xlfn.XLOOKUP(V63,'T08'!$G$3:$G$1500,'T08'!$J$3:$J$1500),"dd-mmm-yyyy")&amp;" / due "&amp;TEXT(_xlfn.XLOOKUP(V63,'T08'!$G$3:$G$1500,'T08'!$BQ$3:$BQ$1500),"dd-mmm-yyyy")</f>
        <v>01-Nov-2025 / due 01-Dec-2025</v>
      </c>
      <c r="X63" s="21" t="s">
        <v>4359</v>
      </c>
      <c r="Y63" s="21" t="str">
        <f>_xlfn.XLOOKUP(V63,'T08'!$G$3:$G$1500,'T08'!$AC$3:$AC$1500)</f>
        <v>N/A</v>
      </c>
      <c r="Z63" s="21" t="s">
        <v>844</v>
      </c>
      <c r="AA63" s="37" t="s">
        <v>844</v>
      </c>
      <c r="AB63" s="21" t="str">
        <f>IF(C63="Against bill",IF(V63&lt;&gt;"N/A","OK - bill linked","Missing bill"),IF(Z63&lt;&gt;"N/A","OK - advance request linked","Missing request"))</f>
        <v>OK - bill linked</v>
      </c>
      <c r="AC63" s="21" t="s">
        <v>844</v>
      </c>
      <c r="AD63" s="21" t="s">
        <v>4360</v>
      </c>
      <c r="AE63" s="21">
        <v>4</v>
      </c>
      <c r="AF63" s="21" t="s">
        <v>4540</v>
      </c>
      <c r="AG63" s="37">
        <f>_xlfn.XLOOKUP(V63,'T08'!$G$3:$G$1500,'T08'!$BH$3:$BH$1500)</f>
        <v>477896</v>
      </c>
      <c r="AH63" s="37">
        <v>0</v>
      </c>
      <c r="AI63" s="37">
        <f>_xlfn.XLOOKUP(V63,'T08'!$G$3:$G$1500,'T08'!$BI$3:$BI$1500)</f>
        <v>38232</v>
      </c>
      <c r="AJ63" s="37">
        <f>_xlfn.XLOOKUP(V63,'T08'!$G$3:$G$1500,'T08'!$BJ$3:$BJ$1500)</f>
        <v>10000</v>
      </c>
      <c r="AK63" s="37">
        <f>AG63-AH63-AI63-AJ63</f>
        <v>429664</v>
      </c>
      <c r="AL63" s="37">
        <f>AG63-AH63-AI63-AJ63-AK63</f>
        <v>0</v>
      </c>
      <c r="AM63" s="21" t="s">
        <v>4548</v>
      </c>
      <c r="AN63" s="37">
        <f>SUMIFS($AG$3:$AG$1500,$A$3:$A$1500,A63)</f>
        <v>1777196</v>
      </c>
      <c r="AO63" s="37">
        <f>SUMIFS($AI$3:$AI$1500,$A$3:$A$1500,A63)</f>
        <v>142176</v>
      </c>
      <c r="AP63" s="37">
        <f>SUMIFS($AJ$3:$AJ$1500,$A$3:$A$1500,A63)</f>
        <v>15000</v>
      </c>
      <c r="AQ63" s="37">
        <f>SUMIFS($AK$3:$AK$1500,$A$3:$A$1500,A63)</f>
        <v>1620020</v>
      </c>
      <c r="AR63" s="21" t="str">
        <f>"PKR "&amp;TEXT(AQ63,"#,##0")&amp;" only"</f>
        <v>PKR 1,620,020 only</v>
      </c>
      <c r="AS63" s="21" t="str">
        <f>"Sec 153 - deposit by "&amp;TEXT(EOMONTH(B63,0)+15,"dd-mmm-yyyy")</f>
        <v>Sec 153 - deposit by 15-Jan-2026</v>
      </c>
      <c r="AT63" s="21" t="s">
        <v>844</v>
      </c>
      <c r="AU63" s="21" t="s">
        <v>4549</v>
      </c>
      <c r="AV63" s="21" t="s">
        <v>4364</v>
      </c>
      <c r="AW63" s="29">
        <v>45995</v>
      </c>
      <c r="AX63" s="37">
        <f>AQ63+AY63</f>
        <v>1620020</v>
      </c>
      <c r="AY63" s="37">
        <v>0</v>
      </c>
      <c r="AZ63" s="21" t="s">
        <v>3090</v>
      </c>
      <c r="BA63" s="21" t="s">
        <v>4356</v>
      </c>
      <c r="BB63" s="21" t="s">
        <v>848</v>
      </c>
      <c r="BC63" s="21" t="s">
        <v>4365</v>
      </c>
      <c r="BD63" s="21" t="str">
        <f>IF(AL63&lt;1,"Bill fully settled","Bill partially settled")</f>
        <v>Bill fully settled</v>
      </c>
      <c r="BE63" s="21" t="str">
        <f>"Payable reduced by PKR "&amp;TEXT(AK63+AI63+AJ63,"#,##0")</f>
        <v>Payable reduced by PKR 477,896</v>
      </c>
      <c r="BF63" s="21" t="s">
        <v>4543</v>
      </c>
      <c r="BG63" s="21" t="s">
        <v>753</v>
      </c>
      <c r="BH63" s="21" t="s">
        <v>844</v>
      </c>
      <c r="BI63" s="21" t="s">
        <v>844</v>
      </c>
      <c r="BJ63" s="21" t="s">
        <v>4387</v>
      </c>
      <c r="BK63" s="21" t="s">
        <v>753</v>
      </c>
      <c r="BL63" s="21" t="s">
        <v>753</v>
      </c>
      <c r="BM63" s="21" t="s">
        <v>753</v>
      </c>
      <c r="BN63" s="21" t="s">
        <v>4368</v>
      </c>
      <c r="BO63" s="21" t="s">
        <v>848</v>
      </c>
      <c r="BP63" s="21" t="str">
        <f>K63</f>
        <v>Paid</v>
      </c>
    </row>
    <row r="64" spans="1:68" x14ac:dyDescent="0.3">
      <c r="A64" s="21" t="s">
        <v>4550</v>
      </c>
      <c r="B64" s="29">
        <v>46003</v>
      </c>
      <c r="C64" s="21" t="s">
        <v>4354</v>
      </c>
      <c r="D64" s="21" t="s">
        <v>743</v>
      </c>
      <c r="E64" s="21" t="s">
        <v>3400</v>
      </c>
      <c r="F64" s="21" t="s">
        <v>3401</v>
      </c>
      <c r="G64" s="21" t="s">
        <v>4355</v>
      </c>
      <c r="H64" s="21" t="s">
        <v>3095</v>
      </c>
      <c r="I64" s="21" t="s">
        <v>3085</v>
      </c>
      <c r="J64" s="21" t="s">
        <v>4356</v>
      </c>
      <c r="K64" s="21" t="s">
        <v>4357</v>
      </c>
      <c r="L64" s="21" t="s">
        <v>3403</v>
      </c>
      <c r="M64" s="21" t="s">
        <v>3419</v>
      </c>
      <c r="N64" s="21" t="s">
        <v>999</v>
      </c>
      <c r="O64" s="21" t="s">
        <v>746</v>
      </c>
      <c r="P64" s="21" t="s">
        <v>1014</v>
      </c>
      <c r="Q64" s="21" t="s">
        <v>998</v>
      </c>
      <c r="R64" s="21" t="s">
        <v>1015</v>
      </c>
      <c r="S64" s="21" t="s">
        <v>4358</v>
      </c>
      <c r="T64" s="21" t="s">
        <v>3420</v>
      </c>
      <c r="U64" s="37" cm="1">
        <f t="array" ref="U64">SUMPRODUCT(('T08'!$U$3:$U$1500=M64)*('T08'!$AF$3:$AF$1500=1)*('T08'!$I$3:$I$1500&lt;=B64)*'T08'!$BK$3:$BK$1500)-SUMPRODUCT(($M$3:$M$1500=M64)*($B$3:$B$1500&lt;B64)*($AK$3:$AK$1500+$AI$3:$AI$1500+$AJ$3:$AJ$1500))</f>
        <v>-48549</v>
      </c>
      <c r="V64" s="21" t="s">
        <v>3971</v>
      </c>
      <c r="W64" s="21" t="str">
        <f>TEXT(_xlfn.XLOOKUP(V64,'T08'!$G$3:$G$1500,'T08'!$J$3:$J$1500),"dd-mmm-yyyy")&amp;" / due "&amp;TEXT(_xlfn.XLOOKUP(V64,'T08'!$G$3:$G$1500,'T08'!$BQ$3:$BQ$1500),"dd-mmm-yyyy")</f>
        <v>30-Nov-2025 / due 15-Dec-2025</v>
      </c>
      <c r="X64" s="21" t="s">
        <v>4359</v>
      </c>
      <c r="Y64" s="21" t="str">
        <f>_xlfn.XLOOKUP(V64,'T08'!$G$3:$G$1500,'T08'!$AC$3:$AC$1500)</f>
        <v>PO-2511-2</v>
      </c>
      <c r="Z64" s="21" t="s">
        <v>844</v>
      </c>
      <c r="AA64" s="37" t="s">
        <v>844</v>
      </c>
      <c r="AB64" s="21" t="str">
        <f>IF(C64="Against bill",IF(V64&lt;&gt;"N/A","OK - bill linked","Missing bill"),IF(Z64&lt;&gt;"N/A","OK - advance request linked","Missing request"))</f>
        <v>OK - bill linked</v>
      </c>
      <c r="AC64" s="21" t="s">
        <v>844</v>
      </c>
      <c r="AD64" s="21" t="s">
        <v>4360</v>
      </c>
      <c r="AE64" s="21">
        <v>1</v>
      </c>
      <c r="AF64" s="21" t="s">
        <v>4394</v>
      </c>
      <c r="AG64" s="37">
        <f>_xlfn.XLOOKUP(V64,'T08'!$G$3:$G$1500,'T08'!$BH$3:$BH$1500)</f>
        <v>1159080</v>
      </c>
      <c r="AH64" s="37">
        <v>0</v>
      </c>
      <c r="AI64" s="37">
        <f>_xlfn.XLOOKUP(V64,'T08'!$G$3:$G$1500,'T08'!$BI$3:$BI$1500)</f>
        <v>11591</v>
      </c>
      <c r="AJ64" s="37">
        <f>_xlfn.XLOOKUP(V64,'T08'!$G$3:$G$1500,'T08'!$BJ$3:$BJ$1500)</f>
        <v>0</v>
      </c>
      <c r="AK64" s="37">
        <f>AG64-AH64-AI64-AJ64</f>
        <v>1147489</v>
      </c>
      <c r="AL64" s="37">
        <f>AG64-AH64-AI64-AJ64-AK64</f>
        <v>0</v>
      </c>
      <c r="AM64" s="21" t="s">
        <v>4551</v>
      </c>
      <c r="AN64" s="37">
        <f>SUMIFS($AG$3:$AG$1500,$A$3:$A$1500,A64)</f>
        <v>1159080</v>
      </c>
      <c r="AO64" s="37">
        <f>SUMIFS($AI$3:$AI$1500,$A$3:$A$1500,A64)</f>
        <v>11591</v>
      </c>
      <c r="AP64" s="37">
        <f>SUMIFS($AJ$3:$AJ$1500,$A$3:$A$1500,A64)</f>
        <v>0</v>
      </c>
      <c r="AQ64" s="37">
        <f>SUMIFS($AK$3:$AK$1500,$A$3:$A$1500,A64)</f>
        <v>1147489</v>
      </c>
      <c r="AR64" s="21" t="str">
        <f>"PKR "&amp;TEXT(AQ64,"#,##0")&amp;" only"</f>
        <v>PKR 1,147,489 only</v>
      </c>
      <c r="AS64" s="21" t="str">
        <f>"Sec 153 - deposit by "&amp;TEXT(EOMONTH(B64,0)+15,"dd-mmm-yyyy")</f>
        <v>Sec 153 - deposit by 15-Jan-2026</v>
      </c>
      <c r="AT64" s="21" t="s">
        <v>844</v>
      </c>
      <c r="AU64" s="21" t="s">
        <v>4552</v>
      </c>
      <c r="AV64" s="21" t="s">
        <v>4364</v>
      </c>
      <c r="AW64" s="29">
        <v>46003</v>
      </c>
      <c r="AX64" s="37">
        <f>AQ64+AY64</f>
        <v>1147639</v>
      </c>
      <c r="AY64" s="37">
        <v>150</v>
      </c>
      <c r="AZ64" s="21" t="s">
        <v>3090</v>
      </c>
      <c r="BA64" s="21" t="s">
        <v>4356</v>
      </c>
      <c r="BB64" s="21" t="s">
        <v>848</v>
      </c>
      <c r="BC64" s="21" t="s">
        <v>4365</v>
      </c>
      <c r="BD64" s="21" t="str">
        <f>IF(AL64&lt;1,"Bill fully settled","Bill partially settled")</f>
        <v>Bill fully settled</v>
      </c>
      <c r="BE64" s="21" t="str">
        <f>"Payable reduced by PKR "&amp;TEXT(AK64+AI64+AJ64,"#,##0")</f>
        <v>Payable reduced by PKR 1,159,080</v>
      </c>
      <c r="BF64" s="21" t="s">
        <v>4553</v>
      </c>
      <c r="BG64" s="21" t="s">
        <v>753</v>
      </c>
      <c r="BH64" s="21" t="s">
        <v>4367</v>
      </c>
      <c r="BI64" s="21" t="s">
        <v>844</v>
      </c>
      <c r="BJ64" s="21" t="s">
        <v>844</v>
      </c>
      <c r="BK64" s="21" t="s">
        <v>753</v>
      </c>
      <c r="BL64" s="21" t="s">
        <v>753</v>
      </c>
      <c r="BM64" s="21" t="s">
        <v>753</v>
      </c>
      <c r="BN64" s="21" t="s">
        <v>4368</v>
      </c>
      <c r="BO64" s="21" t="s">
        <v>848</v>
      </c>
      <c r="BP64" s="21" t="str">
        <f>K64</f>
        <v>Paid</v>
      </c>
    </row>
    <row r="65" spans="1:68" x14ac:dyDescent="0.3">
      <c r="A65" s="21" t="s">
        <v>4554</v>
      </c>
      <c r="B65" s="29">
        <v>46009</v>
      </c>
      <c r="C65" s="21" t="s">
        <v>4354</v>
      </c>
      <c r="D65" s="21" t="s">
        <v>743</v>
      </c>
      <c r="E65" s="21" t="s">
        <v>3400</v>
      </c>
      <c r="F65" s="21" t="s">
        <v>3401</v>
      </c>
      <c r="G65" s="21" t="s">
        <v>4355</v>
      </c>
      <c r="H65" s="21" t="s">
        <v>3095</v>
      </c>
      <c r="I65" s="21" t="s">
        <v>3085</v>
      </c>
      <c r="J65" s="21" t="s">
        <v>4356</v>
      </c>
      <c r="K65" s="21" t="s">
        <v>4357</v>
      </c>
      <c r="L65" s="21" t="s">
        <v>3403</v>
      </c>
      <c r="M65" s="21" t="s">
        <v>3404</v>
      </c>
      <c r="N65" s="21" t="s">
        <v>967</v>
      </c>
      <c r="O65" s="21" t="s">
        <v>746</v>
      </c>
      <c r="P65" s="21" t="s">
        <v>983</v>
      </c>
      <c r="Q65" s="21" t="s">
        <v>965</v>
      </c>
      <c r="R65" s="21" t="s">
        <v>985</v>
      </c>
      <c r="S65" s="21" t="s">
        <v>4358</v>
      </c>
      <c r="T65" s="21" t="s">
        <v>3405</v>
      </c>
      <c r="U65" s="37" cm="1">
        <f t="array" ref="U65">SUMPRODUCT(('T08'!$U$3:$U$1500=M65)*('T08'!$AF$3:$AF$1500=1)*('T08'!$I$3:$I$1500&lt;=B65)*'T08'!$BK$3:$BK$1500)-SUMPRODUCT(($M$3:$M$1500=M65)*($B$3:$B$1500&lt;B65)*($AK$3:$AK$1500+$AI$3:$AI$1500+$AJ$3:$AJ$1500))</f>
        <v>6037803</v>
      </c>
      <c r="V65" s="21" t="s">
        <v>3961</v>
      </c>
      <c r="W65" s="21" t="str">
        <f>TEXT(_xlfn.XLOOKUP(V65,'T08'!$G$3:$G$1500,'T08'!$J$3:$J$1500),"dd-mmm-yyyy")&amp;" / due "&amp;TEXT(_xlfn.XLOOKUP(V65,'T08'!$G$3:$G$1500,'T08'!$BQ$3:$BQ$1500),"dd-mmm-yyyy")</f>
        <v>30-Nov-2025 / due 15-Dec-2025</v>
      </c>
      <c r="X65" s="21" t="s">
        <v>4359</v>
      </c>
      <c r="Y65" s="21" t="str">
        <f>_xlfn.XLOOKUP(V65,'T08'!$G$3:$G$1500,'T08'!$AC$3:$AC$1500)</f>
        <v>PO-2511-1</v>
      </c>
      <c r="Z65" s="21" t="s">
        <v>844</v>
      </c>
      <c r="AA65" s="37" t="s">
        <v>844</v>
      </c>
      <c r="AB65" s="21" t="str">
        <f>IF(C65="Against bill",IF(V65&lt;&gt;"N/A","OK - bill linked","Missing bill"),IF(Z65&lt;&gt;"N/A","OK - advance request linked","Missing request"))</f>
        <v>OK - bill linked</v>
      </c>
      <c r="AC65" s="21" t="s">
        <v>844</v>
      </c>
      <c r="AD65" s="21" t="s">
        <v>4360</v>
      </c>
      <c r="AE65" s="21">
        <v>1</v>
      </c>
      <c r="AF65" s="21" t="s">
        <v>4361</v>
      </c>
      <c r="AG65" s="37">
        <f>_xlfn.XLOOKUP(V65,'T08'!$G$3:$G$1500,'T08'!$BH$3:$BH$1500)</f>
        <v>10849080</v>
      </c>
      <c r="AH65" s="37">
        <v>0</v>
      </c>
      <c r="AI65" s="37">
        <f>_xlfn.XLOOKUP(V65,'T08'!$G$3:$G$1500,'T08'!$BI$3:$BI$1500)</f>
        <v>542454</v>
      </c>
      <c r="AJ65" s="37">
        <f>_xlfn.XLOOKUP(V65,'T08'!$G$3:$G$1500,'T08'!$BJ$3:$BJ$1500)</f>
        <v>0</v>
      </c>
      <c r="AK65" s="37">
        <f>AG65-AH65-AI65-AJ65</f>
        <v>10306626</v>
      </c>
      <c r="AL65" s="37">
        <f>AG65-AH65-AI65-AJ65-AK65</f>
        <v>0</v>
      </c>
      <c r="AM65" s="21" t="s">
        <v>4555</v>
      </c>
      <c r="AN65" s="37">
        <f>SUMIFS($AG$3:$AG$1500,$A$3:$A$1500,A65)</f>
        <v>10849080</v>
      </c>
      <c r="AO65" s="37">
        <f>SUMIFS($AI$3:$AI$1500,$A$3:$A$1500,A65)</f>
        <v>542454</v>
      </c>
      <c r="AP65" s="37">
        <f>SUMIFS($AJ$3:$AJ$1500,$A$3:$A$1500,A65)</f>
        <v>0</v>
      </c>
      <c r="AQ65" s="37">
        <f>SUMIFS($AK$3:$AK$1500,$A$3:$A$1500,A65)</f>
        <v>10306626</v>
      </c>
      <c r="AR65" s="21" t="str">
        <f>"PKR "&amp;TEXT(AQ65,"#,##0")&amp;" only"</f>
        <v>PKR 10,306,626 only</v>
      </c>
      <c r="AS65" s="21" t="str">
        <f>"Sec 153 - deposit by "&amp;TEXT(EOMONTH(B65,0)+15,"dd-mmm-yyyy")</f>
        <v>Sec 153 - deposit by 15-Jan-2026</v>
      </c>
      <c r="AT65" s="21" t="s">
        <v>844</v>
      </c>
      <c r="AU65" s="21" t="s">
        <v>4556</v>
      </c>
      <c r="AV65" s="21" t="s">
        <v>4364</v>
      </c>
      <c r="AW65" s="29">
        <v>46009</v>
      </c>
      <c r="AX65" s="37">
        <f>AQ65+AY65</f>
        <v>10306776</v>
      </c>
      <c r="AY65" s="37">
        <v>150</v>
      </c>
      <c r="AZ65" s="21" t="s">
        <v>3090</v>
      </c>
      <c r="BA65" s="21" t="s">
        <v>4356</v>
      </c>
      <c r="BB65" s="21" t="s">
        <v>848</v>
      </c>
      <c r="BC65" s="21" t="s">
        <v>4365</v>
      </c>
      <c r="BD65" s="21" t="str">
        <f>IF(AL65&lt;1,"Bill fully settled","Bill partially settled")</f>
        <v>Bill fully settled</v>
      </c>
      <c r="BE65" s="21" t="str">
        <f>"Payable reduced by PKR "&amp;TEXT(AK65+AI65+AJ65,"#,##0")</f>
        <v>Payable reduced by PKR 10,849,080</v>
      </c>
      <c r="BF65" s="21" t="s">
        <v>4557</v>
      </c>
      <c r="BG65" s="21" t="s">
        <v>753</v>
      </c>
      <c r="BH65" s="21" t="s">
        <v>4367</v>
      </c>
      <c r="BI65" s="21" t="s">
        <v>844</v>
      </c>
      <c r="BJ65" s="21" t="s">
        <v>844</v>
      </c>
      <c r="BK65" s="21" t="s">
        <v>753</v>
      </c>
      <c r="BL65" s="21" t="s">
        <v>753</v>
      </c>
      <c r="BM65" s="21" t="s">
        <v>753</v>
      </c>
      <c r="BN65" s="21" t="s">
        <v>4368</v>
      </c>
      <c r="BO65" s="21" t="s">
        <v>848</v>
      </c>
      <c r="BP65" s="21" t="str">
        <f>K65</f>
        <v>Paid</v>
      </c>
    </row>
    <row r="66" spans="1:68" x14ac:dyDescent="0.3">
      <c r="A66" s="21" t="s">
        <v>4558</v>
      </c>
      <c r="B66" s="29">
        <v>46017</v>
      </c>
      <c r="C66" s="21" t="s">
        <v>4354</v>
      </c>
      <c r="D66" s="21" t="s">
        <v>743</v>
      </c>
      <c r="E66" s="21" t="s">
        <v>3368</v>
      </c>
      <c r="F66" s="21" t="s">
        <v>3369</v>
      </c>
      <c r="G66" s="21" t="s">
        <v>4355</v>
      </c>
      <c r="H66" s="21" t="s">
        <v>3084</v>
      </c>
      <c r="I66" s="21" t="s">
        <v>3085</v>
      </c>
      <c r="J66" s="21" t="s">
        <v>4559</v>
      </c>
      <c r="K66" s="21" t="s">
        <v>4357</v>
      </c>
      <c r="L66" s="21" t="s">
        <v>3371</v>
      </c>
      <c r="M66" s="21" t="s">
        <v>3372</v>
      </c>
      <c r="N66" s="21" t="s">
        <v>3373</v>
      </c>
      <c r="O66" s="21" t="s">
        <v>746</v>
      </c>
      <c r="P66" s="21" t="s">
        <v>4415</v>
      </c>
      <c r="Q66" s="21" t="s">
        <v>4560</v>
      </c>
      <c r="R66" s="21" t="s">
        <v>4561</v>
      </c>
      <c r="S66" s="21" t="s">
        <v>4358</v>
      </c>
      <c r="T66" s="21" t="s">
        <v>3374</v>
      </c>
      <c r="U66" s="37" cm="1">
        <f t="array" ref="U66">SUMPRODUCT(('T08'!$U$3:$U$1500=M66)*('T08'!$AF$3:$AF$1500=1)*('T08'!$I$3:$I$1500&lt;=B66)*'T08'!$BK$3:$BK$1500)-SUMPRODUCT(($M$3:$M$1500=M66)*($B$3:$B$1500&lt;B66)*($AK$3:$AK$1500+$AI$3:$AI$1500+$AJ$3:$AJ$1500))</f>
        <v>3666390</v>
      </c>
      <c r="V66" s="21" t="s">
        <v>3366</v>
      </c>
      <c r="W66" s="21" t="str">
        <f>TEXT(_xlfn.XLOOKUP(V66,'T08'!$G$3:$G$1500,'T08'!$J$3:$J$1500),"dd-mmm-yyyy")&amp;" / due "&amp;TEXT(_xlfn.XLOOKUP(V66,'T08'!$G$3:$G$1500,'T08'!$BQ$3:$BQ$1500),"dd-mmm-yyyy")</f>
        <v>15-Oct-2024 / due 22-Oct-2024</v>
      </c>
      <c r="X66" s="21" t="s">
        <v>4359</v>
      </c>
      <c r="Y66" s="21" t="str">
        <f>_xlfn.XLOOKUP(V66,'T08'!$G$3:$G$1500,'T08'!$AC$3:$AC$1500)</f>
        <v>N/A</v>
      </c>
      <c r="Z66" s="21" t="s">
        <v>844</v>
      </c>
      <c r="AA66" s="37" t="s">
        <v>844</v>
      </c>
      <c r="AB66" s="21" t="str">
        <f>IF(C66="Against bill",IF(V66&lt;&gt;"N/A","OK - bill linked","Missing bill"),IF(Z66&lt;&gt;"N/A","OK - advance request linked","Missing request"))</f>
        <v>OK - bill linked</v>
      </c>
      <c r="AC66" s="21" t="s">
        <v>844</v>
      </c>
      <c r="AD66" s="21" t="s">
        <v>4360</v>
      </c>
      <c r="AE66" s="21">
        <v>1</v>
      </c>
      <c r="AF66" s="21" t="s">
        <v>4562</v>
      </c>
      <c r="AG66" s="37">
        <f>_xlfn.XLOOKUP(V66,'T08'!$G$3:$G$1500,'T08'!$BH$3:$BH$1500)</f>
        <v>1050000</v>
      </c>
      <c r="AH66" s="37">
        <v>0</v>
      </c>
      <c r="AI66" s="37">
        <f>_xlfn.XLOOKUP(V66,'T08'!$G$3:$G$1500,'T08'!$BI$3:$BI$1500)</f>
        <v>157500</v>
      </c>
      <c r="AJ66" s="37">
        <f>_xlfn.XLOOKUP(V66,'T08'!$G$3:$G$1500,'T08'!$BJ$3:$BJ$1500)</f>
        <v>0</v>
      </c>
      <c r="AK66" s="37">
        <f>AG66-AH66-AI66-AJ66</f>
        <v>892500</v>
      </c>
      <c r="AL66" s="37">
        <f>AG66-AH66-AI66-AJ66-AK66</f>
        <v>0</v>
      </c>
      <c r="AM66" s="21" t="s">
        <v>4563</v>
      </c>
      <c r="AN66" s="37">
        <f>SUMIFS($AG$3:$AG$1500,$A$3:$A$1500,A66)</f>
        <v>4313400</v>
      </c>
      <c r="AO66" s="37">
        <f>SUMIFS($AI$3:$AI$1500,$A$3:$A$1500,A66)</f>
        <v>647010</v>
      </c>
      <c r="AP66" s="37">
        <f>SUMIFS($AJ$3:$AJ$1500,$A$3:$A$1500,A66)</f>
        <v>0</v>
      </c>
      <c r="AQ66" s="37">
        <f>SUMIFS($AK$3:$AK$1500,$A$3:$A$1500,A66)</f>
        <v>3666390</v>
      </c>
      <c r="AR66" s="21" t="str">
        <f>"PKR "&amp;TEXT(AQ66,"#,##0")&amp;" only"</f>
        <v>PKR 3,666,390 only</v>
      </c>
      <c r="AS66" s="21" t="str">
        <f>"Sec 153 - deposit by "&amp;TEXT(EOMONTH(B66,0)+15,"dd-mmm-yyyy")</f>
        <v>Sec 153 - deposit by 15-Jan-2026</v>
      </c>
      <c r="AT66" s="21" t="s">
        <v>844</v>
      </c>
      <c r="AU66" s="21" t="s">
        <v>4564</v>
      </c>
      <c r="AV66" s="21" t="s">
        <v>4364</v>
      </c>
      <c r="AW66" s="29">
        <v>46019</v>
      </c>
      <c r="AX66" s="37">
        <f>AQ66+AY66</f>
        <v>3666390</v>
      </c>
      <c r="AY66" s="37">
        <v>0</v>
      </c>
      <c r="AZ66" s="21" t="s">
        <v>3090</v>
      </c>
      <c r="BA66" s="21" t="s">
        <v>4435</v>
      </c>
      <c r="BB66" s="21" t="s">
        <v>848</v>
      </c>
      <c r="BC66" s="21" t="s">
        <v>4365</v>
      </c>
      <c r="BD66" s="21" t="str">
        <f>IF(AL66&lt;1,"Bill fully settled","Bill partially settled")</f>
        <v>Bill fully settled</v>
      </c>
      <c r="BE66" s="21" t="str">
        <f>"Payable reduced by PKR "&amp;TEXT(AK66+AI66+AJ66,"#,##0")</f>
        <v>Payable reduced by PKR 1,050,000</v>
      </c>
      <c r="BF66" s="21" t="s">
        <v>4565</v>
      </c>
      <c r="BG66" s="21" t="s">
        <v>753</v>
      </c>
      <c r="BH66" s="21" t="s">
        <v>844</v>
      </c>
      <c r="BI66" s="21" t="s">
        <v>844</v>
      </c>
      <c r="BJ66" s="21" t="s">
        <v>844</v>
      </c>
      <c r="BK66" s="21" t="s">
        <v>753</v>
      </c>
      <c r="BL66" s="21" t="s">
        <v>753</v>
      </c>
      <c r="BM66" s="21" t="s">
        <v>753</v>
      </c>
      <c r="BN66" s="21" t="s">
        <v>4368</v>
      </c>
      <c r="BO66" s="21" t="s">
        <v>848</v>
      </c>
      <c r="BP66" s="21" t="str">
        <f>K66</f>
        <v>Paid</v>
      </c>
    </row>
    <row r="67" spans="1:68" x14ac:dyDescent="0.3">
      <c r="A67" s="21" t="s">
        <v>4558</v>
      </c>
      <c r="B67" s="29">
        <v>46017</v>
      </c>
      <c r="C67" s="21" t="s">
        <v>4354</v>
      </c>
      <c r="D67" s="21" t="s">
        <v>743</v>
      </c>
      <c r="E67" s="21" t="s">
        <v>3368</v>
      </c>
      <c r="F67" s="21" t="s">
        <v>3369</v>
      </c>
      <c r="G67" s="21" t="s">
        <v>4355</v>
      </c>
      <c r="H67" s="21" t="s">
        <v>3084</v>
      </c>
      <c r="I67" s="21" t="s">
        <v>3085</v>
      </c>
      <c r="J67" s="21" t="s">
        <v>4559</v>
      </c>
      <c r="K67" s="21" t="s">
        <v>4357</v>
      </c>
      <c r="L67" s="21" t="s">
        <v>3371</v>
      </c>
      <c r="M67" s="21" t="s">
        <v>3372</v>
      </c>
      <c r="N67" s="21" t="s">
        <v>3373</v>
      </c>
      <c r="O67" s="21" t="s">
        <v>746</v>
      </c>
      <c r="P67" s="21" t="s">
        <v>4415</v>
      </c>
      <c r="Q67" s="21" t="s">
        <v>4560</v>
      </c>
      <c r="R67" s="21" t="s">
        <v>4561</v>
      </c>
      <c r="S67" s="21" t="s">
        <v>4358</v>
      </c>
      <c r="T67" s="21" t="s">
        <v>3374</v>
      </c>
      <c r="U67" s="37" cm="1">
        <f t="array" ref="U67">SUMPRODUCT(('T08'!$U$3:$U$1500=M67)*('T08'!$AF$3:$AF$1500=1)*('T08'!$I$3:$I$1500&lt;=B67)*'T08'!$BK$3:$BK$1500)-SUMPRODUCT(($M$3:$M$1500=M67)*($B$3:$B$1500&lt;B67)*($AK$3:$AK$1500+$AI$3:$AI$1500+$AJ$3:$AJ$1500))</f>
        <v>3666390</v>
      </c>
      <c r="V67" s="21" t="s">
        <v>3608</v>
      </c>
      <c r="W67" s="21" t="str">
        <f>TEXT(_xlfn.XLOOKUP(V67,'T08'!$G$3:$G$1500,'T08'!$J$3:$J$1500),"dd-mmm-yyyy")&amp;" / due "&amp;TEXT(_xlfn.XLOOKUP(V67,'T08'!$G$3:$G$1500,'T08'!$BQ$3:$BQ$1500),"dd-mmm-yyyy")</f>
        <v>20-Feb-2025 / due 27-Feb-2025</v>
      </c>
      <c r="X67" s="21" t="s">
        <v>4359</v>
      </c>
      <c r="Y67" s="21" t="str">
        <f>_xlfn.XLOOKUP(V67,'T08'!$G$3:$G$1500,'T08'!$AC$3:$AC$1500)</f>
        <v>N/A</v>
      </c>
      <c r="Z67" s="21" t="s">
        <v>844</v>
      </c>
      <c r="AA67" s="37" t="s">
        <v>844</v>
      </c>
      <c r="AB67" s="21" t="str">
        <f>IF(C67="Against bill",IF(V67&lt;&gt;"N/A","OK - bill linked","Missing bill"),IF(Z67&lt;&gt;"N/A","OK - advance request linked","Missing request"))</f>
        <v>OK - bill linked</v>
      </c>
      <c r="AC67" s="21" t="s">
        <v>844</v>
      </c>
      <c r="AD67" s="21" t="s">
        <v>4360</v>
      </c>
      <c r="AE67" s="21">
        <v>2</v>
      </c>
      <c r="AF67" s="21" t="s">
        <v>4562</v>
      </c>
      <c r="AG67" s="37">
        <f>_xlfn.XLOOKUP(V67,'T08'!$G$3:$G$1500,'T08'!$BH$3:$BH$1500)</f>
        <v>1066800</v>
      </c>
      <c r="AH67" s="37">
        <v>0</v>
      </c>
      <c r="AI67" s="37">
        <f>_xlfn.XLOOKUP(V67,'T08'!$G$3:$G$1500,'T08'!$BI$3:$BI$1500)</f>
        <v>160020</v>
      </c>
      <c r="AJ67" s="37">
        <f>_xlfn.XLOOKUP(V67,'T08'!$G$3:$G$1500,'T08'!$BJ$3:$BJ$1500)</f>
        <v>0</v>
      </c>
      <c r="AK67" s="37">
        <f>AG67-AH67-AI67-AJ67</f>
        <v>906780</v>
      </c>
      <c r="AL67" s="37">
        <f>AG67-AH67-AI67-AJ67-AK67</f>
        <v>0</v>
      </c>
      <c r="AM67" s="21" t="s">
        <v>4566</v>
      </c>
      <c r="AN67" s="37">
        <f>SUMIFS($AG$3:$AG$1500,$A$3:$A$1500,A67)</f>
        <v>4313400</v>
      </c>
      <c r="AO67" s="37">
        <f>SUMIFS($AI$3:$AI$1500,$A$3:$A$1500,A67)</f>
        <v>647010</v>
      </c>
      <c r="AP67" s="37">
        <f>SUMIFS($AJ$3:$AJ$1500,$A$3:$A$1500,A67)</f>
        <v>0</v>
      </c>
      <c r="AQ67" s="37">
        <f>SUMIFS($AK$3:$AK$1500,$A$3:$A$1500,A67)</f>
        <v>3666390</v>
      </c>
      <c r="AR67" s="21" t="str">
        <f>"PKR "&amp;TEXT(AQ67,"#,##0")&amp;" only"</f>
        <v>PKR 3,666,390 only</v>
      </c>
      <c r="AS67" s="21" t="str">
        <f>"Sec 153 - deposit by "&amp;TEXT(EOMONTH(B67,0)+15,"dd-mmm-yyyy")</f>
        <v>Sec 153 - deposit by 15-Jan-2026</v>
      </c>
      <c r="AT67" s="21" t="s">
        <v>844</v>
      </c>
      <c r="AU67" s="21" t="s">
        <v>4567</v>
      </c>
      <c r="AV67" s="21" t="s">
        <v>4364</v>
      </c>
      <c r="AW67" s="29">
        <v>46019</v>
      </c>
      <c r="AX67" s="37">
        <f>AQ67+AY67</f>
        <v>3666390</v>
      </c>
      <c r="AY67" s="37">
        <v>0</v>
      </c>
      <c r="AZ67" s="21" t="s">
        <v>3090</v>
      </c>
      <c r="BA67" s="21" t="s">
        <v>4435</v>
      </c>
      <c r="BB67" s="21" t="s">
        <v>848</v>
      </c>
      <c r="BC67" s="21" t="s">
        <v>4365</v>
      </c>
      <c r="BD67" s="21" t="str">
        <f>IF(AL67&lt;1,"Bill fully settled","Bill partially settled")</f>
        <v>Bill fully settled</v>
      </c>
      <c r="BE67" s="21" t="str">
        <f>"Payable reduced by PKR "&amp;TEXT(AK67+AI67+AJ67,"#,##0")</f>
        <v>Payable reduced by PKR 1,066,800</v>
      </c>
      <c r="BF67" s="21" t="s">
        <v>4565</v>
      </c>
      <c r="BG67" s="21" t="s">
        <v>753</v>
      </c>
      <c r="BH67" s="21" t="s">
        <v>844</v>
      </c>
      <c r="BI67" s="21" t="s">
        <v>844</v>
      </c>
      <c r="BJ67" s="21" t="s">
        <v>844</v>
      </c>
      <c r="BK67" s="21" t="s">
        <v>753</v>
      </c>
      <c r="BL67" s="21" t="s">
        <v>753</v>
      </c>
      <c r="BM67" s="21" t="s">
        <v>753</v>
      </c>
      <c r="BN67" s="21" t="s">
        <v>4368</v>
      </c>
      <c r="BO67" s="21" t="s">
        <v>848</v>
      </c>
      <c r="BP67" s="21" t="str">
        <f>K67</f>
        <v>Paid</v>
      </c>
    </row>
    <row r="68" spans="1:68" x14ac:dyDescent="0.3">
      <c r="A68" s="21" t="s">
        <v>4558</v>
      </c>
      <c r="B68" s="29">
        <v>46017</v>
      </c>
      <c r="C68" s="21" t="s">
        <v>4354</v>
      </c>
      <c r="D68" s="21" t="s">
        <v>743</v>
      </c>
      <c r="E68" s="21" t="s">
        <v>3368</v>
      </c>
      <c r="F68" s="21" t="s">
        <v>3369</v>
      </c>
      <c r="G68" s="21" t="s">
        <v>4355</v>
      </c>
      <c r="H68" s="21" t="s">
        <v>3084</v>
      </c>
      <c r="I68" s="21" t="s">
        <v>3085</v>
      </c>
      <c r="J68" s="21" t="s">
        <v>4559</v>
      </c>
      <c r="K68" s="21" t="s">
        <v>4357</v>
      </c>
      <c r="L68" s="21" t="s">
        <v>3371</v>
      </c>
      <c r="M68" s="21" t="s">
        <v>3372</v>
      </c>
      <c r="N68" s="21" t="s">
        <v>3373</v>
      </c>
      <c r="O68" s="21" t="s">
        <v>746</v>
      </c>
      <c r="P68" s="21" t="s">
        <v>4415</v>
      </c>
      <c r="Q68" s="21" t="s">
        <v>4560</v>
      </c>
      <c r="R68" s="21" t="s">
        <v>4561</v>
      </c>
      <c r="S68" s="21" t="s">
        <v>4358</v>
      </c>
      <c r="T68" s="21" t="s">
        <v>3374</v>
      </c>
      <c r="U68" s="37" cm="1">
        <f t="array" ref="U68">SUMPRODUCT(('T08'!$U$3:$U$1500=M68)*('T08'!$AF$3:$AF$1500=1)*('T08'!$I$3:$I$1500&lt;=B68)*'T08'!$BK$3:$BK$1500)-SUMPRODUCT(($M$3:$M$1500=M68)*($B$3:$B$1500&lt;B68)*($AK$3:$AK$1500+$AI$3:$AI$1500+$AJ$3:$AJ$1500))</f>
        <v>3666390</v>
      </c>
      <c r="V68" s="21" t="s">
        <v>3798</v>
      </c>
      <c r="W68" s="21" t="str">
        <f>TEXT(_xlfn.XLOOKUP(V68,'T08'!$G$3:$G$1500,'T08'!$J$3:$J$1500),"dd-mmm-yyyy")&amp;" / due "&amp;TEXT(_xlfn.XLOOKUP(V68,'T08'!$G$3:$G$1500,'T08'!$BQ$3:$BQ$1500),"dd-mmm-yyyy")</f>
        <v>06-Jul-2025 / due 13-Jul-2025</v>
      </c>
      <c r="X68" s="21" t="s">
        <v>4359</v>
      </c>
      <c r="Y68" s="21" t="str">
        <f>_xlfn.XLOOKUP(V68,'T08'!$G$3:$G$1500,'T08'!$AC$3:$AC$1500)</f>
        <v>N/A</v>
      </c>
      <c r="Z68" s="21" t="s">
        <v>844</v>
      </c>
      <c r="AA68" s="37" t="s">
        <v>844</v>
      </c>
      <c r="AB68" s="21" t="str">
        <f>IF(C68="Against bill",IF(V68&lt;&gt;"N/A","OK - bill linked","Missing bill"),IF(Z68&lt;&gt;"N/A","OK - advance request linked","Missing request"))</f>
        <v>OK - bill linked</v>
      </c>
      <c r="AC68" s="21" t="s">
        <v>844</v>
      </c>
      <c r="AD68" s="21" t="s">
        <v>4360</v>
      </c>
      <c r="AE68" s="21">
        <v>3</v>
      </c>
      <c r="AF68" s="21" t="s">
        <v>4562</v>
      </c>
      <c r="AG68" s="37">
        <f>_xlfn.XLOOKUP(V68,'T08'!$G$3:$G$1500,'T08'!$BH$3:$BH$1500)</f>
        <v>1087800</v>
      </c>
      <c r="AH68" s="37">
        <v>0</v>
      </c>
      <c r="AI68" s="37">
        <f>_xlfn.XLOOKUP(V68,'T08'!$G$3:$G$1500,'T08'!$BI$3:$BI$1500)</f>
        <v>163170</v>
      </c>
      <c r="AJ68" s="37">
        <f>_xlfn.XLOOKUP(V68,'T08'!$G$3:$G$1500,'T08'!$BJ$3:$BJ$1500)</f>
        <v>0</v>
      </c>
      <c r="AK68" s="37">
        <f>AG68-AH68-AI68-AJ68</f>
        <v>924630</v>
      </c>
      <c r="AL68" s="37">
        <f>AG68-AH68-AI68-AJ68-AK68</f>
        <v>0</v>
      </c>
      <c r="AM68" s="21" t="s">
        <v>4568</v>
      </c>
      <c r="AN68" s="37">
        <f>SUMIFS($AG$3:$AG$1500,$A$3:$A$1500,A68)</f>
        <v>4313400</v>
      </c>
      <c r="AO68" s="37">
        <f>SUMIFS($AI$3:$AI$1500,$A$3:$A$1500,A68)</f>
        <v>647010</v>
      </c>
      <c r="AP68" s="37">
        <f>SUMIFS($AJ$3:$AJ$1500,$A$3:$A$1500,A68)</f>
        <v>0</v>
      </c>
      <c r="AQ68" s="37">
        <f>SUMIFS($AK$3:$AK$1500,$A$3:$A$1500,A68)</f>
        <v>3666390</v>
      </c>
      <c r="AR68" s="21" t="str">
        <f>"PKR "&amp;TEXT(AQ68,"#,##0")&amp;" only"</f>
        <v>PKR 3,666,390 only</v>
      </c>
      <c r="AS68" s="21" t="str">
        <f>"Sec 153 - deposit by "&amp;TEXT(EOMONTH(B68,0)+15,"dd-mmm-yyyy")</f>
        <v>Sec 153 - deposit by 15-Jan-2026</v>
      </c>
      <c r="AT68" s="21" t="s">
        <v>844</v>
      </c>
      <c r="AU68" s="21" t="s">
        <v>4569</v>
      </c>
      <c r="AV68" s="21" t="s">
        <v>4364</v>
      </c>
      <c r="AW68" s="29">
        <v>46019</v>
      </c>
      <c r="AX68" s="37">
        <f>AQ68+AY68</f>
        <v>3666390</v>
      </c>
      <c r="AY68" s="37">
        <v>0</v>
      </c>
      <c r="AZ68" s="21" t="s">
        <v>3090</v>
      </c>
      <c r="BA68" s="21" t="s">
        <v>4435</v>
      </c>
      <c r="BB68" s="21" t="s">
        <v>848</v>
      </c>
      <c r="BC68" s="21" t="s">
        <v>4365</v>
      </c>
      <c r="BD68" s="21" t="str">
        <f>IF(AL68&lt;1,"Bill fully settled","Bill partially settled")</f>
        <v>Bill fully settled</v>
      </c>
      <c r="BE68" s="21" t="str">
        <f>"Payable reduced by PKR "&amp;TEXT(AK68+AI68+AJ68,"#,##0")</f>
        <v>Payable reduced by PKR 1,087,800</v>
      </c>
      <c r="BF68" s="21" t="s">
        <v>4565</v>
      </c>
      <c r="BG68" s="21" t="s">
        <v>753</v>
      </c>
      <c r="BH68" s="21" t="s">
        <v>844</v>
      </c>
      <c r="BI68" s="21" t="s">
        <v>844</v>
      </c>
      <c r="BJ68" s="21" t="s">
        <v>844</v>
      </c>
      <c r="BK68" s="21" t="s">
        <v>753</v>
      </c>
      <c r="BL68" s="21" t="s">
        <v>753</v>
      </c>
      <c r="BM68" s="21" t="s">
        <v>753</v>
      </c>
      <c r="BN68" s="21" t="s">
        <v>4368</v>
      </c>
      <c r="BO68" s="21" t="s">
        <v>848</v>
      </c>
      <c r="BP68" s="21" t="str">
        <f>K68</f>
        <v>Paid</v>
      </c>
    </row>
    <row r="69" spans="1:68" x14ac:dyDescent="0.3">
      <c r="A69" s="21" t="s">
        <v>4558</v>
      </c>
      <c r="B69" s="29">
        <v>46017</v>
      </c>
      <c r="C69" s="21" t="s">
        <v>4354</v>
      </c>
      <c r="D69" s="21" t="s">
        <v>743</v>
      </c>
      <c r="E69" s="21" t="s">
        <v>3368</v>
      </c>
      <c r="F69" s="21" t="s">
        <v>3369</v>
      </c>
      <c r="G69" s="21" t="s">
        <v>4355</v>
      </c>
      <c r="H69" s="21" t="s">
        <v>3084</v>
      </c>
      <c r="I69" s="21" t="s">
        <v>3085</v>
      </c>
      <c r="J69" s="21" t="s">
        <v>4559</v>
      </c>
      <c r="K69" s="21" t="s">
        <v>4357</v>
      </c>
      <c r="L69" s="21" t="s">
        <v>3371</v>
      </c>
      <c r="M69" s="21" t="s">
        <v>3372</v>
      </c>
      <c r="N69" s="21" t="s">
        <v>3373</v>
      </c>
      <c r="O69" s="21" t="s">
        <v>746</v>
      </c>
      <c r="P69" s="21" t="s">
        <v>4415</v>
      </c>
      <c r="Q69" s="21" t="s">
        <v>4560</v>
      </c>
      <c r="R69" s="21" t="s">
        <v>4561</v>
      </c>
      <c r="S69" s="21" t="s">
        <v>4358</v>
      </c>
      <c r="T69" s="21" t="s">
        <v>3374</v>
      </c>
      <c r="U69" s="37" cm="1">
        <f t="array" ref="U69">SUMPRODUCT(('T08'!$U$3:$U$1500=M69)*('T08'!$AF$3:$AF$1500=1)*('T08'!$I$3:$I$1500&lt;=B69)*'T08'!$BK$3:$BK$1500)-SUMPRODUCT(($M$3:$M$1500=M69)*($B$3:$B$1500&lt;B69)*($AK$3:$AK$1500+$AI$3:$AI$1500+$AJ$3:$AJ$1500))</f>
        <v>3666390</v>
      </c>
      <c r="V69" s="21" t="s">
        <v>3999</v>
      </c>
      <c r="W69" s="21" t="str">
        <f>TEXT(_xlfn.XLOOKUP(V69,'T08'!$G$3:$G$1500,'T08'!$J$3:$J$1500),"dd-mmm-yyyy")&amp;" / due "&amp;TEXT(_xlfn.XLOOKUP(V69,'T08'!$G$3:$G$1500,'T08'!$BQ$3:$BQ$1500),"dd-mmm-yyyy")</f>
        <v>21-Dec-2025 / due 28-Dec-2025</v>
      </c>
      <c r="X69" s="21" t="s">
        <v>4359</v>
      </c>
      <c r="Y69" s="21" t="str">
        <f>_xlfn.XLOOKUP(V69,'T08'!$G$3:$G$1500,'T08'!$AC$3:$AC$1500)</f>
        <v>N/A</v>
      </c>
      <c r="Z69" s="21" t="s">
        <v>844</v>
      </c>
      <c r="AA69" s="37" t="s">
        <v>844</v>
      </c>
      <c r="AB69" s="21" t="str">
        <f>IF(C69="Against bill",IF(V69&lt;&gt;"N/A","OK - bill linked","Missing bill"),IF(Z69&lt;&gt;"N/A","OK - advance request linked","Missing request"))</f>
        <v>OK - bill linked</v>
      </c>
      <c r="AC69" s="21" t="s">
        <v>844</v>
      </c>
      <c r="AD69" s="21" t="s">
        <v>4360</v>
      </c>
      <c r="AE69" s="21">
        <v>4</v>
      </c>
      <c r="AF69" s="21" t="s">
        <v>4562</v>
      </c>
      <c r="AG69" s="37">
        <f>_xlfn.XLOOKUP(V69,'T08'!$G$3:$G$1500,'T08'!$BH$3:$BH$1500)</f>
        <v>1108800</v>
      </c>
      <c r="AH69" s="37">
        <v>0</v>
      </c>
      <c r="AI69" s="37">
        <f>_xlfn.XLOOKUP(V69,'T08'!$G$3:$G$1500,'T08'!$BI$3:$BI$1500)</f>
        <v>166320</v>
      </c>
      <c r="AJ69" s="37">
        <f>_xlfn.XLOOKUP(V69,'T08'!$G$3:$G$1500,'T08'!$BJ$3:$BJ$1500)</f>
        <v>0</v>
      </c>
      <c r="AK69" s="37">
        <f>AG69-AH69-AI69-AJ69</f>
        <v>942480</v>
      </c>
      <c r="AL69" s="37">
        <f>AG69-AH69-AI69-AJ69-AK69</f>
        <v>0</v>
      </c>
      <c r="AM69" s="21" t="s">
        <v>4570</v>
      </c>
      <c r="AN69" s="37">
        <f>SUMIFS($AG$3:$AG$1500,$A$3:$A$1500,A69)</f>
        <v>4313400</v>
      </c>
      <c r="AO69" s="37">
        <f>SUMIFS($AI$3:$AI$1500,$A$3:$A$1500,A69)</f>
        <v>647010</v>
      </c>
      <c r="AP69" s="37">
        <f>SUMIFS($AJ$3:$AJ$1500,$A$3:$A$1500,A69)</f>
        <v>0</v>
      </c>
      <c r="AQ69" s="37">
        <f>SUMIFS($AK$3:$AK$1500,$A$3:$A$1500,A69)</f>
        <v>3666390</v>
      </c>
      <c r="AR69" s="21" t="str">
        <f>"PKR "&amp;TEXT(AQ69,"#,##0")&amp;" only"</f>
        <v>PKR 3,666,390 only</v>
      </c>
      <c r="AS69" s="21" t="str">
        <f>"Sec 153 - deposit by "&amp;TEXT(EOMONTH(B69,0)+15,"dd-mmm-yyyy")</f>
        <v>Sec 153 - deposit by 15-Jan-2026</v>
      </c>
      <c r="AT69" s="21" t="s">
        <v>844</v>
      </c>
      <c r="AU69" s="21" t="s">
        <v>4569</v>
      </c>
      <c r="AV69" s="21" t="s">
        <v>4364</v>
      </c>
      <c r="AW69" s="29">
        <v>46019</v>
      </c>
      <c r="AX69" s="37">
        <f>AQ69+AY69</f>
        <v>3666390</v>
      </c>
      <c r="AY69" s="37">
        <v>0</v>
      </c>
      <c r="AZ69" s="21" t="s">
        <v>3090</v>
      </c>
      <c r="BA69" s="21" t="s">
        <v>4435</v>
      </c>
      <c r="BB69" s="21" t="s">
        <v>848</v>
      </c>
      <c r="BC69" s="21" t="s">
        <v>4365</v>
      </c>
      <c r="BD69" s="21" t="str">
        <f>IF(AL69&lt;1,"Bill fully settled","Bill partially settled")</f>
        <v>Bill fully settled</v>
      </c>
      <c r="BE69" s="21" t="str">
        <f>"Payable reduced by PKR "&amp;TEXT(AK69+AI69+AJ69,"#,##0")</f>
        <v>Payable reduced by PKR 1,108,800</v>
      </c>
      <c r="BF69" s="21" t="s">
        <v>4565</v>
      </c>
      <c r="BG69" s="21" t="s">
        <v>753</v>
      </c>
      <c r="BH69" s="21" t="s">
        <v>844</v>
      </c>
      <c r="BI69" s="21" t="s">
        <v>844</v>
      </c>
      <c r="BJ69" s="21" t="s">
        <v>844</v>
      </c>
      <c r="BK69" s="21" t="s">
        <v>753</v>
      </c>
      <c r="BL69" s="21" t="s">
        <v>753</v>
      </c>
      <c r="BM69" s="21" t="s">
        <v>753</v>
      </c>
      <c r="BN69" s="21" t="s">
        <v>4368</v>
      </c>
      <c r="BO69" s="21" t="s">
        <v>848</v>
      </c>
      <c r="BP69" s="21" t="str">
        <f>K69</f>
        <v>Paid</v>
      </c>
    </row>
    <row r="70" spans="1:68" x14ac:dyDescent="0.3">
      <c r="A70" s="21" t="s">
        <v>4571</v>
      </c>
      <c r="B70" s="29">
        <v>46020</v>
      </c>
      <c r="C70" s="21" t="s">
        <v>4354</v>
      </c>
      <c r="D70" s="21" t="s">
        <v>743</v>
      </c>
      <c r="E70" s="21" t="s">
        <v>3350</v>
      </c>
      <c r="F70" s="21" t="s">
        <v>3429</v>
      </c>
      <c r="G70" s="21" t="s">
        <v>4355</v>
      </c>
      <c r="H70" s="21" t="s">
        <v>3095</v>
      </c>
      <c r="I70" s="21" t="s">
        <v>3085</v>
      </c>
      <c r="J70" s="21" t="s">
        <v>4356</v>
      </c>
      <c r="K70" s="21" t="s">
        <v>4357</v>
      </c>
      <c r="L70" s="21" t="s">
        <v>3431</v>
      </c>
      <c r="M70" s="21" t="s">
        <v>1213</v>
      </c>
      <c r="N70" s="21" t="s">
        <v>1194</v>
      </c>
      <c r="O70" s="21" t="s">
        <v>746</v>
      </c>
      <c r="P70" s="21" t="s">
        <v>983</v>
      </c>
      <c r="Q70" s="21" t="s">
        <v>1193</v>
      </c>
      <c r="R70" s="21" t="s">
        <v>1198</v>
      </c>
      <c r="S70" s="21" t="s">
        <v>4358</v>
      </c>
      <c r="T70" s="21" t="s">
        <v>3493</v>
      </c>
      <c r="U70" s="37" cm="1">
        <f t="array" ref="U70">SUMPRODUCT(('T08'!$U$3:$U$1500=M70)*('T08'!$AF$3:$AF$1500=1)*('T08'!$I$3:$I$1500&lt;=B70)*'T08'!$BK$3:$BK$1500)-SUMPRODUCT(($M$3:$M$1500=M70)*($B$3:$B$1500&lt;B70)*($AK$3:$AK$1500+$AI$3:$AI$1500+$AJ$3:$AJ$1500))</f>
        <v>85573</v>
      </c>
      <c r="V70" s="21" t="s">
        <v>3981</v>
      </c>
      <c r="W70" s="21" t="str">
        <f>TEXT(_xlfn.XLOOKUP(V70,'T08'!$G$3:$G$1500,'T08'!$J$3:$J$1500),"dd-mmm-yyyy")&amp;" / due "&amp;TEXT(_xlfn.XLOOKUP(V70,'T08'!$G$3:$G$1500,'T08'!$BQ$3:$BQ$1500),"dd-mmm-yyyy")</f>
        <v>01-Dec-2025 / due 31-Dec-2025</v>
      </c>
      <c r="X70" s="21" t="s">
        <v>4359</v>
      </c>
      <c r="Y70" s="21" t="str">
        <f>_xlfn.XLOOKUP(V70,'T08'!$G$3:$G$1500,'T08'!$AC$3:$AC$1500)</f>
        <v>N/A</v>
      </c>
      <c r="Z70" s="21" t="s">
        <v>844</v>
      </c>
      <c r="AA70" s="37" t="s">
        <v>844</v>
      </c>
      <c r="AB70" s="21" t="str">
        <f>IF(C70="Against bill",IF(V70&lt;&gt;"N/A","OK - bill linked","Missing bill"),IF(Z70&lt;&gt;"N/A","OK - advance request linked","Missing request"))</f>
        <v>OK - bill linked</v>
      </c>
      <c r="AC70" s="21" t="s">
        <v>844</v>
      </c>
      <c r="AD70" s="21" t="s">
        <v>4360</v>
      </c>
      <c r="AE70" s="21">
        <v>1</v>
      </c>
      <c r="AF70" s="21" t="s">
        <v>4404</v>
      </c>
      <c r="AG70" s="37">
        <f>_xlfn.XLOOKUP(V70,'T08'!$G$3:$G$1500,'T08'!$BH$3:$BH$1500)</f>
        <v>196920</v>
      </c>
      <c r="AH70" s="37">
        <v>0</v>
      </c>
      <c r="AI70" s="37">
        <f>_xlfn.XLOOKUP(V70,'T08'!$G$3:$G$1500,'T08'!$BI$3:$BI$1500)</f>
        <v>7877</v>
      </c>
      <c r="AJ70" s="37">
        <f>_xlfn.XLOOKUP(V70,'T08'!$G$3:$G$1500,'T08'!$BJ$3:$BJ$1500)</f>
        <v>0</v>
      </c>
      <c r="AK70" s="37">
        <f>AG70-AH70-AI70-AJ70</f>
        <v>189043</v>
      </c>
      <c r="AL70" s="37">
        <f>AG70-AH70-AI70-AJ70-AK70</f>
        <v>0</v>
      </c>
      <c r="AM70" s="21" t="s">
        <v>4572</v>
      </c>
      <c r="AN70" s="37">
        <f>SUMIFS($AG$3:$AG$1500,$A$3:$A$1500,A70)</f>
        <v>196920</v>
      </c>
      <c r="AO70" s="37">
        <f>SUMIFS($AI$3:$AI$1500,$A$3:$A$1500,A70)</f>
        <v>7877</v>
      </c>
      <c r="AP70" s="37">
        <f>SUMIFS($AJ$3:$AJ$1500,$A$3:$A$1500,A70)</f>
        <v>0</v>
      </c>
      <c r="AQ70" s="37">
        <f>SUMIFS($AK$3:$AK$1500,$A$3:$A$1500,A70)</f>
        <v>189043</v>
      </c>
      <c r="AR70" s="21" t="str">
        <f>"PKR "&amp;TEXT(AQ70,"#,##0")&amp;" only"</f>
        <v>PKR 189,043 only</v>
      </c>
      <c r="AS70" s="21" t="str">
        <f>"Sec 153 - deposit by "&amp;TEXT(EOMONTH(B70,0)+15,"dd-mmm-yyyy")</f>
        <v>Sec 153 - deposit by 15-Jan-2026</v>
      </c>
      <c r="AT70" s="21" t="s">
        <v>844</v>
      </c>
      <c r="AU70" s="21" t="s">
        <v>4573</v>
      </c>
      <c r="AV70" s="21" t="s">
        <v>4364</v>
      </c>
      <c r="AW70" s="29">
        <v>46020</v>
      </c>
      <c r="AX70" s="37">
        <f>AQ70+AY70</f>
        <v>189193</v>
      </c>
      <c r="AY70" s="37">
        <v>150</v>
      </c>
      <c r="AZ70" s="21" t="s">
        <v>3090</v>
      </c>
      <c r="BA70" s="21" t="s">
        <v>4356</v>
      </c>
      <c r="BB70" s="21" t="s">
        <v>848</v>
      </c>
      <c r="BC70" s="21" t="s">
        <v>4365</v>
      </c>
      <c r="BD70" s="21" t="str">
        <f>IF(AL70&lt;1,"Bill fully settled","Bill partially settled")</f>
        <v>Bill fully settled</v>
      </c>
      <c r="BE70" s="21" t="str">
        <f>"Payable reduced by PKR "&amp;TEXT(AK70+AI70+AJ70,"#,##0")</f>
        <v>Payable reduced by PKR 196,920</v>
      </c>
      <c r="BF70" s="21" t="s">
        <v>4574</v>
      </c>
      <c r="BG70" s="21" t="s">
        <v>753</v>
      </c>
      <c r="BH70" s="21" t="s">
        <v>844</v>
      </c>
      <c r="BI70" s="21" t="s">
        <v>844</v>
      </c>
      <c r="BJ70" s="21" t="s">
        <v>4387</v>
      </c>
      <c r="BK70" s="21" t="s">
        <v>753</v>
      </c>
      <c r="BL70" s="21" t="s">
        <v>753</v>
      </c>
      <c r="BM70" s="21" t="s">
        <v>753</v>
      </c>
      <c r="BN70" s="21" t="s">
        <v>4368</v>
      </c>
      <c r="BO70" s="21" t="s">
        <v>848</v>
      </c>
      <c r="BP70" s="21" t="str">
        <f>K70</f>
        <v>Paid</v>
      </c>
    </row>
    <row r="71" spans="1:68" x14ac:dyDescent="0.3">
      <c r="A71" s="21" t="s">
        <v>4575</v>
      </c>
      <c r="B71" s="29">
        <v>46021</v>
      </c>
      <c r="C71" s="21" t="s">
        <v>4354</v>
      </c>
      <c r="D71" s="21" t="s">
        <v>743</v>
      </c>
      <c r="E71" s="21" t="s">
        <v>3350</v>
      </c>
      <c r="F71" s="21" t="s">
        <v>3429</v>
      </c>
      <c r="G71" s="21" t="s">
        <v>4355</v>
      </c>
      <c r="H71" s="21" t="s">
        <v>3095</v>
      </c>
      <c r="I71" s="21" t="s">
        <v>3085</v>
      </c>
      <c r="J71" s="21" t="s">
        <v>4356</v>
      </c>
      <c r="K71" s="21" t="s">
        <v>4357</v>
      </c>
      <c r="L71" s="21" t="s">
        <v>3431</v>
      </c>
      <c r="M71" s="21" t="s">
        <v>1339</v>
      </c>
      <c r="N71" s="21" t="s">
        <v>1207</v>
      </c>
      <c r="O71" s="21" t="s">
        <v>1066</v>
      </c>
      <c r="P71" s="21" t="s">
        <v>1059</v>
      </c>
      <c r="Q71" s="21" t="s">
        <v>1206</v>
      </c>
      <c r="R71" s="21" t="s">
        <v>1211</v>
      </c>
      <c r="S71" s="21" t="s">
        <v>4358</v>
      </c>
      <c r="T71" s="21" t="s">
        <v>3432</v>
      </c>
      <c r="U71" s="37" cm="1">
        <f t="array" ref="U71">SUMPRODUCT(('T08'!$U$3:$U$1500=M71)*('T08'!$AF$3:$AF$1500=1)*('T08'!$I$3:$I$1500&lt;=B71)*'T08'!$BK$3:$BK$1500)-SUMPRODUCT(($M$3:$M$1500=M71)*($B$3:$B$1500&lt;B71)*($AK$3:$AK$1500+$AI$3:$AI$1500+$AJ$3:$AJ$1500))</f>
        <v>155514</v>
      </c>
      <c r="V71" s="21" t="s">
        <v>3976</v>
      </c>
      <c r="W71" s="21" t="str">
        <f>TEXT(_xlfn.XLOOKUP(V71,'T08'!$G$3:$G$1500,'T08'!$J$3:$J$1500),"dd-mmm-yyyy")&amp;" / due "&amp;TEXT(_xlfn.XLOOKUP(V71,'T08'!$G$3:$G$1500,'T08'!$BQ$3:$BQ$1500),"dd-mmm-yyyy")</f>
        <v>01-Dec-2025 / due 31-Dec-2025</v>
      </c>
      <c r="X71" s="21" t="s">
        <v>4359</v>
      </c>
      <c r="Y71" s="21" t="str">
        <f>_xlfn.XLOOKUP(V71,'T08'!$G$3:$G$1500,'T08'!$AC$3:$AC$1500)</f>
        <v>N/A</v>
      </c>
      <c r="Z71" s="21" t="s">
        <v>844</v>
      </c>
      <c r="AA71" s="37" t="s">
        <v>844</v>
      </c>
      <c r="AB71" s="21" t="str">
        <f>IF(C71="Against bill",IF(V71&lt;&gt;"N/A","OK - bill linked","Missing bill"),IF(Z71&lt;&gt;"N/A","OK - advance request linked","Missing request"))</f>
        <v>OK - bill linked</v>
      </c>
      <c r="AC71" s="21" t="s">
        <v>844</v>
      </c>
      <c r="AD71" s="21" t="s">
        <v>4360</v>
      </c>
      <c r="AE71" s="21">
        <v>1</v>
      </c>
      <c r="AF71" s="21" t="s">
        <v>4540</v>
      </c>
      <c r="AG71" s="37">
        <f>_xlfn.XLOOKUP(V71,'T08'!$G$3:$G$1500,'T08'!$BH$3:$BH$1500)</f>
        <v>339880</v>
      </c>
      <c r="AH71" s="37">
        <v>0</v>
      </c>
      <c r="AI71" s="37">
        <f>_xlfn.XLOOKUP(V71,'T08'!$G$3:$G$1500,'T08'!$BI$3:$BI$1500)</f>
        <v>27190</v>
      </c>
      <c r="AJ71" s="37">
        <f>_xlfn.XLOOKUP(V71,'T08'!$G$3:$G$1500,'T08'!$BJ$3:$BJ$1500)</f>
        <v>0</v>
      </c>
      <c r="AK71" s="37">
        <f>AG71-AH71-AI71-AJ71</f>
        <v>312690</v>
      </c>
      <c r="AL71" s="37">
        <f>AG71-AH71-AI71-AJ71-AK71</f>
        <v>0</v>
      </c>
      <c r="AM71" s="21" t="s">
        <v>4576</v>
      </c>
      <c r="AN71" s="37">
        <f>SUMIFS($AG$3:$AG$1500,$A$3:$A$1500,A71)</f>
        <v>339880</v>
      </c>
      <c r="AO71" s="37">
        <f>SUMIFS($AI$3:$AI$1500,$A$3:$A$1500,A71)</f>
        <v>27190</v>
      </c>
      <c r="AP71" s="37">
        <f>SUMIFS($AJ$3:$AJ$1500,$A$3:$A$1500,A71)</f>
        <v>0</v>
      </c>
      <c r="AQ71" s="37">
        <f>SUMIFS($AK$3:$AK$1500,$A$3:$A$1500,A71)</f>
        <v>312690</v>
      </c>
      <c r="AR71" s="21" t="str">
        <f>"PKR "&amp;TEXT(AQ71,"#,##0")&amp;" only"</f>
        <v>PKR 312,690 only</v>
      </c>
      <c r="AS71" s="21" t="str">
        <f>"Sec 153 - deposit by "&amp;TEXT(EOMONTH(B71,0)+15,"dd-mmm-yyyy")</f>
        <v>Sec 153 - deposit by 15-Jan-2026</v>
      </c>
      <c r="AT71" s="21" t="s">
        <v>844</v>
      </c>
      <c r="AU71" s="21" t="s">
        <v>4577</v>
      </c>
      <c r="AV71" s="21" t="s">
        <v>4364</v>
      </c>
      <c r="AW71" s="29">
        <v>46021</v>
      </c>
      <c r="AX71" s="37">
        <f>AQ71+AY71</f>
        <v>312840</v>
      </c>
      <c r="AY71" s="37">
        <v>150</v>
      </c>
      <c r="AZ71" s="21" t="s">
        <v>3090</v>
      </c>
      <c r="BA71" s="21" t="s">
        <v>4356</v>
      </c>
      <c r="BB71" s="21" t="s">
        <v>848</v>
      </c>
      <c r="BC71" s="21" t="s">
        <v>4365</v>
      </c>
      <c r="BD71" s="21" t="str">
        <f>IF(AL71&lt;1,"Bill fully settled","Bill partially settled")</f>
        <v>Bill fully settled</v>
      </c>
      <c r="BE71" s="21" t="str">
        <f>"Payable reduced by PKR "&amp;TEXT(AK71+AI71+AJ71,"#,##0")</f>
        <v>Payable reduced by PKR 339,880</v>
      </c>
      <c r="BF71" s="21" t="s">
        <v>4578</v>
      </c>
      <c r="BG71" s="21" t="s">
        <v>753</v>
      </c>
      <c r="BH71" s="21" t="s">
        <v>844</v>
      </c>
      <c r="BI71" s="21" t="s">
        <v>844</v>
      </c>
      <c r="BJ71" s="21" t="s">
        <v>4387</v>
      </c>
      <c r="BK71" s="21" t="s">
        <v>753</v>
      </c>
      <c r="BL71" s="21" t="s">
        <v>753</v>
      </c>
      <c r="BM71" s="21" t="s">
        <v>753</v>
      </c>
      <c r="BN71" s="21" t="s">
        <v>4368</v>
      </c>
      <c r="BO71" s="21" t="s">
        <v>848</v>
      </c>
      <c r="BP71" s="21" t="str">
        <f>K71</f>
        <v>Paid</v>
      </c>
    </row>
    <row r="72" spans="1:68" x14ac:dyDescent="0.3">
      <c r="A72" s="21" t="s">
        <v>4579</v>
      </c>
      <c r="B72" s="29">
        <v>46021</v>
      </c>
      <c r="C72" s="21" t="s">
        <v>4354</v>
      </c>
      <c r="D72" s="21" t="s">
        <v>743</v>
      </c>
      <c r="E72" s="21" t="s">
        <v>3350</v>
      </c>
      <c r="F72" s="21" t="s">
        <v>3429</v>
      </c>
      <c r="G72" s="21" t="s">
        <v>4355</v>
      </c>
      <c r="H72" s="21" t="s">
        <v>3095</v>
      </c>
      <c r="I72" s="21" t="s">
        <v>3085</v>
      </c>
      <c r="J72" s="21" t="s">
        <v>4356</v>
      </c>
      <c r="K72" s="21" t="s">
        <v>4357</v>
      </c>
      <c r="L72" s="21" t="s">
        <v>3431</v>
      </c>
      <c r="M72" s="21" t="s">
        <v>1278</v>
      </c>
      <c r="N72" s="21" t="s">
        <v>1200</v>
      </c>
      <c r="O72" s="21" t="s">
        <v>746</v>
      </c>
      <c r="P72" s="21" t="s">
        <v>1014</v>
      </c>
      <c r="Q72" s="21" t="s">
        <v>1199</v>
      </c>
      <c r="R72" s="21" t="s">
        <v>1204</v>
      </c>
      <c r="S72" s="21" t="s">
        <v>4358</v>
      </c>
      <c r="T72" s="21" t="s">
        <v>3441</v>
      </c>
      <c r="U72" s="37" cm="1">
        <f t="array" ref="U72">SUMPRODUCT(('T08'!$U$3:$U$1500=M72)*('T08'!$AF$3:$AF$1500=1)*('T08'!$I$3:$I$1500&lt;=B72)*'T08'!$BK$3:$BK$1500)-SUMPRODUCT(($M$3:$M$1500=M72)*($B$3:$B$1500&lt;B72)*($AK$3:$AK$1500+$AI$3:$AI$1500+$AJ$3:$AJ$1500))</f>
        <v>9970</v>
      </c>
      <c r="V72" s="21" t="s">
        <v>3983</v>
      </c>
      <c r="W72" s="21" t="str">
        <f>TEXT(_xlfn.XLOOKUP(V72,'T08'!$G$3:$G$1500,'T08'!$J$3:$J$1500),"dd-mmm-yyyy")&amp;" / due "&amp;TEXT(_xlfn.XLOOKUP(V72,'T08'!$G$3:$G$1500,'T08'!$BQ$3:$BQ$1500),"dd-mmm-yyyy")</f>
        <v>01-Dec-2025 / due 31-Dec-2025</v>
      </c>
      <c r="X72" s="21" t="s">
        <v>4359</v>
      </c>
      <c r="Y72" s="21" t="str">
        <f>_xlfn.XLOOKUP(V72,'T08'!$G$3:$G$1500,'T08'!$AC$3:$AC$1500)</f>
        <v>N/A</v>
      </c>
      <c r="Z72" s="21" t="s">
        <v>844</v>
      </c>
      <c r="AA72" s="37" t="s">
        <v>844</v>
      </c>
      <c r="AB72" s="21" t="str">
        <f>IF(C72="Against bill",IF(V72&lt;&gt;"N/A","OK - bill linked","Missing bill"),IF(Z72&lt;&gt;"N/A","OK - advance request linked","Missing request"))</f>
        <v>OK - bill linked</v>
      </c>
      <c r="AC72" s="21" t="s">
        <v>844</v>
      </c>
      <c r="AD72" s="21" t="s">
        <v>4360</v>
      </c>
      <c r="AE72" s="21">
        <v>1</v>
      </c>
      <c r="AF72" s="21" t="s">
        <v>4383</v>
      </c>
      <c r="AG72" s="37">
        <f>_xlfn.XLOOKUP(V72,'T08'!$G$3:$G$1500,'T08'!$BH$3:$BH$1500)</f>
        <v>93960</v>
      </c>
      <c r="AH72" s="37">
        <v>0</v>
      </c>
      <c r="AI72" s="37">
        <f>_xlfn.XLOOKUP(V72,'T08'!$G$3:$G$1500,'T08'!$BI$3:$BI$1500)</f>
        <v>3758</v>
      </c>
      <c r="AJ72" s="37">
        <f>_xlfn.XLOOKUP(V72,'T08'!$G$3:$G$1500,'T08'!$BJ$3:$BJ$1500)</f>
        <v>0</v>
      </c>
      <c r="AK72" s="37">
        <f>AG72-AH72-AI72-AJ72</f>
        <v>90202</v>
      </c>
      <c r="AL72" s="37">
        <f>AG72-AH72-AI72-AJ72-AK72</f>
        <v>0</v>
      </c>
      <c r="AM72" s="21" t="s">
        <v>4580</v>
      </c>
      <c r="AN72" s="37">
        <f>SUMIFS($AG$3:$AG$1500,$A$3:$A$1500,A72)</f>
        <v>93960</v>
      </c>
      <c r="AO72" s="37">
        <f>SUMIFS($AI$3:$AI$1500,$A$3:$A$1500,A72)</f>
        <v>3758</v>
      </c>
      <c r="AP72" s="37">
        <f>SUMIFS($AJ$3:$AJ$1500,$A$3:$A$1500,A72)</f>
        <v>0</v>
      </c>
      <c r="AQ72" s="37">
        <f>SUMIFS($AK$3:$AK$1500,$A$3:$A$1500,A72)</f>
        <v>90202</v>
      </c>
      <c r="AR72" s="21" t="str">
        <f>"PKR "&amp;TEXT(AQ72,"#,##0")&amp;" only"</f>
        <v>PKR 90,202 only</v>
      </c>
      <c r="AS72" s="21" t="str">
        <f>"Sec 153 - deposit by "&amp;TEXT(EOMONTH(B72,0)+15,"dd-mmm-yyyy")</f>
        <v>Sec 153 - deposit by 15-Jan-2026</v>
      </c>
      <c r="AT72" s="21" t="s">
        <v>844</v>
      </c>
      <c r="AU72" s="21" t="s">
        <v>4581</v>
      </c>
      <c r="AV72" s="21" t="s">
        <v>4364</v>
      </c>
      <c r="AW72" s="29">
        <v>46021</v>
      </c>
      <c r="AX72" s="37">
        <f>AQ72+AY72</f>
        <v>90352</v>
      </c>
      <c r="AY72" s="37">
        <v>150</v>
      </c>
      <c r="AZ72" s="21" t="s">
        <v>3090</v>
      </c>
      <c r="BA72" s="21" t="s">
        <v>4356</v>
      </c>
      <c r="BB72" s="21" t="s">
        <v>848</v>
      </c>
      <c r="BC72" s="21" t="s">
        <v>4365</v>
      </c>
      <c r="BD72" s="21" t="str">
        <f>IF(AL72&lt;1,"Bill fully settled","Bill partially settled")</f>
        <v>Bill fully settled</v>
      </c>
      <c r="BE72" s="21" t="str">
        <f>"Payable reduced by PKR "&amp;TEXT(AK72+AI72+AJ72,"#,##0")</f>
        <v>Payable reduced by PKR 93,960</v>
      </c>
      <c r="BF72" s="21" t="s">
        <v>4582</v>
      </c>
      <c r="BG72" s="21" t="s">
        <v>753</v>
      </c>
      <c r="BH72" s="21" t="s">
        <v>844</v>
      </c>
      <c r="BI72" s="21" t="s">
        <v>844</v>
      </c>
      <c r="BJ72" s="21" t="s">
        <v>4387</v>
      </c>
      <c r="BK72" s="21" t="s">
        <v>753</v>
      </c>
      <c r="BL72" s="21" t="s">
        <v>753</v>
      </c>
      <c r="BM72" s="21" t="s">
        <v>753</v>
      </c>
      <c r="BN72" s="21" t="s">
        <v>4368</v>
      </c>
      <c r="BO72" s="21" t="s">
        <v>848</v>
      </c>
      <c r="BP72" s="21" t="str">
        <f>K72</f>
        <v>Paid</v>
      </c>
    </row>
    <row r="73" spans="1:68" x14ac:dyDescent="0.3">
      <c r="A73" s="21" t="s">
        <v>4583</v>
      </c>
      <c r="B73" s="29">
        <v>46040</v>
      </c>
      <c r="C73" s="21" t="s">
        <v>4354</v>
      </c>
      <c r="D73" s="21" t="s">
        <v>743</v>
      </c>
      <c r="E73" s="21" t="s">
        <v>3400</v>
      </c>
      <c r="F73" s="21" t="s">
        <v>3401</v>
      </c>
      <c r="G73" s="21" t="s">
        <v>4355</v>
      </c>
      <c r="H73" s="21" t="s">
        <v>3095</v>
      </c>
      <c r="I73" s="21" t="s">
        <v>3085</v>
      </c>
      <c r="J73" s="21" t="s">
        <v>4356</v>
      </c>
      <c r="K73" s="21" t="s">
        <v>4357</v>
      </c>
      <c r="L73" s="21" t="s">
        <v>3403</v>
      </c>
      <c r="M73" s="21" t="s">
        <v>3404</v>
      </c>
      <c r="N73" s="21" t="s">
        <v>967</v>
      </c>
      <c r="O73" s="21" t="s">
        <v>746</v>
      </c>
      <c r="P73" s="21" t="s">
        <v>983</v>
      </c>
      <c r="Q73" s="21" t="s">
        <v>965</v>
      </c>
      <c r="R73" s="21" t="s">
        <v>985</v>
      </c>
      <c r="S73" s="21" t="s">
        <v>4358</v>
      </c>
      <c r="T73" s="21" t="s">
        <v>3405</v>
      </c>
      <c r="U73" s="37" cm="1">
        <f t="array" ref="U73">SUMPRODUCT(('T08'!$U$3:$U$1500=M73)*('T08'!$AF$3:$AF$1500=1)*('T08'!$I$3:$I$1500&lt;=B73)*'T08'!$BK$3:$BK$1500)-SUMPRODUCT(($M$3:$M$1500=M73)*($B$3:$B$1500&lt;B73)*($AK$3:$AK$1500+$AI$3:$AI$1500+$AJ$3:$AJ$1500))</f>
        <v>1361652</v>
      </c>
      <c r="V73" s="21" t="s">
        <v>4005</v>
      </c>
      <c r="W73" s="21" t="str">
        <f>TEXT(_xlfn.XLOOKUP(V73,'T08'!$G$3:$G$1500,'T08'!$J$3:$J$1500),"dd-mmm-yyyy")&amp;" / due "&amp;TEXT(_xlfn.XLOOKUP(V73,'T08'!$G$3:$G$1500,'T08'!$BQ$3:$BQ$1500),"dd-mmm-yyyy")</f>
        <v>31-Dec-2025 / due 15-Jan-2026</v>
      </c>
      <c r="X73" s="21" t="s">
        <v>4359</v>
      </c>
      <c r="Y73" s="21" t="str">
        <f>_xlfn.XLOOKUP(V73,'T08'!$G$3:$G$1500,'T08'!$AC$3:$AC$1500)</f>
        <v>PO-2512-1</v>
      </c>
      <c r="Z73" s="21" t="s">
        <v>844</v>
      </c>
      <c r="AA73" s="37" t="s">
        <v>844</v>
      </c>
      <c r="AB73" s="21" t="str">
        <f>IF(C73="Against bill",IF(V73&lt;&gt;"N/A","OK - bill linked","Missing bill"),IF(Z73&lt;&gt;"N/A","OK - advance request linked","Missing request"))</f>
        <v>OK - bill linked</v>
      </c>
      <c r="AC73" s="21" t="s">
        <v>844</v>
      </c>
      <c r="AD73" s="21" t="s">
        <v>4360</v>
      </c>
      <c r="AE73" s="21">
        <v>1</v>
      </c>
      <c r="AF73" s="21" t="s">
        <v>4361</v>
      </c>
      <c r="AG73" s="37">
        <f>_xlfn.XLOOKUP(V73,'T08'!$G$3:$G$1500,'T08'!$BH$3:$BH$1500)</f>
        <v>6497820</v>
      </c>
      <c r="AH73" s="37">
        <v>0</v>
      </c>
      <c r="AI73" s="37">
        <f>_xlfn.XLOOKUP(V73,'T08'!$G$3:$G$1500,'T08'!$BI$3:$BI$1500)</f>
        <v>324891</v>
      </c>
      <c r="AJ73" s="37">
        <f>_xlfn.XLOOKUP(V73,'T08'!$G$3:$G$1500,'T08'!$BJ$3:$BJ$1500)</f>
        <v>0</v>
      </c>
      <c r="AK73" s="37">
        <f>AG73-AH73-AI73-AJ73</f>
        <v>6172929</v>
      </c>
      <c r="AL73" s="37">
        <f>AG73-AH73-AI73-AJ73-AK73</f>
        <v>0</v>
      </c>
      <c r="AM73" s="21" t="s">
        <v>4584</v>
      </c>
      <c r="AN73" s="37">
        <f>SUMIFS($AG$3:$AG$1500,$A$3:$A$1500,A73)</f>
        <v>6497820</v>
      </c>
      <c r="AO73" s="37">
        <f>SUMIFS($AI$3:$AI$1500,$A$3:$A$1500,A73)</f>
        <v>324891</v>
      </c>
      <c r="AP73" s="37">
        <f>SUMIFS($AJ$3:$AJ$1500,$A$3:$A$1500,A73)</f>
        <v>0</v>
      </c>
      <c r="AQ73" s="37">
        <f>SUMIFS($AK$3:$AK$1500,$A$3:$A$1500,A73)</f>
        <v>6172929</v>
      </c>
      <c r="AR73" s="21" t="str">
        <f>"PKR "&amp;TEXT(AQ73,"#,##0")&amp;" only"</f>
        <v>PKR 6,172,929 only</v>
      </c>
      <c r="AS73" s="21" t="str">
        <f>"Sec 153 - deposit by "&amp;TEXT(EOMONTH(B73,0)+15,"dd-mmm-yyyy")</f>
        <v>Sec 153 - deposit by 15-Feb-2026</v>
      </c>
      <c r="AT73" s="21" t="s">
        <v>844</v>
      </c>
      <c r="AU73" s="21" t="s">
        <v>4585</v>
      </c>
      <c r="AV73" s="21" t="s">
        <v>4364</v>
      </c>
      <c r="AW73" s="29">
        <v>46040</v>
      </c>
      <c r="AX73" s="37">
        <f>AQ73+AY73</f>
        <v>6173079</v>
      </c>
      <c r="AY73" s="37">
        <v>150</v>
      </c>
      <c r="AZ73" s="21" t="s">
        <v>3090</v>
      </c>
      <c r="BA73" s="21" t="s">
        <v>4356</v>
      </c>
      <c r="BB73" s="21" t="s">
        <v>848</v>
      </c>
      <c r="BC73" s="21" t="s">
        <v>4365</v>
      </c>
      <c r="BD73" s="21" t="str">
        <f>IF(AL73&lt;1,"Bill fully settled","Bill partially settled")</f>
        <v>Bill fully settled</v>
      </c>
      <c r="BE73" s="21" t="str">
        <f>"Payable reduced by PKR "&amp;TEXT(AK73+AI73+AJ73,"#,##0")</f>
        <v>Payable reduced by PKR 6,497,820</v>
      </c>
      <c r="BF73" s="21" t="s">
        <v>4586</v>
      </c>
      <c r="BG73" s="21" t="s">
        <v>753</v>
      </c>
      <c r="BH73" s="21" t="s">
        <v>4367</v>
      </c>
      <c r="BI73" s="21" t="s">
        <v>844</v>
      </c>
      <c r="BJ73" s="21" t="s">
        <v>844</v>
      </c>
      <c r="BK73" s="21" t="s">
        <v>753</v>
      </c>
      <c r="BL73" s="21" t="s">
        <v>753</v>
      </c>
      <c r="BM73" s="21" t="s">
        <v>753</v>
      </c>
      <c r="BN73" s="21" t="s">
        <v>4368</v>
      </c>
      <c r="BO73" s="21" t="s">
        <v>848</v>
      </c>
      <c r="BP73" s="21" t="str">
        <f>K73</f>
        <v>Paid</v>
      </c>
    </row>
    <row r="74" spans="1:68" x14ac:dyDescent="0.3">
      <c r="A74" s="21" t="s">
        <v>4587</v>
      </c>
      <c r="B74" s="29">
        <v>46040</v>
      </c>
      <c r="C74" s="21" t="s">
        <v>4375</v>
      </c>
      <c r="D74" s="21" t="s">
        <v>743</v>
      </c>
      <c r="E74" s="21" t="s">
        <v>3350</v>
      </c>
      <c r="F74" s="21" t="s">
        <v>3401</v>
      </c>
      <c r="G74" s="21" t="s">
        <v>4355</v>
      </c>
      <c r="H74" s="21" t="s">
        <v>3095</v>
      </c>
      <c r="I74" s="21" t="s">
        <v>3085</v>
      </c>
      <c r="J74" s="21" t="s">
        <v>4356</v>
      </c>
      <c r="K74" s="21" t="s">
        <v>4357</v>
      </c>
      <c r="L74" s="21" t="s">
        <v>3403</v>
      </c>
      <c r="M74" s="21" t="s">
        <v>3404</v>
      </c>
      <c r="N74" s="21" t="s">
        <v>967</v>
      </c>
      <c r="O74" s="21" t="s">
        <v>746</v>
      </c>
      <c r="P74" s="21" t="s">
        <v>983</v>
      </c>
      <c r="Q74" s="21" t="s">
        <v>965</v>
      </c>
      <c r="R74" s="21" t="s">
        <v>985</v>
      </c>
      <c r="S74" s="21" t="s">
        <v>4358</v>
      </c>
      <c r="T74" s="21" t="s">
        <v>3405</v>
      </c>
      <c r="U74" s="37" cm="1">
        <f t="array" ref="U74">SUMPRODUCT(('T08'!$U$3:$U$1500=M74)*('T08'!$AF$3:$AF$1500=1)*('T08'!$I$3:$I$1500&lt;=B74)*'T08'!$BK$3:$BK$1500)-SUMPRODUCT(($M$3:$M$1500=M74)*($B$3:$B$1500&lt;B74)*($AK$3:$AK$1500+$AI$3:$AI$1500+$AJ$3:$AJ$1500))</f>
        <v>1361652</v>
      </c>
      <c r="V74" s="21" t="s">
        <v>844</v>
      </c>
      <c r="W74" s="21" t="s">
        <v>844</v>
      </c>
      <c r="X74" s="21" t="s">
        <v>844</v>
      </c>
      <c r="Y74" s="21" t="s">
        <v>3409</v>
      </c>
      <c r="Z74" s="21" t="s">
        <v>4588</v>
      </c>
      <c r="AA74" s="37">
        <v>2300000</v>
      </c>
      <c r="AB74" s="21" t="str">
        <f>IF(C74="Against bill",IF(V74&lt;&gt;"N/A","OK - bill linked","Missing bill"),IF(Z74&lt;&gt;"N/A","OK - advance request linked","Missing request"))</f>
        <v>OK - advance request linked</v>
      </c>
      <c r="AC74" s="21" t="s">
        <v>4589</v>
      </c>
      <c r="AD74" s="21" t="s">
        <v>4360</v>
      </c>
      <c r="AE74" s="21">
        <v>1</v>
      </c>
      <c r="AF74" s="21" t="s">
        <v>4378</v>
      </c>
      <c r="AG74" s="37">
        <f>AA74</f>
        <v>2300000</v>
      </c>
      <c r="AH74" s="37">
        <v>0</v>
      </c>
      <c r="AI74" s="37">
        <v>0</v>
      </c>
      <c r="AJ74" s="37">
        <v>0</v>
      </c>
      <c r="AK74" s="37">
        <f>AG74-AH74-AI74-AJ74</f>
        <v>2300000</v>
      </c>
      <c r="AL74" s="37">
        <f>AG74-AH74-AI74-AJ74-AK74</f>
        <v>0</v>
      </c>
      <c r="AM74" s="21" t="s">
        <v>4590</v>
      </c>
      <c r="AN74" s="37">
        <f>SUMIFS($AG$3:$AG$1500,$A$3:$A$1500,A74)</f>
        <v>2300000</v>
      </c>
      <c r="AO74" s="37">
        <f>SUMIFS($AI$3:$AI$1500,$A$3:$A$1500,A74)</f>
        <v>0</v>
      </c>
      <c r="AP74" s="37">
        <f>SUMIFS($AJ$3:$AJ$1500,$A$3:$A$1500,A74)</f>
        <v>0</v>
      </c>
      <c r="AQ74" s="37">
        <f>SUMIFS($AK$3:$AK$1500,$A$3:$A$1500,A74)</f>
        <v>2300000</v>
      </c>
      <c r="AR74" s="21" t="str">
        <f>"PKR "&amp;TEXT(AQ74,"#,##0")&amp;" only"</f>
        <v>PKR 2,300,000 only</v>
      </c>
      <c r="AS74" s="21" t="s">
        <v>4380</v>
      </c>
      <c r="AT74" s="21" t="s">
        <v>844</v>
      </c>
      <c r="AU74" s="21" t="s">
        <v>1760</v>
      </c>
      <c r="AV74" s="21" t="s">
        <v>844</v>
      </c>
      <c r="AW74" s="29">
        <v>46040</v>
      </c>
      <c r="AX74" s="37">
        <f>AQ74+AY74</f>
        <v>2300150</v>
      </c>
      <c r="AY74" s="37">
        <v>150</v>
      </c>
      <c r="AZ74" s="21" t="s">
        <v>3090</v>
      </c>
      <c r="BA74" s="21" t="s">
        <v>4356</v>
      </c>
      <c r="BB74" s="21" t="s">
        <v>848</v>
      </c>
      <c r="BC74" s="21" t="s">
        <v>4365</v>
      </c>
      <c r="BD74" s="21" t="s">
        <v>4380</v>
      </c>
      <c r="BE74" s="21" t="str">
        <f>"Payable reduced by PKR "&amp;TEXT(AK74+AI74+AJ74,"#,##0")</f>
        <v>Payable reduced by PKR 2,300,000</v>
      </c>
      <c r="BF74" s="21" t="s">
        <v>4591</v>
      </c>
      <c r="BG74" s="21" t="s">
        <v>844</v>
      </c>
      <c r="BH74" s="21" t="s">
        <v>844</v>
      </c>
      <c r="BI74" s="21" t="s">
        <v>753</v>
      </c>
      <c r="BJ74" s="21" t="s">
        <v>844</v>
      </c>
      <c r="BK74" s="21" t="s">
        <v>753</v>
      </c>
      <c r="BL74" s="21" t="s">
        <v>753</v>
      </c>
      <c r="BM74" s="21" t="s">
        <v>844</v>
      </c>
      <c r="BN74" s="21" t="s">
        <v>4368</v>
      </c>
      <c r="BO74" s="21" t="s">
        <v>848</v>
      </c>
      <c r="BP74" s="21" t="str">
        <f>K74</f>
        <v>Paid</v>
      </c>
    </row>
    <row r="75" spans="1:68" x14ac:dyDescent="0.3">
      <c r="A75" s="21" t="s">
        <v>4592</v>
      </c>
      <c r="B75" s="29">
        <v>46056</v>
      </c>
      <c r="C75" s="21" t="s">
        <v>4354</v>
      </c>
      <c r="D75" s="21" t="s">
        <v>743</v>
      </c>
      <c r="E75" s="21" t="s">
        <v>3350</v>
      </c>
      <c r="F75" s="21" t="s">
        <v>3429</v>
      </c>
      <c r="G75" s="21" t="s">
        <v>4355</v>
      </c>
      <c r="H75" s="21" t="s">
        <v>3095</v>
      </c>
      <c r="I75" s="21" t="s">
        <v>3085</v>
      </c>
      <c r="J75" s="21" t="s">
        <v>4356</v>
      </c>
      <c r="K75" s="21" t="s">
        <v>4357</v>
      </c>
      <c r="L75" s="21" t="s">
        <v>3431</v>
      </c>
      <c r="M75" s="21" t="s">
        <v>1339</v>
      </c>
      <c r="N75" s="21" t="s">
        <v>1207</v>
      </c>
      <c r="O75" s="21" t="s">
        <v>1066</v>
      </c>
      <c r="P75" s="21" t="s">
        <v>1059</v>
      </c>
      <c r="Q75" s="21" t="s">
        <v>1206</v>
      </c>
      <c r="R75" s="21" t="s">
        <v>1211</v>
      </c>
      <c r="S75" s="21" t="s">
        <v>4358</v>
      </c>
      <c r="T75" s="21" t="s">
        <v>3432</v>
      </c>
      <c r="U75" s="37" cm="1">
        <f t="array" ref="U75">SUMPRODUCT(('T08'!$U$3:$U$1500=M75)*('T08'!$AF$3:$AF$1500=1)*('T08'!$I$3:$I$1500&lt;=B75)*'T08'!$BK$3:$BK$1500)-SUMPRODUCT(($M$3:$M$1500=M75)*($B$3:$B$1500&lt;B75)*($AK$3:$AK$1500+$AI$3:$AI$1500+$AJ$3:$AJ$1500))</f>
        <v>566211</v>
      </c>
      <c r="V75" s="21" t="s">
        <v>4012</v>
      </c>
      <c r="W75" s="21" t="str">
        <f>TEXT(_xlfn.XLOOKUP(V75,'T08'!$G$3:$G$1500,'T08'!$J$3:$J$1500),"dd-mmm-yyyy")&amp;" / due "&amp;TEXT(_xlfn.XLOOKUP(V75,'T08'!$G$3:$G$1500,'T08'!$BQ$3:$BQ$1500),"dd-mmm-yyyy")</f>
        <v>01-Jan-2026 / due 31-Jan-2026</v>
      </c>
      <c r="X75" s="21" t="s">
        <v>4359</v>
      </c>
      <c r="Y75" s="21" t="str">
        <f>_xlfn.XLOOKUP(V75,'T08'!$G$3:$G$1500,'T08'!$AC$3:$AC$1500)</f>
        <v>N/A</v>
      </c>
      <c r="Z75" s="21" t="s">
        <v>844</v>
      </c>
      <c r="AA75" s="37" t="s">
        <v>844</v>
      </c>
      <c r="AB75" s="21" t="str">
        <f>IF(C75="Against bill",IF(V75&lt;&gt;"N/A","OK - bill linked","Missing bill"),IF(Z75&lt;&gt;"N/A","OK - advance request linked","Missing request"))</f>
        <v>OK - bill linked</v>
      </c>
      <c r="AC75" s="21" t="s">
        <v>844</v>
      </c>
      <c r="AD75" s="21" t="s">
        <v>4360</v>
      </c>
      <c r="AE75" s="21">
        <v>1</v>
      </c>
      <c r="AF75" s="21" t="s">
        <v>4540</v>
      </c>
      <c r="AG75" s="37">
        <f>_xlfn.XLOOKUP(V75,'T08'!$G$3:$G$1500,'T08'!$BH$3:$BH$1500)</f>
        <v>409944</v>
      </c>
      <c r="AH75" s="37">
        <v>0</v>
      </c>
      <c r="AI75" s="37">
        <f>_xlfn.XLOOKUP(V75,'T08'!$G$3:$G$1500,'T08'!$BI$3:$BI$1500)</f>
        <v>32796</v>
      </c>
      <c r="AJ75" s="37">
        <f>_xlfn.XLOOKUP(V75,'T08'!$G$3:$G$1500,'T08'!$BJ$3:$BJ$1500)</f>
        <v>0</v>
      </c>
      <c r="AK75" s="37">
        <f>AG75-AH75-AI75-AJ75</f>
        <v>377148</v>
      </c>
      <c r="AL75" s="37">
        <f>AG75-AH75-AI75-AJ75-AK75</f>
        <v>0</v>
      </c>
      <c r="AM75" s="21" t="s">
        <v>4593</v>
      </c>
      <c r="AN75" s="37">
        <f>SUMIFS($AG$3:$AG$1500,$A$3:$A$1500,A75)</f>
        <v>409944</v>
      </c>
      <c r="AO75" s="37">
        <f>SUMIFS($AI$3:$AI$1500,$A$3:$A$1500,A75)</f>
        <v>32796</v>
      </c>
      <c r="AP75" s="37">
        <f>SUMIFS($AJ$3:$AJ$1500,$A$3:$A$1500,A75)</f>
        <v>0</v>
      </c>
      <c r="AQ75" s="37">
        <f>SUMIFS($AK$3:$AK$1500,$A$3:$A$1500,A75)</f>
        <v>377148</v>
      </c>
      <c r="AR75" s="21" t="str">
        <f>"PKR "&amp;TEXT(AQ75,"#,##0")&amp;" only"</f>
        <v>PKR 377,148 only</v>
      </c>
      <c r="AS75" s="21" t="str">
        <f>"Sec 153 - deposit by "&amp;TEXT(EOMONTH(B75,0)+15,"dd-mmm-yyyy")</f>
        <v>Sec 153 - deposit by 15-Mar-2026</v>
      </c>
      <c r="AT75" s="21" t="s">
        <v>844</v>
      </c>
      <c r="AU75" s="21" t="s">
        <v>4594</v>
      </c>
      <c r="AV75" s="21" t="s">
        <v>4364</v>
      </c>
      <c r="AW75" s="29">
        <v>46056</v>
      </c>
      <c r="AX75" s="37">
        <f>AQ75+AY75</f>
        <v>377298</v>
      </c>
      <c r="AY75" s="37">
        <v>150</v>
      </c>
      <c r="AZ75" s="21" t="s">
        <v>3090</v>
      </c>
      <c r="BA75" s="21" t="s">
        <v>4356</v>
      </c>
      <c r="BB75" s="21" t="s">
        <v>848</v>
      </c>
      <c r="BC75" s="21" t="s">
        <v>4365</v>
      </c>
      <c r="BD75" s="21" t="str">
        <f>IF(AL75&lt;1,"Bill fully settled","Bill partially settled")</f>
        <v>Bill fully settled</v>
      </c>
      <c r="BE75" s="21" t="str">
        <f>"Payable reduced by PKR "&amp;TEXT(AK75+AI75+AJ75,"#,##0")</f>
        <v>Payable reduced by PKR 409,944</v>
      </c>
      <c r="BF75" s="21" t="s">
        <v>4595</v>
      </c>
      <c r="BG75" s="21" t="s">
        <v>753</v>
      </c>
      <c r="BH75" s="21" t="s">
        <v>844</v>
      </c>
      <c r="BI75" s="21" t="s">
        <v>844</v>
      </c>
      <c r="BJ75" s="21" t="s">
        <v>4387</v>
      </c>
      <c r="BK75" s="21" t="s">
        <v>753</v>
      </c>
      <c r="BL75" s="21" t="s">
        <v>753</v>
      </c>
      <c r="BM75" s="21" t="s">
        <v>753</v>
      </c>
      <c r="BN75" s="21" t="s">
        <v>4368</v>
      </c>
      <c r="BO75" s="21" t="s">
        <v>848</v>
      </c>
      <c r="BP75" s="21" t="str">
        <f>K75</f>
        <v>Paid</v>
      </c>
    </row>
    <row r="76" spans="1:68" x14ac:dyDescent="0.3">
      <c r="A76" s="21" t="s">
        <v>4596</v>
      </c>
      <c r="B76" s="29">
        <v>46066</v>
      </c>
      <c r="C76" s="21" t="s">
        <v>4354</v>
      </c>
      <c r="D76" s="21" t="s">
        <v>743</v>
      </c>
      <c r="E76" s="21" t="s">
        <v>3400</v>
      </c>
      <c r="F76" s="21" t="s">
        <v>3401</v>
      </c>
      <c r="G76" s="21" t="s">
        <v>4355</v>
      </c>
      <c r="H76" s="21" t="s">
        <v>3095</v>
      </c>
      <c r="I76" s="21" t="s">
        <v>3085</v>
      </c>
      <c r="J76" s="21" t="s">
        <v>4356</v>
      </c>
      <c r="K76" s="21" t="s">
        <v>4357</v>
      </c>
      <c r="L76" s="21" t="s">
        <v>3403</v>
      </c>
      <c r="M76" s="21" t="s">
        <v>3419</v>
      </c>
      <c r="N76" s="21" t="s">
        <v>999</v>
      </c>
      <c r="O76" s="21" t="s">
        <v>746</v>
      </c>
      <c r="P76" s="21" t="s">
        <v>1014</v>
      </c>
      <c r="Q76" s="21" t="s">
        <v>998</v>
      </c>
      <c r="R76" s="21" t="s">
        <v>1015</v>
      </c>
      <c r="S76" s="21" t="s">
        <v>4358</v>
      </c>
      <c r="T76" s="21" t="s">
        <v>3420</v>
      </c>
      <c r="U76" s="37" cm="1">
        <f t="array" ref="U76">SUMPRODUCT(('T08'!$U$3:$U$1500=M76)*('T08'!$AF$3:$AF$1500=1)*('T08'!$I$3:$I$1500&lt;=B76)*'T08'!$BK$3:$BK$1500)-SUMPRODUCT(($M$3:$M$1500=M76)*($B$3:$B$1500&lt;B76)*($AK$3:$AK$1500+$AI$3:$AI$1500+$AJ$3:$AJ$1500))</f>
        <v>2472801</v>
      </c>
      <c r="V76" s="21" t="s">
        <v>4045</v>
      </c>
      <c r="W76" s="21" t="str">
        <f>TEXT(_xlfn.XLOOKUP(V76,'T08'!$G$3:$G$1500,'T08'!$J$3:$J$1500),"dd-mmm-yyyy")&amp;" / due "&amp;TEXT(_xlfn.XLOOKUP(V76,'T08'!$G$3:$G$1500,'T08'!$BQ$3:$BQ$1500),"dd-mmm-yyyy")</f>
        <v>31-Jan-2026 / due 15-Feb-2026</v>
      </c>
      <c r="X76" s="21" t="s">
        <v>4359</v>
      </c>
      <c r="Y76" s="21" t="str">
        <f>_xlfn.XLOOKUP(V76,'T08'!$G$3:$G$1500,'T08'!$AC$3:$AC$1500)</f>
        <v>PO-2601-2</v>
      </c>
      <c r="Z76" s="21" t="s">
        <v>844</v>
      </c>
      <c r="AA76" s="37" t="s">
        <v>844</v>
      </c>
      <c r="AB76" s="21" t="str">
        <f>IF(C76="Against bill",IF(V76&lt;&gt;"N/A","OK - bill linked","Missing bill"),IF(Z76&lt;&gt;"N/A","OK - advance request linked","Missing request"))</f>
        <v>OK - bill linked</v>
      </c>
      <c r="AC76" s="21" t="s">
        <v>844</v>
      </c>
      <c r="AD76" s="21" t="s">
        <v>4360</v>
      </c>
      <c r="AE76" s="21">
        <v>1</v>
      </c>
      <c r="AF76" s="21" t="s">
        <v>4394</v>
      </c>
      <c r="AG76" s="37">
        <f>_xlfn.XLOOKUP(V76,'T08'!$G$3:$G$1500,'T08'!$BH$3:$BH$1500)</f>
        <v>3717606</v>
      </c>
      <c r="AH76" s="37">
        <v>0</v>
      </c>
      <c r="AI76" s="37">
        <f>_xlfn.XLOOKUP(V76,'T08'!$G$3:$G$1500,'T08'!$BI$3:$BI$1500)</f>
        <v>37176</v>
      </c>
      <c r="AJ76" s="37">
        <f>_xlfn.XLOOKUP(V76,'T08'!$G$3:$G$1500,'T08'!$BJ$3:$BJ$1500)</f>
        <v>0</v>
      </c>
      <c r="AK76" s="37">
        <f>AG76-AH76-AI76-AJ76</f>
        <v>3680430</v>
      </c>
      <c r="AL76" s="37">
        <f>AG76-AH76-AI76-AJ76-AK76</f>
        <v>0</v>
      </c>
      <c r="AM76" s="21" t="s">
        <v>4597</v>
      </c>
      <c r="AN76" s="37">
        <f>SUMIFS($AG$3:$AG$1500,$A$3:$A$1500,A76)</f>
        <v>3717606</v>
      </c>
      <c r="AO76" s="37">
        <f>SUMIFS($AI$3:$AI$1500,$A$3:$A$1500,A76)</f>
        <v>37176</v>
      </c>
      <c r="AP76" s="37">
        <f>SUMIFS($AJ$3:$AJ$1500,$A$3:$A$1500,A76)</f>
        <v>0</v>
      </c>
      <c r="AQ76" s="37">
        <f>SUMIFS($AK$3:$AK$1500,$A$3:$A$1500,A76)</f>
        <v>3680430</v>
      </c>
      <c r="AR76" s="21" t="str">
        <f>"PKR "&amp;TEXT(AQ76,"#,##0")&amp;" only"</f>
        <v>PKR 3,680,430 only</v>
      </c>
      <c r="AS76" s="21" t="str">
        <f>"Sec 153 - deposit by "&amp;TEXT(EOMONTH(B76,0)+15,"dd-mmm-yyyy")</f>
        <v>Sec 153 - deposit by 15-Mar-2026</v>
      </c>
      <c r="AT76" s="21" t="s">
        <v>844</v>
      </c>
      <c r="AU76" s="21" t="s">
        <v>4598</v>
      </c>
      <c r="AV76" s="21" t="s">
        <v>4364</v>
      </c>
      <c r="AW76" s="29">
        <v>46066</v>
      </c>
      <c r="AX76" s="37">
        <f>AQ76+AY76</f>
        <v>3680580</v>
      </c>
      <c r="AY76" s="37">
        <v>150</v>
      </c>
      <c r="AZ76" s="21" t="s">
        <v>3090</v>
      </c>
      <c r="BA76" s="21" t="s">
        <v>4356</v>
      </c>
      <c r="BB76" s="21" t="s">
        <v>848</v>
      </c>
      <c r="BC76" s="21" t="s">
        <v>4365</v>
      </c>
      <c r="BD76" s="21" t="str">
        <f>IF(AL76&lt;1,"Bill fully settled","Bill partially settled")</f>
        <v>Bill fully settled</v>
      </c>
      <c r="BE76" s="21" t="str">
        <f>"Payable reduced by PKR "&amp;TEXT(AK76+AI76+AJ76,"#,##0")</f>
        <v>Payable reduced by PKR 3,717,606</v>
      </c>
      <c r="BF76" s="21" t="s">
        <v>4599</v>
      </c>
      <c r="BG76" s="21" t="s">
        <v>753</v>
      </c>
      <c r="BH76" s="21" t="s">
        <v>4367</v>
      </c>
      <c r="BI76" s="21" t="s">
        <v>844</v>
      </c>
      <c r="BJ76" s="21" t="s">
        <v>844</v>
      </c>
      <c r="BK76" s="21" t="s">
        <v>753</v>
      </c>
      <c r="BL76" s="21" t="s">
        <v>753</v>
      </c>
      <c r="BM76" s="21" t="s">
        <v>753</v>
      </c>
      <c r="BN76" s="21" t="s">
        <v>4368</v>
      </c>
      <c r="BO76" s="21" t="s">
        <v>848</v>
      </c>
      <c r="BP76" s="21" t="str">
        <f>K76</f>
        <v>Paid</v>
      </c>
    </row>
    <row r="77" spans="1:68" x14ac:dyDescent="0.3">
      <c r="A77" s="21" t="s">
        <v>4600</v>
      </c>
      <c r="B77" s="29">
        <v>46074</v>
      </c>
      <c r="C77" s="21" t="s">
        <v>4354</v>
      </c>
      <c r="D77" s="21" t="s">
        <v>743</v>
      </c>
      <c r="E77" s="21" t="s">
        <v>3400</v>
      </c>
      <c r="F77" s="21" t="s">
        <v>3401</v>
      </c>
      <c r="G77" s="21" t="s">
        <v>4355</v>
      </c>
      <c r="H77" s="21" t="s">
        <v>3095</v>
      </c>
      <c r="I77" s="21" t="s">
        <v>3085</v>
      </c>
      <c r="J77" s="21" t="s">
        <v>4356</v>
      </c>
      <c r="K77" s="21" t="s">
        <v>4357</v>
      </c>
      <c r="L77" s="21" t="s">
        <v>3403</v>
      </c>
      <c r="M77" s="21" t="s">
        <v>3404</v>
      </c>
      <c r="N77" s="21" t="s">
        <v>967</v>
      </c>
      <c r="O77" s="21" t="s">
        <v>746</v>
      </c>
      <c r="P77" s="21" t="s">
        <v>983</v>
      </c>
      <c r="Q77" s="21" t="s">
        <v>965</v>
      </c>
      <c r="R77" s="21" t="s">
        <v>985</v>
      </c>
      <c r="S77" s="21" t="s">
        <v>4358</v>
      </c>
      <c r="T77" s="21" t="s">
        <v>3405</v>
      </c>
      <c r="U77" s="37" cm="1">
        <f t="array" ref="U77">SUMPRODUCT(('T08'!$U$3:$U$1500=M77)*('T08'!$AF$3:$AF$1500=1)*('T08'!$I$3:$I$1500&lt;=B77)*'T08'!$BK$3:$BK$1500)-SUMPRODUCT(($M$3:$M$1500=M77)*($B$3:$B$1500&lt;B77)*($AK$3:$AK$1500+$AI$3:$AI$1500+$AJ$3:$AJ$1500))</f>
        <v>-2166815</v>
      </c>
      <c r="V77" s="21" t="s">
        <v>4030</v>
      </c>
      <c r="W77" s="21" t="str">
        <f>TEXT(_xlfn.XLOOKUP(V77,'T08'!$G$3:$G$1500,'T08'!$J$3:$J$1500),"dd-mmm-yyyy")&amp;" / due "&amp;TEXT(_xlfn.XLOOKUP(V77,'T08'!$G$3:$G$1500,'T08'!$BQ$3:$BQ$1500),"dd-mmm-yyyy")</f>
        <v>31-Jan-2026 / due 15-Feb-2026</v>
      </c>
      <c r="X77" s="21" t="s">
        <v>4359</v>
      </c>
      <c r="Y77" s="21" t="str">
        <f>_xlfn.XLOOKUP(V77,'T08'!$G$3:$G$1500,'T08'!$AC$3:$AC$1500)</f>
        <v>PO-2601-1</v>
      </c>
      <c r="Z77" s="21" t="s">
        <v>844</v>
      </c>
      <c r="AA77" s="37" t="s">
        <v>844</v>
      </c>
      <c r="AB77" s="21" t="str">
        <f>IF(C77="Against bill",IF(V77&lt;&gt;"N/A","OK - bill linked","Missing bill"),IF(Z77&lt;&gt;"N/A","OK - advance request linked","Missing request"))</f>
        <v>OK - bill linked</v>
      </c>
      <c r="AC77" s="21" t="s">
        <v>844</v>
      </c>
      <c r="AD77" s="21" t="s">
        <v>4360</v>
      </c>
      <c r="AE77" s="21">
        <v>1</v>
      </c>
      <c r="AF77" s="21" t="s">
        <v>4361</v>
      </c>
      <c r="AG77" s="37">
        <f>_xlfn.XLOOKUP(V77,'T08'!$G$3:$G$1500,'T08'!$BH$3:$BH$1500)</f>
        <v>7967740</v>
      </c>
      <c r="AH77" s="37">
        <v>0</v>
      </c>
      <c r="AI77" s="37">
        <f>_xlfn.XLOOKUP(V77,'T08'!$G$3:$G$1500,'T08'!$BI$3:$BI$1500)</f>
        <v>398387</v>
      </c>
      <c r="AJ77" s="37">
        <f>_xlfn.XLOOKUP(V77,'T08'!$G$3:$G$1500,'T08'!$BJ$3:$BJ$1500)</f>
        <v>2300000</v>
      </c>
      <c r="AK77" s="37">
        <f>AG77-AH77-AI77-AJ77</f>
        <v>5269353</v>
      </c>
      <c r="AL77" s="37">
        <f>AG77-AH77-AI77-AJ77-AK77</f>
        <v>0</v>
      </c>
      <c r="AM77" s="21" t="s">
        <v>4601</v>
      </c>
      <c r="AN77" s="37">
        <f>SUMIFS($AG$3:$AG$1500,$A$3:$A$1500,A77)</f>
        <v>7967740</v>
      </c>
      <c r="AO77" s="37">
        <f>SUMIFS($AI$3:$AI$1500,$A$3:$A$1500,A77)</f>
        <v>398387</v>
      </c>
      <c r="AP77" s="37">
        <f>SUMIFS($AJ$3:$AJ$1500,$A$3:$A$1500,A77)</f>
        <v>2300000</v>
      </c>
      <c r="AQ77" s="37">
        <f>SUMIFS($AK$3:$AK$1500,$A$3:$A$1500,A77)</f>
        <v>5269353</v>
      </c>
      <c r="AR77" s="21" t="str">
        <f>"PKR "&amp;TEXT(AQ77,"#,##0")&amp;" only"</f>
        <v>PKR 5,269,353 only</v>
      </c>
      <c r="AS77" s="21" t="str">
        <f>"Sec 153 - deposit by "&amp;TEXT(EOMONTH(B77,0)+15,"dd-mmm-yyyy")</f>
        <v>Sec 153 - deposit by 15-Mar-2026</v>
      </c>
      <c r="AT77" s="21" t="s">
        <v>844</v>
      </c>
      <c r="AU77" s="21" t="s">
        <v>4602</v>
      </c>
      <c r="AV77" s="21" t="s">
        <v>4364</v>
      </c>
      <c r="AW77" s="29">
        <v>46074</v>
      </c>
      <c r="AX77" s="37">
        <f>AQ77+AY77</f>
        <v>5269503</v>
      </c>
      <c r="AY77" s="37">
        <v>150</v>
      </c>
      <c r="AZ77" s="21" t="s">
        <v>3090</v>
      </c>
      <c r="BA77" s="21" t="s">
        <v>4356</v>
      </c>
      <c r="BB77" s="21" t="s">
        <v>848</v>
      </c>
      <c r="BC77" s="21" t="s">
        <v>4365</v>
      </c>
      <c r="BD77" s="21" t="str">
        <f>IF(AL77&lt;1,"Bill fully settled","Bill partially settled")</f>
        <v>Bill fully settled</v>
      </c>
      <c r="BE77" s="21" t="str">
        <f>"Payable reduced by PKR "&amp;TEXT(AK77+AI77+AJ77,"#,##0")</f>
        <v>Payable reduced by PKR 7,967,740</v>
      </c>
      <c r="BF77" s="21" t="s">
        <v>4603</v>
      </c>
      <c r="BG77" s="21" t="s">
        <v>753</v>
      </c>
      <c r="BH77" s="21" t="s">
        <v>4367</v>
      </c>
      <c r="BI77" s="21" t="s">
        <v>844</v>
      </c>
      <c r="BJ77" s="21" t="s">
        <v>844</v>
      </c>
      <c r="BK77" s="21" t="s">
        <v>753</v>
      </c>
      <c r="BL77" s="21" t="s">
        <v>753</v>
      </c>
      <c r="BM77" s="21" t="s">
        <v>753</v>
      </c>
      <c r="BN77" s="21" t="s">
        <v>4368</v>
      </c>
      <c r="BO77" s="21" t="s">
        <v>848</v>
      </c>
      <c r="BP77" s="21" t="str">
        <f>K77</f>
        <v>Paid</v>
      </c>
    </row>
    <row r="78" spans="1:68" x14ac:dyDescent="0.3">
      <c r="A78" s="21" t="s">
        <v>4604</v>
      </c>
      <c r="B78" s="29">
        <v>46076</v>
      </c>
      <c r="C78" s="21" t="s">
        <v>4354</v>
      </c>
      <c r="D78" s="21" t="s">
        <v>743</v>
      </c>
      <c r="E78" s="21" t="s">
        <v>3368</v>
      </c>
      <c r="F78" s="21" t="s">
        <v>3429</v>
      </c>
      <c r="G78" s="21" t="s">
        <v>4355</v>
      </c>
      <c r="H78" s="21" t="s">
        <v>3084</v>
      </c>
      <c r="I78" s="21" t="s">
        <v>3085</v>
      </c>
      <c r="J78" s="21" t="s">
        <v>4605</v>
      </c>
      <c r="K78" s="21" t="s">
        <v>4357</v>
      </c>
      <c r="L78" s="21" t="s">
        <v>3462</v>
      </c>
      <c r="M78" s="21" t="s">
        <v>3463</v>
      </c>
      <c r="N78" s="21" t="s">
        <v>3464</v>
      </c>
      <c r="O78" s="21" t="s">
        <v>746</v>
      </c>
      <c r="P78" s="21" t="s">
        <v>4462</v>
      </c>
      <c r="Q78" s="21" t="s">
        <v>4606</v>
      </c>
      <c r="R78" s="21" t="s">
        <v>4607</v>
      </c>
      <c r="S78" s="21" t="s">
        <v>4358</v>
      </c>
      <c r="T78" s="21" t="s">
        <v>3465</v>
      </c>
      <c r="U78" s="37" cm="1">
        <f t="array" ref="U78">SUMPRODUCT(('T08'!$U$3:$U$1500=M78)*('T08'!$AF$3:$AF$1500=1)*('T08'!$I$3:$I$1500&lt;=B78)*'T08'!$BK$3:$BK$1500)-SUMPRODUCT(($M$3:$M$1500=M78)*($B$3:$B$1500&lt;B78)*($AK$3:$AK$1500+$AI$3:$AI$1500+$AJ$3:$AJ$1500))</f>
        <v>671361</v>
      </c>
      <c r="V78" s="21" t="s">
        <v>3459</v>
      </c>
      <c r="W78" s="21" t="str">
        <f>TEXT(_xlfn.XLOOKUP(V78,'T08'!$G$3:$G$1500,'T08'!$J$3:$J$1500),"dd-mmm-yyyy")&amp;" / due "&amp;TEXT(_xlfn.XLOOKUP(V78,'T08'!$G$3:$G$1500,'T08'!$BQ$3:$BQ$1500),"dd-mmm-yyyy")</f>
        <v>22-Nov-2024 / due 07-Dec-2024</v>
      </c>
      <c r="X78" s="21" t="s">
        <v>4359</v>
      </c>
      <c r="Y78" s="21" t="str">
        <f>_xlfn.XLOOKUP(V78,'T08'!$G$3:$G$1500,'T08'!$AC$3:$AC$1500)</f>
        <v>N/A</v>
      </c>
      <c r="Z78" s="21" t="s">
        <v>844</v>
      </c>
      <c r="AA78" s="37" t="s">
        <v>844</v>
      </c>
      <c r="AB78" s="21" t="str">
        <f>IF(C78="Against bill",IF(V78&lt;&gt;"N/A","OK - bill linked","Missing bill"),IF(Z78&lt;&gt;"N/A","OK - advance request linked","Missing request"))</f>
        <v>OK - bill linked</v>
      </c>
      <c r="AC78" s="21" t="s">
        <v>844</v>
      </c>
      <c r="AD78" s="21" t="s">
        <v>4360</v>
      </c>
      <c r="AE78" s="21">
        <v>1</v>
      </c>
      <c r="AF78" s="21" t="s">
        <v>4608</v>
      </c>
      <c r="AG78" s="37">
        <f>_xlfn.XLOOKUP(V78,'T08'!$G$3:$G$1500,'T08'!$BH$3:$BH$1500)</f>
        <v>129988.8</v>
      </c>
      <c r="AH78" s="37">
        <v>0</v>
      </c>
      <c r="AI78" s="37">
        <f>_xlfn.XLOOKUP(V78,'T08'!$G$3:$G$1500,'T08'!$BI$3:$BI$1500)</f>
        <v>0</v>
      </c>
      <c r="AJ78" s="37">
        <f>_xlfn.XLOOKUP(V78,'T08'!$G$3:$G$1500,'T08'!$BJ$3:$BJ$1500)</f>
        <v>0</v>
      </c>
      <c r="AK78" s="37">
        <f>AG78-AH78-AI78-AJ78</f>
        <v>129988.8</v>
      </c>
      <c r="AL78" s="37">
        <f>AG78-AH78-AI78-AJ78-AK78</f>
        <v>0</v>
      </c>
      <c r="AM78" s="21" t="s">
        <v>4609</v>
      </c>
      <c r="AN78" s="37">
        <f>SUMIFS($AG$3:$AG$1500,$A$3:$A$1500,A78)</f>
        <v>671361</v>
      </c>
      <c r="AO78" s="37">
        <f>SUMIFS($AI$3:$AI$1500,$A$3:$A$1500,A78)</f>
        <v>0</v>
      </c>
      <c r="AP78" s="37">
        <f>SUMIFS($AJ$3:$AJ$1500,$A$3:$A$1500,A78)</f>
        <v>0</v>
      </c>
      <c r="AQ78" s="37">
        <f>SUMIFS($AK$3:$AK$1500,$A$3:$A$1500,A78)</f>
        <v>671361</v>
      </c>
      <c r="AR78" s="21" t="str">
        <f>"PKR "&amp;TEXT(AQ78,"#,##0")&amp;" only"</f>
        <v>PKR 671,361 only</v>
      </c>
      <c r="AS78" s="21" t="str">
        <f>"Sec 153 - deposit by "&amp;TEXT(EOMONTH(B78,0)+15,"dd-mmm-yyyy")</f>
        <v>Sec 153 - deposit by 15-Mar-2026</v>
      </c>
      <c r="AT78" s="21" t="s">
        <v>844</v>
      </c>
      <c r="AU78" s="21" t="s">
        <v>4610</v>
      </c>
      <c r="AV78" s="21" t="s">
        <v>4364</v>
      </c>
      <c r="AW78" s="29">
        <v>46078</v>
      </c>
      <c r="AX78" s="37">
        <f>AQ78+AY78</f>
        <v>671361</v>
      </c>
      <c r="AY78" s="37">
        <v>0</v>
      </c>
      <c r="AZ78" s="21" t="s">
        <v>3090</v>
      </c>
      <c r="BA78" s="21" t="s">
        <v>4435</v>
      </c>
      <c r="BB78" s="21" t="s">
        <v>848</v>
      </c>
      <c r="BC78" s="21" t="s">
        <v>4365</v>
      </c>
      <c r="BD78" s="21" t="str">
        <f>IF(AL78&lt;1,"Bill fully settled","Bill partially settled")</f>
        <v>Bill fully settled</v>
      </c>
      <c r="BE78" s="21" t="str">
        <f>"Payable reduced by PKR "&amp;TEXT(AK78+AI78+AJ78,"#,##0")</f>
        <v>Payable reduced by PKR 129,989</v>
      </c>
      <c r="BF78" s="21" t="s">
        <v>4611</v>
      </c>
      <c r="BG78" s="21" t="s">
        <v>753</v>
      </c>
      <c r="BH78" s="21" t="s">
        <v>4367</v>
      </c>
      <c r="BI78" s="21" t="s">
        <v>844</v>
      </c>
      <c r="BJ78" s="21" t="s">
        <v>844</v>
      </c>
      <c r="BK78" s="21" t="s">
        <v>753</v>
      </c>
      <c r="BL78" s="21" t="s">
        <v>753</v>
      </c>
      <c r="BM78" s="21" t="s">
        <v>753</v>
      </c>
      <c r="BN78" s="21" t="s">
        <v>4368</v>
      </c>
      <c r="BO78" s="21" t="s">
        <v>848</v>
      </c>
      <c r="BP78" s="21" t="str">
        <f>K78</f>
        <v>Paid</v>
      </c>
    </row>
    <row r="79" spans="1:68" x14ac:dyDescent="0.3">
      <c r="A79" s="21" t="s">
        <v>4604</v>
      </c>
      <c r="B79" s="29">
        <v>46076</v>
      </c>
      <c r="C79" s="21" t="s">
        <v>4354</v>
      </c>
      <c r="D79" s="21" t="s">
        <v>743</v>
      </c>
      <c r="E79" s="21" t="s">
        <v>3368</v>
      </c>
      <c r="F79" s="21" t="s">
        <v>3429</v>
      </c>
      <c r="G79" s="21" t="s">
        <v>4355</v>
      </c>
      <c r="H79" s="21" t="s">
        <v>3084</v>
      </c>
      <c r="I79" s="21" t="s">
        <v>3085</v>
      </c>
      <c r="J79" s="21" t="s">
        <v>4605</v>
      </c>
      <c r="K79" s="21" t="s">
        <v>4357</v>
      </c>
      <c r="L79" s="21" t="s">
        <v>3462</v>
      </c>
      <c r="M79" s="21" t="s">
        <v>3463</v>
      </c>
      <c r="N79" s="21" t="s">
        <v>3464</v>
      </c>
      <c r="O79" s="21" t="s">
        <v>746</v>
      </c>
      <c r="P79" s="21" t="s">
        <v>4462</v>
      </c>
      <c r="Q79" s="21" t="s">
        <v>4606</v>
      </c>
      <c r="R79" s="21" t="s">
        <v>4607</v>
      </c>
      <c r="S79" s="21" t="s">
        <v>4358</v>
      </c>
      <c r="T79" s="21" t="s">
        <v>3465</v>
      </c>
      <c r="U79" s="37" cm="1">
        <f t="array" ref="U79">SUMPRODUCT(('T08'!$U$3:$U$1500=M79)*('T08'!$AF$3:$AF$1500=1)*('T08'!$I$3:$I$1500&lt;=B79)*'T08'!$BK$3:$BK$1500)-SUMPRODUCT(($M$3:$M$1500=M79)*($B$3:$B$1500&lt;B79)*($AK$3:$AK$1500+$AI$3:$AI$1500+$AJ$3:$AJ$1500))</f>
        <v>671361</v>
      </c>
      <c r="V79" s="21" t="s">
        <v>3670</v>
      </c>
      <c r="W79" s="21" t="str">
        <f>TEXT(_xlfn.XLOOKUP(V79,'T08'!$G$3:$G$1500,'T08'!$J$3:$J$1500),"dd-mmm-yyyy")&amp;" / due "&amp;TEXT(_xlfn.XLOOKUP(V79,'T08'!$G$3:$G$1500,'T08'!$BQ$3:$BQ$1500),"dd-mmm-yyyy")</f>
        <v>02-Apr-2025 / due 17-Apr-2025</v>
      </c>
      <c r="X79" s="21" t="s">
        <v>4359</v>
      </c>
      <c r="Y79" s="21" t="str">
        <f>_xlfn.XLOOKUP(V79,'T08'!$G$3:$G$1500,'T08'!$AC$3:$AC$1500)</f>
        <v>N/A</v>
      </c>
      <c r="Z79" s="21" t="s">
        <v>844</v>
      </c>
      <c r="AA79" s="37" t="s">
        <v>844</v>
      </c>
      <c r="AB79" s="21" t="str">
        <f>IF(C79="Against bill",IF(V79&lt;&gt;"N/A","OK - bill linked","Missing bill"),IF(Z79&lt;&gt;"N/A","OK - advance request linked","Missing request"))</f>
        <v>OK - bill linked</v>
      </c>
      <c r="AC79" s="21" t="s">
        <v>844</v>
      </c>
      <c r="AD79" s="21" t="s">
        <v>4360</v>
      </c>
      <c r="AE79" s="21">
        <v>2</v>
      </c>
      <c r="AF79" s="21" t="s">
        <v>4608</v>
      </c>
      <c r="AG79" s="37">
        <f>_xlfn.XLOOKUP(V79,'T08'!$G$3:$G$1500,'T08'!$BH$3:$BH$1500)</f>
        <v>142072</v>
      </c>
      <c r="AH79" s="37">
        <v>0</v>
      </c>
      <c r="AI79" s="37">
        <f>_xlfn.XLOOKUP(V79,'T08'!$G$3:$G$1500,'T08'!$BI$3:$BI$1500)</f>
        <v>0</v>
      </c>
      <c r="AJ79" s="37">
        <f>_xlfn.XLOOKUP(V79,'T08'!$G$3:$G$1500,'T08'!$BJ$3:$BJ$1500)</f>
        <v>0</v>
      </c>
      <c r="AK79" s="37">
        <f>AG79-AH79-AI79-AJ79</f>
        <v>142072</v>
      </c>
      <c r="AL79" s="37">
        <f>AG79-AH79-AI79-AJ79-AK79</f>
        <v>0</v>
      </c>
      <c r="AM79" s="21" t="s">
        <v>4612</v>
      </c>
      <c r="AN79" s="37">
        <f>SUMIFS($AG$3:$AG$1500,$A$3:$A$1500,A79)</f>
        <v>671361</v>
      </c>
      <c r="AO79" s="37">
        <f>SUMIFS($AI$3:$AI$1500,$A$3:$A$1500,A79)</f>
        <v>0</v>
      </c>
      <c r="AP79" s="37">
        <f>SUMIFS($AJ$3:$AJ$1500,$A$3:$A$1500,A79)</f>
        <v>0</v>
      </c>
      <c r="AQ79" s="37">
        <f>SUMIFS($AK$3:$AK$1500,$A$3:$A$1500,A79)</f>
        <v>671361</v>
      </c>
      <c r="AR79" s="21" t="str">
        <f>"PKR "&amp;TEXT(AQ79,"#,##0")&amp;" only"</f>
        <v>PKR 671,361 only</v>
      </c>
      <c r="AS79" s="21" t="str">
        <f>"Sec 153 - deposit by "&amp;TEXT(EOMONTH(B79,0)+15,"dd-mmm-yyyy")</f>
        <v>Sec 153 - deposit by 15-Mar-2026</v>
      </c>
      <c r="AT79" s="21" t="s">
        <v>844</v>
      </c>
      <c r="AU79" s="21" t="s">
        <v>4613</v>
      </c>
      <c r="AV79" s="21" t="s">
        <v>4364</v>
      </c>
      <c r="AW79" s="29">
        <v>46078</v>
      </c>
      <c r="AX79" s="37">
        <f>AQ79+AY79</f>
        <v>671361</v>
      </c>
      <c r="AY79" s="37">
        <v>0</v>
      </c>
      <c r="AZ79" s="21" t="s">
        <v>3090</v>
      </c>
      <c r="BA79" s="21" t="s">
        <v>4435</v>
      </c>
      <c r="BB79" s="21" t="s">
        <v>848</v>
      </c>
      <c r="BC79" s="21" t="s">
        <v>4365</v>
      </c>
      <c r="BD79" s="21" t="str">
        <f>IF(AL79&lt;1,"Bill fully settled","Bill partially settled")</f>
        <v>Bill fully settled</v>
      </c>
      <c r="BE79" s="21" t="str">
        <f>"Payable reduced by PKR "&amp;TEXT(AK79+AI79+AJ79,"#,##0")</f>
        <v>Payable reduced by PKR 142,072</v>
      </c>
      <c r="BF79" s="21" t="s">
        <v>4611</v>
      </c>
      <c r="BG79" s="21" t="s">
        <v>753</v>
      </c>
      <c r="BH79" s="21" t="s">
        <v>4367</v>
      </c>
      <c r="BI79" s="21" t="s">
        <v>844</v>
      </c>
      <c r="BJ79" s="21" t="s">
        <v>844</v>
      </c>
      <c r="BK79" s="21" t="s">
        <v>753</v>
      </c>
      <c r="BL79" s="21" t="s">
        <v>753</v>
      </c>
      <c r="BM79" s="21" t="s">
        <v>753</v>
      </c>
      <c r="BN79" s="21" t="s">
        <v>4368</v>
      </c>
      <c r="BO79" s="21" t="s">
        <v>848</v>
      </c>
      <c r="BP79" s="21" t="str">
        <f>K79</f>
        <v>Paid</v>
      </c>
    </row>
    <row r="80" spans="1:68" x14ac:dyDescent="0.3">
      <c r="A80" s="21" t="s">
        <v>4604</v>
      </c>
      <c r="B80" s="29">
        <v>46076</v>
      </c>
      <c r="C80" s="21" t="s">
        <v>4354</v>
      </c>
      <c r="D80" s="21" t="s">
        <v>743</v>
      </c>
      <c r="E80" s="21" t="s">
        <v>3368</v>
      </c>
      <c r="F80" s="21" t="s">
        <v>3429</v>
      </c>
      <c r="G80" s="21" t="s">
        <v>4355</v>
      </c>
      <c r="H80" s="21" t="s">
        <v>3084</v>
      </c>
      <c r="I80" s="21" t="s">
        <v>3085</v>
      </c>
      <c r="J80" s="21" t="s">
        <v>4605</v>
      </c>
      <c r="K80" s="21" t="s">
        <v>4357</v>
      </c>
      <c r="L80" s="21" t="s">
        <v>3462</v>
      </c>
      <c r="M80" s="21" t="s">
        <v>3463</v>
      </c>
      <c r="N80" s="21" t="s">
        <v>3464</v>
      </c>
      <c r="O80" s="21" t="s">
        <v>746</v>
      </c>
      <c r="P80" s="21" t="s">
        <v>4462</v>
      </c>
      <c r="Q80" s="21" t="s">
        <v>4606</v>
      </c>
      <c r="R80" s="21" t="s">
        <v>4607</v>
      </c>
      <c r="S80" s="21" t="s">
        <v>4358</v>
      </c>
      <c r="T80" s="21" t="s">
        <v>3465</v>
      </c>
      <c r="U80" s="37" cm="1">
        <f t="array" ref="U80">SUMPRODUCT(('T08'!$U$3:$U$1500=M80)*('T08'!$AF$3:$AF$1500=1)*('T08'!$I$3:$I$1500&lt;=B80)*'T08'!$BK$3:$BK$1500)-SUMPRODUCT(($M$3:$M$1500=M80)*($B$3:$B$1500&lt;B80)*($AK$3:$AK$1500+$AI$3:$AI$1500+$AJ$3:$AJ$1500))</f>
        <v>671361</v>
      </c>
      <c r="V80" s="21" t="s">
        <v>3875</v>
      </c>
      <c r="W80" s="21" t="str">
        <f>TEXT(_xlfn.XLOOKUP(V80,'T08'!$G$3:$G$1500,'T08'!$J$3:$J$1500),"dd-mmm-yyyy")&amp;" / due "&amp;TEXT(_xlfn.XLOOKUP(V80,'T08'!$G$3:$G$1500,'T08'!$BQ$3:$BQ$1500),"dd-mmm-yyyy")</f>
        <v>04-Sep-2025 / due 19-Sep-2025</v>
      </c>
      <c r="X80" s="21" t="s">
        <v>4359</v>
      </c>
      <c r="Y80" s="21" t="str">
        <f>_xlfn.XLOOKUP(V80,'T08'!$G$3:$G$1500,'T08'!$AC$3:$AC$1500)</f>
        <v>N/A</v>
      </c>
      <c r="Z80" s="21" t="s">
        <v>844</v>
      </c>
      <c r="AA80" s="37" t="s">
        <v>844</v>
      </c>
      <c r="AB80" s="21" t="str">
        <f>IF(C80="Against bill",IF(V80&lt;&gt;"N/A","OK - bill linked","Missing bill"),IF(Z80&lt;&gt;"N/A","OK - advance request linked","Missing request"))</f>
        <v>OK - bill linked</v>
      </c>
      <c r="AC80" s="21" t="s">
        <v>844</v>
      </c>
      <c r="AD80" s="21" t="s">
        <v>4360</v>
      </c>
      <c r="AE80" s="21">
        <v>3</v>
      </c>
      <c r="AF80" s="21" t="s">
        <v>4608</v>
      </c>
      <c r="AG80" s="37">
        <f>_xlfn.XLOOKUP(V80,'T08'!$G$3:$G$1500,'T08'!$BH$3:$BH$1500)</f>
        <v>231280</v>
      </c>
      <c r="AH80" s="37">
        <v>0</v>
      </c>
      <c r="AI80" s="37">
        <f>_xlfn.XLOOKUP(V80,'T08'!$G$3:$G$1500,'T08'!$BI$3:$BI$1500)</f>
        <v>0</v>
      </c>
      <c r="AJ80" s="37">
        <f>_xlfn.XLOOKUP(V80,'T08'!$G$3:$G$1500,'T08'!$BJ$3:$BJ$1500)</f>
        <v>0</v>
      </c>
      <c r="AK80" s="37">
        <f>AG80-AH80-AI80-AJ80</f>
        <v>231280</v>
      </c>
      <c r="AL80" s="37">
        <f>AG80-AH80-AI80-AJ80-AK80</f>
        <v>0</v>
      </c>
      <c r="AM80" s="21" t="s">
        <v>4614</v>
      </c>
      <c r="AN80" s="37">
        <f>SUMIFS($AG$3:$AG$1500,$A$3:$A$1500,A80)</f>
        <v>671361</v>
      </c>
      <c r="AO80" s="37">
        <f>SUMIFS($AI$3:$AI$1500,$A$3:$A$1500,A80)</f>
        <v>0</v>
      </c>
      <c r="AP80" s="37">
        <f>SUMIFS($AJ$3:$AJ$1500,$A$3:$A$1500,A80)</f>
        <v>0</v>
      </c>
      <c r="AQ80" s="37">
        <f>SUMIFS($AK$3:$AK$1500,$A$3:$A$1500,A80)</f>
        <v>671361</v>
      </c>
      <c r="AR80" s="21" t="str">
        <f>"PKR "&amp;TEXT(AQ80,"#,##0")&amp;" only"</f>
        <v>PKR 671,361 only</v>
      </c>
      <c r="AS80" s="21" t="str">
        <f>"Sec 153 - deposit by "&amp;TEXT(EOMONTH(B80,0)+15,"dd-mmm-yyyy")</f>
        <v>Sec 153 - deposit by 15-Mar-2026</v>
      </c>
      <c r="AT80" s="21" t="s">
        <v>844</v>
      </c>
      <c r="AU80" s="21" t="s">
        <v>4615</v>
      </c>
      <c r="AV80" s="21" t="s">
        <v>4364</v>
      </c>
      <c r="AW80" s="29">
        <v>46078</v>
      </c>
      <c r="AX80" s="37">
        <f>AQ80+AY80</f>
        <v>671361</v>
      </c>
      <c r="AY80" s="37">
        <v>0</v>
      </c>
      <c r="AZ80" s="21" t="s">
        <v>3090</v>
      </c>
      <c r="BA80" s="21" t="s">
        <v>4435</v>
      </c>
      <c r="BB80" s="21" t="s">
        <v>848</v>
      </c>
      <c r="BC80" s="21" t="s">
        <v>4365</v>
      </c>
      <c r="BD80" s="21" t="str">
        <f>IF(AL80&lt;1,"Bill fully settled","Bill partially settled")</f>
        <v>Bill fully settled</v>
      </c>
      <c r="BE80" s="21" t="str">
        <f>"Payable reduced by PKR "&amp;TEXT(AK80+AI80+AJ80,"#,##0")</f>
        <v>Payable reduced by PKR 231,280</v>
      </c>
      <c r="BF80" s="21" t="s">
        <v>4611</v>
      </c>
      <c r="BG80" s="21" t="s">
        <v>753</v>
      </c>
      <c r="BH80" s="21" t="s">
        <v>4367</v>
      </c>
      <c r="BI80" s="21" t="s">
        <v>844</v>
      </c>
      <c r="BJ80" s="21" t="s">
        <v>844</v>
      </c>
      <c r="BK80" s="21" t="s">
        <v>753</v>
      </c>
      <c r="BL80" s="21" t="s">
        <v>753</v>
      </c>
      <c r="BM80" s="21" t="s">
        <v>753</v>
      </c>
      <c r="BN80" s="21" t="s">
        <v>4368</v>
      </c>
      <c r="BO80" s="21" t="s">
        <v>848</v>
      </c>
      <c r="BP80" s="21" t="str">
        <f>K80</f>
        <v>Paid</v>
      </c>
    </row>
    <row r="81" spans="1:68" x14ac:dyDescent="0.3">
      <c r="A81" s="21" t="s">
        <v>4604</v>
      </c>
      <c r="B81" s="29">
        <v>46076</v>
      </c>
      <c r="C81" s="21" t="s">
        <v>4354</v>
      </c>
      <c r="D81" s="21" t="s">
        <v>743</v>
      </c>
      <c r="E81" s="21" t="s">
        <v>3368</v>
      </c>
      <c r="F81" s="21" t="s">
        <v>3429</v>
      </c>
      <c r="G81" s="21" t="s">
        <v>4355</v>
      </c>
      <c r="H81" s="21" t="s">
        <v>3084</v>
      </c>
      <c r="I81" s="21" t="s">
        <v>3085</v>
      </c>
      <c r="J81" s="21" t="s">
        <v>4605</v>
      </c>
      <c r="K81" s="21" t="s">
        <v>4357</v>
      </c>
      <c r="L81" s="21" t="s">
        <v>3462</v>
      </c>
      <c r="M81" s="21" t="s">
        <v>3463</v>
      </c>
      <c r="N81" s="21" t="s">
        <v>3464</v>
      </c>
      <c r="O81" s="21" t="s">
        <v>746</v>
      </c>
      <c r="P81" s="21" t="s">
        <v>4462</v>
      </c>
      <c r="Q81" s="21" t="s">
        <v>4606</v>
      </c>
      <c r="R81" s="21" t="s">
        <v>4607</v>
      </c>
      <c r="S81" s="21" t="s">
        <v>4358</v>
      </c>
      <c r="T81" s="21" t="s">
        <v>3465</v>
      </c>
      <c r="U81" s="37" cm="1">
        <f t="array" ref="U81">SUMPRODUCT(('T08'!$U$3:$U$1500=M81)*('T08'!$AF$3:$AF$1500=1)*('T08'!$I$3:$I$1500&lt;=B81)*'T08'!$BK$3:$BK$1500)-SUMPRODUCT(($M$3:$M$1500=M81)*($B$3:$B$1500&lt;B81)*($AK$3:$AK$1500+$AI$3:$AI$1500+$AJ$3:$AJ$1500))</f>
        <v>671361</v>
      </c>
      <c r="V81" s="21" t="s">
        <v>4077</v>
      </c>
      <c r="W81" s="21" t="str">
        <f>TEXT(_xlfn.XLOOKUP(V81,'T08'!$G$3:$G$1500,'T08'!$J$3:$J$1500),"dd-mmm-yyyy")&amp;" / due "&amp;TEXT(_xlfn.XLOOKUP(V81,'T08'!$G$3:$G$1500,'T08'!$BQ$3:$BQ$1500),"dd-mmm-yyyy")</f>
        <v>06-Feb-2026 / due 21-Feb-2026</v>
      </c>
      <c r="X81" s="21" t="s">
        <v>4359</v>
      </c>
      <c r="Y81" s="21" t="str">
        <f>_xlfn.XLOOKUP(V81,'T08'!$G$3:$G$1500,'T08'!$AC$3:$AC$1500)</f>
        <v>N/A</v>
      </c>
      <c r="Z81" s="21" t="s">
        <v>844</v>
      </c>
      <c r="AA81" s="37" t="s">
        <v>844</v>
      </c>
      <c r="AB81" s="21" t="str">
        <f>IF(C81="Against bill",IF(V81&lt;&gt;"N/A","OK - bill linked","Missing bill"),IF(Z81&lt;&gt;"N/A","OK - advance request linked","Missing request"))</f>
        <v>OK - bill linked</v>
      </c>
      <c r="AC81" s="21" t="s">
        <v>844</v>
      </c>
      <c r="AD81" s="21" t="s">
        <v>4360</v>
      </c>
      <c r="AE81" s="21">
        <v>4</v>
      </c>
      <c r="AF81" s="21" t="s">
        <v>4608</v>
      </c>
      <c r="AG81" s="37">
        <f>_xlfn.XLOOKUP(V81,'T08'!$G$3:$G$1500,'T08'!$BH$3:$BH$1500)</f>
        <v>168020.2</v>
      </c>
      <c r="AH81" s="37">
        <v>0</v>
      </c>
      <c r="AI81" s="37">
        <f>_xlfn.XLOOKUP(V81,'T08'!$G$3:$G$1500,'T08'!$BI$3:$BI$1500)</f>
        <v>0</v>
      </c>
      <c r="AJ81" s="37">
        <f>_xlfn.XLOOKUP(V81,'T08'!$G$3:$G$1500,'T08'!$BJ$3:$BJ$1500)</f>
        <v>0</v>
      </c>
      <c r="AK81" s="37">
        <f>AG81-AH81-AI81-AJ81</f>
        <v>168020.2</v>
      </c>
      <c r="AL81" s="37">
        <f>AG81-AH81-AI81-AJ81-AK81</f>
        <v>0</v>
      </c>
      <c r="AM81" s="21" t="s">
        <v>4616</v>
      </c>
      <c r="AN81" s="37">
        <f>SUMIFS($AG$3:$AG$1500,$A$3:$A$1500,A81)</f>
        <v>671361</v>
      </c>
      <c r="AO81" s="37">
        <f>SUMIFS($AI$3:$AI$1500,$A$3:$A$1500,A81)</f>
        <v>0</v>
      </c>
      <c r="AP81" s="37">
        <f>SUMIFS($AJ$3:$AJ$1500,$A$3:$A$1500,A81)</f>
        <v>0</v>
      </c>
      <c r="AQ81" s="37">
        <f>SUMIFS($AK$3:$AK$1500,$A$3:$A$1500,A81)</f>
        <v>671361</v>
      </c>
      <c r="AR81" s="21" t="str">
        <f>"PKR "&amp;TEXT(AQ81,"#,##0")&amp;" only"</f>
        <v>PKR 671,361 only</v>
      </c>
      <c r="AS81" s="21" t="str">
        <f>"Sec 153 - deposit by "&amp;TEXT(EOMONTH(B81,0)+15,"dd-mmm-yyyy")</f>
        <v>Sec 153 - deposit by 15-Mar-2026</v>
      </c>
      <c r="AT81" s="21" t="s">
        <v>844</v>
      </c>
      <c r="AU81" s="21" t="s">
        <v>4613</v>
      </c>
      <c r="AV81" s="21" t="s">
        <v>4364</v>
      </c>
      <c r="AW81" s="29">
        <v>46078</v>
      </c>
      <c r="AX81" s="37">
        <f>AQ81+AY81</f>
        <v>671361</v>
      </c>
      <c r="AY81" s="37">
        <v>0</v>
      </c>
      <c r="AZ81" s="21" t="s">
        <v>3090</v>
      </c>
      <c r="BA81" s="21" t="s">
        <v>4435</v>
      </c>
      <c r="BB81" s="21" t="s">
        <v>848</v>
      </c>
      <c r="BC81" s="21" t="s">
        <v>4365</v>
      </c>
      <c r="BD81" s="21" t="str">
        <f>IF(AL81&lt;1,"Bill fully settled","Bill partially settled")</f>
        <v>Bill fully settled</v>
      </c>
      <c r="BE81" s="21" t="str">
        <f>"Payable reduced by PKR "&amp;TEXT(AK81+AI81+AJ81,"#,##0")</f>
        <v>Payable reduced by PKR 168,020</v>
      </c>
      <c r="BF81" s="21" t="s">
        <v>4611</v>
      </c>
      <c r="BG81" s="21" t="s">
        <v>753</v>
      </c>
      <c r="BH81" s="21" t="s">
        <v>4367</v>
      </c>
      <c r="BI81" s="21" t="s">
        <v>844</v>
      </c>
      <c r="BJ81" s="21" t="s">
        <v>844</v>
      </c>
      <c r="BK81" s="21" t="s">
        <v>753</v>
      </c>
      <c r="BL81" s="21" t="s">
        <v>753</v>
      </c>
      <c r="BM81" s="21" t="s">
        <v>753</v>
      </c>
      <c r="BN81" s="21" t="s">
        <v>4368</v>
      </c>
      <c r="BO81" s="21" t="s">
        <v>848</v>
      </c>
      <c r="BP81" s="21" t="str">
        <f>K81</f>
        <v>Paid</v>
      </c>
    </row>
    <row r="82" spans="1:68" x14ac:dyDescent="0.3">
      <c r="A82" s="21" t="s">
        <v>4617</v>
      </c>
      <c r="B82" s="29">
        <v>46081</v>
      </c>
      <c r="C82" s="21" t="s">
        <v>4354</v>
      </c>
      <c r="D82" s="21" t="s">
        <v>743</v>
      </c>
      <c r="E82" s="21" t="s">
        <v>3350</v>
      </c>
      <c r="F82" s="21" t="s">
        <v>3429</v>
      </c>
      <c r="G82" s="21" t="s">
        <v>4355</v>
      </c>
      <c r="H82" s="21" t="s">
        <v>3095</v>
      </c>
      <c r="I82" s="21" t="s">
        <v>3085</v>
      </c>
      <c r="J82" s="21" t="s">
        <v>4356</v>
      </c>
      <c r="K82" s="21" t="s">
        <v>4357</v>
      </c>
      <c r="L82" s="21" t="s">
        <v>3431</v>
      </c>
      <c r="M82" s="21" t="s">
        <v>1339</v>
      </c>
      <c r="N82" s="21" t="s">
        <v>1207</v>
      </c>
      <c r="O82" s="21" t="s">
        <v>1066</v>
      </c>
      <c r="P82" s="21" t="s">
        <v>1059</v>
      </c>
      <c r="Q82" s="21" t="s">
        <v>1206</v>
      </c>
      <c r="R82" s="21" t="s">
        <v>1211</v>
      </c>
      <c r="S82" s="21" t="s">
        <v>4358</v>
      </c>
      <c r="T82" s="21" t="s">
        <v>3432</v>
      </c>
      <c r="U82" s="37" cm="1">
        <f t="array" ref="U82">SUMPRODUCT(('T08'!$U$3:$U$1500=M82)*('T08'!$AF$3:$AF$1500=1)*('T08'!$I$3:$I$1500&lt;=B82)*'T08'!$BK$3:$BK$1500)-SUMPRODUCT(($M$3:$M$1500=M82)*($B$3:$B$1500&lt;B82)*($AK$3:$AK$1500+$AI$3:$AI$1500+$AJ$3:$AJ$1500))</f>
        <v>156267</v>
      </c>
      <c r="V82" s="21" t="s">
        <v>4049</v>
      </c>
      <c r="W82" s="21" t="str">
        <f>TEXT(_xlfn.XLOOKUP(V82,'T08'!$G$3:$G$1500,'T08'!$J$3:$J$1500),"dd-mmm-yyyy")&amp;" / due "&amp;TEXT(_xlfn.XLOOKUP(V82,'T08'!$G$3:$G$1500,'T08'!$BQ$3:$BQ$1500),"dd-mmm-yyyy")</f>
        <v>01-Feb-2026 / due 03-Mar-2026</v>
      </c>
      <c r="X82" s="21" t="s">
        <v>4359</v>
      </c>
      <c r="Y82" s="21" t="str">
        <f>_xlfn.XLOOKUP(V82,'T08'!$G$3:$G$1500,'T08'!$AC$3:$AC$1500)</f>
        <v>N/A</v>
      </c>
      <c r="Z82" s="21" t="s">
        <v>844</v>
      </c>
      <c r="AA82" s="37" t="s">
        <v>844</v>
      </c>
      <c r="AB82" s="21" t="str">
        <f>IF(C82="Against bill",IF(V82&lt;&gt;"N/A","OK - bill linked","Missing bill"),IF(Z82&lt;&gt;"N/A","OK - advance request linked","Missing request"))</f>
        <v>OK - bill linked</v>
      </c>
      <c r="AC82" s="21" t="s">
        <v>844</v>
      </c>
      <c r="AD82" s="21" t="s">
        <v>4360</v>
      </c>
      <c r="AE82" s="21">
        <v>1</v>
      </c>
      <c r="AF82" s="21" t="s">
        <v>4540</v>
      </c>
      <c r="AG82" s="37">
        <f>_xlfn.XLOOKUP(V82,'T08'!$G$3:$G$1500,'T08'!$BH$3:$BH$1500)</f>
        <v>411336</v>
      </c>
      <c r="AH82" s="37">
        <v>0</v>
      </c>
      <c r="AI82" s="37">
        <f>_xlfn.XLOOKUP(V82,'T08'!$G$3:$G$1500,'T08'!$BI$3:$BI$1500)</f>
        <v>32907</v>
      </c>
      <c r="AJ82" s="37">
        <f>_xlfn.XLOOKUP(V82,'T08'!$G$3:$G$1500,'T08'!$BJ$3:$BJ$1500)</f>
        <v>5000</v>
      </c>
      <c r="AK82" s="37">
        <f>AG82-AH82-AI82-AJ82</f>
        <v>373429</v>
      </c>
      <c r="AL82" s="37">
        <f>AG82-AH82-AI82-AJ82-AK82</f>
        <v>0</v>
      </c>
      <c r="AM82" s="21" t="s">
        <v>4618</v>
      </c>
      <c r="AN82" s="37">
        <f>SUMIFS($AG$3:$AG$1500,$A$3:$A$1500,A82)</f>
        <v>411336</v>
      </c>
      <c r="AO82" s="37">
        <f>SUMIFS($AI$3:$AI$1500,$A$3:$A$1500,A82)</f>
        <v>32907</v>
      </c>
      <c r="AP82" s="37">
        <f>SUMIFS($AJ$3:$AJ$1500,$A$3:$A$1500,A82)</f>
        <v>5000</v>
      </c>
      <c r="AQ82" s="37">
        <f>SUMIFS($AK$3:$AK$1500,$A$3:$A$1500,A82)</f>
        <v>373429</v>
      </c>
      <c r="AR82" s="21" t="str">
        <f>"PKR "&amp;TEXT(AQ82,"#,##0")&amp;" only"</f>
        <v>PKR 373,429 only</v>
      </c>
      <c r="AS82" s="21" t="str">
        <f>"Sec 153 - deposit by "&amp;TEXT(EOMONTH(B82,0)+15,"dd-mmm-yyyy")</f>
        <v>Sec 153 - deposit by 15-Mar-2026</v>
      </c>
      <c r="AT82" s="21" t="s">
        <v>844</v>
      </c>
      <c r="AU82" s="21" t="s">
        <v>4619</v>
      </c>
      <c r="AV82" s="21" t="s">
        <v>4364</v>
      </c>
      <c r="AW82" s="29">
        <v>46081</v>
      </c>
      <c r="AX82" s="37">
        <f>AQ82+AY82</f>
        <v>373579</v>
      </c>
      <c r="AY82" s="37">
        <v>150</v>
      </c>
      <c r="AZ82" s="21" t="s">
        <v>3090</v>
      </c>
      <c r="BA82" s="21" t="s">
        <v>4356</v>
      </c>
      <c r="BB82" s="21" t="s">
        <v>848</v>
      </c>
      <c r="BC82" s="21" t="s">
        <v>4365</v>
      </c>
      <c r="BD82" s="21" t="str">
        <f>IF(AL82&lt;1,"Bill fully settled","Bill partially settled")</f>
        <v>Bill fully settled</v>
      </c>
      <c r="BE82" s="21" t="str">
        <f>"Payable reduced by PKR "&amp;TEXT(AK82+AI82+AJ82,"#,##0")</f>
        <v>Payable reduced by PKR 411,336</v>
      </c>
      <c r="BF82" s="21" t="s">
        <v>4620</v>
      </c>
      <c r="BG82" s="21" t="s">
        <v>753</v>
      </c>
      <c r="BH82" s="21" t="s">
        <v>844</v>
      </c>
      <c r="BI82" s="21" t="s">
        <v>844</v>
      </c>
      <c r="BJ82" s="21" t="s">
        <v>4387</v>
      </c>
      <c r="BK82" s="21" t="s">
        <v>753</v>
      </c>
      <c r="BL82" s="21" t="s">
        <v>753</v>
      </c>
      <c r="BM82" s="21" t="s">
        <v>753</v>
      </c>
      <c r="BN82" s="21" t="s">
        <v>4368</v>
      </c>
      <c r="BO82" s="21" t="s">
        <v>848</v>
      </c>
      <c r="BP82" s="21" t="str">
        <f>K82</f>
        <v>Paid</v>
      </c>
    </row>
    <row r="83" spans="1:68" x14ac:dyDescent="0.3">
      <c r="A83" s="21" t="s">
        <v>4621</v>
      </c>
      <c r="B83" s="29">
        <v>46081</v>
      </c>
      <c r="C83" s="21" t="s">
        <v>4354</v>
      </c>
      <c r="D83" s="21" t="s">
        <v>743</v>
      </c>
      <c r="E83" s="21" t="s">
        <v>3350</v>
      </c>
      <c r="F83" s="21" t="s">
        <v>3429</v>
      </c>
      <c r="G83" s="21" t="s">
        <v>4355</v>
      </c>
      <c r="H83" s="21" t="s">
        <v>3095</v>
      </c>
      <c r="I83" s="21" t="s">
        <v>3085</v>
      </c>
      <c r="J83" s="21" t="s">
        <v>4356</v>
      </c>
      <c r="K83" s="21" t="s">
        <v>4357</v>
      </c>
      <c r="L83" s="21" t="s">
        <v>3431</v>
      </c>
      <c r="M83" s="21" t="s">
        <v>1213</v>
      </c>
      <c r="N83" s="21" t="s">
        <v>1194</v>
      </c>
      <c r="O83" s="21" t="s">
        <v>746</v>
      </c>
      <c r="P83" s="21" t="s">
        <v>983</v>
      </c>
      <c r="Q83" s="21" t="s">
        <v>1193</v>
      </c>
      <c r="R83" s="21" t="s">
        <v>1198</v>
      </c>
      <c r="S83" s="21" t="s">
        <v>4358</v>
      </c>
      <c r="T83" s="21" t="s">
        <v>3493</v>
      </c>
      <c r="U83" s="37" cm="1">
        <f t="array" ref="U83">SUMPRODUCT(('T08'!$U$3:$U$1500=M83)*('T08'!$AF$3:$AF$1500=1)*('T08'!$I$3:$I$1500&lt;=B83)*'T08'!$BK$3:$BK$1500)-SUMPRODUCT(($M$3:$M$1500=M83)*($B$3:$B$1500&lt;B83)*($AK$3:$AK$1500+$AI$3:$AI$1500+$AJ$3:$AJ$1500))</f>
        <v>-20255</v>
      </c>
      <c r="V83" s="21" t="s">
        <v>4057</v>
      </c>
      <c r="W83" s="21" t="str">
        <f>TEXT(_xlfn.XLOOKUP(V83,'T08'!$G$3:$G$1500,'T08'!$J$3:$J$1500),"dd-mmm-yyyy")&amp;" / due "&amp;TEXT(_xlfn.XLOOKUP(V83,'T08'!$G$3:$G$1500,'T08'!$BQ$3:$BQ$1500),"dd-mmm-yyyy")</f>
        <v>01-Feb-2026 / due 03-Mar-2026</v>
      </c>
      <c r="X83" s="21" t="s">
        <v>4359</v>
      </c>
      <c r="Y83" s="21" t="str">
        <f>_xlfn.XLOOKUP(V83,'T08'!$G$3:$G$1500,'T08'!$AC$3:$AC$1500)</f>
        <v>N/A</v>
      </c>
      <c r="Z83" s="21" t="s">
        <v>844</v>
      </c>
      <c r="AA83" s="37" t="s">
        <v>844</v>
      </c>
      <c r="AB83" s="21" t="str">
        <f>IF(C83="Against bill",IF(V83&lt;&gt;"N/A","OK - bill linked","Missing bill"),IF(Z83&lt;&gt;"N/A","OK - advance request linked","Missing request"))</f>
        <v>OK - bill linked</v>
      </c>
      <c r="AC83" s="21" t="s">
        <v>844</v>
      </c>
      <c r="AD83" s="21" t="s">
        <v>4360</v>
      </c>
      <c r="AE83" s="21">
        <v>1</v>
      </c>
      <c r="AF83" s="21" t="s">
        <v>4404</v>
      </c>
      <c r="AG83" s="37">
        <f>_xlfn.XLOOKUP(V83,'T08'!$G$3:$G$1500,'T08'!$BH$3:$BH$1500)</f>
        <v>94888</v>
      </c>
      <c r="AH83" s="37">
        <v>0</v>
      </c>
      <c r="AI83" s="37">
        <f>_xlfn.XLOOKUP(V83,'T08'!$G$3:$G$1500,'T08'!$BI$3:$BI$1500)</f>
        <v>3796</v>
      </c>
      <c r="AJ83" s="37">
        <f>_xlfn.XLOOKUP(V83,'T08'!$G$3:$G$1500,'T08'!$BJ$3:$BJ$1500)</f>
        <v>0</v>
      </c>
      <c r="AK83" s="37">
        <f>AG83-AH83-AI83-AJ83</f>
        <v>91092</v>
      </c>
      <c r="AL83" s="37">
        <f>AG83-AH83-AI83-AJ83-AK83</f>
        <v>0</v>
      </c>
      <c r="AM83" s="21" t="s">
        <v>4622</v>
      </c>
      <c r="AN83" s="37">
        <f>SUMIFS($AG$3:$AG$1500,$A$3:$A$1500,A83)</f>
        <v>94888</v>
      </c>
      <c r="AO83" s="37">
        <f>SUMIFS($AI$3:$AI$1500,$A$3:$A$1500,A83)</f>
        <v>3796</v>
      </c>
      <c r="AP83" s="37">
        <f>SUMIFS($AJ$3:$AJ$1500,$A$3:$A$1500,A83)</f>
        <v>0</v>
      </c>
      <c r="AQ83" s="37">
        <f>SUMIFS($AK$3:$AK$1500,$A$3:$A$1500,A83)</f>
        <v>91092</v>
      </c>
      <c r="AR83" s="21" t="str">
        <f>"PKR "&amp;TEXT(AQ83,"#,##0")&amp;" only"</f>
        <v>PKR 91,092 only</v>
      </c>
      <c r="AS83" s="21" t="str">
        <f>"Sec 153 - deposit by "&amp;TEXT(EOMONTH(B83,0)+15,"dd-mmm-yyyy")</f>
        <v>Sec 153 - deposit by 15-Mar-2026</v>
      </c>
      <c r="AT83" s="21" t="s">
        <v>844</v>
      </c>
      <c r="AU83" s="21" t="s">
        <v>4623</v>
      </c>
      <c r="AV83" s="21" t="s">
        <v>4364</v>
      </c>
      <c r="AW83" s="29">
        <v>46081</v>
      </c>
      <c r="AX83" s="37">
        <f>AQ83+AY83</f>
        <v>91242</v>
      </c>
      <c r="AY83" s="37">
        <v>150</v>
      </c>
      <c r="AZ83" s="21" t="s">
        <v>3090</v>
      </c>
      <c r="BA83" s="21" t="s">
        <v>4356</v>
      </c>
      <c r="BB83" s="21" t="s">
        <v>848</v>
      </c>
      <c r="BC83" s="21" t="s">
        <v>4365</v>
      </c>
      <c r="BD83" s="21" t="str">
        <f>IF(AL83&lt;1,"Bill fully settled","Bill partially settled")</f>
        <v>Bill fully settled</v>
      </c>
      <c r="BE83" s="21" t="str">
        <f>"Payable reduced by PKR "&amp;TEXT(AK83+AI83+AJ83,"#,##0")</f>
        <v>Payable reduced by PKR 94,888</v>
      </c>
      <c r="BF83" s="21" t="s">
        <v>4624</v>
      </c>
      <c r="BG83" s="21" t="s">
        <v>753</v>
      </c>
      <c r="BH83" s="21" t="s">
        <v>844</v>
      </c>
      <c r="BI83" s="21" t="s">
        <v>844</v>
      </c>
      <c r="BJ83" s="21" t="s">
        <v>4387</v>
      </c>
      <c r="BK83" s="21" t="s">
        <v>753</v>
      </c>
      <c r="BL83" s="21" t="s">
        <v>753</v>
      </c>
      <c r="BM83" s="21" t="s">
        <v>753</v>
      </c>
      <c r="BN83" s="21" t="s">
        <v>4368</v>
      </c>
      <c r="BO83" s="21" t="s">
        <v>848</v>
      </c>
      <c r="BP83" s="21" t="str">
        <f>K83</f>
        <v>Paid</v>
      </c>
    </row>
    <row r="84" spans="1:68" x14ac:dyDescent="0.3">
      <c r="A84" s="21" t="s">
        <v>4625</v>
      </c>
      <c r="B84" s="29">
        <v>46084</v>
      </c>
      <c r="C84" s="21" t="s">
        <v>4354</v>
      </c>
      <c r="D84" s="21" t="s">
        <v>743</v>
      </c>
      <c r="E84" s="21" t="s">
        <v>3350</v>
      </c>
      <c r="F84" s="21" t="s">
        <v>3429</v>
      </c>
      <c r="G84" s="21" t="s">
        <v>4355</v>
      </c>
      <c r="H84" s="21" t="s">
        <v>3095</v>
      </c>
      <c r="I84" s="21" t="s">
        <v>3085</v>
      </c>
      <c r="J84" s="21" t="s">
        <v>4356</v>
      </c>
      <c r="K84" s="21" t="s">
        <v>4357</v>
      </c>
      <c r="L84" s="21" t="s">
        <v>3431</v>
      </c>
      <c r="M84" s="21" t="s">
        <v>1278</v>
      </c>
      <c r="N84" s="21" t="s">
        <v>1200</v>
      </c>
      <c r="O84" s="21" t="s">
        <v>746</v>
      </c>
      <c r="P84" s="21" t="s">
        <v>1014</v>
      </c>
      <c r="Q84" s="21" t="s">
        <v>1199</v>
      </c>
      <c r="R84" s="21" t="s">
        <v>1204</v>
      </c>
      <c r="S84" s="21" t="s">
        <v>4358</v>
      </c>
      <c r="T84" s="21" t="s">
        <v>3441</v>
      </c>
      <c r="U84" s="37" cm="1">
        <f t="array" ref="U84">SUMPRODUCT(('T08'!$U$3:$U$1500=M84)*('T08'!$AF$3:$AF$1500=1)*('T08'!$I$3:$I$1500&lt;=B84)*'T08'!$BK$3:$BK$1500)-SUMPRODUCT(($M$3:$M$1500=M84)*($B$3:$B$1500&lt;B84)*($AK$3:$AK$1500+$AI$3:$AI$1500+$AJ$3:$AJ$1500))</f>
        <v>372252</v>
      </c>
      <c r="V84" s="21" t="s">
        <v>4054</v>
      </c>
      <c r="W84" s="21" t="str">
        <f>TEXT(_xlfn.XLOOKUP(V84,'T08'!$G$3:$G$1500,'T08'!$J$3:$J$1500),"dd-mmm-yyyy")&amp;" / due "&amp;TEXT(_xlfn.XLOOKUP(V84,'T08'!$G$3:$G$1500,'T08'!$BQ$3:$BQ$1500),"dd-mmm-yyyy")</f>
        <v>01-Feb-2026 / due 03-Mar-2026</v>
      </c>
      <c r="X84" s="21" t="s">
        <v>4359</v>
      </c>
      <c r="Y84" s="21" t="str">
        <f>_xlfn.XLOOKUP(V84,'T08'!$G$3:$G$1500,'T08'!$AC$3:$AC$1500)</f>
        <v>N/A</v>
      </c>
      <c r="Z84" s="21" t="s">
        <v>844</v>
      </c>
      <c r="AA84" s="37" t="s">
        <v>844</v>
      </c>
      <c r="AB84" s="21" t="str">
        <f>IF(C84="Against bill",IF(V84&lt;&gt;"N/A","OK - bill linked","Missing bill"),IF(Z84&lt;&gt;"N/A","OK - advance request linked","Missing request"))</f>
        <v>OK - bill linked</v>
      </c>
      <c r="AC84" s="21" t="s">
        <v>844</v>
      </c>
      <c r="AD84" s="21" t="s">
        <v>4360</v>
      </c>
      <c r="AE84" s="21">
        <v>1</v>
      </c>
      <c r="AF84" s="21" t="s">
        <v>4383</v>
      </c>
      <c r="AG84" s="37">
        <f>_xlfn.XLOOKUP(V84,'T08'!$G$3:$G$1500,'T08'!$BH$3:$BH$1500)</f>
        <v>142332</v>
      </c>
      <c r="AH84" s="37">
        <v>0</v>
      </c>
      <c r="AI84" s="37">
        <f>_xlfn.XLOOKUP(V84,'T08'!$G$3:$G$1500,'T08'!$BI$3:$BI$1500)</f>
        <v>5693</v>
      </c>
      <c r="AJ84" s="37">
        <f>_xlfn.XLOOKUP(V84,'T08'!$G$3:$G$1500,'T08'!$BJ$3:$BJ$1500)</f>
        <v>0</v>
      </c>
      <c r="AK84" s="37">
        <f>AG84-AH84-AI84-AJ84</f>
        <v>136639</v>
      </c>
      <c r="AL84" s="37">
        <f>AG84-AH84-AI84-AJ84-AK84</f>
        <v>0</v>
      </c>
      <c r="AM84" s="21" t="s">
        <v>4626</v>
      </c>
      <c r="AN84" s="37">
        <f>SUMIFS($AG$3:$AG$1500,$A$3:$A$1500,A84)</f>
        <v>142332</v>
      </c>
      <c r="AO84" s="37">
        <f>SUMIFS($AI$3:$AI$1500,$A$3:$A$1500,A84)</f>
        <v>5693</v>
      </c>
      <c r="AP84" s="37">
        <f>SUMIFS($AJ$3:$AJ$1500,$A$3:$A$1500,A84)</f>
        <v>0</v>
      </c>
      <c r="AQ84" s="37">
        <f>SUMIFS($AK$3:$AK$1500,$A$3:$A$1500,A84)</f>
        <v>136639</v>
      </c>
      <c r="AR84" s="21" t="str">
        <f>"PKR "&amp;TEXT(AQ84,"#,##0")&amp;" only"</f>
        <v>PKR 136,639 only</v>
      </c>
      <c r="AS84" s="21" t="str">
        <f>"Sec 153 - deposit by "&amp;TEXT(EOMONTH(B84,0)+15,"dd-mmm-yyyy")</f>
        <v>Sec 153 - deposit by 15-Apr-2026</v>
      </c>
      <c r="AT84" s="21" t="s">
        <v>844</v>
      </c>
      <c r="AU84" s="21" t="s">
        <v>4627</v>
      </c>
      <c r="AV84" s="21" t="s">
        <v>4364</v>
      </c>
      <c r="AW84" s="29">
        <v>46084</v>
      </c>
      <c r="AX84" s="37">
        <f>AQ84+AY84</f>
        <v>136789</v>
      </c>
      <c r="AY84" s="37">
        <v>150</v>
      </c>
      <c r="AZ84" s="21" t="s">
        <v>3090</v>
      </c>
      <c r="BA84" s="21" t="s">
        <v>4356</v>
      </c>
      <c r="BB84" s="21" t="s">
        <v>848</v>
      </c>
      <c r="BC84" s="21" t="s">
        <v>4365</v>
      </c>
      <c r="BD84" s="21" t="str">
        <f>IF(AL84&lt;1,"Bill fully settled","Bill partially settled")</f>
        <v>Bill fully settled</v>
      </c>
      <c r="BE84" s="21" t="str">
        <f>"Payable reduced by PKR "&amp;TEXT(AK84+AI84+AJ84,"#,##0")</f>
        <v>Payable reduced by PKR 142,332</v>
      </c>
      <c r="BF84" s="21" t="s">
        <v>4628</v>
      </c>
      <c r="BG84" s="21" t="s">
        <v>753</v>
      </c>
      <c r="BH84" s="21" t="s">
        <v>844</v>
      </c>
      <c r="BI84" s="21" t="s">
        <v>844</v>
      </c>
      <c r="BJ84" s="21" t="s">
        <v>4387</v>
      </c>
      <c r="BK84" s="21" t="s">
        <v>753</v>
      </c>
      <c r="BL84" s="21" t="s">
        <v>753</v>
      </c>
      <c r="BM84" s="21" t="s">
        <v>753</v>
      </c>
      <c r="BN84" s="21" t="s">
        <v>4368</v>
      </c>
      <c r="BO84" s="21" t="s">
        <v>848</v>
      </c>
      <c r="BP84" s="21" t="str">
        <f>K84</f>
        <v>Paid</v>
      </c>
    </row>
    <row r="85" spans="1:68" x14ac:dyDescent="0.3">
      <c r="A85" s="21" t="s">
        <v>4629</v>
      </c>
      <c r="B85" s="29">
        <v>46087</v>
      </c>
      <c r="C85" s="21" t="s">
        <v>4354</v>
      </c>
      <c r="D85" s="21" t="s">
        <v>743</v>
      </c>
      <c r="E85" s="21" t="s">
        <v>3350</v>
      </c>
      <c r="F85" s="21" t="s">
        <v>3351</v>
      </c>
      <c r="G85" s="21" t="s">
        <v>4355</v>
      </c>
      <c r="H85" s="21" t="s">
        <v>3095</v>
      </c>
      <c r="I85" s="21" t="s">
        <v>3085</v>
      </c>
      <c r="J85" s="21" t="s">
        <v>4356</v>
      </c>
      <c r="K85" s="21" t="s">
        <v>4357</v>
      </c>
      <c r="L85" s="21" t="s">
        <v>3502</v>
      </c>
      <c r="M85" s="21" t="s">
        <v>3503</v>
      </c>
      <c r="N85" s="21" t="s">
        <v>3504</v>
      </c>
      <c r="O85" s="21" t="s">
        <v>746</v>
      </c>
      <c r="P85" s="21" t="s">
        <v>4429</v>
      </c>
      <c r="Q85" s="21" t="s">
        <v>4630</v>
      </c>
      <c r="R85" s="21" t="s">
        <v>4631</v>
      </c>
      <c r="S85" s="21" t="s">
        <v>4358</v>
      </c>
      <c r="T85" s="21" t="s">
        <v>3505</v>
      </c>
      <c r="U85" s="37" cm="1">
        <f t="array" ref="U85">SUMPRODUCT(('T08'!$U$3:$U$1500=M85)*('T08'!$AF$3:$AF$1500=1)*('T08'!$I$3:$I$1500&lt;=B85)*'T08'!$BK$3:$BK$1500)-SUMPRODUCT(($M$3:$M$1500=M85)*($B$3:$B$1500&lt;B85)*($AK$3:$AK$1500+$AI$3:$AI$1500+$AJ$3:$AJ$1500))</f>
        <v>69748.599999999991</v>
      </c>
      <c r="V85" s="21" t="s">
        <v>3499</v>
      </c>
      <c r="W85" s="21" t="str">
        <f>TEXT(_xlfn.XLOOKUP(V85,'T08'!$G$3:$G$1500,'T08'!$J$3:$J$1500),"dd-mmm-yyyy")&amp;" / due "&amp;TEXT(_xlfn.XLOOKUP(V85,'T08'!$G$3:$G$1500,'T08'!$BQ$3:$BQ$1500),"dd-mmm-yyyy")</f>
        <v>07-Dec-2024 / due 06-Jan-2025</v>
      </c>
      <c r="X85" s="21" t="s">
        <v>4359</v>
      </c>
      <c r="Y85" s="21" t="str">
        <f>_xlfn.XLOOKUP(V85,'T08'!$G$3:$G$1500,'T08'!$AC$3:$AC$1500)</f>
        <v>PO-2412-906</v>
      </c>
      <c r="Z85" s="21" t="s">
        <v>844</v>
      </c>
      <c r="AA85" s="37" t="s">
        <v>844</v>
      </c>
      <c r="AB85" s="21" t="str">
        <f>IF(C85="Against bill",IF(V85&lt;&gt;"N/A","OK - bill linked","Missing bill"),IF(Z85&lt;&gt;"N/A","OK - advance request linked","Missing request"))</f>
        <v>OK - bill linked</v>
      </c>
      <c r="AC85" s="21" t="s">
        <v>844</v>
      </c>
      <c r="AD85" s="21" t="s">
        <v>4360</v>
      </c>
      <c r="AE85" s="21">
        <v>1</v>
      </c>
      <c r="AF85" s="21" t="s">
        <v>4632</v>
      </c>
      <c r="AG85" s="37">
        <f>_xlfn.XLOOKUP(V85,'T08'!$G$3:$G$1500,'T08'!$BH$3:$BH$1500)</f>
        <v>17841.599999999999</v>
      </c>
      <c r="AH85" s="37">
        <v>0</v>
      </c>
      <c r="AI85" s="37">
        <f>_xlfn.XLOOKUP(V85,'T08'!$G$3:$G$1500,'T08'!$BI$3:$BI$1500)</f>
        <v>892</v>
      </c>
      <c r="AJ85" s="37">
        <f>_xlfn.XLOOKUP(V85,'T08'!$G$3:$G$1500,'T08'!$BJ$3:$BJ$1500)</f>
        <v>0</v>
      </c>
      <c r="AK85" s="37">
        <f>AG85-AH85-AI85-AJ85</f>
        <v>16949.599999999999</v>
      </c>
      <c r="AL85" s="37">
        <f>AG85-AH85-AI85-AJ85-AK85</f>
        <v>0</v>
      </c>
      <c r="AM85" s="21" t="s">
        <v>4633</v>
      </c>
      <c r="AN85" s="37">
        <f>SUMIFS($AG$3:$AG$1500,$A$3:$A$1500,A85)</f>
        <v>73419.599999999991</v>
      </c>
      <c r="AO85" s="37">
        <f>SUMIFS($AI$3:$AI$1500,$A$3:$A$1500,A85)</f>
        <v>3671</v>
      </c>
      <c r="AP85" s="37">
        <f>SUMIFS($AJ$3:$AJ$1500,$A$3:$A$1500,A85)</f>
        <v>0</v>
      </c>
      <c r="AQ85" s="37">
        <f>SUMIFS($AK$3:$AK$1500,$A$3:$A$1500,A85)</f>
        <v>69748.599999999991</v>
      </c>
      <c r="AR85" s="21" t="str">
        <f>"PKR "&amp;TEXT(AQ85,"#,##0")&amp;" only"</f>
        <v>PKR 69,749 only</v>
      </c>
      <c r="AS85" s="21" t="str">
        <f>"Sec 153 - deposit by "&amp;TEXT(EOMONTH(B85,0)+15,"dd-mmm-yyyy")</f>
        <v>Sec 153 - deposit by 15-Apr-2026</v>
      </c>
      <c r="AT85" s="21" t="s">
        <v>844</v>
      </c>
      <c r="AU85" s="21" t="s">
        <v>4634</v>
      </c>
      <c r="AV85" s="21" t="s">
        <v>4364</v>
      </c>
      <c r="AW85" s="29">
        <v>46087</v>
      </c>
      <c r="AX85" s="37">
        <f>AQ85+AY85</f>
        <v>69898.599999999991</v>
      </c>
      <c r="AY85" s="37">
        <v>150</v>
      </c>
      <c r="AZ85" s="21" t="s">
        <v>3090</v>
      </c>
      <c r="BA85" s="21" t="s">
        <v>4356</v>
      </c>
      <c r="BB85" s="21" t="s">
        <v>848</v>
      </c>
      <c r="BC85" s="21" t="s">
        <v>4365</v>
      </c>
      <c r="BD85" s="21" t="str">
        <f>IF(AL85&lt;1,"Bill fully settled","Bill partially settled")</f>
        <v>Bill fully settled</v>
      </c>
      <c r="BE85" s="21" t="str">
        <f>"Payable reduced by PKR "&amp;TEXT(AK85+AI85+AJ85,"#,##0")</f>
        <v>Payable reduced by PKR 17,842</v>
      </c>
      <c r="BF85" s="21" t="s">
        <v>4635</v>
      </c>
      <c r="BG85" s="21" t="s">
        <v>753</v>
      </c>
      <c r="BH85" s="21" t="s">
        <v>4367</v>
      </c>
      <c r="BI85" s="21" t="s">
        <v>844</v>
      </c>
      <c r="BJ85" s="21" t="s">
        <v>844</v>
      </c>
      <c r="BK85" s="21" t="s">
        <v>753</v>
      </c>
      <c r="BL85" s="21" t="s">
        <v>753</v>
      </c>
      <c r="BM85" s="21" t="s">
        <v>753</v>
      </c>
      <c r="BN85" s="21" t="s">
        <v>4368</v>
      </c>
      <c r="BO85" s="21" t="s">
        <v>848</v>
      </c>
      <c r="BP85" s="21" t="str">
        <f>K85</f>
        <v>Paid</v>
      </c>
    </row>
    <row r="86" spans="1:68" x14ac:dyDescent="0.3">
      <c r="A86" s="21" t="s">
        <v>4629</v>
      </c>
      <c r="B86" s="29">
        <v>46087</v>
      </c>
      <c r="C86" s="21" t="s">
        <v>4354</v>
      </c>
      <c r="D86" s="21" t="s">
        <v>743</v>
      </c>
      <c r="E86" s="21" t="s">
        <v>3350</v>
      </c>
      <c r="F86" s="21" t="s">
        <v>3351</v>
      </c>
      <c r="G86" s="21" t="s">
        <v>4355</v>
      </c>
      <c r="H86" s="21" t="s">
        <v>3095</v>
      </c>
      <c r="I86" s="21" t="s">
        <v>3085</v>
      </c>
      <c r="J86" s="21" t="s">
        <v>4356</v>
      </c>
      <c r="K86" s="21" t="s">
        <v>4357</v>
      </c>
      <c r="L86" s="21" t="s">
        <v>3502</v>
      </c>
      <c r="M86" s="21" t="s">
        <v>3503</v>
      </c>
      <c r="N86" s="21" t="s">
        <v>3504</v>
      </c>
      <c r="O86" s="21" t="s">
        <v>746</v>
      </c>
      <c r="P86" s="21" t="s">
        <v>4429</v>
      </c>
      <c r="Q86" s="21" t="s">
        <v>4630</v>
      </c>
      <c r="R86" s="21" t="s">
        <v>4631</v>
      </c>
      <c r="S86" s="21" t="s">
        <v>4358</v>
      </c>
      <c r="T86" s="21" t="s">
        <v>3505</v>
      </c>
      <c r="U86" s="37" cm="1">
        <f t="array" ref="U86">SUMPRODUCT(('T08'!$U$3:$U$1500=M86)*('T08'!$AF$3:$AF$1500=1)*('T08'!$I$3:$I$1500&lt;=B86)*'T08'!$BK$3:$BK$1500)-SUMPRODUCT(($M$3:$M$1500=M86)*($B$3:$B$1500&lt;B86)*($AK$3:$AK$1500+$AI$3:$AI$1500+$AJ$3:$AJ$1500))</f>
        <v>69748.599999999991</v>
      </c>
      <c r="V86" s="21" t="s">
        <v>3727</v>
      </c>
      <c r="W86" s="21" t="str">
        <f>TEXT(_xlfn.XLOOKUP(V86,'T08'!$G$3:$G$1500,'T08'!$J$3:$J$1500),"dd-mmm-yyyy")&amp;" / due "&amp;TEXT(_xlfn.XLOOKUP(V86,'T08'!$G$3:$G$1500,'T08'!$BQ$3:$BQ$1500),"dd-mmm-yyyy")</f>
        <v>18-May-2025 / due 17-Jun-2025</v>
      </c>
      <c r="X86" s="21" t="s">
        <v>4359</v>
      </c>
      <c r="Y86" s="21" t="str">
        <f>_xlfn.XLOOKUP(V86,'T08'!$G$3:$G$1500,'T08'!$AC$3:$AC$1500)</f>
        <v>PO-2505-918</v>
      </c>
      <c r="Z86" s="21" t="s">
        <v>844</v>
      </c>
      <c r="AA86" s="37" t="s">
        <v>844</v>
      </c>
      <c r="AB86" s="21" t="str">
        <f>IF(C86="Against bill",IF(V86&lt;&gt;"N/A","OK - bill linked","Missing bill"),IF(Z86&lt;&gt;"N/A","OK - advance request linked","Missing request"))</f>
        <v>OK - bill linked</v>
      </c>
      <c r="AC86" s="21" t="s">
        <v>844</v>
      </c>
      <c r="AD86" s="21" t="s">
        <v>4360</v>
      </c>
      <c r="AE86" s="21">
        <v>2</v>
      </c>
      <c r="AF86" s="21" t="s">
        <v>4632</v>
      </c>
      <c r="AG86" s="37">
        <f>_xlfn.XLOOKUP(V86,'T08'!$G$3:$G$1500,'T08'!$BH$3:$BH$1500)</f>
        <v>18195.599999999999</v>
      </c>
      <c r="AH86" s="37">
        <v>0</v>
      </c>
      <c r="AI86" s="37">
        <f>_xlfn.XLOOKUP(V86,'T08'!$G$3:$G$1500,'T08'!$BI$3:$BI$1500)</f>
        <v>910</v>
      </c>
      <c r="AJ86" s="37">
        <f>_xlfn.XLOOKUP(V86,'T08'!$G$3:$G$1500,'T08'!$BJ$3:$BJ$1500)</f>
        <v>0</v>
      </c>
      <c r="AK86" s="37">
        <f>AG86-AH86-AI86-AJ86</f>
        <v>17285.599999999999</v>
      </c>
      <c r="AL86" s="37">
        <f>AG86-AH86-AI86-AJ86-AK86</f>
        <v>0</v>
      </c>
      <c r="AM86" s="21" t="s">
        <v>4636</v>
      </c>
      <c r="AN86" s="37">
        <f>SUMIFS($AG$3:$AG$1500,$A$3:$A$1500,A86)</f>
        <v>73419.599999999991</v>
      </c>
      <c r="AO86" s="37">
        <f>SUMIFS($AI$3:$AI$1500,$A$3:$A$1500,A86)</f>
        <v>3671</v>
      </c>
      <c r="AP86" s="37">
        <f>SUMIFS($AJ$3:$AJ$1500,$A$3:$A$1500,A86)</f>
        <v>0</v>
      </c>
      <c r="AQ86" s="37">
        <f>SUMIFS($AK$3:$AK$1500,$A$3:$A$1500,A86)</f>
        <v>69748.599999999991</v>
      </c>
      <c r="AR86" s="21" t="str">
        <f>"PKR "&amp;TEXT(AQ86,"#,##0")&amp;" only"</f>
        <v>PKR 69,749 only</v>
      </c>
      <c r="AS86" s="21" t="str">
        <f>"Sec 153 - deposit by "&amp;TEXT(EOMONTH(B86,0)+15,"dd-mmm-yyyy")</f>
        <v>Sec 153 - deposit by 15-Apr-2026</v>
      </c>
      <c r="AT86" s="21" t="s">
        <v>844</v>
      </c>
      <c r="AU86" s="21" t="s">
        <v>4637</v>
      </c>
      <c r="AV86" s="21" t="s">
        <v>4364</v>
      </c>
      <c r="AW86" s="29">
        <v>46087</v>
      </c>
      <c r="AX86" s="37">
        <f>AQ86+AY86</f>
        <v>69748.599999999991</v>
      </c>
      <c r="AY86" s="37">
        <v>0</v>
      </c>
      <c r="AZ86" s="21" t="s">
        <v>3090</v>
      </c>
      <c r="BA86" s="21" t="s">
        <v>4356</v>
      </c>
      <c r="BB86" s="21" t="s">
        <v>848</v>
      </c>
      <c r="BC86" s="21" t="s">
        <v>4365</v>
      </c>
      <c r="BD86" s="21" t="str">
        <f>IF(AL86&lt;1,"Bill fully settled","Bill partially settled")</f>
        <v>Bill fully settled</v>
      </c>
      <c r="BE86" s="21" t="str">
        <f>"Payable reduced by PKR "&amp;TEXT(AK86+AI86+AJ86,"#,##0")</f>
        <v>Payable reduced by PKR 18,196</v>
      </c>
      <c r="BF86" s="21" t="s">
        <v>4635</v>
      </c>
      <c r="BG86" s="21" t="s">
        <v>753</v>
      </c>
      <c r="BH86" s="21" t="s">
        <v>4367</v>
      </c>
      <c r="BI86" s="21" t="s">
        <v>844</v>
      </c>
      <c r="BJ86" s="21" t="s">
        <v>844</v>
      </c>
      <c r="BK86" s="21" t="s">
        <v>753</v>
      </c>
      <c r="BL86" s="21" t="s">
        <v>753</v>
      </c>
      <c r="BM86" s="21" t="s">
        <v>753</v>
      </c>
      <c r="BN86" s="21" t="s">
        <v>4368</v>
      </c>
      <c r="BO86" s="21" t="s">
        <v>848</v>
      </c>
      <c r="BP86" s="21" t="str">
        <f>K86</f>
        <v>Paid</v>
      </c>
    </row>
    <row r="87" spans="1:68" x14ac:dyDescent="0.3">
      <c r="A87" s="21" t="s">
        <v>4629</v>
      </c>
      <c r="B87" s="29">
        <v>46087</v>
      </c>
      <c r="C87" s="21" t="s">
        <v>4354</v>
      </c>
      <c r="D87" s="21" t="s">
        <v>743</v>
      </c>
      <c r="E87" s="21" t="s">
        <v>3350</v>
      </c>
      <c r="F87" s="21" t="s">
        <v>3351</v>
      </c>
      <c r="G87" s="21" t="s">
        <v>4355</v>
      </c>
      <c r="H87" s="21" t="s">
        <v>3095</v>
      </c>
      <c r="I87" s="21" t="s">
        <v>3085</v>
      </c>
      <c r="J87" s="21" t="s">
        <v>4356</v>
      </c>
      <c r="K87" s="21" t="s">
        <v>4357</v>
      </c>
      <c r="L87" s="21" t="s">
        <v>3502</v>
      </c>
      <c r="M87" s="21" t="s">
        <v>3503</v>
      </c>
      <c r="N87" s="21" t="s">
        <v>3504</v>
      </c>
      <c r="O87" s="21" t="s">
        <v>746</v>
      </c>
      <c r="P87" s="21" t="s">
        <v>4429</v>
      </c>
      <c r="Q87" s="21" t="s">
        <v>4630</v>
      </c>
      <c r="R87" s="21" t="s">
        <v>4631</v>
      </c>
      <c r="S87" s="21" t="s">
        <v>4358</v>
      </c>
      <c r="T87" s="21" t="s">
        <v>3505</v>
      </c>
      <c r="U87" s="37" cm="1">
        <f t="array" ref="U87">SUMPRODUCT(('T08'!$U$3:$U$1500=M87)*('T08'!$AF$3:$AF$1500=1)*('T08'!$I$3:$I$1500&lt;=B87)*'T08'!$BK$3:$BK$1500)-SUMPRODUCT(($M$3:$M$1500=M87)*($B$3:$B$1500&lt;B87)*($AK$3:$AK$1500+$AI$3:$AI$1500+$AJ$3:$AJ$1500))</f>
        <v>69748.599999999991</v>
      </c>
      <c r="V87" s="21" t="s">
        <v>3922</v>
      </c>
      <c r="W87" s="21" t="str">
        <f>TEXT(_xlfn.XLOOKUP(V87,'T08'!$G$3:$G$1500,'T08'!$J$3:$J$1500),"dd-mmm-yyyy")&amp;" / due "&amp;TEXT(_xlfn.XLOOKUP(V87,'T08'!$G$3:$G$1500,'T08'!$BQ$3:$BQ$1500),"dd-mmm-yyyy")</f>
        <v>19-Oct-2025 / due 18-Nov-2025</v>
      </c>
      <c r="X87" s="21" t="s">
        <v>4359</v>
      </c>
      <c r="Y87" s="21" t="str">
        <f>_xlfn.XLOOKUP(V87,'T08'!$G$3:$G$1500,'T08'!$AC$3:$AC$1500)</f>
        <v>PO-2510-930</v>
      </c>
      <c r="Z87" s="21" t="s">
        <v>844</v>
      </c>
      <c r="AA87" s="37" t="s">
        <v>844</v>
      </c>
      <c r="AB87" s="21" t="str">
        <f>IF(C87="Against bill",IF(V87&lt;&gt;"N/A","OK - bill linked","Missing bill"),IF(Z87&lt;&gt;"N/A","OK - advance request linked","Missing request"))</f>
        <v>OK - bill linked</v>
      </c>
      <c r="AC87" s="21" t="s">
        <v>844</v>
      </c>
      <c r="AD87" s="21" t="s">
        <v>4360</v>
      </c>
      <c r="AE87" s="21">
        <v>3</v>
      </c>
      <c r="AF87" s="21" t="s">
        <v>4632</v>
      </c>
      <c r="AG87" s="37">
        <f>_xlfn.XLOOKUP(V87,'T08'!$G$3:$G$1500,'T08'!$BH$3:$BH$1500)</f>
        <v>18549.599999999999</v>
      </c>
      <c r="AH87" s="37">
        <v>0</v>
      </c>
      <c r="AI87" s="37">
        <f>_xlfn.XLOOKUP(V87,'T08'!$G$3:$G$1500,'T08'!$BI$3:$BI$1500)</f>
        <v>927</v>
      </c>
      <c r="AJ87" s="37">
        <f>_xlfn.XLOOKUP(V87,'T08'!$G$3:$G$1500,'T08'!$BJ$3:$BJ$1500)</f>
        <v>0</v>
      </c>
      <c r="AK87" s="37">
        <f>AG87-AH87-AI87-AJ87</f>
        <v>17622.599999999999</v>
      </c>
      <c r="AL87" s="37">
        <f>AG87-AH87-AI87-AJ87-AK87</f>
        <v>0</v>
      </c>
      <c r="AM87" s="21" t="s">
        <v>4638</v>
      </c>
      <c r="AN87" s="37">
        <f>SUMIFS($AG$3:$AG$1500,$A$3:$A$1500,A87)</f>
        <v>73419.599999999991</v>
      </c>
      <c r="AO87" s="37">
        <f>SUMIFS($AI$3:$AI$1500,$A$3:$A$1500,A87)</f>
        <v>3671</v>
      </c>
      <c r="AP87" s="37">
        <f>SUMIFS($AJ$3:$AJ$1500,$A$3:$A$1500,A87)</f>
        <v>0</v>
      </c>
      <c r="AQ87" s="37">
        <f>SUMIFS($AK$3:$AK$1500,$A$3:$A$1500,A87)</f>
        <v>69748.599999999991</v>
      </c>
      <c r="AR87" s="21" t="str">
        <f>"PKR "&amp;TEXT(AQ87,"#,##0")&amp;" only"</f>
        <v>PKR 69,749 only</v>
      </c>
      <c r="AS87" s="21" t="str">
        <f>"Sec 153 - deposit by "&amp;TEXT(EOMONTH(B87,0)+15,"dd-mmm-yyyy")</f>
        <v>Sec 153 - deposit by 15-Apr-2026</v>
      </c>
      <c r="AT87" s="21" t="s">
        <v>844</v>
      </c>
      <c r="AU87" s="21" t="s">
        <v>4639</v>
      </c>
      <c r="AV87" s="21" t="s">
        <v>4364</v>
      </c>
      <c r="AW87" s="29">
        <v>46087</v>
      </c>
      <c r="AX87" s="37">
        <f>AQ87+AY87</f>
        <v>69748.599999999991</v>
      </c>
      <c r="AY87" s="37">
        <v>0</v>
      </c>
      <c r="AZ87" s="21" t="s">
        <v>3090</v>
      </c>
      <c r="BA87" s="21" t="s">
        <v>4356</v>
      </c>
      <c r="BB87" s="21" t="s">
        <v>848</v>
      </c>
      <c r="BC87" s="21" t="s">
        <v>4365</v>
      </c>
      <c r="BD87" s="21" t="str">
        <f>IF(AL87&lt;1,"Bill fully settled","Bill partially settled")</f>
        <v>Bill fully settled</v>
      </c>
      <c r="BE87" s="21" t="str">
        <f>"Payable reduced by PKR "&amp;TEXT(AK87+AI87+AJ87,"#,##0")</f>
        <v>Payable reduced by PKR 18,550</v>
      </c>
      <c r="BF87" s="21" t="s">
        <v>4635</v>
      </c>
      <c r="BG87" s="21" t="s">
        <v>753</v>
      </c>
      <c r="BH87" s="21" t="s">
        <v>4367</v>
      </c>
      <c r="BI87" s="21" t="s">
        <v>844</v>
      </c>
      <c r="BJ87" s="21" t="s">
        <v>844</v>
      </c>
      <c r="BK87" s="21" t="s">
        <v>753</v>
      </c>
      <c r="BL87" s="21" t="s">
        <v>753</v>
      </c>
      <c r="BM87" s="21" t="s">
        <v>753</v>
      </c>
      <c r="BN87" s="21" t="s">
        <v>4368</v>
      </c>
      <c r="BO87" s="21" t="s">
        <v>848</v>
      </c>
      <c r="BP87" s="21" t="str">
        <f>K87</f>
        <v>Paid</v>
      </c>
    </row>
    <row r="88" spans="1:68" x14ac:dyDescent="0.3">
      <c r="A88" s="21" t="s">
        <v>4629</v>
      </c>
      <c r="B88" s="29">
        <v>46087</v>
      </c>
      <c r="C88" s="21" t="s">
        <v>4354</v>
      </c>
      <c r="D88" s="21" t="s">
        <v>743</v>
      </c>
      <c r="E88" s="21" t="s">
        <v>3350</v>
      </c>
      <c r="F88" s="21" t="s">
        <v>3351</v>
      </c>
      <c r="G88" s="21" t="s">
        <v>4355</v>
      </c>
      <c r="H88" s="21" t="s">
        <v>3095</v>
      </c>
      <c r="I88" s="21" t="s">
        <v>3085</v>
      </c>
      <c r="J88" s="21" t="s">
        <v>4356</v>
      </c>
      <c r="K88" s="21" t="s">
        <v>4357</v>
      </c>
      <c r="L88" s="21" t="s">
        <v>3502</v>
      </c>
      <c r="M88" s="21" t="s">
        <v>3503</v>
      </c>
      <c r="N88" s="21" t="s">
        <v>3504</v>
      </c>
      <c r="O88" s="21" t="s">
        <v>746</v>
      </c>
      <c r="P88" s="21" t="s">
        <v>4429</v>
      </c>
      <c r="Q88" s="21" t="s">
        <v>4630</v>
      </c>
      <c r="R88" s="21" t="s">
        <v>4631</v>
      </c>
      <c r="S88" s="21" t="s">
        <v>4358</v>
      </c>
      <c r="T88" s="21" t="s">
        <v>3505</v>
      </c>
      <c r="U88" s="37" cm="1">
        <f t="array" ref="U88">SUMPRODUCT(('T08'!$U$3:$U$1500=M88)*('T08'!$AF$3:$AF$1500=1)*('T08'!$I$3:$I$1500&lt;=B88)*'T08'!$BK$3:$BK$1500)-SUMPRODUCT(($M$3:$M$1500=M88)*($B$3:$B$1500&lt;B88)*($AK$3:$AK$1500+$AI$3:$AI$1500+$AJ$3:$AJ$1500))</f>
        <v>69748.599999999991</v>
      </c>
      <c r="V88" s="21" t="s">
        <v>4069</v>
      </c>
      <c r="W88" s="21" t="str">
        <f>TEXT(_xlfn.XLOOKUP(V88,'T08'!$G$3:$G$1500,'T08'!$J$3:$J$1500),"dd-mmm-yyyy")&amp;" / due "&amp;TEXT(_xlfn.XLOOKUP(V88,'T08'!$G$3:$G$1500,'T08'!$BQ$3:$BQ$1500),"dd-mmm-yyyy")</f>
        <v>05-Feb-2026 / due 07-Mar-2026</v>
      </c>
      <c r="X88" s="21" t="s">
        <v>4359</v>
      </c>
      <c r="Y88" s="21" t="str">
        <f>_xlfn.XLOOKUP(V88,'T08'!$G$3:$G$1500,'T08'!$AC$3:$AC$1500)</f>
        <v>PO-2602-942</v>
      </c>
      <c r="Z88" s="21" t="s">
        <v>844</v>
      </c>
      <c r="AA88" s="37" t="s">
        <v>844</v>
      </c>
      <c r="AB88" s="21" t="str">
        <f>IF(C88="Against bill",IF(V88&lt;&gt;"N/A","OK - bill linked","Missing bill"),IF(Z88&lt;&gt;"N/A","OK - advance request linked","Missing request"))</f>
        <v>OK - bill linked</v>
      </c>
      <c r="AC88" s="21" t="s">
        <v>844</v>
      </c>
      <c r="AD88" s="21" t="s">
        <v>4360</v>
      </c>
      <c r="AE88" s="21">
        <v>4</v>
      </c>
      <c r="AF88" s="21" t="s">
        <v>4632</v>
      </c>
      <c r="AG88" s="37">
        <f>_xlfn.XLOOKUP(V88,'T08'!$G$3:$G$1500,'T08'!$BH$3:$BH$1500)</f>
        <v>18832.8</v>
      </c>
      <c r="AH88" s="37">
        <v>0</v>
      </c>
      <c r="AI88" s="37">
        <f>_xlfn.XLOOKUP(V88,'T08'!$G$3:$G$1500,'T08'!$BI$3:$BI$1500)</f>
        <v>942</v>
      </c>
      <c r="AJ88" s="37">
        <f>_xlfn.XLOOKUP(V88,'T08'!$G$3:$G$1500,'T08'!$BJ$3:$BJ$1500)</f>
        <v>0</v>
      </c>
      <c r="AK88" s="37">
        <f>AG88-AH88-AI88-AJ88</f>
        <v>17890.8</v>
      </c>
      <c r="AL88" s="37">
        <f>AG88-AH88-AI88-AJ88-AK88</f>
        <v>0</v>
      </c>
      <c r="AM88" s="21" t="s">
        <v>4640</v>
      </c>
      <c r="AN88" s="37">
        <f>SUMIFS($AG$3:$AG$1500,$A$3:$A$1500,A88)</f>
        <v>73419.599999999991</v>
      </c>
      <c r="AO88" s="37">
        <f>SUMIFS($AI$3:$AI$1500,$A$3:$A$1500,A88)</f>
        <v>3671</v>
      </c>
      <c r="AP88" s="37">
        <f>SUMIFS($AJ$3:$AJ$1500,$A$3:$A$1500,A88)</f>
        <v>0</v>
      </c>
      <c r="AQ88" s="37">
        <f>SUMIFS($AK$3:$AK$1500,$A$3:$A$1500,A88)</f>
        <v>69748.599999999991</v>
      </c>
      <c r="AR88" s="21" t="str">
        <f>"PKR "&amp;TEXT(AQ88,"#,##0")&amp;" only"</f>
        <v>PKR 69,749 only</v>
      </c>
      <c r="AS88" s="21" t="str">
        <f>"Sec 153 - deposit by "&amp;TEXT(EOMONTH(B88,0)+15,"dd-mmm-yyyy")</f>
        <v>Sec 153 - deposit by 15-Apr-2026</v>
      </c>
      <c r="AT88" s="21" t="s">
        <v>844</v>
      </c>
      <c r="AU88" s="21" t="s">
        <v>4641</v>
      </c>
      <c r="AV88" s="21" t="s">
        <v>4364</v>
      </c>
      <c r="AW88" s="29">
        <v>46087</v>
      </c>
      <c r="AX88" s="37">
        <f>AQ88+AY88</f>
        <v>69748.599999999991</v>
      </c>
      <c r="AY88" s="37">
        <v>0</v>
      </c>
      <c r="AZ88" s="21" t="s">
        <v>3090</v>
      </c>
      <c r="BA88" s="21" t="s">
        <v>4356</v>
      </c>
      <c r="BB88" s="21" t="s">
        <v>848</v>
      </c>
      <c r="BC88" s="21" t="s">
        <v>4365</v>
      </c>
      <c r="BD88" s="21" t="str">
        <f>IF(AL88&lt;1,"Bill fully settled","Bill partially settled")</f>
        <v>Bill fully settled</v>
      </c>
      <c r="BE88" s="21" t="str">
        <f>"Payable reduced by PKR "&amp;TEXT(AK88+AI88+AJ88,"#,##0")</f>
        <v>Payable reduced by PKR 18,833</v>
      </c>
      <c r="BF88" s="21" t="s">
        <v>4635</v>
      </c>
      <c r="BG88" s="21" t="s">
        <v>753</v>
      </c>
      <c r="BH88" s="21" t="s">
        <v>4367</v>
      </c>
      <c r="BI88" s="21" t="s">
        <v>844</v>
      </c>
      <c r="BJ88" s="21" t="s">
        <v>844</v>
      </c>
      <c r="BK88" s="21" t="s">
        <v>753</v>
      </c>
      <c r="BL88" s="21" t="s">
        <v>753</v>
      </c>
      <c r="BM88" s="21" t="s">
        <v>753</v>
      </c>
      <c r="BN88" s="21" t="s">
        <v>4368</v>
      </c>
      <c r="BO88" s="21" t="s">
        <v>848</v>
      </c>
      <c r="BP88" s="21" t="str">
        <f>K88</f>
        <v>Paid</v>
      </c>
    </row>
    <row r="89" spans="1:68" x14ac:dyDescent="0.3">
      <c r="A89" s="21" t="s">
        <v>4642</v>
      </c>
      <c r="B89" s="29">
        <v>46087</v>
      </c>
      <c r="C89" s="21" t="s">
        <v>4354</v>
      </c>
      <c r="D89" s="21" t="s">
        <v>743</v>
      </c>
      <c r="E89" s="21" t="s">
        <v>3350</v>
      </c>
      <c r="F89" s="21" t="s">
        <v>3429</v>
      </c>
      <c r="G89" s="21" t="s">
        <v>4355</v>
      </c>
      <c r="H89" s="21" t="s">
        <v>3095</v>
      </c>
      <c r="I89" s="21" t="s">
        <v>3085</v>
      </c>
      <c r="J89" s="21" t="s">
        <v>4356</v>
      </c>
      <c r="K89" s="21" t="s">
        <v>4357</v>
      </c>
      <c r="L89" s="21" t="s">
        <v>3517</v>
      </c>
      <c r="M89" s="21" t="s">
        <v>3518</v>
      </c>
      <c r="N89" s="21" t="s">
        <v>3519</v>
      </c>
      <c r="O89" s="21" t="s">
        <v>746</v>
      </c>
      <c r="P89" s="21" t="s">
        <v>4442</v>
      </c>
      <c r="Q89" s="21" t="s">
        <v>4643</v>
      </c>
      <c r="R89" s="21" t="s">
        <v>4644</v>
      </c>
      <c r="S89" s="21" t="s">
        <v>4358</v>
      </c>
      <c r="T89" s="21" t="s">
        <v>3520</v>
      </c>
      <c r="U89" s="37" cm="1">
        <f t="array" ref="U89">SUMPRODUCT(('T08'!$U$3:$U$1500=M89)*('T08'!$AF$3:$AF$1500=1)*('T08'!$I$3:$I$1500&lt;=B89)*'T08'!$BK$3:$BK$1500)-SUMPRODUCT(($M$3:$M$1500=M89)*($B$3:$B$1500&lt;B89)*($AK$3:$AK$1500+$AI$3:$AI$1500+$AJ$3:$AJ$1500))</f>
        <v>2262188.7999999998</v>
      </c>
      <c r="V89" s="21" t="s">
        <v>3514</v>
      </c>
      <c r="W89" s="21" t="str">
        <f>TEXT(_xlfn.XLOOKUP(V89,'T08'!$G$3:$G$1500,'T08'!$J$3:$J$1500),"dd-mmm-yyyy")&amp;" / due "&amp;TEXT(_xlfn.XLOOKUP(V89,'T08'!$G$3:$G$1500,'T08'!$BQ$3:$BQ$1500),"dd-mmm-yyyy")</f>
        <v>17-Dec-2024 / due 16-Jan-2025</v>
      </c>
      <c r="X89" s="21" t="s">
        <v>4359</v>
      </c>
      <c r="Y89" s="21" t="str">
        <f>_xlfn.XLOOKUP(V89,'T08'!$G$3:$G$1500,'T08'!$AC$3:$AC$1500)</f>
        <v>PO-2412-905</v>
      </c>
      <c r="Z89" s="21" t="s">
        <v>844</v>
      </c>
      <c r="AA89" s="37" t="s">
        <v>844</v>
      </c>
      <c r="AB89" s="21" t="str">
        <f>IF(C89="Against bill",IF(V89&lt;&gt;"N/A","OK - bill linked","Missing bill"),IF(Z89&lt;&gt;"N/A","OK - advance request linked","Missing request"))</f>
        <v>OK - bill linked</v>
      </c>
      <c r="AC89" s="21" t="s">
        <v>844</v>
      </c>
      <c r="AD89" s="21" t="s">
        <v>4360</v>
      </c>
      <c r="AE89" s="21">
        <v>1</v>
      </c>
      <c r="AF89" s="21" t="s">
        <v>4645</v>
      </c>
      <c r="AG89" s="37">
        <f>_xlfn.XLOOKUP(V89,'T08'!$G$3:$G$1500,'T08'!$BH$3:$BH$1500)</f>
        <v>524510</v>
      </c>
      <c r="AH89" s="37">
        <v>0</v>
      </c>
      <c r="AI89" s="37">
        <f>_xlfn.XLOOKUP(V89,'T08'!$G$3:$G$1500,'T08'!$BI$3:$BI$1500)</f>
        <v>26226</v>
      </c>
      <c r="AJ89" s="37">
        <f>_xlfn.XLOOKUP(V89,'T08'!$G$3:$G$1500,'T08'!$BJ$3:$BJ$1500)</f>
        <v>0</v>
      </c>
      <c r="AK89" s="37">
        <f>AG89-AH89-AI89-AJ89</f>
        <v>498284</v>
      </c>
      <c r="AL89" s="37">
        <f>AG89-AH89-AI89-AJ89-AK89</f>
        <v>0</v>
      </c>
      <c r="AM89" s="21" t="s">
        <v>4646</v>
      </c>
      <c r="AN89" s="37">
        <f>SUMIFS($AG$3:$AG$1500,$A$3:$A$1500,A89)</f>
        <v>2381251.7999999998</v>
      </c>
      <c r="AO89" s="37">
        <f>SUMIFS($AI$3:$AI$1500,$A$3:$A$1500,A89)</f>
        <v>119063</v>
      </c>
      <c r="AP89" s="37">
        <f>SUMIFS($AJ$3:$AJ$1500,$A$3:$A$1500,A89)</f>
        <v>0</v>
      </c>
      <c r="AQ89" s="37">
        <f>SUMIFS($AK$3:$AK$1500,$A$3:$A$1500,A89)</f>
        <v>2262188.7999999998</v>
      </c>
      <c r="AR89" s="21" t="str">
        <f>"PKR "&amp;TEXT(AQ89,"#,##0")&amp;" only"</f>
        <v>PKR 2,262,189 only</v>
      </c>
      <c r="AS89" s="21" t="str">
        <f>"Sec 153 - deposit by "&amp;TEXT(EOMONTH(B89,0)+15,"dd-mmm-yyyy")</f>
        <v>Sec 153 - deposit by 15-Apr-2026</v>
      </c>
      <c r="AT89" s="21" t="s">
        <v>844</v>
      </c>
      <c r="AU89" s="21" t="s">
        <v>4647</v>
      </c>
      <c r="AV89" s="21" t="s">
        <v>4364</v>
      </c>
      <c r="AW89" s="29">
        <v>46087</v>
      </c>
      <c r="AX89" s="37">
        <f>AQ89+AY89</f>
        <v>2262338.7999999998</v>
      </c>
      <c r="AY89" s="37">
        <v>150</v>
      </c>
      <c r="AZ89" s="21" t="s">
        <v>3090</v>
      </c>
      <c r="BA89" s="21" t="s">
        <v>4356</v>
      </c>
      <c r="BB89" s="21" t="s">
        <v>848</v>
      </c>
      <c r="BC89" s="21" t="s">
        <v>4365</v>
      </c>
      <c r="BD89" s="21" t="str">
        <f>IF(AL89&lt;1,"Bill fully settled","Bill partially settled")</f>
        <v>Bill fully settled</v>
      </c>
      <c r="BE89" s="21" t="str">
        <f>"Payable reduced by PKR "&amp;TEXT(AK89+AI89+AJ89,"#,##0")</f>
        <v>Payable reduced by PKR 524,510</v>
      </c>
      <c r="BF89" s="21" t="s">
        <v>4648</v>
      </c>
      <c r="BG89" s="21" t="s">
        <v>753</v>
      </c>
      <c r="BH89" s="21" t="s">
        <v>4367</v>
      </c>
      <c r="BI89" s="21" t="s">
        <v>844</v>
      </c>
      <c r="BJ89" s="21" t="s">
        <v>844</v>
      </c>
      <c r="BK89" s="21" t="s">
        <v>753</v>
      </c>
      <c r="BL89" s="21" t="s">
        <v>753</v>
      </c>
      <c r="BM89" s="21" t="s">
        <v>753</v>
      </c>
      <c r="BN89" s="21" t="s">
        <v>4368</v>
      </c>
      <c r="BO89" s="21" t="s">
        <v>848</v>
      </c>
      <c r="BP89" s="21" t="str">
        <f>K89</f>
        <v>Paid</v>
      </c>
    </row>
    <row r="90" spans="1:68" x14ac:dyDescent="0.3">
      <c r="A90" s="21" t="s">
        <v>4642</v>
      </c>
      <c r="B90" s="29">
        <v>46087</v>
      </c>
      <c r="C90" s="21" t="s">
        <v>4354</v>
      </c>
      <c r="D90" s="21" t="s">
        <v>743</v>
      </c>
      <c r="E90" s="21" t="s">
        <v>3350</v>
      </c>
      <c r="F90" s="21" t="s">
        <v>3429</v>
      </c>
      <c r="G90" s="21" t="s">
        <v>4355</v>
      </c>
      <c r="H90" s="21" t="s">
        <v>3095</v>
      </c>
      <c r="I90" s="21" t="s">
        <v>3085</v>
      </c>
      <c r="J90" s="21" t="s">
        <v>4356</v>
      </c>
      <c r="K90" s="21" t="s">
        <v>4357</v>
      </c>
      <c r="L90" s="21" t="s">
        <v>3517</v>
      </c>
      <c r="M90" s="21" t="s">
        <v>3518</v>
      </c>
      <c r="N90" s="21" t="s">
        <v>3519</v>
      </c>
      <c r="O90" s="21" t="s">
        <v>746</v>
      </c>
      <c r="P90" s="21" t="s">
        <v>4442</v>
      </c>
      <c r="Q90" s="21" t="s">
        <v>4643</v>
      </c>
      <c r="R90" s="21" t="s">
        <v>4644</v>
      </c>
      <c r="S90" s="21" t="s">
        <v>4358</v>
      </c>
      <c r="T90" s="21" t="s">
        <v>3520</v>
      </c>
      <c r="U90" s="37" cm="1">
        <f t="array" ref="U90">SUMPRODUCT(('T08'!$U$3:$U$1500=M90)*('T08'!$AF$3:$AF$1500=1)*('T08'!$I$3:$I$1500&lt;=B90)*'T08'!$BK$3:$BK$1500)-SUMPRODUCT(($M$3:$M$1500=M90)*($B$3:$B$1500&lt;B90)*($AK$3:$AK$1500+$AI$3:$AI$1500+$AJ$3:$AJ$1500))</f>
        <v>2262188.7999999998</v>
      </c>
      <c r="V90" s="21" t="s">
        <v>3682</v>
      </c>
      <c r="W90" s="21" t="str">
        <f>TEXT(_xlfn.XLOOKUP(V90,'T08'!$G$3:$G$1500,'T08'!$J$3:$J$1500),"dd-mmm-yyyy")&amp;" / due "&amp;TEXT(_xlfn.XLOOKUP(V90,'T08'!$G$3:$G$1500,'T08'!$BQ$3:$BQ$1500),"dd-mmm-yyyy")</f>
        <v>20-Apr-2025 / due 20-May-2025</v>
      </c>
      <c r="X90" s="21" t="s">
        <v>4359</v>
      </c>
      <c r="Y90" s="21" t="str">
        <f>_xlfn.XLOOKUP(V90,'T08'!$G$3:$G$1500,'T08'!$AC$3:$AC$1500)</f>
        <v>PO-2504-917</v>
      </c>
      <c r="Z90" s="21" t="s">
        <v>844</v>
      </c>
      <c r="AA90" s="37" t="s">
        <v>844</v>
      </c>
      <c r="AB90" s="21" t="str">
        <f>IF(C90="Against bill",IF(V90&lt;&gt;"N/A","OK - bill linked","Missing bill"),IF(Z90&lt;&gt;"N/A","OK - advance request linked","Missing request"))</f>
        <v>OK - bill linked</v>
      </c>
      <c r="AC90" s="21" t="s">
        <v>844</v>
      </c>
      <c r="AD90" s="21" t="s">
        <v>4360</v>
      </c>
      <c r="AE90" s="21">
        <v>2</v>
      </c>
      <c r="AF90" s="21" t="s">
        <v>4645</v>
      </c>
      <c r="AG90" s="37">
        <f>_xlfn.XLOOKUP(V90,'T08'!$G$3:$G$1500,'T08'!$BH$3:$BH$1500)</f>
        <v>634969.80000000005</v>
      </c>
      <c r="AH90" s="37">
        <v>0</v>
      </c>
      <c r="AI90" s="37">
        <f>_xlfn.XLOOKUP(V90,'T08'!$G$3:$G$1500,'T08'!$BI$3:$BI$1500)</f>
        <v>31748</v>
      </c>
      <c r="AJ90" s="37">
        <f>_xlfn.XLOOKUP(V90,'T08'!$G$3:$G$1500,'T08'!$BJ$3:$BJ$1500)</f>
        <v>0</v>
      </c>
      <c r="AK90" s="37">
        <f>AG90-AH90-AI90-AJ90</f>
        <v>603221.80000000005</v>
      </c>
      <c r="AL90" s="37">
        <f>AG90-AH90-AI90-AJ90-AK90</f>
        <v>0</v>
      </c>
      <c r="AM90" s="21" t="s">
        <v>4649</v>
      </c>
      <c r="AN90" s="37">
        <f>SUMIFS($AG$3:$AG$1500,$A$3:$A$1500,A90)</f>
        <v>2381251.7999999998</v>
      </c>
      <c r="AO90" s="37">
        <f>SUMIFS($AI$3:$AI$1500,$A$3:$A$1500,A90)</f>
        <v>119063</v>
      </c>
      <c r="AP90" s="37">
        <f>SUMIFS($AJ$3:$AJ$1500,$A$3:$A$1500,A90)</f>
        <v>0</v>
      </c>
      <c r="AQ90" s="37">
        <f>SUMIFS($AK$3:$AK$1500,$A$3:$A$1500,A90)</f>
        <v>2262188.7999999998</v>
      </c>
      <c r="AR90" s="21" t="str">
        <f>"PKR "&amp;TEXT(AQ90,"#,##0")&amp;" only"</f>
        <v>PKR 2,262,189 only</v>
      </c>
      <c r="AS90" s="21" t="str">
        <f>"Sec 153 - deposit by "&amp;TEXT(EOMONTH(B90,0)+15,"dd-mmm-yyyy")</f>
        <v>Sec 153 - deposit by 15-Apr-2026</v>
      </c>
      <c r="AT90" s="21" t="s">
        <v>844</v>
      </c>
      <c r="AU90" s="21" t="s">
        <v>4650</v>
      </c>
      <c r="AV90" s="21" t="s">
        <v>4364</v>
      </c>
      <c r="AW90" s="29">
        <v>46087</v>
      </c>
      <c r="AX90" s="37">
        <f>AQ90+AY90</f>
        <v>2262188.7999999998</v>
      </c>
      <c r="AY90" s="37">
        <v>0</v>
      </c>
      <c r="AZ90" s="21" t="s">
        <v>3090</v>
      </c>
      <c r="BA90" s="21" t="s">
        <v>4356</v>
      </c>
      <c r="BB90" s="21" t="s">
        <v>848</v>
      </c>
      <c r="BC90" s="21" t="s">
        <v>4365</v>
      </c>
      <c r="BD90" s="21" t="str">
        <f>IF(AL90&lt;1,"Bill fully settled","Bill partially settled")</f>
        <v>Bill fully settled</v>
      </c>
      <c r="BE90" s="21" t="str">
        <f>"Payable reduced by PKR "&amp;TEXT(AK90+AI90+AJ90,"#,##0")</f>
        <v>Payable reduced by PKR 634,970</v>
      </c>
      <c r="BF90" s="21" t="s">
        <v>4648</v>
      </c>
      <c r="BG90" s="21" t="s">
        <v>753</v>
      </c>
      <c r="BH90" s="21" t="s">
        <v>4367</v>
      </c>
      <c r="BI90" s="21" t="s">
        <v>844</v>
      </c>
      <c r="BJ90" s="21" t="s">
        <v>844</v>
      </c>
      <c r="BK90" s="21" t="s">
        <v>753</v>
      </c>
      <c r="BL90" s="21" t="s">
        <v>753</v>
      </c>
      <c r="BM90" s="21" t="s">
        <v>753</v>
      </c>
      <c r="BN90" s="21" t="s">
        <v>4368</v>
      </c>
      <c r="BO90" s="21" t="s">
        <v>848</v>
      </c>
      <c r="BP90" s="21" t="str">
        <f>K90</f>
        <v>Paid</v>
      </c>
    </row>
    <row r="91" spans="1:68" x14ac:dyDescent="0.3">
      <c r="A91" s="21" t="s">
        <v>4642</v>
      </c>
      <c r="B91" s="29">
        <v>46087</v>
      </c>
      <c r="C91" s="21" t="s">
        <v>4354</v>
      </c>
      <c r="D91" s="21" t="s">
        <v>743</v>
      </c>
      <c r="E91" s="21" t="s">
        <v>3350</v>
      </c>
      <c r="F91" s="21" t="s">
        <v>3429</v>
      </c>
      <c r="G91" s="21" t="s">
        <v>4355</v>
      </c>
      <c r="H91" s="21" t="s">
        <v>3095</v>
      </c>
      <c r="I91" s="21" t="s">
        <v>3085</v>
      </c>
      <c r="J91" s="21" t="s">
        <v>4356</v>
      </c>
      <c r="K91" s="21" t="s">
        <v>4357</v>
      </c>
      <c r="L91" s="21" t="s">
        <v>3517</v>
      </c>
      <c r="M91" s="21" t="s">
        <v>3518</v>
      </c>
      <c r="N91" s="21" t="s">
        <v>3519</v>
      </c>
      <c r="O91" s="21" t="s">
        <v>746</v>
      </c>
      <c r="P91" s="21" t="s">
        <v>4442</v>
      </c>
      <c r="Q91" s="21" t="s">
        <v>4643</v>
      </c>
      <c r="R91" s="21" t="s">
        <v>4644</v>
      </c>
      <c r="S91" s="21" t="s">
        <v>4358</v>
      </c>
      <c r="T91" s="21" t="s">
        <v>3520</v>
      </c>
      <c r="U91" s="37" cm="1">
        <f t="array" ref="U91">SUMPRODUCT(('T08'!$U$3:$U$1500=M91)*('T08'!$AF$3:$AF$1500=1)*('T08'!$I$3:$I$1500&lt;=B91)*'T08'!$BK$3:$BK$1500)-SUMPRODUCT(($M$3:$M$1500=M91)*($B$3:$B$1500&lt;B91)*($AK$3:$AK$1500+$AI$3:$AI$1500+$AJ$3:$AJ$1500))</f>
        <v>2262188.7999999998</v>
      </c>
      <c r="V91" s="21" t="s">
        <v>3881</v>
      </c>
      <c r="W91" s="21" t="str">
        <f>TEXT(_xlfn.XLOOKUP(V91,'T08'!$G$3:$G$1500,'T08'!$J$3:$J$1500),"dd-mmm-yyyy")&amp;" / due "&amp;TEXT(_xlfn.XLOOKUP(V91,'T08'!$G$3:$G$1500,'T08'!$BQ$3:$BQ$1500),"dd-mmm-yyyy")</f>
        <v>06-Sep-2025 / due 06-Oct-2025</v>
      </c>
      <c r="X91" s="21" t="s">
        <v>4359</v>
      </c>
      <c r="Y91" s="21" t="str">
        <f>_xlfn.XLOOKUP(V91,'T08'!$G$3:$G$1500,'T08'!$AC$3:$AC$1500)</f>
        <v>PO-2509-929</v>
      </c>
      <c r="Z91" s="21" t="s">
        <v>844</v>
      </c>
      <c r="AA91" s="37" t="s">
        <v>844</v>
      </c>
      <c r="AB91" s="21" t="str">
        <f>IF(C91="Against bill",IF(V91&lt;&gt;"N/A","OK - bill linked","Missing bill"),IF(Z91&lt;&gt;"N/A","OK - advance request linked","Missing request"))</f>
        <v>OK - bill linked</v>
      </c>
      <c r="AC91" s="21" t="s">
        <v>844</v>
      </c>
      <c r="AD91" s="21" t="s">
        <v>4360</v>
      </c>
      <c r="AE91" s="21">
        <v>3</v>
      </c>
      <c r="AF91" s="21" t="s">
        <v>4645</v>
      </c>
      <c r="AG91" s="37">
        <f>_xlfn.XLOOKUP(V91,'T08'!$G$3:$G$1500,'T08'!$BH$3:$BH$1500)</f>
        <v>647371.6</v>
      </c>
      <c r="AH91" s="37">
        <v>0</v>
      </c>
      <c r="AI91" s="37">
        <f>_xlfn.XLOOKUP(V91,'T08'!$G$3:$G$1500,'T08'!$BI$3:$BI$1500)</f>
        <v>32369</v>
      </c>
      <c r="AJ91" s="37">
        <f>_xlfn.XLOOKUP(V91,'T08'!$G$3:$G$1500,'T08'!$BJ$3:$BJ$1500)</f>
        <v>0</v>
      </c>
      <c r="AK91" s="37">
        <f>AG91-AH91-AI91-AJ91</f>
        <v>615002.6</v>
      </c>
      <c r="AL91" s="37">
        <f>AG91-AH91-AI91-AJ91-AK91</f>
        <v>0</v>
      </c>
      <c r="AM91" s="21" t="s">
        <v>4651</v>
      </c>
      <c r="AN91" s="37">
        <f>SUMIFS($AG$3:$AG$1500,$A$3:$A$1500,A91)</f>
        <v>2381251.7999999998</v>
      </c>
      <c r="AO91" s="37">
        <f>SUMIFS($AI$3:$AI$1500,$A$3:$A$1500,A91)</f>
        <v>119063</v>
      </c>
      <c r="AP91" s="37">
        <f>SUMIFS($AJ$3:$AJ$1500,$A$3:$A$1500,A91)</f>
        <v>0</v>
      </c>
      <c r="AQ91" s="37">
        <f>SUMIFS($AK$3:$AK$1500,$A$3:$A$1500,A91)</f>
        <v>2262188.7999999998</v>
      </c>
      <c r="AR91" s="21" t="str">
        <f>"PKR "&amp;TEXT(AQ91,"#,##0")&amp;" only"</f>
        <v>PKR 2,262,189 only</v>
      </c>
      <c r="AS91" s="21" t="str">
        <f>"Sec 153 - deposit by "&amp;TEXT(EOMONTH(B91,0)+15,"dd-mmm-yyyy")</f>
        <v>Sec 153 - deposit by 15-Apr-2026</v>
      </c>
      <c r="AT91" s="21" t="s">
        <v>844</v>
      </c>
      <c r="AU91" s="21" t="s">
        <v>4647</v>
      </c>
      <c r="AV91" s="21" t="s">
        <v>4364</v>
      </c>
      <c r="AW91" s="29">
        <v>46087</v>
      </c>
      <c r="AX91" s="37">
        <f>AQ91+AY91</f>
        <v>2262188.7999999998</v>
      </c>
      <c r="AY91" s="37">
        <v>0</v>
      </c>
      <c r="AZ91" s="21" t="s">
        <v>3090</v>
      </c>
      <c r="BA91" s="21" t="s">
        <v>4356</v>
      </c>
      <c r="BB91" s="21" t="s">
        <v>848</v>
      </c>
      <c r="BC91" s="21" t="s">
        <v>4365</v>
      </c>
      <c r="BD91" s="21" t="str">
        <f>IF(AL91&lt;1,"Bill fully settled","Bill partially settled")</f>
        <v>Bill fully settled</v>
      </c>
      <c r="BE91" s="21" t="str">
        <f>"Payable reduced by PKR "&amp;TEXT(AK91+AI91+AJ91,"#,##0")</f>
        <v>Payable reduced by PKR 647,372</v>
      </c>
      <c r="BF91" s="21" t="s">
        <v>4648</v>
      </c>
      <c r="BG91" s="21" t="s">
        <v>753</v>
      </c>
      <c r="BH91" s="21" t="s">
        <v>4367</v>
      </c>
      <c r="BI91" s="21" t="s">
        <v>844</v>
      </c>
      <c r="BJ91" s="21" t="s">
        <v>844</v>
      </c>
      <c r="BK91" s="21" t="s">
        <v>753</v>
      </c>
      <c r="BL91" s="21" t="s">
        <v>753</v>
      </c>
      <c r="BM91" s="21" t="s">
        <v>753</v>
      </c>
      <c r="BN91" s="21" t="s">
        <v>4368</v>
      </c>
      <c r="BO91" s="21" t="s">
        <v>848</v>
      </c>
      <c r="BP91" s="21" t="str">
        <f>K91</f>
        <v>Paid</v>
      </c>
    </row>
    <row r="92" spans="1:68" x14ac:dyDescent="0.3">
      <c r="A92" s="21" t="s">
        <v>4642</v>
      </c>
      <c r="B92" s="29">
        <v>46087</v>
      </c>
      <c r="C92" s="21" t="s">
        <v>4354</v>
      </c>
      <c r="D92" s="21" t="s">
        <v>743</v>
      </c>
      <c r="E92" s="21" t="s">
        <v>3350</v>
      </c>
      <c r="F92" s="21" t="s">
        <v>3429</v>
      </c>
      <c r="G92" s="21" t="s">
        <v>4355</v>
      </c>
      <c r="H92" s="21" t="s">
        <v>3095</v>
      </c>
      <c r="I92" s="21" t="s">
        <v>3085</v>
      </c>
      <c r="J92" s="21" t="s">
        <v>4356</v>
      </c>
      <c r="K92" s="21" t="s">
        <v>4357</v>
      </c>
      <c r="L92" s="21" t="s">
        <v>3517</v>
      </c>
      <c r="M92" s="21" t="s">
        <v>3518</v>
      </c>
      <c r="N92" s="21" t="s">
        <v>3519</v>
      </c>
      <c r="O92" s="21" t="s">
        <v>746</v>
      </c>
      <c r="P92" s="21" t="s">
        <v>4442</v>
      </c>
      <c r="Q92" s="21" t="s">
        <v>4643</v>
      </c>
      <c r="R92" s="21" t="s">
        <v>4644</v>
      </c>
      <c r="S92" s="21" t="s">
        <v>4358</v>
      </c>
      <c r="T92" s="21" t="s">
        <v>3520</v>
      </c>
      <c r="U92" s="37" cm="1">
        <f t="array" ref="U92">SUMPRODUCT(('T08'!$U$3:$U$1500=M92)*('T08'!$AF$3:$AF$1500=1)*('T08'!$I$3:$I$1500&lt;=B92)*'T08'!$BK$3:$BK$1500)-SUMPRODUCT(($M$3:$M$1500=M92)*($B$3:$B$1500&lt;B92)*($AK$3:$AK$1500+$AI$3:$AI$1500+$AJ$3:$AJ$1500))</f>
        <v>2262188.7999999998</v>
      </c>
      <c r="V92" s="21" t="s">
        <v>4060</v>
      </c>
      <c r="W92" s="21" t="str">
        <f>TEXT(_xlfn.XLOOKUP(V92,'T08'!$G$3:$G$1500,'T08'!$J$3:$J$1500),"dd-mmm-yyyy")&amp;" / due "&amp;TEXT(_xlfn.XLOOKUP(V92,'T08'!$G$3:$G$1500,'T08'!$BQ$3:$BQ$1500),"dd-mmm-yyyy")</f>
        <v>03-Feb-2026 / due 05-Mar-2026</v>
      </c>
      <c r="X92" s="21" t="s">
        <v>4359</v>
      </c>
      <c r="Y92" s="21" t="str">
        <f>_xlfn.XLOOKUP(V92,'T08'!$G$3:$G$1500,'T08'!$AC$3:$AC$1500)</f>
        <v>PO-2602-941</v>
      </c>
      <c r="Z92" s="21" t="s">
        <v>844</v>
      </c>
      <c r="AA92" s="37" t="s">
        <v>844</v>
      </c>
      <c r="AB92" s="21" t="str">
        <f>IF(C92="Against bill",IF(V92&lt;&gt;"N/A","OK - bill linked","Missing bill"),IF(Z92&lt;&gt;"N/A","OK - advance request linked","Missing request"))</f>
        <v>OK - bill linked</v>
      </c>
      <c r="AC92" s="21" t="s">
        <v>844</v>
      </c>
      <c r="AD92" s="21" t="s">
        <v>4360</v>
      </c>
      <c r="AE92" s="21">
        <v>4</v>
      </c>
      <c r="AF92" s="21" t="s">
        <v>4645</v>
      </c>
      <c r="AG92" s="37">
        <f>_xlfn.XLOOKUP(V92,'T08'!$G$3:$G$1500,'T08'!$BH$3:$BH$1500)</f>
        <v>574400.4</v>
      </c>
      <c r="AH92" s="37">
        <v>0</v>
      </c>
      <c r="AI92" s="37">
        <f>_xlfn.XLOOKUP(V92,'T08'!$G$3:$G$1500,'T08'!$BI$3:$BI$1500)</f>
        <v>28720</v>
      </c>
      <c r="AJ92" s="37">
        <f>_xlfn.XLOOKUP(V92,'T08'!$G$3:$G$1500,'T08'!$BJ$3:$BJ$1500)</f>
        <v>0</v>
      </c>
      <c r="AK92" s="37">
        <f>AG92-AH92-AI92-AJ92</f>
        <v>545680.4</v>
      </c>
      <c r="AL92" s="37">
        <f>AG92-AH92-AI92-AJ92-AK92</f>
        <v>0</v>
      </c>
      <c r="AM92" s="21" t="s">
        <v>4652</v>
      </c>
      <c r="AN92" s="37">
        <f>SUMIFS($AG$3:$AG$1500,$A$3:$A$1500,A92)</f>
        <v>2381251.7999999998</v>
      </c>
      <c r="AO92" s="37">
        <f>SUMIFS($AI$3:$AI$1500,$A$3:$A$1500,A92)</f>
        <v>119063</v>
      </c>
      <c r="AP92" s="37">
        <f>SUMIFS($AJ$3:$AJ$1500,$A$3:$A$1500,A92)</f>
        <v>0</v>
      </c>
      <c r="AQ92" s="37">
        <f>SUMIFS($AK$3:$AK$1500,$A$3:$A$1500,A92)</f>
        <v>2262188.7999999998</v>
      </c>
      <c r="AR92" s="21" t="str">
        <f>"PKR "&amp;TEXT(AQ92,"#,##0")&amp;" only"</f>
        <v>PKR 2,262,189 only</v>
      </c>
      <c r="AS92" s="21" t="str">
        <f>"Sec 153 - deposit by "&amp;TEXT(EOMONTH(B92,0)+15,"dd-mmm-yyyy")</f>
        <v>Sec 153 - deposit by 15-Apr-2026</v>
      </c>
      <c r="AT92" s="21" t="s">
        <v>844</v>
      </c>
      <c r="AU92" s="21" t="s">
        <v>4653</v>
      </c>
      <c r="AV92" s="21" t="s">
        <v>4364</v>
      </c>
      <c r="AW92" s="29">
        <v>46087</v>
      </c>
      <c r="AX92" s="37">
        <f>AQ92+AY92</f>
        <v>2262188.7999999998</v>
      </c>
      <c r="AY92" s="37">
        <v>0</v>
      </c>
      <c r="AZ92" s="21" t="s">
        <v>3090</v>
      </c>
      <c r="BA92" s="21" t="s">
        <v>4356</v>
      </c>
      <c r="BB92" s="21" t="s">
        <v>848</v>
      </c>
      <c r="BC92" s="21" t="s">
        <v>4365</v>
      </c>
      <c r="BD92" s="21" t="str">
        <f>IF(AL92&lt;1,"Bill fully settled","Bill partially settled")</f>
        <v>Bill fully settled</v>
      </c>
      <c r="BE92" s="21" t="str">
        <f>"Payable reduced by PKR "&amp;TEXT(AK92+AI92+AJ92,"#,##0")</f>
        <v>Payable reduced by PKR 574,400</v>
      </c>
      <c r="BF92" s="21" t="s">
        <v>4648</v>
      </c>
      <c r="BG92" s="21" t="s">
        <v>753</v>
      </c>
      <c r="BH92" s="21" t="s">
        <v>4367</v>
      </c>
      <c r="BI92" s="21" t="s">
        <v>844</v>
      </c>
      <c r="BJ92" s="21" t="s">
        <v>844</v>
      </c>
      <c r="BK92" s="21" t="s">
        <v>753</v>
      </c>
      <c r="BL92" s="21" t="s">
        <v>753</v>
      </c>
      <c r="BM92" s="21" t="s">
        <v>753</v>
      </c>
      <c r="BN92" s="21" t="s">
        <v>4368</v>
      </c>
      <c r="BO92" s="21" t="s">
        <v>848</v>
      </c>
      <c r="BP92" s="21" t="str">
        <f>K92</f>
        <v>Paid</v>
      </c>
    </row>
    <row r="93" spans="1:68" x14ac:dyDescent="0.3">
      <c r="A93" s="21" t="s">
        <v>4654</v>
      </c>
      <c r="B93" s="29">
        <v>46094</v>
      </c>
      <c r="C93" s="21" t="s">
        <v>4354</v>
      </c>
      <c r="D93" s="21" t="s">
        <v>743</v>
      </c>
      <c r="E93" s="21" t="s">
        <v>3400</v>
      </c>
      <c r="F93" s="21" t="s">
        <v>3401</v>
      </c>
      <c r="G93" s="21" t="s">
        <v>4355</v>
      </c>
      <c r="H93" s="21" t="s">
        <v>3095</v>
      </c>
      <c r="I93" s="21" t="s">
        <v>3085</v>
      </c>
      <c r="J93" s="21" t="s">
        <v>4356</v>
      </c>
      <c r="K93" s="21" t="s">
        <v>4357</v>
      </c>
      <c r="L93" s="21" t="s">
        <v>3403</v>
      </c>
      <c r="M93" s="21" t="s">
        <v>3404</v>
      </c>
      <c r="N93" s="21" t="s">
        <v>967</v>
      </c>
      <c r="O93" s="21" t="s">
        <v>746</v>
      </c>
      <c r="P93" s="21" t="s">
        <v>983</v>
      </c>
      <c r="Q93" s="21" t="s">
        <v>965</v>
      </c>
      <c r="R93" s="21" t="s">
        <v>985</v>
      </c>
      <c r="S93" s="21" t="s">
        <v>4358</v>
      </c>
      <c r="T93" s="21" t="s">
        <v>3405</v>
      </c>
      <c r="U93" s="37" cm="1">
        <f t="array" ref="U93">SUMPRODUCT(('T08'!$U$3:$U$1500=M93)*('T08'!$AF$3:$AF$1500=1)*('T08'!$I$3:$I$1500&lt;=B93)*'T08'!$BK$3:$BK$1500)-SUMPRODUCT(($M$3:$M$1500=M93)*($B$3:$B$1500&lt;B93)*($AK$3:$AK$1500+$AI$3:$AI$1500+$AJ$3:$AJ$1500))</f>
        <v>3174546</v>
      </c>
      <c r="V93" s="21" t="s">
        <v>4083</v>
      </c>
      <c r="W93" s="21" t="str">
        <f>TEXT(_xlfn.XLOOKUP(V93,'T08'!$G$3:$G$1500,'T08'!$J$3:$J$1500),"dd-mmm-yyyy")&amp;" / due "&amp;TEXT(_xlfn.XLOOKUP(V93,'T08'!$G$3:$G$1500,'T08'!$BQ$3:$BQ$1500),"dd-mmm-yyyy")</f>
        <v>28-Feb-2026 / due 15-Mar-2026</v>
      </c>
      <c r="X93" s="21" t="s">
        <v>4359</v>
      </c>
      <c r="Y93" s="21" t="str">
        <f>_xlfn.XLOOKUP(V93,'T08'!$G$3:$G$1500,'T08'!$AC$3:$AC$1500)</f>
        <v>PO-2602-1</v>
      </c>
      <c r="Z93" s="21" t="s">
        <v>844</v>
      </c>
      <c r="AA93" s="37" t="s">
        <v>844</v>
      </c>
      <c r="AB93" s="21" t="str">
        <f>IF(C93="Against bill",IF(V93&lt;&gt;"N/A","OK - bill linked","Missing bill"),IF(Z93&lt;&gt;"N/A","OK - advance request linked","Missing request"))</f>
        <v>OK - bill linked</v>
      </c>
      <c r="AC93" s="21" t="s">
        <v>844</v>
      </c>
      <c r="AD93" s="21" t="s">
        <v>4360</v>
      </c>
      <c r="AE93" s="21">
        <v>1</v>
      </c>
      <c r="AF93" s="21" t="s">
        <v>4361</v>
      </c>
      <c r="AG93" s="37">
        <f>_xlfn.XLOOKUP(V93,'T08'!$G$3:$G$1500,'T08'!$BH$3:$BH$1500)</f>
        <v>14009580</v>
      </c>
      <c r="AH93" s="37">
        <v>0</v>
      </c>
      <c r="AI93" s="37">
        <f>_xlfn.XLOOKUP(V93,'T08'!$G$3:$G$1500,'T08'!$BI$3:$BI$1500)</f>
        <v>700479</v>
      </c>
      <c r="AJ93" s="37">
        <f>_xlfn.XLOOKUP(V93,'T08'!$G$3:$G$1500,'T08'!$BJ$3:$BJ$1500)</f>
        <v>0</v>
      </c>
      <c r="AK93" s="37">
        <f>AG93-AH93-AI93-AJ93</f>
        <v>13309101</v>
      </c>
      <c r="AL93" s="37">
        <f>AG93-AH93-AI93-AJ93-AK93</f>
        <v>0</v>
      </c>
      <c r="AM93" s="21" t="s">
        <v>4655</v>
      </c>
      <c r="AN93" s="37">
        <f>SUMIFS($AG$3:$AG$1500,$A$3:$A$1500,A93)</f>
        <v>14009580</v>
      </c>
      <c r="AO93" s="37">
        <f>SUMIFS($AI$3:$AI$1500,$A$3:$A$1500,A93)</f>
        <v>700479</v>
      </c>
      <c r="AP93" s="37">
        <f>SUMIFS($AJ$3:$AJ$1500,$A$3:$A$1500,A93)</f>
        <v>0</v>
      </c>
      <c r="AQ93" s="37">
        <f>SUMIFS($AK$3:$AK$1500,$A$3:$A$1500,A93)</f>
        <v>13309101</v>
      </c>
      <c r="AR93" s="21" t="str">
        <f>"PKR "&amp;TEXT(AQ93,"#,##0")&amp;" only"</f>
        <v>PKR 13,309,101 only</v>
      </c>
      <c r="AS93" s="21" t="str">
        <f>"Sec 153 - deposit by "&amp;TEXT(EOMONTH(B93,0)+15,"dd-mmm-yyyy")</f>
        <v>Sec 153 - deposit by 15-Apr-2026</v>
      </c>
      <c r="AT93" s="21" t="s">
        <v>844</v>
      </c>
      <c r="AU93" s="21" t="s">
        <v>4656</v>
      </c>
      <c r="AV93" s="21" t="s">
        <v>4364</v>
      </c>
      <c r="AW93" s="29">
        <v>46094</v>
      </c>
      <c r="AX93" s="37">
        <f>AQ93+AY93</f>
        <v>13309251</v>
      </c>
      <c r="AY93" s="37">
        <v>150</v>
      </c>
      <c r="AZ93" s="21" t="s">
        <v>3090</v>
      </c>
      <c r="BA93" s="21" t="s">
        <v>4356</v>
      </c>
      <c r="BB93" s="21" t="s">
        <v>848</v>
      </c>
      <c r="BC93" s="21" t="s">
        <v>4365</v>
      </c>
      <c r="BD93" s="21" t="str">
        <f>IF(AL93&lt;1,"Bill fully settled","Bill partially settled")</f>
        <v>Bill fully settled</v>
      </c>
      <c r="BE93" s="21" t="str">
        <f>"Payable reduced by PKR "&amp;TEXT(AK93+AI93+AJ93,"#,##0")</f>
        <v>Payable reduced by PKR 14,009,580</v>
      </c>
      <c r="BF93" s="21" t="s">
        <v>4657</v>
      </c>
      <c r="BG93" s="21" t="s">
        <v>753</v>
      </c>
      <c r="BH93" s="21" t="s">
        <v>4367</v>
      </c>
      <c r="BI93" s="21" t="s">
        <v>844</v>
      </c>
      <c r="BJ93" s="21" t="s">
        <v>844</v>
      </c>
      <c r="BK93" s="21" t="s">
        <v>753</v>
      </c>
      <c r="BL93" s="21" t="s">
        <v>753</v>
      </c>
      <c r="BM93" s="21" t="s">
        <v>753</v>
      </c>
      <c r="BN93" s="21" t="s">
        <v>4368</v>
      </c>
      <c r="BO93" s="21" t="s">
        <v>848</v>
      </c>
      <c r="BP93" s="21" t="str">
        <f>K93</f>
        <v>Paid</v>
      </c>
    </row>
    <row r="94" spans="1:68" x14ac:dyDescent="0.3">
      <c r="A94" s="21" t="s">
        <v>4658</v>
      </c>
      <c r="B94" s="29">
        <v>46110</v>
      </c>
      <c r="C94" s="21" t="s">
        <v>4354</v>
      </c>
      <c r="D94" s="21" t="s">
        <v>743</v>
      </c>
      <c r="E94" s="21" t="s">
        <v>3350</v>
      </c>
      <c r="F94" s="21" t="s">
        <v>3429</v>
      </c>
      <c r="G94" s="21" t="s">
        <v>4355</v>
      </c>
      <c r="H94" s="21" t="s">
        <v>3095</v>
      </c>
      <c r="I94" s="21" t="s">
        <v>3085</v>
      </c>
      <c r="J94" s="21" t="s">
        <v>4356</v>
      </c>
      <c r="K94" s="21" t="s">
        <v>4357</v>
      </c>
      <c r="L94" s="21" t="s">
        <v>3431</v>
      </c>
      <c r="M94" s="21" t="s">
        <v>1213</v>
      </c>
      <c r="N94" s="21" t="s">
        <v>1194</v>
      </c>
      <c r="O94" s="21" t="s">
        <v>746</v>
      </c>
      <c r="P94" s="21" t="s">
        <v>983</v>
      </c>
      <c r="Q94" s="21" t="s">
        <v>1193</v>
      </c>
      <c r="R94" s="21" t="s">
        <v>1198</v>
      </c>
      <c r="S94" s="21" t="s">
        <v>4358</v>
      </c>
      <c r="T94" s="21" t="s">
        <v>3493</v>
      </c>
      <c r="U94" s="37" cm="1">
        <f t="array" ref="U94">SUMPRODUCT(('T08'!$U$3:$U$1500=M94)*('T08'!$AF$3:$AF$1500=1)*('T08'!$I$3:$I$1500&lt;=B94)*'T08'!$BK$3:$BK$1500)-SUMPRODUCT(($M$3:$M$1500=M94)*($B$3:$B$1500&lt;B94)*($AK$3:$AK$1500+$AI$3:$AI$1500+$AJ$3:$AJ$1500))</f>
        <v>158803</v>
      </c>
      <c r="V94" s="21" t="s">
        <v>4095</v>
      </c>
      <c r="W94" s="21" t="str">
        <f>TEXT(_xlfn.XLOOKUP(V94,'T08'!$G$3:$G$1500,'T08'!$J$3:$J$1500),"dd-mmm-yyyy")&amp;" / due "&amp;TEXT(_xlfn.XLOOKUP(V94,'T08'!$G$3:$G$1500,'T08'!$BQ$3:$BQ$1500),"dd-mmm-yyyy")</f>
        <v>01-Mar-2026 / due 31-Mar-2026</v>
      </c>
      <c r="X94" s="21" t="s">
        <v>4359</v>
      </c>
      <c r="Y94" s="21" t="str">
        <f>_xlfn.XLOOKUP(V94,'T08'!$G$3:$G$1500,'T08'!$AC$3:$AC$1500)</f>
        <v>N/A</v>
      </c>
      <c r="Z94" s="21" t="s">
        <v>844</v>
      </c>
      <c r="AA94" s="37" t="s">
        <v>844</v>
      </c>
      <c r="AB94" s="21" t="str">
        <f>IF(C94="Against bill",IF(V94&lt;&gt;"N/A","OK - bill linked","Missing bill"),IF(Z94&lt;&gt;"N/A","OK - advance request linked","Missing request"))</f>
        <v>OK - bill linked</v>
      </c>
      <c r="AC94" s="21" t="s">
        <v>844</v>
      </c>
      <c r="AD94" s="21" t="s">
        <v>4360</v>
      </c>
      <c r="AE94" s="21">
        <v>1</v>
      </c>
      <c r="AF94" s="21" t="s">
        <v>4404</v>
      </c>
      <c r="AG94" s="37">
        <f>_xlfn.XLOOKUP(V94,'T08'!$G$3:$G$1500,'T08'!$BH$3:$BH$1500)</f>
        <v>285360</v>
      </c>
      <c r="AH94" s="37">
        <v>0</v>
      </c>
      <c r="AI94" s="37">
        <f>_xlfn.XLOOKUP(V94,'T08'!$G$3:$G$1500,'T08'!$BI$3:$BI$1500)</f>
        <v>11414</v>
      </c>
      <c r="AJ94" s="37">
        <f>_xlfn.XLOOKUP(V94,'T08'!$G$3:$G$1500,'T08'!$BJ$3:$BJ$1500)</f>
        <v>0</v>
      </c>
      <c r="AK94" s="37">
        <f>AG94-AH94-AI94-AJ94</f>
        <v>273946</v>
      </c>
      <c r="AL94" s="37">
        <f>AG94-AH94-AI94-AJ94-AK94</f>
        <v>0</v>
      </c>
      <c r="AM94" s="21" t="s">
        <v>4659</v>
      </c>
      <c r="AN94" s="37">
        <f>SUMIFS($AG$3:$AG$1500,$A$3:$A$1500,A94)</f>
        <v>285360</v>
      </c>
      <c r="AO94" s="37">
        <f>SUMIFS($AI$3:$AI$1500,$A$3:$A$1500,A94)</f>
        <v>11414</v>
      </c>
      <c r="AP94" s="37">
        <f>SUMIFS($AJ$3:$AJ$1500,$A$3:$A$1500,A94)</f>
        <v>0</v>
      </c>
      <c r="AQ94" s="37">
        <f>SUMIFS($AK$3:$AK$1500,$A$3:$A$1500,A94)</f>
        <v>273946</v>
      </c>
      <c r="AR94" s="21" t="str">
        <f>"PKR "&amp;TEXT(AQ94,"#,##0")&amp;" only"</f>
        <v>PKR 273,946 only</v>
      </c>
      <c r="AS94" s="21" t="str">
        <f>"Sec 153 - deposit by "&amp;TEXT(EOMONTH(B94,0)+15,"dd-mmm-yyyy")</f>
        <v>Sec 153 - deposit by 15-Apr-2026</v>
      </c>
      <c r="AT94" s="21" t="s">
        <v>844</v>
      </c>
      <c r="AU94" s="21" t="s">
        <v>4660</v>
      </c>
      <c r="AV94" s="21" t="s">
        <v>4364</v>
      </c>
      <c r="AW94" s="29">
        <v>46110</v>
      </c>
      <c r="AX94" s="37">
        <f>AQ94+AY94</f>
        <v>274096</v>
      </c>
      <c r="AY94" s="37">
        <v>150</v>
      </c>
      <c r="AZ94" s="21" t="s">
        <v>3090</v>
      </c>
      <c r="BA94" s="21" t="s">
        <v>4356</v>
      </c>
      <c r="BB94" s="21" t="s">
        <v>848</v>
      </c>
      <c r="BC94" s="21" t="s">
        <v>4365</v>
      </c>
      <c r="BD94" s="21" t="str">
        <f>IF(AL94&lt;1,"Bill fully settled","Bill partially settled")</f>
        <v>Bill fully settled</v>
      </c>
      <c r="BE94" s="21" t="str">
        <f>"Payable reduced by PKR "&amp;TEXT(AK94+AI94+AJ94,"#,##0")</f>
        <v>Payable reduced by PKR 285,360</v>
      </c>
      <c r="BF94" s="21" t="s">
        <v>4661</v>
      </c>
      <c r="BG94" s="21" t="s">
        <v>753</v>
      </c>
      <c r="BH94" s="21" t="s">
        <v>844</v>
      </c>
      <c r="BI94" s="21" t="s">
        <v>844</v>
      </c>
      <c r="BJ94" s="21" t="s">
        <v>4387</v>
      </c>
      <c r="BK94" s="21" t="s">
        <v>753</v>
      </c>
      <c r="BL94" s="21" t="s">
        <v>753</v>
      </c>
      <c r="BM94" s="21" t="s">
        <v>753</v>
      </c>
      <c r="BN94" s="21" t="s">
        <v>4368</v>
      </c>
      <c r="BO94" s="21" t="s">
        <v>848</v>
      </c>
      <c r="BP94" s="21" t="str">
        <f>K94</f>
        <v>Paid</v>
      </c>
    </row>
    <row r="95" spans="1:68" x14ac:dyDescent="0.3">
      <c r="A95" s="21" t="s">
        <v>4662</v>
      </c>
      <c r="B95" s="29">
        <v>46118</v>
      </c>
      <c r="C95" s="21" t="s">
        <v>4354</v>
      </c>
      <c r="D95" s="21" t="s">
        <v>743</v>
      </c>
      <c r="E95" s="21" t="s">
        <v>3350</v>
      </c>
      <c r="F95" s="21" t="s">
        <v>3429</v>
      </c>
      <c r="G95" s="21" t="s">
        <v>4355</v>
      </c>
      <c r="H95" s="21" t="s">
        <v>3095</v>
      </c>
      <c r="I95" s="21" t="s">
        <v>3085</v>
      </c>
      <c r="J95" s="21" t="s">
        <v>4356</v>
      </c>
      <c r="K95" s="21" t="s">
        <v>4357</v>
      </c>
      <c r="L95" s="21" t="s">
        <v>3431</v>
      </c>
      <c r="M95" s="21" t="s">
        <v>1278</v>
      </c>
      <c r="N95" s="21" t="s">
        <v>1200</v>
      </c>
      <c r="O95" s="21" t="s">
        <v>746</v>
      </c>
      <c r="P95" s="21" t="s">
        <v>1014</v>
      </c>
      <c r="Q95" s="21" t="s">
        <v>1199</v>
      </c>
      <c r="R95" s="21" t="s">
        <v>1204</v>
      </c>
      <c r="S95" s="21" t="s">
        <v>4358</v>
      </c>
      <c r="T95" s="21" t="s">
        <v>3441</v>
      </c>
      <c r="U95" s="37" cm="1">
        <f t="array" ref="U95">SUMPRODUCT(('T08'!$U$3:$U$1500=M95)*('T08'!$AF$3:$AF$1500=1)*('T08'!$I$3:$I$1500&lt;=B95)*'T08'!$BK$3:$BK$1500)-SUMPRODUCT(($M$3:$M$1500=M95)*($B$3:$B$1500&lt;B95)*($AK$3:$AK$1500+$AI$3:$AI$1500+$AJ$3:$AJ$1500))</f>
        <v>505202</v>
      </c>
      <c r="V95" s="21" t="s">
        <v>4090</v>
      </c>
      <c r="W95" s="21" t="str">
        <f>TEXT(_xlfn.XLOOKUP(V95,'T08'!$G$3:$G$1500,'T08'!$J$3:$J$1500),"dd-mmm-yyyy")&amp;" / due "&amp;TEXT(_xlfn.XLOOKUP(V95,'T08'!$G$3:$G$1500,'T08'!$BQ$3:$BQ$1500),"dd-mmm-yyyy")</f>
        <v>01-Mar-2026 / due 31-Mar-2026</v>
      </c>
      <c r="X95" s="21" t="s">
        <v>4359</v>
      </c>
      <c r="Y95" s="21" t="str">
        <f>_xlfn.XLOOKUP(V95,'T08'!$G$3:$G$1500,'T08'!$AC$3:$AC$1500)</f>
        <v>N/A</v>
      </c>
      <c r="Z95" s="21" t="s">
        <v>844</v>
      </c>
      <c r="AA95" s="37" t="s">
        <v>844</v>
      </c>
      <c r="AB95" s="21" t="str">
        <f>IF(C95="Against bill",IF(V95&lt;&gt;"N/A","OK - bill linked","Missing bill"),IF(Z95&lt;&gt;"N/A","OK - advance request linked","Missing request"))</f>
        <v>OK - bill linked</v>
      </c>
      <c r="AC95" s="21" t="s">
        <v>844</v>
      </c>
      <c r="AD95" s="21" t="s">
        <v>4360</v>
      </c>
      <c r="AE95" s="21">
        <v>1</v>
      </c>
      <c r="AF95" s="21" t="s">
        <v>4383</v>
      </c>
      <c r="AG95" s="37">
        <f>_xlfn.XLOOKUP(V95,'T08'!$G$3:$G$1500,'T08'!$BH$3:$BH$1500)</f>
        <v>332920</v>
      </c>
      <c r="AH95" s="37">
        <v>0</v>
      </c>
      <c r="AI95" s="37">
        <f>_xlfn.XLOOKUP(V95,'T08'!$G$3:$G$1500,'T08'!$BI$3:$BI$1500)</f>
        <v>13317</v>
      </c>
      <c r="AJ95" s="37">
        <f>_xlfn.XLOOKUP(V95,'T08'!$G$3:$G$1500,'T08'!$BJ$3:$BJ$1500)</f>
        <v>0</v>
      </c>
      <c r="AK95" s="37">
        <f>AG95-AH95-AI95-AJ95</f>
        <v>319603</v>
      </c>
      <c r="AL95" s="37">
        <f>AG95-AH95-AI95-AJ95-AK95</f>
        <v>0</v>
      </c>
      <c r="AM95" s="21" t="s">
        <v>4663</v>
      </c>
      <c r="AN95" s="37">
        <f>SUMIFS($AG$3:$AG$1500,$A$3:$A$1500,A95)</f>
        <v>332920</v>
      </c>
      <c r="AO95" s="37">
        <f>SUMIFS($AI$3:$AI$1500,$A$3:$A$1500,A95)</f>
        <v>13317</v>
      </c>
      <c r="AP95" s="37">
        <f>SUMIFS($AJ$3:$AJ$1500,$A$3:$A$1500,A95)</f>
        <v>0</v>
      </c>
      <c r="AQ95" s="37">
        <f>SUMIFS($AK$3:$AK$1500,$A$3:$A$1500,A95)</f>
        <v>319603</v>
      </c>
      <c r="AR95" s="21" t="str">
        <f>"PKR "&amp;TEXT(AQ95,"#,##0")&amp;" only"</f>
        <v>PKR 319,603 only</v>
      </c>
      <c r="AS95" s="21" t="str">
        <f>"Sec 153 - deposit by "&amp;TEXT(EOMONTH(B95,0)+15,"dd-mmm-yyyy")</f>
        <v>Sec 153 - deposit by 15-May-2026</v>
      </c>
      <c r="AT95" s="21" t="s">
        <v>844</v>
      </c>
      <c r="AU95" s="21" t="s">
        <v>4664</v>
      </c>
      <c r="AV95" s="21" t="s">
        <v>4364</v>
      </c>
      <c r="AW95" s="29">
        <v>46118</v>
      </c>
      <c r="AX95" s="37">
        <f>AQ95+AY95</f>
        <v>319753</v>
      </c>
      <c r="AY95" s="37">
        <v>150</v>
      </c>
      <c r="AZ95" s="21" t="s">
        <v>3090</v>
      </c>
      <c r="BA95" s="21" t="s">
        <v>4356</v>
      </c>
      <c r="BB95" s="21" t="s">
        <v>848</v>
      </c>
      <c r="BC95" s="21" t="s">
        <v>4365</v>
      </c>
      <c r="BD95" s="21" t="str">
        <f>IF(AL95&lt;1,"Bill fully settled","Bill partially settled")</f>
        <v>Bill fully settled</v>
      </c>
      <c r="BE95" s="21" t="str">
        <f>"Payable reduced by PKR "&amp;TEXT(AK95+AI95+AJ95,"#,##0")</f>
        <v>Payable reduced by PKR 332,920</v>
      </c>
      <c r="BF95" s="21" t="s">
        <v>4665</v>
      </c>
      <c r="BG95" s="21" t="s">
        <v>753</v>
      </c>
      <c r="BH95" s="21" t="s">
        <v>844</v>
      </c>
      <c r="BI95" s="21" t="s">
        <v>844</v>
      </c>
      <c r="BJ95" s="21" t="s">
        <v>4387</v>
      </c>
      <c r="BK95" s="21" t="s">
        <v>753</v>
      </c>
      <c r="BL95" s="21" t="s">
        <v>753</v>
      </c>
      <c r="BM95" s="21" t="s">
        <v>753</v>
      </c>
      <c r="BN95" s="21" t="s">
        <v>4368</v>
      </c>
      <c r="BO95" s="21" t="s">
        <v>848</v>
      </c>
      <c r="BP95" s="21" t="str">
        <f>K95</f>
        <v>Paid</v>
      </c>
    </row>
    <row r="96" spans="1:68" x14ac:dyDescent="0.3">
      <c r="A96" s="21" t="s">
        <v>4666</v>
      </c>
      <c r="B96" s="29">
        <v>46131</v>
      </c>
      <c r="C96" s="21" t="s">
        <v>4354</v>
      </c>
      <c r="D96" s="21" t="s">
        <v>743</v>
      </c>
      <c r="E96" s="21" t="s">
        <v>3400</v>
      </c>
      <c r="F96" s="21" t="s">
        <v>3401</v>
      </c>
      <c r="G96" s="21" t="s">
        <v>4355</v>
      </c>
      <c r="H96" s="21" t="s">
        <v>3095</v>
      </c>
      <c r="I96" s="21" t="s">
        <v>3085</v>
      </c>
      <c r="J96" s="21" t="s">
        <v>4356</v>
      </c>
      <c r="K96" s="21" t="s">
        <v>4357</v>
      </c>
      <c r="L96" s="21" t="s">
        <v>3403</v>
      </c>
      <c r="M96" s="21" t="s">
        <v>3404</v>
      </c>
      <c r="N96" s="21" t="s">
        <v>967</v>
      </c>
      <c r="O96" s="21" t="s">
        <v>746</v>
      </c>
      <c r="P96" s="21" t="s">
        <v>983</v>
      </c>
      <c r="Q96" s="21" t="s">
        <v>965</v>
      </c>
      <c r="R96" s="21" t="s">
        <v>985</v>
      </c>
      <c r="S96" s="21" t="s">
        <v>4358</v>
      </c>
      <c r="T96" s="21" t="s">
        <v>3405</v>
      </c>
      <c r="U96" s="37" cm="1">
        <f t="array" ref="U96">SUMPRODUCT(('T08'!$U$3:$U$1500=M96)*('T08'!$AF$3:$AF$1500=1)*('T08'!$I$3:$I$1500&lt;=B96)*'T08'!$BK$3:$BK$1500)-SUMPRODUCT(($M$3:$M$1500=M96)*($B$3:$B$1500&lt;B96)*($AK$3:$AK$1500+$AI$3:$AI$1500+$AJ$3:$AJ$1500))</f>
        <v>-7154449</v>
      </c>
      <c r="V96" s="21" t="s">
        <v>4113</v>
      </c>
      <c r="W96" s="21" t="str">
        <f>TEXT(_xlfn.XLOOKUP(V96,'T08'!$G$3:$G$1500,'T08'!$J$3:$J$1500),"dd-mmm-yyyy")&amp;" / due "&amp;TEXT(_xlfn.XLOOKUP(V96,'T08'!$G$3:$G$1500,'T08'!$BQ$3:$BQ$1500),"dd-mmm-yyyy")</f>
        <v>31-Mar-2026 / due 15-Apr-2026</v>
      </c>
      <c r="X96" s="21" t="s">
        <v>4359</v>
      </c>
      <c r="Y96" s="21" t="str">
        <f>_xlfn.XLOOKUP(V96,'T08'!$G$3:$G$1500,'T08'!$AC$3:$AC$1500)</f>
        <v>PO-2603-1</v>
      </c>
      <c r="Z96" s="21" t="s">
        <v>844</v>
      </c>
      <c r="AA96" s="37" t="s">
        <v>844</v>
      </c>
      <c r="AB96" s="21" t="str">
        <f>IF(C96="Against bill",IF(V96&lt;&gt;"N/A","OK - bill linked","Missing bill"),IF(Z96&lt;&gt;"N/A","OK - advance request linked","Missing request"))</f>
        <v>OK - bill linked</v>
      </c>
      <c r="AC96" s="21" t="s">
        <v>844</v>
      </c>
      <c r="AD96" s="21" t="s">
        <v>4360</v>
      </c>
      <c r="AE96" s="21">
        <v>1</v>
      </c>
      <c r="AF96" s="21" t="s">
        <v>4361</v>
      </c>
      <c r="AG96" s="37">
        <f>_xlfn.XLOOKUP(V96,'T08'!$G$3:$G$1500,'T08'!$BH$3:$BH$1500)</f>
        <v>3874300</v>
      </c>
      <c r="AH96" s="37">
        <v>0</v>
      </c>
      <c r="AI96" s="37">
        <f>_xlfn.XLOOKUP(V96,'T08'!$G$3:$G$1500,'T08'!$BI$3:$BI$1500)</f>
        <v>193715</v>
      </c>
      <c r="AJ96" s="37">
        <f>_xlfn.XLOOKUP(V96,'T08'!$G$3:$G$1500,'T08'!$BJ$3:$BJ$1500)</f>
        <v>0</v>
      </c>
      <c r="AK96" s="37">
        <f>AG96-AH96-AI96-AJ96</f>
        <v>3680585</v>
      </c>
      <c r="AL96" s="37">
        <f>AG96-AH96-AI96-AJ96-AK96</f>
        <v>0</v>
      </c>
      <c r="AM96" s="21" t="s">
        <v>4667</v>
      </c>
      <c r="AN96" s="37">
        <f>SUMIFS($AG$3:$AG$1500,$A$3:$A$1500,A96)</f>
        <v>3874300</v>
      </c>
      <c r="AO96" s="37">
        <f>SUMIFS($AI$3:$AI$1500,$A$3:$A$1500,A96)</f>
        <v>193715</v>
      </c>
      <c r="AP96" s="37">
        <f>SUMIFS($AJ$3:$AJ$1500,$A$3:$A$1500,A96)</f>
        <v>0</v>
      </c>
      <c r="AQ96" s="37">
        <f>SUMIFS($AK$3:$AK$1500,$A$3:$A$1500,A96)</f>
        <v>3680585</v>
      </c>
      <c r="AR96" s="21" t="str">
        <f>"PKR "&amp;TEXT(AQ96,"#,##0")&amp;" only"</f>
        <v>PKR 3,680,585 only</v>
      </c>
      <c r="AS96" s="21" t="str">
        <f>"Sec 153 - deposit by "&amp;TEXT(EOMONTH(B96,0)+15,"dd-mmm-yyyy")</f>
        <v>Sec 153 - deposit by 15-May-2026</v>
      </c>
      <c r="AT96" s="21" t="s">
        <v>844</v>
      </c>
      <c r="AU96" s="21" t="s">
        <v>4668</v>
      </c>
      <c r="AV96" s="21" t="s">
        <v>4364</v>
      </c>
      <c r="AW96" s="29">
        <v>46131</v>
      </c>
      <c r="AX96" s="37">
        <f>AQ96+AY96</f>
        <v>3680735</v>
      </c>
      <c r="AY96" s="37">
        <v>150</v>
      </c>
      <c r="AZ96" s="21" t="s">
        <v>3090</v>
      </c>
      <c r="BA96" s="21" t="s">
        <v>4356</v>
      </c>
      <c r="BB96" s="21" t="s">
        <v>848</v>
      </c>
      <c r="BC96" s="21" t="s">
        <v>4365</v>
      </c>
      <c r="BD96" s="21" t="str">
        <f>IF(AL96&lt;1,"Bill fully settled","Bill partially settled")</f>
        <v>Bill fully settled</v>
      </c>
      <c r="BE96" s="21" t="str">
        <f>"Payable reduced by PKR "&amp;TEXT(AK96+AI96+AJ96,"#,##0")</f>
        <v>Payable reduced by PKR 3,874,300</v>
      </c>
      <c r="BF96" s="21" t="s">
        <v>4669</v>
      </c>
      <c r="BG96" s="21" t="s">
        <v>753</v>
      </c>
      <c r="BH96" s="21" t="s">
        <v>4367</v>
      </c>
      <c r="BI96" s="21" t="s">
        <v>844</v>
      </c>
      <c r="BJ96" s="21" t="s">
        <v>844</v>
      </c>
      <c r="BK96" s="21" t="s">
        <v>753</v>
      </c>
      <c r="BL96" s="21" t="s">
        <v>753</v>
      </c>
      <c r="BM96" s="21" t="s">
        <v>753</v>
      </c>
      <c r="BN96" s="21" t="s">
        <v>4368</v>
      </c>
      <c r="BO96" s="21" t="s">
        <v>848</v>
      </c>
      <c r="BP96" s="21" t="str">
        <f>K96</f>
        <v>Paid</v>
      </c>
    </row>
    <row r="97" spans="1:68" x14ac:dyDescent="0.3">
      <c r="A97" s="21" t="s">
        <v>4670</v>
      </c>
      <c r="B97" s="29">
        <v>46133</v>
      </c>
      <c r="C97" s="21" t="s">
        <v>4354</v>
      </c>
      <c r="D97" s="21" t="s">
        <v>743</v>
      </c>
      <c r="E97" s="21" t="s">
        <v>3368</v>
      </c>
      <c r="F97" s="21" t="s">
        <v>3369</v>
      </c>
      <c r="G97" s="21" t="s">
        <v>4355</v>
      </c>
      <c r="H97" s="21" t="s">
        <v>3095</v>
      </c>
      <c r="I97" s="21" t="s">
        <v>3085</v>
      </c>
      <c r="J97" s="21" t="s">
        <v>4356</v>
      </c>
      <c r="K97" s="21" t="s">
        <v>4357</v>
      </c>
      <c r="L97" s="21" t="s">
        <v>3533</v>
      </c>
      <c r="M97" s="21" t="s">
        <v>3534</v>
      </c>
      <c r="N97" s="21" t="s">
        <v>3535</v>
      </c>
      <c r="O97" s="21" t="s">
        <v>746</v>
      </c>
      <c r="P97" s="21" t="s">
        <v>4462</v>
      </c>
      <c r="Q97" s="21" t="s">
        <v>4671</v>
      </c>
      <c r="R97" s="21" t="s">
        <v>4672</v>
      </c>
      <c r="S97" s="21" t="s">
        <v>4358</v>
      </c>
      <c r="T97" s="21" t="s">
        <v>3536</v>
      </c>
      <c r="U97" s="37" cm="1">
        <f t="array" ref="U97">SUMPRODUCT(('T08'!$U$3:$U$1500=M97)*('T08'!$AF$3:$AF$1500=1)*('T08'!$I$3:$I$1500&lt;=B97)*'T08'!$BK$3:$BK$1500)-SUMPRODUCT(($M$3:$M$1500=M97)*($B$3:$B$1500&lt;B97)*($AK$3:$AK$1500+$AI$3:$AI$1500+$AJ$3:$AJ$1500))</f>
        <v>850491.2</v>
      </c>
      <c r="V97" s="21" t="s">
        <v>3530</v>
      </c>
      <c r="W97" s="21" t="str">
        <f>TEXT(_xlfn.XLOOKUP(V97,'T08'!$G$3:$G$1500,'T08'!$J$3:$J$1500),"dd-mmm-yyyy")&amp;" / due "&amp;TEXT(_xlfn.XLOOKUP(V97,'T08'!$G$3:$G$1500,'T08'!$BQ$3:$BQ$1500),"dd-mmm-yyyy")</f>
        <v>19-Dec-2024 / due 18-Jan-2025</v>
      </c>
      <c r="X97" s="21" t="s">
        <v>4359</v>
      </c>
      <c r="Y97" s="21" t="str">
        <f>_xlfn.XLOOKUP(V97,'T08'!$G$3:$G$1500,'T08'!$AC$3:$AC$1500)</f>
        <v>PO-2412-907</v>
      </c>
      <c r="Z97" s="21" t="s">
        <v>844</v>
      </c>
      <c r="AA97" s="37" t="s">
        <v>844</v>
      </c>
      <c r="AB97" s="21" t="str">
        <f>IF(C97="Against bill",IF(V97&lt;&gt;"N/A","OK - bill linked","Missing bill"),IF(Z97&lt;&gt;"N/A","OK - advance request linked","Missing request"))</f>
        <v>OK - bill linked</v>
      </c>
      <c r="AC97" s="21" t="s">
        <v>844</v>
      </c>
      <c r="AD97" s="21" t="s">
        <v>4360</v>
      </c>
      <c r="AE97" s="21">
        <v>1</v>
      </c>
      <c r="AF97" s="21" t="s">
        <v>4673</v>
      </c>
      <c r="AG97" s="37">
        <f>_xlfn.XLOOKUP(V97,'T08'!$G$3:$G$1500,'T08'!$BH$3:$BH$1500)</f>
        <v>105067.2</v>
      </c>
      <c r="AH97" s="37">
        <v>0</v>
      </c>
      <c r="AI97" s="37">
        <f>_xlfn.XLOOKUP(V97,'T08'!$G$3:$G$1500,'T08'!$BI$3:$BI$1500)</f>
        <v>5253</v>
      </c>
      <c r="AJ97" s="37">
        <f>_xlfn.XLOOKUP(V97,'T08'!$G$3:$G$1500,'T08'!$BJ$3:$BJ$1500)</f>
        <v>0</v>
      </c>
      <c r="AK97" s="37">
        <f>AG97-AH97-AI97-AJ97</f>
        <v>99814.2</v>
      </c>
      <c r="AL97" s="37">
        <f>AG97-AH97-AI97-AJ97-AK97</f>
        <v>0</v>
      </c>
      <c r="AM97" s="21" t="s">
        <v>4674</v>
      </c>
      <c r="AN97" s="37">
        <f>SUMIFS($AG$3:$AG$1500,$A$3:$A$1500,A97)</f>
        <v>895254.2</v>
      </c>
      <c r="AO97" s="37">
        <f>SUMIFS($AI$3:$AI$1500,$A$3:$A$1500,A97)</f>
        <v>44763</v>
      </c>
      <c r="AP97" s="37">
        <f>SUMIFS($AJ$3:$AJ$1500,$A$3:$A$1500,A97)</f>
        <v>0</v>
      </c>
      <c r="AQ97" s="37">
        <f>SUMIFS($AK$3:$AK$1500,$A$3:$A$1500,A97)</f>
        <v>850491.2</v>
      </c>
      <c r="AR97" s="21" t="str">
        <f>"PKR "&amp;TEXT(AQ97,"#,##0")&amp;" only"</f>
        <v>PKR 850,491 only</v>
      </c>
      <c r="AS97" s="21" t="str">
        <f>"Sec 153 - deposit by "&amp;TEXT(EOMONTH(B97,0)+15,"dd-mmm-yyyy")</f>
        <v>Sec 153 - deposit by 15-May-2026</v>
      </c>
      <c r="AT97" s="21" t="s">
        <v>844</v>
      </c>
      <c r="AU97" s="21" t="s">
        <v>4675</v>
      </c>
      <c r="AV97" s="21" t="s">
        <v>4364</v>
      </c>
      <c r="AW97" s="29">
        <v>46133</v>
      </c>
      <c r="AX97" s="37">
        <f>AQ97+AY97</f>
        <v>850641.2</v>
      </c>
      <c r="AY97" s="37">
        <v>150</v>
      </c>
      <c r="AZ97" s="21" t="s">
        <v>3090</v>
      </c>
      <c r="BA97" s="21" t="s">
        <v>4356</v>
      </c>
      <c r="BB97" s="21" t="s">
        <v>848</v>
      </c>
      <c r="BC97" s="21" t="s">
        <v>4365</v>
      </c>
      <c r="BD97" s="21" t="str">
        <f>IF(AL97&lt;1,"Bill fully settled","Bill partially settled")</f>
        <v>Bill fully settled</v>
      </c>
      <c r="BE97" s="21" t="str">
        <f>"Payable reduced by PKR "&amp;TEXT(AK97+AI97+AJ97,"#,##0")</f>
        <v>Payable reduced by PKR 105,067</v>
      </c>
      <c r="BF97" s="21" t="s">
        <v>4676</v>
      </c>
      <c r="BG97" s="21" t="s">
        <v>753</v>
      </c>
      <c r="BH97" s="21" t="s">
        <v>4367</v>
      </c>
      <c r="BI97" s="21" t="s">
        <v>844</v>
      </c>
      <c r="BJ97" s="21" t="s">
        <v>844</v>
      </c>
      <c r="BK97" s="21" t="s">
        <v>753</v>
      </c>
      <c r="BL97" s="21" t="s">
        <v>753</v>
      </c>
      <c r="BM97" s="21" t="s">
        <v>753</v>
      </c>
      <c r="BN97" s="21" t="s">
        <v>4368</v>
      </c>
      <c r="BO97" s="21" t="s">
        <v>848</v>
      </c>
      <c r="BP97" s="21" t="str">
        <f>K97</f>
        <v>Paid</v>
      </c>
    </row>
    <row r="98" spans="1:68" x14ac:dyDescent="0.3">
      <c r="A98" s="21" t="s">
        <v>4670</v>
      </c>
      <c r="B98" s="29">
        <v>46133</v>
      </c>
      <c r="C98" s="21" t="s">
        <v>4354</v>
      </c>
      <c r="D98" s="21" t="s">
        <v>743</v>
      </c>
      <c r="E98" s="21" t="s">
        <v>3368</v>
      </c>
      <c r="F98" s="21" t="s">
        <v>3369</v>
      </c>
      <c r="G98" s="21" t="s">
        <v>4355</v>
      </c>
      <c r="H98" s="21" t="s">
        <v>3095</v>
      </c>
      <c r="I98" s="21" t="s">
        <v>3085</v>
      </c>
      <c r="J98" s="21" t="s">
        <v>4356</v>
      </c>
      <c r="K98" s="21" t="s">
        <v>4357</v>
      </c>
      <c r="L98" s="21" t="s">
        <v>3533</v>
      </c>
      <c r="M98" s="21" t="s">
        <v>3534</v>
      </c>
      <c r="N98" s="21" t="s">
        <v>3535</v>
      </c>
      <c r="O98" s="21" t="s">
        <v>746</v>
      </c>
      <c r="P98" s="21" t="s">
        <v>4462</v>
      </c>
      <c r="Q98" s="21" t="s">
        <v>4671</v>
      </c>
      <c r="R98" s="21" t="s">
        <v>4672</v>
      </c>
      <c r="S98" s="21" t="s">
        <v>4358</v>
      </c>
      <c r="T98" s="21" t="s">
        <v>3536</v>
      </c>
      <c r="U98" s="37" cm="1">
        <f t="array" ref="U98">SUMPRODUCT(('T08'!$U$3:$U$1500=M98)*('T08'!$AF$3:$AF$1500=1)*('T08'!$I$3:$I$1500&lt;=B98)*'T08'!$BK$3:$BK$1500)-SUMPRODUCT(($M$3:$M$1500=M98)*($B$3:$B$1500&lt;B98)*($AK$3:$AK$1500+$AI$3:$AI$1500+$AJ$3:$AJ$1500))</f>
        <v>850491.2</v>
      </c>
      <c r="V98" s="21" t="s">
        <v>3718</v>
      </c>
      <c r="W98" s="21" t="str">
        <f>TEXT(_xlfn.XLOOKUP(V98,'T08'!$G$3:$G$1500,'T08'!$J$3:$J$1500),"dd-mmm-yyyy")&amp;" / due "&amp;TEXT(_xlfn.XLOOKUP(V98,'T08'!$G$3:$G$1500,'T08'!$BQ$3:$BQ$1500),"dd-mmm-yyyy")</f>
        <v>13-May-2025 / due 12-Jun-2025</v>
      </c>
      <c r="X98" s="21" t="s">
        <v>4359</v>
      </c>
      <c r="Y98" s="21" t="str">
        <f>_xlfn.XLOOKUP(V98,'T08'!$G$3:$G$1500,'T08'!$AC$3:$AC$1500)</f>
        <v>PO-2505-919</v>
      </c>
      <c r="Z98" s="21" t="s">
        <v>844</v>
      </c>
      <c r="AA98" s="37" t="s">
        <v>844</v>
      </c>
      <c r="AB98" s="21" t="str">
        <f>IF(C98="Against bill",IF(V98&lt;&gt;"N/A","OK - bill linked","Missing bill"),IF(Z98&lt;&gt;"N/A","OK - advance request linked","Missing request"))</f>
        <v>OK - bill linked</v>
      </c>
      <c r="AC98" s="21" t="s">
        <v>844</v>
      </c>
      <c r="AD98" s="21" t="s">
        <v>4360</v>
      </c>
      <c r="AE98" s="21">
        <v>2</v>
      </c>
      <c r="AF98" s="21" t="s">
        <v>4673</v>
      </c>
      <c r="AG98" s="37">
        <f>_xlfn.XLOOKUP(V98,'T08'!$G$3:$G$1500,'T08'!$BH$3:$BH$1500)</f>
        <v>247021.2</v>
      </c>
      <c r="AH98" s="37">
        <v>0</v>
      </c>
      <c r="AI98" s="37">
        <f>_xlfn.XLOOKUP(V98,'T08'!$G$3:$G$1500,'T08'!$BI$3:$BI$1500)</f>
        <v>12351</v>
      </c>
      <c r="AJ98" s="37">
        <f>_xlfn.XLOOKUP(V98,'T08'!$G$3:$G$1500,'T08'!$BJ$3:$BJ$1500)</f>
        <v>0</v>
      </c>
      <c r="AK98" s="37">
        <f>AG98-AH98-AI98-AJ98</f>
        <v>234670.2</v>
      </c>
      <c r="AL98" s="37">
        <f>AG98-AH98-AI98-AJ98-AK98</f>
        <v>0</v>
      </c>
      <c r="AM98" s="21" t="s">
        <v>4677</v>
      </c>
      <c r="AN98" s="37">
        <f>SUMIFS($AG$3:$AG$1500,$A$3:$A$1500,A98)</f>
        <v>895254.2</v>
      </c>
      <c r="AO98" s="37">
        <f>SUMIFS($AI$3:$AI$1500,$A$3:$A$1500,A98)</f>
        <v>44763</v>
      </c>
      <c r="AP98" s="37">
        <f>SUMIFS($AJ$3:$AJ$1500,$A$3:$A$1500,A98)</f>
        <v>0</v>
      </c>
      <c r="AQ98" s="37">
        <f>SUMIFS($AK$3:$AK$1500,$A$3:$A$1500,A98)</f>
        <v>850491.2</v>
      </c>
      <c r="AR98" s="21" t="str">
        <f>"PKR "&amp;TEXT(AQ98,"#,##0")&amp;" only"</f>
        <v>PKR 850,491 only</v>
      </c>
      <c r="AS98" s="21" t="str">
        <f>"Sec 153 - deposit by "&amp;TEXT(EOMONTH(B98,0)+15,"dd-mmm-yyyy")</f>
        <v>Sec 153 - deposit by 15-May-2026</v>
      </c>
      <c r="AT98" s="21" t="s">
        <v>844</v>
      </c>
      <c r="AU98" s="21" t="s">
        <v>4678</v>
      </c>
      <c r="AV98" s="21" t="s">
        <v>4364</v>
      </c>
      <c r="AW98" s="29">
        <v>46133</v>
      </c>
      <c r="AX98" s="37">
        <f>AQ98+AY98</f>
        <v>850491.2</v>
      </c>
      <c r="AY98" s="37">
        <v>0</v>
      </c>
      <c r="AZ98" s="21" t="s">
        <v>3090</v>
      </c>
      <c r="BA98" s="21" t="s">
        <v>4356</v>
      </c>
      <c r="BB98" s="21" t="s">
        <v>848</v>
      </c>
      <c r="BC98" s="21" t="s">
        <v>4365</v>
      </c>
      <c r="BD98" s="21" t="str">
        <f>IF(AL98&lt;1,"Bill fully settled","Bill partially settled")</f>
        <v>Bill fully settled</v>
      </c>
      <c r="BE98" s="21" t="str">
        <f>"Payable reduced by PKR "&amp;TEXT(AK98+AI98+AJ98,"#,##0")</f>
        <v>Payable reduced by PKR 247,021</v>
      </c>
      <c r="BF98" s="21" t="s">
        <v>4676</v>
      </c>
      <c r="BG98" s="21" t="s">
        <v>753</v>
      </c>
      <c r="BH98" s="21" t="s">
        <v>4367</v>
      </c>
      <c r="BI98" s="21" t="s">
        <v>844</v>
      </c>
      <c r="BJ98" s="21" t="s">
        <v>844</v>
      </c>
      <c r="BK98" s="21" t="s">
        <v>753</v>
      </c>
      <c r="BL98" s="21" t="s">
        <v>753</v>
      </c>
      <c r="BM98" s="21" t="s">
        <v>753</v>
      </c>
      <c r="BN98" s="21" t="s">
        <v>4368</v>
      </c>
      <c r="BO98" s="21" t="s">
        <v>848</v>
      </c>
      <c r="BP98" s="21" t="str">
        <f>K98</f>
        <v>Paid</v>
      </c>
    </row>
    <row r="99" spans="1:68" x14ac:dyDescent="0.3">
      <c r="A99" s="21" t="s">
        <v>4670</v>
      </c>
      <c r="B99" s="29">
        <v>46133</v>
      </c>
      <c r="C99" s="21" t="s">
        <v>4354</v>
      </c>
      <c r="D99" s="21" t="s">
        <v>743</v>
      </c>
      <c r="E99" s="21" t="s">
        <v>3368</v>
      </c>
      <c r="F99" s="21" t="s">
        <v>3369</v>
      </c>
      <c r="G99" s="21" t="s">
        <v>4355</v>
      </c>
      <c r="H99" s="21" t="s">
        <v>3095</v>
      </c>
      <c r="I99" s="21" t="s">
        <v>3085</v>
      </c>
      <c r="J99" s="21" t="s">
        <v>4356</v>
      </c>
      <c r="K99" s="21" t="s">
        <v>4357</v>
      </c>
      <c r="L99" s="21" t="s">
        <v>3533</v>
      </c>
      <c r="M99" s="21" t="s">
        <v>3534</v>
      </c>
      <c r="N99" s="21" t="s">
        <v>3535</v>
      </c>
      <c r="O99" s="21" t="s">
        <v>746</v>
      </c>
      <c r="P99" s="21" t="s">
        <v>4462</v>
      </c>
      <c r="Q99" s="21" t="s">
        <v>4671</v>
      </c>
      <c r="R99" s="21" t="s">
        <v>4672</v>
      </c>
      <c r="S99" s="21" t="s">
        <v>4358</v>
      </c>
      <c r="T99" s="21" t="s">
        <v>3536</v>
      </c>
      <c r="U99" s="37" cm="1">
        <f t="array" ref="U99">SUMPRODUCT(('T08'!$U$3:$U$1500=M99)*('T08'!$AF$3:$AF$1500=1)*('T08'!$I$3:$I$1500&lt;=B99)*'T08'!$BK$3:$BK$1500)-SUMPRODUCT(($M$3:$M$1500=M99)*($B$3:$B$1500&lt;B99)*($AK$3:$AK$1500+$AI$3:$AI$1500+$AJ$3:$AJ$1500))</f>
        <v>850491.2</v>
      </c>
      <c r="V99" s="21" t="s">
        <v>3913</v>
      </c>
      <c r="W99" s="21" t="str">
        <f>TEXT(_xlfn.XLOOKUP(V99,'T08'!$G$3:$G$1500,'T08'!$J$3:$J$1500),"dd-mmm-yyyy")&amp;" / due "&amp;TEXT(_xlfn.XLOOKUP(V99,'T08'!$G$3:$G$1500,'T08'!$BQ$3:$BQ$1500),"dd-mmm-yyyy")</f>
        <v>08-Oct-2025 / due 07-Nov-2025</v>
      </c>
      <c r="X99" s="21" t="s">
        <v>4359</v>
      </c>
      <c r="Y99" s="21" t="str">
        <f>_xlfn.XLOOKUP(V99,'T08'!$G$3:$G$1500,'T08'!$AC$3:$AC$1500)</f>
        <v>PO-2510-931</v>
      </c>
      <c r="Z99" s="21" t="s">
        <v>844</v>
      </c>
      <c r="AA99" s="37" t="s">
        <v>844</v>
      </c>
      <c r="AB99" s="21" t="str">
        <f>IF(C99="Against bill",IF(V99&lt;&gt;"N/A","OK - bill linked","Missing bill"),IF(Z99&lt;&gt;"N/A","OK - advance request linked","Missing request"))</f>
        <v>OK - bill linked</v>
      </c>
      <c r="AC99" s="21" t="s">
        <v>844</v>
      </c>
      <c r="AD99" s="21" t="s">
        <v>4360</v>
      </c>
      <c r="AE99" s="21">
        <v>3</v>
      </c>
      <c r="AF99" s="21" t="s">
        <v>4673</v>
      </c>
      <c r="AG99" s="37">
        <f>_xlfn.XLOOKUP(V99,'T08'!$G$3:$G$1500,'T08'!$BH$3:$BH$1500)</f>
        <v>294374.59999999998</v>
      </c>
      <c r="AH99" s="37">
        <v>0</v>
      </c>
      <c r="AI99" s="37">
        <f>_xlfn.XLOOKUP(V99,'T08'!$G$3:$G$1500,'T08'!$BI$3:$BI$1500)</f>
        <v>14719</v>
      </c>
      <c r="AJ99" s="37">
        <f>_xlfn.XLOOKUP(V99,'T08'!$G$3:$G$1500,'T08'!$BJ$3:$BJ$1500)</f>
        <v>0</v>
      </c>
      <c r="AK99" s="37">
        <f>AG99-AH99-AI99-AJ99</f>
        <v>279655.59999999998</v>
      </c>
      <c r="AL99" s="37">
        <f>AG99-AH99-AI99-AJ99-AK99</f>
        <v>0</v>
      </c>
      <c r="AM99" s="21" t="s">
        <v>4679</v>
      </c>
      <c r="AN99" s="37">
        <f>SUMIFS($AG$3:$AG$1500,$A$3:$A$1500,A99)</f>
        <v>895254.2</v>
      </c>
      <c r="AO99" s="37">
        <f>SUMIFS($AI$3:$AI$1500,$A$3:$A$1500,A99)</f>
        <v>44763</v>
      </c>
      <c r="AP99" s="37">
        <f>SUMIFS($AJ$3:$AJ$1500,$A$3:$A$1500,A99)</f>
        <v>0</v>
      </c>
      <c r="AQ99" s="37">
        <f>SUMIFS($AK$3:$AK$1500,$A$3:$A$1500,A99)</f>
        <v>850491.2</v>
      </c>
      <c r="AR99" s="21" t="str">
        <f>"PKR "&amp;TEXT(AQ99,"#,##0")&amp;" only"</f>
        <v>PKR 850,491 only</v>
      </c>
      <c r="AS99" s="21" t="str">
        <f>"Sec 153 - deposit by "&amp;TEXT(EOMONTH(B99,0)+15,"dd-mmm-yyyy")</f>
        <v>Sec 153 - deposit by 15-May-2026</v>
      </c>
      <c r="AT99" s="21" t="s">
        <v>844</v>
      </c>
      <c r="AU99" s="21" t="s">
        <v>4675</v>
      </c>
      <c r="AV99" s="21" t="s">
        <v>4364</v>
      </c>
      <c r="AW99" s="29">
        <v>46133</v>
      </c>
      <c r="AX99" s="37">
        <f>AQ99+AY99</f>
        <v>850491.2</v>
      </c>
      <c r="AY99" s="37">
        <v>0</v>
      </c>
      <c r="AZ99" s="21" t="s">
        <v>3090</v>
      </c>
      <c r="BA99" s="21" t="s">
        <v>4356</v>
      </c>
      <c r="BB99" s="21" t="s">
        <v>848</v>
      </c>
      <c r="BC99" s="21" t="s">
        <v>4365</v>
      </c>
      <c r="BD99" s="21" t="str">
        <f>IF(AL99&lt;1,"Bill fully settled","Bill partially settled")</f>
        <v>Bill fully settled</v>
      </c>
      <c r="BE99" s="21" t="str">
        <f>"Payable reduced by PKR "&amp;TEXT(AK99+AI99+AJ99,"#,##0")</f>
        <v>Payable reduced by PKR 294,375</v>
      </c>
      <c r="BF99" s="21" t="s">
        <v>4676</v>
      </c>
      <c r="BG99" s="21" t="s">
        <v>753</v>
      </c>
      <c r="BH99" s="21" t="s">
        <v>4367</v>
      </c>
      <c r="BI99" s="21" t="s">
        <v>844</v>
      </c>
      <c r="BJ99" s="21" t="s">
        <v>844</v>
      </c>
      <c r="BK99" s="21" t="s">
        <v>753</v>
      </c>
      <c r="BL99" s="21" t="s">
        <v>753</v>
      </c>
      <c r="BM99" s="21" t="s">
        <v>753</v>
      </c>
      <c r="BN99" s="21" t="s">
        <v>4368</v>
      </c>
      <c r="BO99" s="21" t="s">
        <v>848</v>
      </c>
      <c r="BP99" s="21" t="str">
        <f>K99</f>
        <v>Paid</v>
      </c>
    </row>
    <row r="100" spans="1:68" x14ac:dyDescent="0.3">
      <c r="A100" s="21" t="s">
        <v>4670</v>
      </c>
      <c r="B100" s="29">
        <v>46133</v>
      </c>
      <c r="C100" s="21" t="s">
        <v>4354</v>
      </c>
      <c r="D100" s="21" t="s">
        <v>743</v>
      </c>
      <c r="E100" s="21" t="s">
        <v>3368</v>
      </c>
      <c r="F100" s="21" t="s">
        <v>3369</v>
      </c>
      <c r="G100" s="21" t="s">
        <v>4355</v>
      </c>
      <c r="H100" s="21" t="s">
        <v>3095</v>
      </c>
      <c r="I100" s="21" t="s">
        <v>3085</v>
      </c>
      <c r="J100" s="21" t="s">
        <v>4356</v>
      </c>
      <c r="K100" s="21" t="s">
        <v>4357</v>
      </c>
      <c r="L100" s="21" t="s">
        <v>3533</v>
      </c>
      <c r="M100" s="21" t="s">
        <v>3534</v>
      </c>
      <c r="N100" s="21" t="s">
        <v>3535</v>
      </c>
      <c r="O100" s="21" t="s">
        <v>746</v>
      </c>
      <c r="P100" s="21" t="s">
        <v>4462</v>
      </c>
      <c r="Q100" s="21" t="s">
        <v>4671</v>
      </c>
      <c r="R100" s="21" t="s">
        <v>4672</v>
      </c>
      <c r="S100" s="21" t="s">
        <v>4358</v>
      </c>
      <c r="T100" s="21" t="s">
        <v>3536</v>
      </c>
      <c r="U100" s="37" cm="1">
        <f t="array" ref="U100">SUMPRODUCT(('T08'!$U$3:$U$1500=M100)*('T08'!$AF$3:$AF$1500=1)*('T08'!$I$3:$I$1500&lt;=B100)*'T08'!$BK$3:$BK$1500)-SUMPRODUCT(($M$3:$M$1500=M100)*($B$3:$B$1500&lt;B100)*($AK$3:$AK$1500+$AI$3:$AI$1500+$AJ$3:$AJ$1500))</f>
        <v>850491.2</v>
      </c>
      <c r="V100" s="21" t="s">
        <v>4098</v>
      </c>
      <c r="W100" s="21" t="str">
        <f>TEXT(_xlfn.XLOOKUP(V100,'T08'!$G$3:$G$1500,'T08'!$J$3:$J$1500),"dd-mmm-yyyy")&amp;" / due "&amp;TEXT(_xlfn.XLOOKUP(V100,'T08'!$G$3:$G$1500,'T08'!$BQ$3:$BQ$1500),"dd-mmm-yyyy")</f>
        <v>17-Mar-2026 / due 16-Apr-2026</v>
      </c>
      <c r="X100" s="21" t="s">
        <v>4359</v>
      </c>
      <c r="Y100" s="21" t="str">
        <f>_xlfn.XLOOKUP(V100,'T08'!$G$3:$G$1500,'T08'!$AC$3:$AC$1500)</f>
        <v>PO-2603-943</v>
      </c>
      <c r="Z100" s="21" t="s">
        <v>844</v>
      </c>
      <c r="AA100" s="37" t="s">
        <v>844</v>
      </c>
      <c r="AB100" s="21" t="str">
        <f>IF(C100="Against bill",IF(V100&lt;&gt;"N/A","OK - bill linked","Missing bill"),IF(Z100&lt;&gt;"N/A","OK - advance request linked","Missing request"))</f>
        <v>OK - bill linked</v>
      </c>
      <c r="AC100" s="21" t="s">
        <v>844</v>
      </c>
      <c r="AD100" s="21" t="s">
        <v>4360</v>
      </c>
      <c r="AE100" s="21">
        <v>4</v>
      </c>
      <c r="AF100" s="21" t="s">
        <v>4673</v>
      </c>
      <c r="AG100" s="37">
        <f>_xlfn.XLOOKUP(V100,'T08'!$G$3:$G$1500,'T08'!$BH$3:$BH$1500)</f>
        <v>248791.2</v>
      </c>
      <c r="AH100" s="37">
        <v>0</v>
      </c>
      <c r="AI100" s="37">
        <f>_xlfn.XLOOKUP(V100,'T08'!$G$3:$G$1500,'T08'!$BI$3:$BI$1500)</f>
        <v>12440</v>
      </c>
      <c r="AJ100" s="37">
        <f>_xlfn.XLOOKUP(V100,'T08'!$G$3:$G$1500,'T08'!$BJ$3:$BJ$1500)</f>
        <v>0</v>
      </c>
      <c r="AK100" s="37">
        <f>AG100-AH100-AI100-AJ100</f>
        <v>236351.2</v>
      </c>
      <c r="AL100" s="37">
        <f>AG100-AH100-AI100-AJ100-AK100</f>
        <v>0</v>
      </c>
      <c r="AM100" s="21" t="s">
        <v>4680</v>
      </c>
      <c r="AN100" s="37">
        <f>SUMIFS($AG$3:$AG$1500,$A$3:$A$1500,A100)</f>
        <v>895254.2</v>
      </c>
      <c r="AO100" s="37">
        <f>SUMIFS($AI$3:$AI$1500,$A$3:$A$1500,A100)</f>
        <v>44763</v>
      </c>
      <c r="AP100" s="37">
        <f>SUMIFS($AJ$3:$AJ$1500,$A$3:$A$1500,A100)</f>
        <v>0</v>
      </c>
      <c r="AQ100" s="37">
        <f>SUMIFS($AK$3:$AK$1500,$A$3:$A$1500,A100)</f>
        <v>850491.2</v>
      </c>
      <c r="AR100" s="21" t="str">
        <f>"PKR "&amp;TEXT(AQ100,"#,##0")&amp;" only"</f>
        <v>PKR 850,491 only</v>
      </c>
      <c r="AS100" s="21" t="str">
        <f>"Sec 153 - deposit by "&amp;TEXT(EOMONTH(B100,0)+15,"dd-mmm-yyyy")</f>
        <v>Sec 153 - deposit by 15-May-2026</v>
      </c>
      <c r="AT100" s="21" t="s">
        <v>844</v>
      </c>
      <c r="AU100" s="21" t="s">
        <v>4681</v>
      </c>
      <c r="AV100" s="21" t="s">
        <v>4364</v>
      </c>
      <c r="AW100" s="29">
        <v>46133</v>
      </c>
      <c r="AX100" s="37">
        <f>AQ100+AY100</f>
        <v>850491.2</v>
      </c>
      <c r="AY100" s="37">
        <v>0</v>
      </c>
      <c r="AZ100" s="21" t="s">
        <v>3090</v>
      </c>
      <c r="BA100" s="21" t="s">
        <v>4356</v>
      </c>
      <c r="BB100" s="21" t="s">
        <v>848</v>
      </c>
      <c r="BC100" s="21" t="s">
        <v>4365</v>
      </c>
      <c r="BD100" s="21" t="str">
        <f>IF(AL100&lt;1,"Bill fully settled","Bill partially settled")</f>
        <v>Bill fully settled</v>
      </c>
      <c r="BE100" s="21" t="str">
        <f>"Payable reduced by PKR "&amp;TEXT(AK100+AI100+AJ100,"#,##0")</f>
        <v>Payable reduced by PKR 248,791</v>
      </c>
      <c r="BF100" s="21" t="s">
        <v>4676</v>
      </c>
      <c r="BG100" s="21" t="s">
        <v>753</v>
      </c>
      <c r="BH100" s="21" t="s">
        <v>4367</v>
      </c>
      <c r="BI100" s="21" t="s">
        <v>844</v>
      </c>
      <c r="BJ100" s="21" t="s">
        <v>844</v>
      </c>
      <c r="BK100" s="21" t="s">
        <v>753</v>
      </c>
      <c r="BL100" s="21" t="s">
        <v>753</v>
      </c>
      <c r="BM100" s="21" t="s">
        <v>753</v>
      </c>
      <c r="BN100" s="21" t="s">
        <v>4368</v>
      </c>
      <c r="BO100" s="21" t="s">
        <v>848</v>
      </c>
      <c r="BP100" s="21" t="str">
        <f>K100</f>
        <v>Paid</v>
      </c>
    </row>
    <row r="101" spans="1:68" x14ac:dyDescent="0.3">
      <c r="A101" s="21" t="s">
        <v>4682</v>
      </c>
      <c r="B101" s="29">
        <v>46140</v>
      </c>
      <c r="C101" s="21" t="s">
        <v>4354</v>
      </c>
      <c r="D101" s="21" t="s">
        <v>743</v>
      </c>
      <c r="E101" s="21" t="s">
        <v>3350</v>
      </c>
      <c r="F101" s="21" t="s">
        <v>3351</v>
      </c>
      <c r="G101" s="21" t="s">
        <v>4355</v>
      </c>
      <c r="H101" s="21" t="s">
        <v>3095</v>
      </c>
      <c r="I101" s="21" t="s">
        <v>3085</v>
      </c>
      <c r="J101" s="21" t="s">
        <v>4356</v>
      </c>
      <c r="K101" s="21" t="s">
        <v>4357</v>
      </c>
      <c r="L101" s="21" t="s">
        <v>3353</v>
      </c>
      <c r="M101" s="21" t="s">
        <v>3450</v>
      </c>
      <c r="N101" s="21" t="s">
        <v>3451</v>
      </c>
      <c r="O101" s="21" t="s">
        <v>746</v>
      </c>
      <c r="P101" s="21" t="s">
        <v>4462</v>
      </c>
      <c r="Q101" s="21" t="s">
        <v>4463</v>
      </c>
      <c r="R101" s="21" t="s">
        <v>4464</v>
      </c>
      <c r="S101" s="21" t="s">
        <v>4358</v>
      </c>
      <c r="T101" s="21" t="s">
        <v>3452</v>
      </c>
      <c r="U101" s="37" cm="1">
        <f t="array" ref="U101">SUMPRODUCT(('T08'!$U$3:$U$1500=M101)*('T08'!$AF$3:$AF$1500=1)*('T08'!$I$3:$I$1500&lt;=B101)*'T08'!$BK$3:$BK$1500)-SUMPRODUCT(($M$3:$M$1500=M101)*($B$3:$B$1500&lt;B101)*($AK$3:$AK$1500+$AI$3:$AI$1500+$AJ$3:$AJ$1500))</f>
        <v>122612</v>
      </c>
      <c r="V101" s="21" t="s">
        <v>3847</v>
      </c>
      <c r="W101" s="21" t="str">
        <f>TEXT(_xlfn.XLOOKUP(V101,'T08'!$G$3:$G$1500,'T08'!$J$3:$J$1500),"dd-mmm-yyyy")&amp;" / due "&amp;TEXT(_xlfn.XLOOKUP(V101,'T08'!$G$3:$G$1500,'T08'!$BQ$3:$BQ$1500),"dd-mmm-yyyy")</f>
        <v>14-Aug-2025 / due 29-Aug-2025</v>
      </c>
      <c r="X101" s="21" t="s">
        <v>4359</v>
      </c>
      <c r="Y101" s="21" t="str">
        <f>_xlfn.XLOOKUP(V101,'T08'!$G$3:$G$1500,'T08'!$AC$3:$AC$1500)</f>
        <v>N/A</v>
      </c>
      <c r="Z101" s="21" t="s">
        <v>844</v>
      </c>
      <c r="AA101" s="37" t="s">
        <v>844</v>
      </c>
      <c r="AB101" s="21" t="str">
        <f>IF(C101="Against bill",IF(V101&lt;&gt;"N/A","OK - bill linked","Missing bill"),IF(Z101&lt;&gt;"N/A","OK - advance request linked","Missing request"))</f>
        <v>OK - bill linked</v>
      </c>
      <c r="AC101" s="21" t="s">
        <v>844</v>
      </c>
      <c r="AD101" s="21" t="s">
        <v>4360</v>
      </c>
      <c r="AE101" s="21">
        <v>1</v>
      </c>
      <c r="AF101" s="21" t="s">
        <v>4465</v>
      </c>
      <c r="AG101" s="37">
        <f>_xlfn.XLOOKUP(V101,'T08'!$G$3:$G$1500,'T08'!$BH$3:$BH$1500)</f>
        <v>30160</v>
      </c>
      <c r="AH101" s="37">
        <v>0</v>
      </c>
      <c r="AI101" s="37">
        <f>_xlfn.XLOOKUP(V101,'T08'!$G$3:$G$1500,'T08'!$BI$3:$BI$1500)</f>
        <v>0</v>
      </c>
      <c r="AJ101" s="37">
        <f>_xlfn.XLOOKUP(V101,'T08'!$G$3:$G$1500,'T08'!$BJ$3:$BJ$1500)</f>
        <v>0</v>
      </c>
      <c r="AK101" s="37">
        <f>AG101-AH101-AI101-AJ101</f>
        <v>30160</v>
      </c>
      <c r="AL101" s="37">
        <f>AG101-AH101-AI101-AJ101-AK101</f>
        <v>0</v>
      </c>
      <c r="AM101" s="21" t="s">
        <v>4683</v>
      </c>
      <c r="AN101" s="37">
        <f>SUMIFS($AG$3:$AG$1500,$A$3:$A$1500,A101)</f>
        <v>122612</v>
      </c>
      <c r="AO101" s="37">
        <f>SUMIFS($AI$3:$AI$1500,$A$3:$A$1500,A101)</f>
        <v>0</v>
      </c>
      <c r="AP101" s="37">
        <f>SUMIFS($AJ$3:$AJ$1500,$A$3:$A$1500,A101)</f>
        <v>0</v>
      </c>
      <c r="AQ101" s="37">
        <f>SUMIFS($AK$3:$AK$1500,$A$3:$A$1500,A101)</f>
        <v>122612</v>
      </c>
      <c r="AR101" s="21" t="str">
        <f>"PKR "&amp;TEXT(AQ101,"#,##0")&amp;" only"</f>
        <v>PKR 122,612 only</v>
      </c>
      <c r="AS101" s="21" t="str">
        <f>"Sec 153 - deposit by "&amp;TEXT(EOMONTH(B101,0)+15,"dd-mmm-yyyy")</f>
        <v>Sec 153 - deposit by 15-May-2026</v>
      </c>
      <c r="AT101" s="21" t="s">
        <v>844</v>
      </c>
      <c r="AU101" s="21" t="s">
        <v>4684</v>
      </c>
      <c r="AV101" s="21" t="s">
        <v>4364</v>
      </c>
      <c r="AW101" s="29">
        <v>46140</v>
      </c>
      <c r="AX101" s="37">
        <f>AQ101+AY101</f>
        <v>122762</v>
      </c>
      <c r="AY101" s="37">
        <v>150</v>
      </c>
      <c r="AZ101" s="21" t="s">
        <v>3090</v>
      </c>
      <c r="BA101" s="21" t="s">
        <v>4356</v>
      </c>
      <c r="BB101" s="21" t="s">
        <v>848</v>
      </c>
      <c r="BC101" s="21" t="s">
        <v>4365</v>
      </c>
      <c r="BD101" s="21" t="str">
        <f>IF(AL101&lt;1,"Bill fully settled","Bill partially settled")</f>
        <v>Bill fully settled</v>
      </c>
      <c r="BE101" s="21" t="str">
        <f>"Payable reduced by PKR "&amp;TEXT(AK101+AI101+AJ101,"#,##0")</f>
        <v>Payable reduced by PKR 30,160</v>
      </c>
      <c r="BF101" s="21" t="s">
        <v>4685</v>
      </c>
      <c r="BG101" s="21" t="s">
        <v>753</v>
      </c>
      <c r="BH101" s="21" t="s">
        <v>844</v>
      </c>
      <c r="BI101" s="21" t="s">
        <v>844</v>
      </c>
      <c r="BJ101" s="21" t="s">
        <v>844</v>
      </c>
      <c r="BK101" s="21" t="s">
        <v>753</v>
      </c>
      <c r="BL101" s="21" t="s">
        <v>753</v>
      </c>
      <c r="BM101" s="21" t="s">
        <v>753</v>
      </c>
      <c r="BN101" s="21" t="s">
        <v>4368</v>
      </c>
      <c r="BO101" s="21" t="s">
        <v>848</v>
      </c>
      <c r="BP101" s="21" t="str">
        <f>K101</f>
        <v>Paid</v>
      </c>
    </row>
    <row r="102" spans="1:68" x14ac:dyDescent="0.3">
      <c r="A102" s="21" t="s">
        <v>4682</v>
      </c>
      <c r="B102" s="29">
        <v>46140</v>
      </c>
      <c r="C102" s="21" t="s">
        <v>4354</v>
      </c>
      <c r="D102" s="21" t="s">
        <v>743</v>
      </c>
      <c r="E102" s="21" t="s">
        <v>3350</v>
      </c>
      <c r="F102" s="21" t="s">
        <v>3351</v>
      </c>
      <c r="G102" s="21" t="s">
        <v>4355</v>
      </c>
      <c r="H102" s="21" t="s">
        <v>3095</v>
      </c>
      <c r="I102" s="21" t="s">
        <v>3085</v>
      </c>
      <c r="J102" s="21" t="s">
        <v>4356</v>
      </c>
      <c r="K102" s="21" t="s">
        <v>4357</v>
      </c>
      <c r="L102" s="21" t="s">
        <v>3353</v>
      </c>
      <c r="M102" s="21" t="s">
        <v>3450</v>
      </c>
      <c r="N102" s="21" t="s">
        <v>3451</v>
      </c>
      <c r="O102" s="21" t="s">
        <v>746</v>
      </c>
      <c r="P102" s="21" t="s">
        <v>4462</v>
      </c>
      <c r="Q102" s="21" t="s">
        <v>4463</v>
      </c>
      <c r="R102" s="21" t="s">
        <v>4464</v>
      </c>
      <c r="S102" s="21" t="s">
        <v>4358</v>
      </c>
      <c r="T102" s="21" t="s">
        <v>3452</v>
      </c>
      <c r="U102" s="37" cm="1">
        <f t="array" ref="U102">SUMPRODUCT(('T08'!$U$3:$U$1500=M102)*('T08'!$AF$3:$AF$1500=1)*('T08'!$I$3:$I$1500&lt;=B102)*'T08'!$BK$3:$BK$1500)-SUMPRODUCT(($M$3:$M$1500=M102)*($B$3:$B$1500&lt;B102)*($AK$3:$AK$1500+$AI$3:$AI$1500+$AJ$3:$AJ$1500))</f>
        <v>122612</v>
      </c>
      <c r="V102" s="21" t="s">
        <v>3993</v>
      </c>
      <c r="W102" s="21" t="str">
        <f>TEXT(_xlfn.XLOOKUP(V102,'T08'!$G$3:$G$1500,'T08'!$J$3:$J$1500),"dd-mmm-yyyy")&amp;" / due "&amp;TEXT(_xlfn.XLOOKUP(V102,'T08'!$G$3:$G$1500,'T08'!$BQ$3:$BQ$1500),"dd-mmm-yyyy")</f>
        <v>18-Dec-2025 / due 02-Jan-2026</v>
      </c>
      <c r="X102" s="21" t="s">
        <v>4359</v>
      </c>
      <c r="Y102" s="21" t="str">
        <f>_xlfn.XLOOKUP(V102,'T08'!$G$3:$G$1500,'T08'!$AC$3:$AC$1500)</f>
        <v>N/A</v>
      </c>
      <c r="Z102" s="21" t="s">
        <v>844</v>
      </c>
      <c r="AA102" s="37" t="s">
        <v>844</v>
      </c>
      <c r="AB102" s="21" t="str">
        <f>IF(C102="Against bill",IF(V102&lt;&gt;"N/A","OK - bill linked","Missing bill"),IF(Z102&lt;&gt;"N/A","OK - advance request linked","Missing request"))</f>
        <v>OK - bill linked</v>
      </c>
      <c r="AC102" s="21" t="s">
        <v>844</v>
      </c>
      <c r="AD102" s="21" t="s">
        <v>4360</v>
      </c>
      <c r="AE102" s="21">
        <v>2</v>
      </c>
      <c r="AF102" s="21" t="s">
        <v>4465</v>
      </c>
      <c r="AG102" s="37">
        <f>_xlfn.XLOOKUP(V102,'T08'!$G$3:$G$1500,'T08'!$BH$3:$BH$1500)</f>
        <v>30624</v>
      </c>
      <c r="AH102" s="37">
        <v>0</v>
      </c>
      <c r="AI102" s="37">
        <f>_xlfn.XLOOKUP(V102,'T08'!$G$3:$G$1500,'T08'!$BI$3:$BI$1500)</f>
        <v>0</v>
      </c>
      <c r="AJ102" s="37">
        <f>_xlfn.XLOOKUP(V102,'T08'!$G$3:$G$1500,'T08'!$BJ$3:$BJ$1500)</f>
        <v>0</v>
      </c>
      <c r="AK102" s="37">
        <f>AG102-AH102-AI102-AJ102</f>
        <v>30624</v>
      </c>
      <c r="AL102" s="37">
        <f>AG102-AH102-AI102-AJ102-AK102</f>
        <v>0</v>
      </c>
      <c r="AM102" s="21" t="s">
        <v>4686</v>
      </c>
      <c r="AN102" s="37">
        <f>SUMIFS($AG$3:$AG$1500,$A$3:$A$1500,A102)</f>
        <v>122612</v>
      </c>
      <c r="AO102" s="37">
        <f>SUMIFS($AI$3:$AI$1500,$A$3:$A$1500,A102)</f>
        <v>0</v>
      </c>
      <c r="AP102" s="37">
        <f>SUMIFS($AJ$3:$AJ$1500,$A$3:$A$1500,A102)</f>
        <v>0</v>
      </c>
      <c r="AQ102" s="37">
        <f>SUMIFS($AK$3:$AK$1500,$A$3:$A$1500,A102)</f>
        <v>122612</v>
      </c>
      <c r="AR102" s="21" t="str">
        <f>"PKR "&amp;TEXT(AQ102,"#,##0")&amp;" only"</f>
        <v>PKR 122,612 only</v>
      </c>
      <c r="AS102" s="21" t="str">
        <f>"Sec 153 - deposit by "&amp;TEXT(EOMONTH(B102,0)+15,"dd-mmm-yyyy")</f>
        <v>Sec 153 - deposit by 15-May-2026</v>
      </c>
      <c r="AT102" s="21" t="s">
        <v>844</v>
      </c>
      <c r="AU102" s="21" t="s">
        <v>4687</v>
      </c>
      <c r="AV102" s="21" t="s">
        <v>4364</v>
      </c>
      <c r="AW102" s="29">
        <v>46140</v>
      </c>
      <c r="AX102" s="37">
        <f>AQ102+AY102</f>
        <v>122612</v>
      </c>
      <c r="AY102" s="37">
        <v>0</v>
      </c>
      <c r="AZ102" s="21" t="s">
        <v>3090</v>
      </c>
      <c r="BA102" s="21" t="s">
        <v>4356</v>
      </c>
      <c r="BB102" s="21" t="s">
        <v>848</v>
      </c>
      <c r="BC102" s="21" t="s">
        <v>4365</v>
      </c>
      <c r="BD102" s="21" t="str">
        <f>IF(AL102&lt;1,"Bill fully settled","Bill partially settled")</f>
        <v>Bill fully settled</v>
      </c>
      <c r="BE102" s="21" t="str">
        <f>"Payable reduced by PKR "&amp;TEXT(AK102+AI102+AJ102,"#,##0")</f>
        <v>Payable reduced by PKR 30,624</v>
      </c>
      <c r="BF102" s="21" t="s">
        <v>4685</v>
      </c>
      <c r="BG102" s="21" t="s">
        <v>753</v>
      </c>
      <c r="BH102" s="21" t="s">
        <v>844</v>
      </c>
      <c r="BI102" s="21" t="s">
        <v>844</v>
      </c>
      <c r="BJ102" s="21" t="s">
        <v>844</v>
      </c>
      <c r="BK102" s="21" t="s">
        <v>753</v>
      </c>
      <c r="BL102" s="21" t="s">
        <v>753</v>
      </c>
      <c r="BM102" s="21" t="s">
        <v>753</v>
      </c>
      <c r="BN102" s="21" t="s">
        <v>4368</v>
      </c>
      <c r="BO102" s="21" t="s">
        <v>848</v>
      </c>
      <c r="BP102" s="21" t="str">
        <f>K102</f>
        <v>Paid</v>
      </c>
    </row>
    <row r="103" spans="1:68" x14ac:dyDescent="0.3">
      <c r="A103" s="21" t="s">
        <v>4682</v>
      </c>
      <c r="B103" s="29">
        <v>46140</v>
      </c>
      <c r="C103" s="21" t="s">
        <v>4354</v>
      </c>
      <c r="D103" s="21" t="s">
        <v>743</v>
      </c>
      <c r="E103" s="21" t="s">
        <v>3350</v>
      </c>
      <c r="F103" s="21" t="s">
        <v>3351</v>
      </c>
      <c r="G103" s="21" t="s">
        <v>4355</v>
      </c>
      <c r="H103" s="21" t="s">
        <v>3095</v>
      </c>
      <c r="I103" s="21" t="s">
        <v>3085</v>
      </c>
      <c r="J103" s="21" t="s">
        <v>4356</v>
      </c>
      <c r="K103" s="21" t="s">
        <v>4357</v>
      </c>
      <c r="L103" s="21" t="s">
        <v>3353</v>
      </c>
      <c r="M103" s="21" t="s">
        <v>3450</v>
      </c>
      <c r="N103" s="21" t="s">
        <v>3451</v>
      </c>
      <c r="O103" s="21" t="s">
        <v>746</v>
      </c>
      <c r="P103" s="21" t="s">
        <v>4462</v>
      </c>
      <c r="Q103" s="21" t="s">
        <v>4463</v>
      </c>
      <c r="R103" s="21" t="s">
        <v>4464</v>
      </c>
      <c r="S103" s="21" t="s">
        <v>4358</v>
      </c>
      <c r="T103" s="21" t="s">
        <v>3452</v>
      </c>
      <c r="U103" s="37" cm="1">
        <f t="array" ref="U103">SUMPRODUCT(('T08'!$U$3:$U$1500=M103)*('T08'!$AF$3:$AF$1500=1)*('T08'!$I$3:$I$1500&lt;=B103)*'T08'!$BK$3:$BK$1500)-SUMPRODUCT(($M$3:$M$1500=M103)*($B$3:$B$1500&lt;B103)*($AK$3:$AK$1500+$AI$3:$AI$1500+$AJ$3:$AJ$1500))</f>
        <v>122612</v>
      </c>
      <c r="V103" s="21" t="s">
        <v>4018</v>
      </c>
      <c r="W103" s="21" t="str">
        <f>TEXT(_xlfn.XLOOKUP(V103,'T08'!$G$3:$G$1500,'T08'!$J$3:$J$1500),"dd-mmm-yyyy")&amp;" / due "&amp;TEXT(_xlfn.XLOOKUP(V103,'T08'!$G$3:$G$1500,'T08'!$BQ$3:$BQ$1500),"dd-mmm-yyyy")</f>
        <v>05-Jan-2026 / due 20-Jan-2026</v>
      </c>
      <c r="X103" s="21" t="s">
        <v>4359</v>
      </c>
      <c r="Y103" s="21" t="str">
        <f>_xlfn.XLOOKUP(V103,'T08'!$G$3:$G$1500,'T08'!$AC$3:$AC$1500)</f>
        <v>N/A</v>
      </c>
      <c r="Z103" s="21" t="s">
        <v>844</v>
      </c>
      <c r="AA103" s="37" t="s">
        <v>844</v>
      </c>
      <c r="AB103" s="21" t="str">
        <f>IF(C103="Against bill",IF(V103&lt;&gt;"N/A","OK - bill linked","Missing bill"),IF(Z103&lt;&gt;"N/A","OK - advance request linked","Missing request"))</f>
        <v>OK - bill linked</v>
      </c>
      <c r="AC103" s="21" t="s">
        <v>844</v>
      </c>
      <c r="AD103" s="21" t="s">
        <v>4360</v>
      </c>
      <c r="AE103" s="21">
        <v>3</v>
      </c>
      <c r="AF103" s="21" t="s">
        <v>4465</v>
      </c>
      <c r="AG103" s="37">
        <f>_xlfn.XLOOKUP(V103,'T08'!$G$3:$G$1500,'T08'!$BH$3:$BH$1500)</f>
        <v>30740</v>
      </c>
      <c r="AH103" s="37">
        <v>0</v>
      </c>
      <c r="AI103" s="37">
        <f>_xlfn.XLOOKUP(V103,'T08'!$G$3:$G$1500,'T08'!$BI$3:$BI$1500)</f>
        <v>0</v>
      </c>
      <c r="AJ103" s="37">
        <f>_xlfn.XLOOKUP(V103,'T08'!$G$3:$G$1500,'T08'!$BJ$3:$BJ$1500)</f>
        <v>0</v>
      </c>
      <c r="AK103" s="37">
        <f>AG103-AH103-AI103-AJ103</f>
        <v>30740</v>
      </c>
      <c r="AL103" s="37">
        <f>AG103-AH103-AI103-AJ103-AK103</f>
        <v>0</v>
      </c>
      <c r="AM103" s="21" t="s">
        <v>4688</v>
      </c>
      <c r="AN103" s="37">
        <f>SUMIFS($AG$3:$AG$1500,$A$3:$A$1500,A103)</f>
        <v>122612</v>
      </c>
      <c r="AO103" s="37">
        <f>SUMIFS($AI$3:$AI$1500,$A$3:$A$1500,A103)</f>
        <v>0</v>
      </c>
      <c r="AP103" s="37">
        <f>SUMIFS($AJ$3:$AJ$1500,$A$3:$A$1500,A103)</f>
        <v>0</v>
      </c>
      <c r="AQ103" s="37">
        <f>SUMIFS($AK$3:$AK$1500,$A$3:$A$1500,A103)</f>
        <v>122612</v>
      </c>
      <c r="AR103" s="21" t="str">
        <f>"PKR "&amp;TEXT(AQ103,"#,##0")&amp;" only"</f>
        <v>PKR 122,612 only</v>
      </c>
      <c r="AS103" s="21" t="str">
        <f>"Sec 153 - deposit by "&amp;TEXT(EOMONTH(B103,0)+15,"dd-mmm-yyyy")</f>
        <v>Sec 153 - deposit by 15-May-2026</v>
      </c>
      <c r="AT103" s="21" t="s">
        <v>844</v>
      </c>
      <c r="AU103" s="21" t="s">
        <v>4689</v>
      </c>
      <c r="AV103" s="21" t="s">
        <v>4364</v>
      </c>
      <c r="AW103" s="29">
        <v>46140</v>
      </c>
      <c r="AX103" s="37">
        <f>AQ103+AY103</f>
        <v>122612</v>
      </c>
      <c r="AY103" s="37">
        <v>0</v>
      </c>
      <c r="AZ103" s="21" t="s">
        <v>3090</v>
      </c>
      <c r="BA103" s="21" t="s">
        <v>4356</v>
      </c>
      <c r="BB103" s="21" t="s">
        <v>848</v>
      </c>
      <c r="BC103" s="21" t="s">
        <v>4365</v>
      </c>
      <c r="BD103" s="21" t="str">
        <f>IF(AL103&lt;1,"Bill fully settled","Bill partially settled")</f>
        <v>Bill fully settled</v>
      </c>
      <c r="BE103" s="21" t="str">
        <f>"Payable reduced by PKR "&amp;TEXT(AK103+AI103+AJ103,"#,##0")</f>
        <v>Payable reduced by PKR 30,740</v>
      </c>
      <c r="BF103" s="21" t="s">
        <v>4685</v>
      </c>
      <c r="BG103" s="21" t="s">
        <v>753</v>
      </c>
      <c r="BH103" s="21" t="s">
        <v>844</v>
      </c>
      <c r="BI103" s="21" t="s">
        <v>844</v>
      </c>
      <c r="BJ103" s="21" t="s">
        <v>844</v>
      </c>
      <c r="BK103" s="21" t="s">
        <v>753</v>
      </c>
      <c r="BL103" s="21" t="s">
        <v>753</v>
      </c>
      <c r="BM103" s="21" t="s">
        <v>753</v>
      </c>
      <c r="BN103" s="21" t="s">
        <v>4368</v>
      </c>
      <c r="BO103" s="21" t="s">
        <v>848</v>
      </c>
      <c r="BP103" s="21" t="str">
        <f>K103</f>
        <v>Paid</v>
      </c>
    </row>
    <row r="104" spans="1:68" x14ac:dyDescent="0.3">
      <c r="A104" s="21" t="s">
        <v>4682</v>
      </c>
      <c r="B104" s="29">
        <v>46140</v>
      </c>
      <c r="C104" s="21" t="s">
        <v>4354</v>
      </c>
      <c r="D104" s="21" t="s">
        <v>743</v>
      </c>
      <c r="E104" s="21" t="s">
        <v>3350</v>
      </c>
      <c r="F104" s="21" t="s">
        <v>3351</v>
      </c>
      <c r="G104" s="21" t="s">
        <v>4355</v>
      </c>
      <c r="H104" s="21" t="s">
        <v>3095</v>
      </c>
      <c r="I104" s="21" t="s">
        <v>3085</v>
      </c>
      <c r="J104" s="21" t="s">
        <v>4356</v>
      </c>
      <c r="K104" s="21" t="s">
        <v>4357</v>
      </c>
      <c r="L104" s="21" t="s">
        <v>3353</v>
      </c>
      <c r="M104" s="21" t="s">
        <v>3450</v>
      </c>
      <c r="N104" s="21" t="s">
        <v>3451</v>
      </c>
      <c r="O104" s="21" t="s">
        <v>746</v>
      </c>
      <c r="P104" s="21" t="s">
        <v>4462</v>
      </c>
      <c r="Q104" s="21" t="s">
        <v>4463</v>
      </c>
      <c r="R104" s="21" t="s">
        <v>4464</v>
      </c>
      <c r="S104" s="21" t="s">
        <v>4358</v>
      </c>
      <c r="T104" s="21" t="s">
        <v>3452</v>
      </c>
      <c r="U104" s="37" cm="1">
        <f t="array" ref="U104">SUMPRODUCT(('T08'!$U$3:$U$1500=M104)*('T08'!$AF$3:$AF$1500=1)*('T08'!$I$3:$I$1500&lt;=B104)*'T08'!$BK$3:$BK$1500)-SUMPRODUCT(($M$3:$M$1500=M104)*($B$3:$B$1500&lt;B104)*($AK$3:$AK$1500+$AI$3:$AI$1500+$AJ$3:$AJ$1500))</f>
        <v>122612</v>
      </c>
      <c r="V104" s="21" t="s">
        <v>4126</v>
      </c>
      <c r="W104" s="21" t="str">
        <f>TEXT(_xlfn.XLOOKUP(V104,'T08'!$G$3:$G$1500,'T08'!$J$3:$J$1500),"dd-mmm-yyyy")&amp;" / due "&amp;TEXT(_xlfn.XLOOKUP(V104,'T08'!$G$3:$G$1500,'T08'!$BQ$3:$BQ$1500),"dd-mmm-yyyy")</f>
        <v>13-Apr-2026 / due 28-Apr-2026</v>
      </c>
      <c r="X104" s="21" t="s">
        <v>4359</v>
      </c>
      <c r="Y104" s="21" t="str">
        <f>_xlfn.XLOOKUP(V104,'T08'!$G$3:$G$1500,'T08'!$AC$3:$AC$1500)</f>
        <v>N/A</v>
      </c>
      <c r="Z104" s="21" t="s">
        <v>844</v>
      </c>
      <c r="AA104" s="37" t="s">
        <v>844</v>
      </c>
      <c r="AB104" s="21" t="str">
        <f>IF(C104="Against bill",IF(V104&lt;&gt;"N/A","OK - bill linked","Missing bill"),IF(Z104&lt;&gt;"N/A","OK - advance request linked","Missing request"))</f>
        <v>OK - bill linked</v>
      </c>
      <c r="AC104" s="21" t="s">
        <v>844</v>
      </c>
      <c r="AD104" s="21" t="s">
        <v>4360</v>
      </c>
      <c r="AE104" s="21">
        <v>4</v>
      </c>
      <c r="AF104" s="21" t="s">
        <v>4465</v>
      </c>
      <c r="AG104" s="37">
        <f>_xlfn.XLOOKUP(V104,'T08'!$G$3:$G$1500,'T08'!$BH$3:$BH$1500)</f>
        <v>31088</v>
      </c>
      <c r="AH104" s="37">
        <v>0</v>
      </c>
      <c r="AI104" s="37">
        <f>_xlfn.XLOOKUP(V104,'T08'!$G$3:$G$1500,'T08'!$BI$3:$BI$1500)</f>
        <v>0</v>
      </c>
      <c r="AJ104" s="37">
        <f>_xlfn.XLOOKUP(V104,'T08'!$G$3:$G$1500,'T08'!$BJ$3:$BJ$1500)</f>
        <v>0</v>
      </c>
      <c r="AK104" s="37">
        <f>AG104-AH104-AI104-AJ104</f>
        <v>31088</v>
      </c>
      <c r="AL104" s="37">
        <f>AG104-AH104-AI104-AJ104-AK104</f>
        <v>0</v>
      </c>
      <c r="AM104" s="21" t="s">
        <v>4690</v>
      </c>
      <c r="AN104" s="37">
        <f>SUMIFS($AG$3:$AG$1500,$A$3:$A$1500,A104)</f>
        <v>122612</v>
      </c>
      <c r="AO104" s="37">
        <f>SUMIFS($AI$3:$AI$1500,$A$3:$A$1500,A104)</f>
        <v>0</v>
      </c>
      <c r="AP104" s="37">
        <f>SUMIFS($AJ$3:$AJ$1500,$A$3:$A$1500,A104)</f>
        <v>0</v>
      </c>
      <c r="AQ104" s="37">
        <f>SUMIFS($AK$3:$AK$1500,$A$3:$A$1500,A104)</f>
        <v>122612</v>
      </c>
      <c r="AR104" s="21" t="str">
        <f>"PKR "&amp;TEXT(AQ104,"#,##0")&amp;" only"</f>
        <v>PKR 122,612 only</v>
      </c>
      <c r="AS104" s="21" t="str">
        <f>"Sec 153 - deposit by "&amp;TEXT(EOMONTH(B104,0)+15,"dd-mmm-yyyy")</f>
        <v>Sec 153 - deposit by 15-May-2026</v>
      </c>
      <c r="AT104" s="21" t="s">
        <v>844</v>
      </c>
      <c r="AU104" s="21" t="s">
        <v>4689</v>
      </c>
      <c r="AV104" s="21" t="s">
        <v>4364</v>
      </c>
      <c r="AW104" s="29">
        <v>46140</v>
      </c>
      <c r="AX104" s="37">
        <f>AQ104+AY104</f>
        <v>122612</v>
      </c>
      <c r="AY104" s="37">
        <v>0</v>
      </c>
      <c r="AZ104" s="21" t="s">
        <v>3090</v>
      </c>
      <c r="BA104" s="21" t="s">
        <v>4356</v>
      </c>
      <c r="BB104" s="21" t="s">
        <v>848</v>
      </c>
      <c r="BC104" s="21" t="s">
        <v>4365</v>
      </c>
      <c r="BD104" s="21" t="str">
        <f>IF(AL104&lt;1,"Bill fully settled","Bill partially settled")</f>
        <v>Bill fully settled</v>
      </c>
      <c r="BE104" s="21" t="str">
        <f>"Payable reduced by PKR "&amp;TEXT(AK104+AI104+AJ104,"#,##0")</f>
        <v>Payable reduced by PKR 31,088</v>
      </c>
      <c r="BF104" s="21" t="s">
        <v>4685</v>
      </c>
      <c r="BG104" s="21" t="s">
        <v>753</v>
      </c>
      <c r="BH104" s="21" t="s">
        <v>844</v>
      </c>
      <c r="BI104" s="21" t="s">
        <v>844</v>
      </c>
      <c r="BJ104" s="21" t="s">
        <v>844</v>
      </c>
      <c r="BK104" s="21" t="s">
        <v>753</v>
      </c>
      <c r="BL104" s="21" t="s">
        <v>753</v>
      </c>
      <c r="BM104" s="21" t="s">
        <v>753</v>
      </c>
      <c r="BN104" s="21" t="s">
        <v>4368</v>
      </c>
      <c r="BO104" s="21" t="s">
        <v>848</v>
      </c>
      <c r="BP104" s="21" t="str">
        <f>K104</f>
        <v>Paid</v>
      </c>
    </row>
    <row r="105" spans="1:68" x14ac:dyDescent="0.3">
      <c r="A105" s="21" t="s">
        <v>4691</v>
      </c>
      <c r="B105" s="29">
        <v>46141</v>
      </c>
      <c r="C105" s="21" t="s">
        <v>4354</v>
      </c>
      <c r="D105" s="21" t="s">
        <v>743</v>
      </c>
      <c r="E105" s="21" t="s">
        <v>3350</v>
      </c>
      <c r="F105" s="21" t="s">
        <v>3429</v>
      </c>
      <c r="G105" s="21" t="s">
        <v>4355</v>
      </c>
      <c r="H105" s="21" t="s">
        <v>3095</v>
      </c>
      <c r="I105" s="21" t="s">
        <v>3085</v>
      </c>
      <c r="J105" s="21" t="s">
        <v>4356</v>
      </c>
      <c r="K105" s="21" t="s">
        <v>4357</v>
      </c>
      <c r="L105" s="21" t="s">
        <v>3431</v>
      </c>
      <c r="M105" s="21" t="s">
        <v>1278</v>
      </c>
      <c r="N105" s="21" t="s">
        <v>1200</v>
      </c>
      <c r="O105" s="21" t="s">
        <v>746</v>
      </c>
      <c r="P105" s="21" t="s">
        <v>1014</v>
      </c>
      <c r="Q105" s="21" t="s">
        <v>1199</v>
      </c>
      <c r="R105" s="21" t="s">
        <v>1204</v>
      </c>
      <c r="S105" s="21" t="s">
        <v>4358</v>
      </c>
      <c r="T105" s="21" t="s">
        <v>3441</v>
      </c>
      <c r="U105" s="37" cm="1">
        <f t="array" ref="U105">SUMPRODUCT(('T08'!$U$3:$U$1500=M105)*('T08'!$AF$3:$AF$1500=1)*('T08'!$I$3:$I$1500&lt;=B105)*'T08'!$BK$3:$BK$1500)-SUMPRODUCT(($M$3:$M$1500=M105)*($B$3:$B$1500&lt;B105)*($AK$3:$AK$1500+$AI$3:$AI$1500+$AJ$3:$AJ$1500))</f>
        <v>172282</v>
      </c>
      <c r="V105" s="21" t="s">
        <v>4120</v>
      </c>
      <c r="W105" s="21" t="str">
        <f>TEXT(_xlfn.XLOOKUP(V105,'T08'!$G$3:$G$1500,'T08'!$J$3:$J$1500),"dd-mmm-yyyy")&amp;" / due "&amp;TEXT(_xlfn.XLOOKUP(V105,'T08'!$G$3:$G$1500,'T08'!$BQ$3:$BQ$1500),"dd-mmm-yyyy")</f>
        <v>01-Apr-2026 / due 01-May-2026</v>
      </c>
      <c r="X105" s="21" t="s">
        <v>4359</v>
      </c>
      <c r="Y105" s="21" t="str">
        <f>_xlfn.XLOOKUP(V105,'T08'!$G$3:$G$1500,'T08'!$AC$3:$AC$1500)</f>
        <v>N/A</v>
      </c>
      <c r="Z105" s="21" t="s">
        <v>844</v>
      </c>
      <c r="AA105" s="37" t="s">
        <v>844</v>
      </c>
      <c r="AB105" s="21" t="str">
        <f>IF(C105="Against bill",IF(V105&lt;&gt;"N/A","OK - bill linked","Missing bill"),IF(Z105&lt;&gt;"N/A","OK - advance request linked","Missing request"))</f>
        <v>OK - bill linked</v>
      </c>
      <c r="AC105" s="21" t="s">
        <v>844</v>
      </c>
      <c r="AD105" s="21" t="s">
        <v>4360</v>
      </c>
      <c r="AE105" s="21">
        <v>1</v>
      </c>
      <c r="AF105" s="21" t="s">
        <v>4383</v>
      </c>
      <c r="AG105" s="37">
        <f>_xlfn.XLOOKUP(V105,'T08'!$G$3:$G$1500,'T08'!$BH$3:$BH$1500)</f>
        <v>286752</v>
      </c>
      <c r="AH105" s="37">
        <v>0</v>
      </c>
      <c r="AI105" s="37">
        <f>_xlfn.XLOOKUP(V105,'T08'!$G$3:$G$1500,'T08'!$BI$3:$BI$1500)</f>
        <v>11470</v>
      </c>
      <c r="AJ105" s="37">
        <f>_xlfn.XLOOKUP(V105,'T08'!$G$3:$G$1500,'T08'!$BJ$3:$BJ$1500)</f>
        <v>0</v>
      </c>
      <c r="AK105" s="37">
        <f>AG105-AH105-AI105-AJ105</f>
        <v>275282</v>
      </c>
      <c r="AL105" s="37">
        <f>AG105-AH105-AI105-AJ105-AK105</f>
        <v>0</v>
      </c>
      <c r="AM105" s="21" t="s">
        <v>4692</v>
      </c>
      <c r="AN105" s="37">
        <f>SUMIFS($AG$3:$AG$1500,$A$3:$A$1500,A105)</f>
        <v>286752</v>
      </c>
      <c r="AO105" s="37">
        <f>SUMIFS($AI$3:$AI$1500,$A$3:$A$1500,A105)</f>
        <v>11470</v>
      </c>
      <c r="AP105" s="37">
        <f>SUMIFS($AJ$3:$AJ$1500,$A$3:$A$1500,A105)</f>
        <v>0</v>
      </c>
      <c r="AQ105" s="37">
        <f>SUMIFS($AK$3:$AK$1500,$A$3:$A$1500,A105)</f>
        <v>275282</v>
      </c>
      <c r="AR105" s="21" t="str">
        <f>"PKR "&amp;TEXT(AQ105,"#,##0")&amp;" only"</f>
        <v>PKR 275,282 only</v>
      </c>
      <c r="AS105" s="21" t="str">
        <f>"Sec 153 - deposit by "&amp;TEXT(EOMONTH(B105,0)+15,"dd-mmm-yyyy")</f>
        <v>Sec 153 - deposit by 15-May-2026</v>
      </c>
      <c r="AT105" s="21" t="s">
        <v>844</v>
      </c>
      <c r="AU105" s="21" t="s">
        <v>4693</v>
      </c>
      <c r="AV105" s="21" t="s">
        <v>4364</v>
      </c>
      <c r="AW105" s="29">
        <v>46141</v>
      </c>
      <c r="AX105" s="37">
        <f>AQ105+AY105</f>
        <v>275432</v>
      </c>
      <c r="AY105" s="37">
        <v>150</v>
      </c>
      <c r="AZ105" s="21" t="s">
        <v>3090</v>
      </c>
      <c r="BA105" s="21" t="s">
        <v>4356</v>
      </c>
      <c r="BB105" s="21" t="s">
        <v>848</v>
      </c>
      <c r="BC105" s="21" t="s">
        <v>4365</v>
      </c>
      <c r="BD105" s="21" t="str">
        <f>IF(AL105&lt;1,"Bill fully settled","Bill partially settled")</f>
        <v>Bill fully settled</v>
      </c>
      <c r="BE105" s="21" t="str">
        <f>"Payable reduced by PKR "&amp;TEXT(AK105+AI105+AJ105,"#,##0")</f>
        <v>Payable reduced by PKR 286,752</v>
      </c>
      <c r="BF105" s="21" t="s">
        <v>4694</v>
      </c>
      <c r="BG105" s="21" t="s">
        <v>753</v>
      </c>
      <c r="BH105" s="21" t="s">
        <v>844</v>
      </c>
      <c r="BI105" s="21" t="s">
        <v>844</v>
      </c>
      <c r="BJ105" s="21" t="s">
        <v>4387</v>
      </c>
      <c r="BK105" s="21" t="s">
        <v>753</v>
      </c>
      <c r="BL105" s="21" t="s">
        <v>753</v>
      </c>
      <c r="BM105" s="21" t="s">
        <v>753</v>
      </c>
      <c r="BN105" s="21" t="s">
        <v>4368</v>
      </c>
      <c r="BO105" s="21" t="s">
        <v>848</v>
      </c>
      <c r="BP105" s="21" t="str">
        <f>K105</f>
        <v>Paid</v>
      </c>
    </row>
    <row r="106" spans="1:68" x14ac:dyDescent="0.3">
      <c r="A106" s="21" t="s">
        <v>4695</v>
      </c>
      <c r="B106" s="29">
        <v>46154</v>
      </c>
      <c r="C106" s="21" t="s">
        <v>4354</v>
      </c>
      <c r="D106" s="21" t="s">
        <v>743</v>
      </c>
      <c r="E106" s="21" t="s">
        <v>3400</v>
      </c>
      <c r="F106" s="21" t="s">
        <v>3401</v>
      </c>
      <c r="G106" s="21" t="s">
        <v>4355</v>
      </c>
      <c r="H106" s="21" t="s">
        <v>3095</v>
      </c>
      <c r="I106" s="21" t="s">
        <v>3085</v>
      </c>
      <c r="J106" s="21" t="s">
        <v>4356</v>
      </c>
      <c r="K106" s="21" t="s">
        <v>4357</v>
      </c>
      <c r="L106" s="21" t="s">
        <v>3403</v>
      </c>
      <c r="M106" s="21" t="s">
        <v>3404</v>
      </c>
      <c r="N106" s="21" t="s">
        <v>967</v>
      </c>
      <c r="O106" s="21" t="s">
        <v>746</v>
      </c>
      <c r="P106" s="21" t="s">
        <v>983</v>
      </c>
      <c r="Q106" s="21" t="s">
        <v>965</v>
      </c>
      <c r="R106" s="21" t="s">
        <v>985</v>
      </c>
      <c r="S106" s="21" t="s">
        <v>4358</v>
      </c>
      <c r="T106" s="21" t="s">
        <v>3405</v>
      </c>
      <c r="U106" s="37" cm="1">
        <f t="array" ref="U106">SUMPRODUCT(('T08'!$U$3:$U$1500=M106)*('T08'!$AF$3:$AF$1500=1)*('T08'!$I$3:$I$1500&lt;=B106)*'T08'!$BK$3:$BK$1500)-SUMPRODUCT(($M$3:$M$1500=M106)*($B$3:$B$1500&lt;B106)*($AK$3:$AK$1500+$AI$3:$AI$1500+$AJ$3:$AJ$1500))</f>
        <v>-4560004</v>
      </c>
      <c r="V106" s="21" t="s">
        <v>4144</v>
      </c>
      <c r="W106" s="21" t="str">
        <f>TEXT(_xlfn.XLOOKUP(V106,'T08'!$G$3:$G$1500,'T08'!$J$3:$J$1500),"dd-mmm-yyyy")&amp;" / due "&amp;TEXT(_xlfn.XLOOKUP(V106,'T08'!$G$3:$G$1500,'T08'!$BQ$3:$BQ$1500),"dd-mmm-yyyy")</f>
        <v>30-Apr-2026 / due 15-May-2026</v>
      </c>
      <c r="X106" s="21" t="s">
        <v>4359</v>
      </c>
      <c r="Y106" s="21" t="str">
        <f>_xlfn.XLOOKUP(V106,'T08'!$G$3:$G$1500,'T08'!$AC$3:$AC$1500)</f>
        <v>PO-2604-1</v>
      </c>
      <c r="Z106" s="21" t="s">
        <v>844</v>
      </c>
      <c r="AA106" s="37" t="s">
        <v>844</v>
      </c>
      <c r="AB106" s="21" t="str">
        <f>IF(C106="Against bill",IF(V106&lt;&gt;"N/A","OK - bill linked","Missing bill"),IF(Z106&lt;&gt;"N/A","OK - advance request linked","Missing request"))</f>
        <v>OK - bill linked</v>
      </c>
      <c r="AC106" s="21" t="s">
        <v>844</v>
      </c>
      <c r="AD106" s="21" t="s">
        <v>4360</v>
      </c>
      <c r="AE106" s="21">
        <v>1</v>
      </c>
      <c r="AF106" s="21" t="s">
        <v>4361</v>
      </c>
      <c r="AG106" s="37">
        <f>_xlfn.XLOOKUP(V106,'T08'!$G$3:$G$1500,'T08'!$BH$3:$BH$1500)</f>
        <v>6809205</v>
      </c>
      <c r="AH106" s="37">
        <v>0</v>
      </c>
      <c r="AI106" s="37">
        <f>_xlfn.XLOOKUP(V106,'T08'!$G$3:$G$1500,'T08'!$BI$3:$BI$1500)</f>
        <v>340460</v>
      </c>
      <c r="AJ106" s="37">
        <f>_xlfn.XLOOKUP(V106,'T08'!$G$3:$G$1500,'T08'!$BJ$3:$BJ$1500)</f>
        <v>0</v>
      </c>
      <c r="AK106" s="37">
        <f>AG106-AH106-AI106-AJ106</f>
        <v>6468745</v>
      </c>
      <c r="AL106" s="37">
        <f>AG106-AH106-AI106-AJ106-AK106</f>
        <v>0</v>
      </c>
      <c r="AM106" s="21" t="s">
        <v>4696</v>
      </c>
      <c r="AN106" s="37">
        <f>SUMIFS($AG$3:$AG$1500,$A$3:$A$1500,A106)</f>
        <v>6809205</v>
      </c>
      <c r="AO106" s="37">
        <f>SUMIFS($AI$3:$AI$1500,$A$3:$A$1500,A106)</f>
        <v>340460</v>
      </c>
      <c r="AP106" s="37">
        <f>SUMIFS($AJ$3:$AJ$1500,$A$3:$A$1500,A106)</f>
        <v>0</v>
      </c>
      <c r="AQ106" s="37">
        <f>SUMIFS($AK$3:$AK$1500,$A$3:$A$1500,A106)</f>
        <v>6468745</v>
      </c>
      <c r="AR106" s="21" t="str">
        <f>"PKR "&amp;TEXT(AQ106,"#,##0")&amp;" only"</f>
        <v>PKR 6,468,745 only</v>
      </c>
      <c r="AS106" s="21" t="str">
        <f>"Sec 153 - deposit by "&amp;TEXT(EOMONTH(B106,0)+15,"dd-mmm-yyyy")</f>
        <v>Sec 153 - deposit by 15-Jun-2026</v>
      </c>
      <c r="AT106" s="21" t="s">
        <v>844</v>
      </c>
      <c r="AU106" s="21" t="s">
        <v>4697</v>
      </c>
      <c r="AV106" s="21" t="s">
        <v>4364</v>
      </c>
      <c r="AW106" s="29">
        <v>46154</v>
      </c>
      <c r="AX106" s="37">
        <f>AQ106+AY106</f>
        <v>6468895</v>
      </c>
      <c r="AY106" s="37">
        <v>150</v>
      </c>
      <c r="AZ106" s="21" t="s">
        <v>3090</v>
      </c>
      <c r="BA106" s="21" t="s">
        <v>4356</v>
      </c>
      <c r="BB106" s="21" t="s">
        <v>848</v>
      </c>
      <c r="BC106" s="21" t="s">
        <v>4365</v>
      </c>
      <c r="BD106" s="21" t="str">
        <f>IF(AL106&lt;1,"Bill fully settled","Bill partially settled")</f>
        <v>Bill fully settled</v>
      </c>
      <c r="BE106" s="21" t="str">
        <f>"Payable reduced by PKR "&amp;TEXT(AK106+AI106+AJ106,"#,##0")</f>
        <v>Payable reduced by PKR 6,809,205</v>
      </c>
      <c r="BF106" s="21" t="s">
        <v>4698</v>
      </c>
      <c r="BG106" s="21" t="s">
        <v>753</v>
      </c>
      <c r="BH106" s="21" t="s">
        <v>4367</v>
      </c>
      <c r="BI106" s="21" t="s">
        <v>844</v>
      </c>
      <c r="BJ106" s="21" t="s">
        <v>844</v>
      </c>
      <c r="BK106" s="21" t="s">
        <v>753</v>
      </c>
      <c r="BL106" s="21" t="s">
        <v>753</v>
      </c>
      <c r="BM106" s="21" t="s">
        <v>753</v>
      </c>
      <c r="BN106" s="21" t="s">
        <v>4368</v>
      </c>
      <c r="BO106" s="21" t="s">
        <v>848</v>
      </c>
      <c r="BP106" s="21" t="str">
        <f>K106</f>
        <v>Paid</v>
      </c>
    </row>
    <row r="107" spans="1:68" x14ac:dyDescent="0.3">
      <c r="A107" s="21" t="s">
        <v>4699</v>
      </c>
      <c r="B107" s="29">
        <v>46156</v>
      </c>
      <c r="C107" s="21" t="s">
        <v>4354</v>
      </c>
      <c r="D107" s="21" t="s">
        <v>743</v>
      </c>
      <c r="E107" s="21" t="s">
        <v>3400</v>
      </c>
      <c r="F107" s="21" t="s">
        <v>3401</v>
      </c>
      <c r="G107" s="21" t="s">
        <v>4355</v>
      </c>
      <c r="H107" s="21" t="s">
        <v>3095</v>
      </c>
      <c r="I107" s="21" t="s">
        <v>3085</v>
      </c>
      <c r="J107" s="21" t="s">
        <v>4356</v>
      </c>
      <c r="K107" s="21" t="s">
        <v>4357</v>
      </c>
      <c r="L107" s="21" t="s">
        <v>3403</v>
      </c>
      <c r="M107" s="21" t="s">
        <v>3578</v>
      </c>
      <c r="N107" s="21" t="s">
        <v>1021</v>
      </c>
      <c r="O107" s="21" t="s">
        <v>746</v>
      </c>
      <c r="P107" s="21" t="s">
        <v>1037</v>
      </c>
      <c r="Q107" s="21" t="s">
        <v>1019</v>
      </c>
      <c r="R107" s="21" t="s">
        <v>1038</v>
      </c>
      <c r="S107" s="21" t="s">
        <v>4358</v>
      </c>
      <c r="T107" s="21" t="s">
        <v>3579</v>
      </c>
      <c r="U107" s="37" cm="1">
        <f t="array" ref="U107">SUMPRODUCT(('T08'!$U$3:$U$1500=M107)*('T08'!$AF$3:$AF$1500=1)*('T08'!$I$3:$I$1500&lt;=B107)*'T08'!$BK$3:$BK$1500)-SUMPRODUCT(($M$3:$M$1500=M107)*($B$3:$B$1500&lt;B107)*($AK$3:$AK$1500+$AI$3:$AI$1500+$AJ$3:$AJ$1500))</f>
        <v>14750893.999999996</v>
      </c>
      <c r="V107" s="21" t="s">
        <v>3822</v>
      </c>
      <c r="W107" s="21" t="str">
        <f>TEXT(_xlfn.XLOOKUP(V107,'T08'!$G$3:$G$1500,'T08'!$J$3:$J$1500),"dd-mmm-yyyy")&amp;" / due "&amp;TEXT(_xlfn.XLOOKUP(V107,'T08'!$G$3:$G$1500,'T08'!$BQ$3:$BQ$1500),"dd-mmm-yyyy")</f>
        <v>31-Jul-2025 / due 15-Aug-2025</v>
      </c>
      <c r="X107" s="21" t="s">
        <v>4359</v>
      </c>
      <c r="Y107" s="21" t="str">
        <f>_xlfn.XLOOKUP(V107,'T08'!$G$3:$G$1500,'T08'!$AC$3:$AC$1500)</f>
        <v>PO-2507-3</v>
      </c>
      <c r="Z107" s="21" t="s">
        <v>844</v>
      </c>
      <c r="AA107" s="37" t="s">
        <v>844</v>
      </c>
      <c r="AB107" s="21" t="str">
        <f>IF(C107="Against bill",IF(V107&lt;&gt;"N/A","OK - bill linked","Missing bill"),IF(Z107&lt;&gt;"N/A","OK - advance request linked","Missing request"))</f>
        <v>OK - bill linked</v>
      </c>
      <c r="AC107" s="21" t="s">
        <v>844</v>
      </c>
      <c r="AD107" s="21" t="s">
        <v>4360</v>
      </c>
      <c r="AE107" s="21">
        <v>1</v>
      </c>
      <c r="AF107" s="21" t="s">
        <v>4450</v>
      </c>
      <c r="AG107" s="37">
        <f>_xlfn.XLOOKUP(V107,'T08'!$G$3:$G$1500,'T08'!$BH$3:$BH$1500)</f>
        <v>905070</v>
      </c>
      <c r="AH107" s="37">
        <v>0</v>
      </c>
      <c r="AI107" s="37">
        <f>_xlfn.XLOOKUP(V107,'T08'!$G$3:$G$1500,'T08'!$BI$3:$BI$1500)</f>
        <v>45254</v>
      </c>
      <c r="AJ107" s="37">
        <f>_xlfn.XLOOKUP(V107,'T08'!$G$3:$G$1500,'T08'!$BJ$3:$BJ$1500)</f>
        <v>0</v>
      </c>
      <c r="AK107" s="37">
        <f>AG107-AH107-AI107-AJ107</f>
        <v>859816</v>
      </c>
      <c r="AL107" s="37">
        <f>AG107-AH107-AI107-AJ107-AK107</f>
        <v>0</v>
      </c>
      <c r="AM107" s="21" t="s">
        <v>4700</v>
      </c>
      <c r="AN107" s="37">
        <f>SUMIFS($AG$3:$AG$1500,$A$3:$A$1500,A107)</f>
        <v>16822955</v>
      </c>
      <c r="AO107" s="37">
        <f>SUMIFS($AI$3:$AI$1500,$A$3:$A$1500,A107)</f>
        <v>841149</v>
      </c>
      <c r="AP107" s="37">
        <f>SUMIFS($AJ$3:$AJ$1500,$A$3:$A$1500,A107)</f>
        <v>0</v>
      </c>
      <c r="AQ107" s="37">
        <f>SUMIFS($AK$3:$AK$1500,$A$3:$A$1500,A107)</f>
        <v>15981806</v>
      </c>
      <c r="AR107" s="21" t="str">
        <f>"PKR "&amp;TEXT(AQ107,"#,##0")&amp;" only"</f>
        <v>PKR 15,981,806 only</v>
      </c>
      <c r="AS107" s="21" t="str">
        <f>"Sec 153 - deposit by "&amp;TEXT(EOMONTH(B107,0)+15,"dd-mmm-yyyy")</f>
        <v>Sec 153 - deposit by 15-Jun-2026</v>
      </c>
      <c r="AT107" s="21" t="s">
        <v>844</v>
      </c>
      <c r="AU107" s="21" t="s">
        <v>4701</v>
      </c>
      <c r="AV107" s="21" t="s">
        <v>4364</v>
      </c>
      <c r="AW107" s="29">
        <v>46156</v>
      </c>
      <c r="AX107" s="37">
        <f>AQ107+AY107</f>
        <v>15981956</v>
      </c>
      <c r="AY107" s="37">
        <v>150</v>
      </c>
      <c r="AZ107" s="21" t="s">
        <v>3090</v>
      </c>
      <c r="BA107" s="21" t="s">
        <v>4356</v>
      </c>
      <c r="BB107" s="21" t="s">
        <v>848</v>
      </c>
      <c r="BC107" s="21" t="s">
        <v>4365</v>
      </c>
      <c r="BD107" s="21" t="str">
        <f>IF(AL107&lt;1,"Bill fully settled","Bill partially settled")</f>
        <v>Bill fully settled</v>
      </c>
      <c r="BE107" s="21" t="str">
        <f>"Payable reduced by PKR "&amp;TEXT(AK107+AI107+AJ107,"#,##0")</f>
        <v>Payable reduced by PKR 905,070</v>
      </c>
      <c r="BF107" s="21" t="s">
        <v>4702</v>
      </c>
      <c r="BG107" s="21" t="s">
        <v>753</v>
      </c>
      <c r="BH107" s="21" t="s">
        <v>4367</v>
      </c>
      <c r="BI107" s="21" t="s">
        <v>844</v>
      </c>
      <c r="BJ107" s="21" t="s">
        <v>844</v>
      </c>
      <c r="BK107" s="21" t="s">
        <v>753</v>
      </c>
      <c r="BL107" s="21" t="s">
        <v>753</v>
      </c>
      <c r="BM107" s="21" t="s">
        <v>753</v>
      </c>
      <c r="BN107" s="21" t="s">
        <v>4368</v>
      </c>
      <c r="BO107" s="21" t="s">
        <v>848</v>
      </c>
      <c r="BP107" s="21" t="str">
        <f>K107</f>
        <v>Paid</v>
      </c>
    </row>
    <row r="108" spans="1:68" x14ac:dyDescent="0.3">
      <c r="A108" s="21" t="s">
        <v>4699</v>
      </c>
      <c r="B108" s="29">
        <v>46156</v>
      </c>
      <c r="C108" s="21" t="s">
        <v>4354</v>
      </c>
      <c r="D108" s="21" t="s">
        <v>743</v>
      </c>
      <c r="E108" s="21" t="s">
        <v>3400</v>
      </c>
      <c r="F108" s="21" t="s">
        <v>3401</v>
      </c>
      <c r="G108" s="21" t="s">
        <v>4355</v>
      </c>
      <c r="H108" s="21" t="s">
        <v>3095</v>
      </c>
      <c r="I108" s="21" t="s">
        <v>3085</v>
      </c>
      <c r="J108" s="21" t="s">
        <v>4356</v>
      </c>
      <c r="K108" s="21" t="s">
        <v>4357</v>
      </c>
      <c r="L108" s="21" t="s">
        <v>3403</v>
      </c>
      <c r="M108" s="21" t="s">
        <v>3578</v>
      </c>
      <c r="N108" s="21" t="s">
        <v>1021</v>
      </c>
      <c r="O108" s="21" t="s">
        <v>746</v>
      </c>
      <c r="P108" s="21" t="s">
        <v>1037</v>
      </c>
      <c r="Q108" s="21" t="s">
        <v>1019</v>
      </c>
      <c r="R108" s="21" t="s">
        <v>1038</v>
      </c>
      <c r="S108" s="21" t="s">
        <v>4358</v>
      </c>
      <c r="T108" s="21" t="s">
        <v>3579</v>
      </c>
      <c r="U108" s="37" cm="1">
        <f t="array" ref="U108">SUMPRODUCT(('T08'!$U$3:$U$1500=M108)*('T08'!$AF$3:$AF$1500=1)*('T08'!$I$3:$I$1500&lt;=B108)*'T08'!$BK$3:$BK$1500)-SUMPRODUCT(($M$3:$M$1500=M108)*($B$3:$B$1500&lt;B108)*($AK$3:$AK$1500+$AI$3:$AI$1500+$AJ$3:$AJ$1500))</f>
        <v>14750893.999999996</v>
      </c>
      <c r="V108" s="21" t="s">
        <v>3853</v>
      </c>
      <c r="W108" s="21" t="str">
        <f>TEXT(_xlfn.XLOOKUP(V108,'T08'!$G$3:$G$1500,'T08'!$J$3:$J$1500),"dd-mmm-yyyy")&amp;" / due "&amp;TEXT(_xlfn.XLOOKUP(V108,'T08'!$G$3:$G$1500,'T08'!$BQ$3:$BQ$1500),"dd-mmm-yyyy")</f>
        <v>31-Aug-2025 / due 15-Sep-2025</v>
      </c>
      <c r="X108" s="21" t="s">
        <v>4359</v>
      </c>
      <c r="Y108" s="21" t="str">
        <f>_xlfn.XLOOKUP(V108,'T08'!$G$3:$G$1500,'T08'!$AC$3:$AC$1500)</f>
        <v>PO-2508-3</v>
      </c>
      <c r="Z108" s="21" t="s">
        <v>844</v>
      </c>
      <c r="AA108" s="37" t="s">
        <v>844</v>
      </c>
      <c r="AB108" s="21" t="str">
        <f>IF(C108="Against bill",IF(V108&lt;&gt;"N/A","OK - bill linked","Missing bill"),IF(Z108&lt;&gt;"N/A","OK - advance request linked","Missing request"))</f>
        <v>OK - bill linked</v>
      </c>
      <c r="AC108" s="21" t="s">
        <v>844</v>
      </c>
      <c r="AD108" s="21" t="s">
        <v>4360</v>
      </c>
      <c r="AE108" s="21">
        <v>2</v>
      </c>
      <c r="AF108" s="21" t="s">
        <v>4450</v>
      </c>
      <c r="AG108" s="37">
        <f>_xlfn.XLOOKUP(V108,'T08'!$G$3:$G$1500,'T08'!$BH$3:$BH$1500)</f>
        <v>7811690</v>
      </c>
      <c r="AH108" s="37">
        <v>0</v>
      </c>
      <c r="AI108" s="37">
        <f>_xlfn.XLOOKUP(V108,'T08'!$G$3:$G$1500,'T08'!$BI$3:$BI$1500)</f>
        <v>390585</v>
      </c>
      <c r="AJ108" s="37">
        <f>_xlfn.XLOOKUP(V108,'T08'!$G$3:$G$1500,'T08'!$BJ$3:$BJ$1500)</f>
        <v>0</v>
      </c>
      <c r="AK108" s="37">
        <f>AG108-AH108-AI108-AJ108</f>
        <v>7421105</v>
      </c>
      <c r="AL108" s="37">
        <f>AG108-AH108-AI108-AJ108-AK108</f>
        <v>0</v>
      </c>
      <c r="AM108" s="21" t="s">
        <v>4703</v>
      </c>
      <c r="AN108" s="37">
        <f>SUMIFS($AG$3:$AG$1500,$A$3:$A$1500,A108)</f>
        <v>16822955</v>
      </c>
      <c r="AO108" s="37">
        <f>SUMIFS($AI$3:$AI$1500,$A$3:$A$1500,A108)</f>
        <v>841149</v>
      </c>
      <c r="AP108" s="37">
        <f>SUMIFS($AJ$3:$AJ$1500,$A$3:$A$1500,A108)</f>
        <v>0</v>
      </c>
      <c r="AQ108" s="37">
        <f>SUMIFS($AK$3:$AK$1500,$A$3:$A$1500,A108)</f>
        <v>15981806</v>
      </c>
      <c r="AR108" s="21" t="str">
        <f>"PKR "&amp;TEXT(AQ108,"#,##0")&amp;" only"</f>
        <v>PKR 15,981,806 only</v>
      </c>
      <c r="AS108" s="21" t="str">
        <f>"Sec 153 - deposit by "&amp;TEXT(EOMONTH(B108,0)+15,"dd-mmm-yyyy")</f>
        <v>Sec 153 - deposit by 15-Jun-2026</v>
      </c>
      <c r="AT108" s="21" t="s">
        <v>844</v>
      </c>
      <c r="AU108" s="21" t="s">
        <v>4704</v>
      </c>
      <c r="AV108" s="21" t="s">
        <v>4364</v>
      </c>
      <c r="AW108" s="29">
        <v>46156</v>
      </c>
      <c r="AX108" s="37">
        <f>AQ108+AY108</f>
        <v>15981806</v>
      </c>
      <c r="AY108" s="37">
        <v>0</v>
      </c>
      <c r="AZ108" s="21" t="s">
        <v>3090</v>
      </c>
      <c r="BA108" s="21" t="s">
        <v>4356</v>
      </c>
      <c r="BB108" s="21" t="s">
        <v>848</v>
      </c>
      <c r="BC108" s="21" t="s">
        <v>4365</v>
      </c>
      <c r="BD108" s="21" t="str">
        <f>IF(AL108&lt;1,"Bill fully settled","Bill partially settled")</f>
        <v>Bill fully settled</v>
      </c>
      <c r="BE108" s="21" t="str">
        <f>"Payable reduced by PKR "&amp;TEXT(AK108+AI108+AJ108,"#,##0")</f>
        <v>Payable reduced by PKR 7,811,690</v>
      </c>
      <c r="BF108" s="21" t="s">
        <v>4702</v>
      </c>
      <c r="BG108" s="21" t="s">
        <v>753</v>
      </c>
      <c r="BH108" s="21" t="s">
        <v>4367</v>
      </c>
      <c r="BI108" s="21" t="s">
        <v>844</v>
      </c>
      <c r="BJ108" s="21" t="s">
        <v>844</v>
      </c>
      <c r="BK108" s="21" t="s">
        <v>753</v>
      </c>
      <c r="BL108" s="21" t="s">
        <v>753</v>
      </c>
      <c r="BM108" s="21" t="s">
        <v>753</v>
      </c>
      <c r="BN108" s="21" t="s">
        <v>4368</v>
      </c>
      <c r="BO108" s="21" t="s">
        <v>848</v>
      </c>
      <c r="BP108" s="21" t="str">
        <f>K108</f>
        <v>Paid</v>
      </c>
    </row>
    <row r="109" spans="1:68" x14ac:dyDescent="0.3">
      <c r="A109" s="21" t="s">
        <v>4699</v>
      </c>
      <c r="B109" s="29">
        <v>46156</v>
      </c>
      <c r="C109" s="21" t="s">
        <v>4354</v>
      </c>
      <c r="D109" s="21" t="s">
        <v>743</v>
      </c>
      <c r="E109" s="21" t="s">
        <v>3400</v>
      </c>
      <c r="F109" s="21" t="s">
        <v>3401</v>
      </c>
      <c r="G109" s="21" t="s">
        <v>4355</v>
      </c>
      <c r="H109" s="21" t="s">
        <v>3095</v>
      </c>
      <c r="I109" s="21" t="s">
        <v>3085</v>
      </c>
      <c r="J109" s="21" t="s">
        <v>4356</v>
      </c>
      <c r="K109" s="21" t="s">
        <v>4357</v>
      </c>
      <c r="L109" s="21" t="s">
        <v>3403</v>
      </c>
      <c r="M109" s="21" t="s">
        <v>3578</v>
      </c>
      <c r="N109" s="21" t="s">
        <v>1021</v>
      </c>
      <c r="O109" s="21" t="s">
        <v>746</v>
      </c>
      <c r="P109" s="21" t="s">
        <v>1037</v>
      </c>
      <c r="Q109" s="21" t="s">
        <v>1019</v>
      </c>
      <c r="R109" s="21" t="s">
        <v>1038</v>
      </c>
      <c r="S109" s="21" t="s">
        <v>4358</v>
      </c>
      <c r="T109" s="21" t="s">
        <v>3579</v>
      </c>
      <c r="U109" s="37" cm="1">
        <f t="array" ref="U109">SUMPRODUCT(('T08'!$U$3:$U$1500=M109)*('T08'!$AF$3:$AF$1500=1)*('T08'!$I$3:$I$1500&lt;=B109)*'T08'!$BK$3:$BK$1500)-SUMPRODUCT(($M$3:$M$1500=M109)*($B$3:$B$1500&lt;B109)*($AK$3:$AK$1500+$AI$3:$AI$1500+$AJ$3:$AJ$1500))</f>
        <v>14750893.999999996</v>
      </c>
      <c r="V109" s="21" t="s">
        <v>4039</v>
      </c>
      <c r="W109" s="21" t="str">
        <f>TEXT(_xlfn.XLOOKUP(V109,'T08'!$G$3:$G$1500,'T08'!$J$3:$J$1500),"dd-mmm-yyyy")&amp;" / due "&amp;TEXT(_xlfn.XLOOKUP(V109,'T08'!$G$3:$G$1500,'T08'!$BQ$3:$BQ$1500),"dd-mmm-yyyy")</f>
        <v>31-Jan-2026 / due 15-Feb-2026</v>
      </c>
      <c r="X109" s="21" t="s">
        <v>4359</v>
      </c>
      <c r="Y109" s="21" t="str">
        <f>_xlfn.XLOOKUP(V109,'T08'!$G$3:$G$1500,'T08'!$AC$3:$AC$1500)</f>
        <v>PO-2601-3</v>
      </c>
      <c r="Z109" s="21" t="s">
        <v>844</v>
      </c>
      <c r="AA109" s="37" t="s">
        <v>844</v>
      </c>
      <c r="AB109" s="21" t="str">
        <f>IF(C109="Against bill",IF(V109&lt;&gt;"N/A","OK - bill linked","Missing bill"),IF(Z109&lt;&gt;"N/A","OK - advance request linked","Missing request"))</f>
        <v>OK - bill linked</v>
      </c>
      <c r="AC109" s="21" t="s">
        <v>844</v>
      </c>
      <c r="AD109" s="21" t="s">
        <v>4360</v>
      </c>
      <c r="AE109" s="21">
        <v>3</v>
      </c>
      <c r="AF109" s="21" t="s">
        <v>4450</v>
      </c>
      <c r="AG109" s="37">
        <f>_xlfn.XLOOKUP(V109,'T08'!$G$3:$G$1500,'T08'!$BH$3:$BH$1500)</f>
        <v>4494275</v>
      </c>
      <c r="AH109" s="37">
        <v>0</v>
      </c>
      <c r="AI109" s="37">
        <f>_xlfn.XLOOKUP(V109,'T08'!$G$3:$G$1500,'T08'!$BI$3:$BI$1500)</f>
        <v>224714</v>
      </c>
      <c r="AJ109" s="37">
        <f>_xlfn.XLOOKUP(V109,'T08'!$G$3:$G$1500,'T08'!$BJ$3:$BJ$1500)</f>
        <v>0</v>
      </c>
      <c r="AK109" s="37">
        <f>AG109-AH109-AI109-AJ109</f>
        <v>4269561</v>
      </c>
      <c r="AL109" s="37">
        <f>AG109-AH109-AI109-AJ109-AK109</f>
        <v>0</v>
      </c>
      <c r="AM109" s="21" t="s">
        <v>4705</v>
      </c>
      <c r="AN109" s="37">
        <f>SUMIFS($AG$3:$AG$1500,$A$3:$A$1500,A109)</f>
        <v>16822955</v>
      </c>
      <c r="AO109" s="37">
        <f>SUMIFS($AI$3:$AI$1500,$A$3:$A$1500,A109)</f>
        <v>841149</v>
      </c>
      <c r="AP109" s="37">
        <f>SUMIFS($AJ$3:$AJ$1500,$A$3:$A$1500,A109)</f>
        <v>0</v>
      </c>
      <c r="AQ109" s="37">
        <f>SUMIFS($AK$3:$AK$1500,$A$3:$A$1500,A109)</f>
        <v>15981806</v>
      </c>
      <c r="AR109" s="21" t="str">
        <f>"PKR "&amp;TEXT(AQ109,"#,##0")&amp;" only"</f>
        <v>PKR 15,981,806 only</v>
      </c>
      <c r="AS109" s="21" t="str">
        <f>"Sec 153 - deposit by "&amp;TEXT(EOMONTH(B109,0)+15,"dd-mmm-yyyy")</f>
        <v>Sec 153 - deposit by 15-Jun-2026</v>
      </c>
      <c r="AT109" s="21" t="s">
        <v>844</v>
      </c>
      <c r="AU109" s="21" t="s">
        <v>4706</v>
      </c>
      <c r="AV109" s="21" t="s">
        <v>4364</v>
      </c>
      <c r="AW109" s="29">
        <v>46156</v>
      </c>
      <c r="AX109" s="37">
        <f>AQ109+AY109</f>
        <v>15981806</v>
      </c>
      <c r="AY109" s="37">
        <v>0</v>
      </c>
      <c r="AZ109" s="21" t="s">
        <v>3090</v>
      </c>
      <c r="BA109" s="21" t="s">
        <v>4356</v>
      </c>
      <c r="BB109" s="21" t="s">
        <v>848</v>
      </c>
      <c r="BC109" s="21" t="s">
        <v>4365</v>
      </c>
      <c r="BD109" s="21" t="str">
        <f>IF(AL109&lt;1,"Bill fully settled","Bill partially settled")</f>
        <v>Bill fully settled</v>
      </c>
      <c r="BE109" s="21" t="str">
        <f>"Payable reduced by PKR "&amp;TEXT(AK109+AI109+AJ109,"#,##0")</f>
        <v>Payable reduced by PKR 4,494,275</v>
      </c>
      <c r="BF109" s="21" t="s">
        <v>4702</v>
      </c>
      <c r="BG109" s="21" t="s">
        <v>753</v>
      </c>
      <c r="BH109" s="21" t="s">
        <v>4367</v>
      </c>
      <c r="BI109" s="21" t="s">
        <v>844</v>
      </c>
      <c r="BJ109" s="21" t="s">
        <v>844</v>
      </c>
      <c r="BK109" s="21" t="s">
        <v>753</v>
      </c>
      <c r="BL109" s="21" t="s">
        <v>753</v>
      </c>
      <c r="BM109" s="21" t="s">
        <v>753</v>
      </c>
      <c r="BN109" s="21" t="s">
        <v>4368</v>
      </c>
      <c r="BO109" s="21" t="s">
        <v>848</v>
      </c>
      <c r="BP109" s="21" t="str">
        <f>K109</f>
        <v>Paid</v>
      </c>
    </row>
    <row r="110" spans="1:68" x14ac:dyDescent="0.3">
      <c r="A110" s="21" t="s">
        <v>4699</v>
      </c>
      <c r="B110" s="29">
        <v>46156</v>
      </c>
      <c r="C110" s="21" t="s">
        <v>4354</v>
      </c>
      <c r="D110" s="21" t="s">
        <v>743</v>
      </c>
      <c r="E110" s="21" t="s">
        <v>3400</v>
      </c>
      <c r="F110" s="21" t="s">
        <v>3401</v>
      </c>
      <c r="G110" s="21" t="s">
        <v>4355</v>
      </c>
      <c r="H110" s="21" t="s">
        <v>3095</v>
      </c>
      <c r="I110" s="21" t="s">
        <v>3085</v>
      </c>
      <c r="J110" s="21" t="s">
        <v>4356</v>
      </c>
      <c r="K110" s="21" t="s">
        <v>4357</v>
      </c>
      <c r="L110" s="21" t="s">
        <v>3403</v>
      </c>
      <c r="M110" s="21" t="s">
        <v>3578</v>
      </c>
      <c r="N110" s="21" t="s">
        <v>1021</v>
      </c>
      <c r="O110" s="21" t="s">
        <v>746</v>
      </c>
      <c r="P110" s="21" t="s">
        <v>1037</v>
      </c>
      <c r="Q110" s="21" t="s">
        <v>1019</v>
      </c>
      <c r="R110" s="21" t="s">
        <v>1038</v>
      </c>
      <c r="S110" s="21" t="s">
        <v>4358</v>
      </c>
      <c r="T110" s="21" t="s">
        <v>3579</v>
      </c>
      <c r="U110" s="37" cm="1">
        <f t="array" ref="U110">SUMPRODUCT(('T08'!$U$3:$U$1500=M110)*('T08'!$AF$3:$AF$1500=1)*('T08'!$I$3:$I$1500&lt;=B110)*'T08'!$BK$3:$BK$1500)-SUMPRODUCT(($M$3:$M$1500=M110)*($B$3:$B$1500&lt;B110)*($AK$3:$AK$1500+$AI$3:$AI$1500+$AJ$3:$AJ$1500))</f>
        <v>14750893.999999996</v>
      </c>
      <c r="V110" s="21" t="s">
        <v>4152</v>
      </c>
      <c r="W110" s="21" t="str">
        <f>TEXT(_xlfn.XLOOKUP(V110,'T08'!$G$3:$G$1500,'T08'!$J$3:$J$1500),"dd-mmm-yyyy")&amp;" / due "&amp;TEXT(_xlfn.XLOOKUP(V110,'T08'!$G$3:$G$1500,'T08'!$BQ$3:$BQ$1500),"dd-mmm-yyyy")</f>
        <v>30-Apr-2026 / due 15-May-2026</v>
      </c>
      <c r="X110" s="21" t="s">
        <v>4359</v>
      </c>
      <c r="Y110" s="21" t="str">
        <f>_xlfn.XLOOKUP(V110,'T08'!$G$3:$G$1500,'T08'!$AC$3:$AC$1500)</f>
        <v>PO-2604-3</v>
      </c>
      <c r="Z110" s="21" t="s">
        <v>844</v>
      </c>
      <c r="AA110" s="37" t="s">
        <v>844</v>
      </c>
      <c r="AB110" s="21" t="str">
        <f>IF(C110="Against bill",IF(V110&lt;&gt;"N/A","OK - bill linked","Missing bill"),IF(Z110&lt;&gt;"N/A","OK - advance request linked","Missing request"))</f>
        <v>OK - bill linked</v>
      </c>
      <c r="AC110" s="21" t="s">
        <v>844</v>
      </c>
      <c r="AD110" s="21" t="s">
        <v>4360</v>
      </c>
      <c r="AE110" s="21">
        <v>4</v>
      </c>
      <c r="AF110" s="21" t="s">
        <v>4450</v>
      </c>
      <c r="AG110" s="37">
        <f>_xlfn.XLOOKUP(V110,'T08'!$G$3:$G$1500,'T08'!$BH$3:$BH$1500)</f>
        <v>3611920</v>
      </c>
      <c r="AH110" s="37">
        <v>0</v>
      </c>
      <c r="AI110" s="37">
        <f>_xlfn.XLOOKUP(V110,'T08'!$G$3:$G$1500,'T08'!$BI$3:$BI$1500)</f>
        <v>180596</v>
      </c>
      <c r="AJ110" s="37">
        <f>_xlfn.XLOOKUP(V110,'T08'!$G$3:$G$1500,'T08'!$BJ$3:$BJ$1500)</f>
        <v>0</v>
      </c>
      <c r="AK110" s="37">
        <f>AG110-AH110-AI110-AJ110</f>
        <v>3431324</v>
      </c>
      <c r="AL110" s="37">
        <f>AG110-AH110-AI110-AJ110-AK110</f>
        <v>0</v>
      </c>
      <c r="AM110" s="21" t="s">
        <v>4707</v>
      </c>
      <c r="AN110" s="37">
        <f>SUMIFS($AG$3:$AG$1500,$A$3:$A$1500,A110)</f>
        <v>16822955</v>
      </c>
      <c r="AO110" s="37">
        <f>SUMIFS($AI$3:$AI$1500,$A$3:$A$1500,A110)</f>
        <v>841149</v>
      </c>
      <c r="AP110" s="37">
        <f>SUMIFS($AJ$3:$AJ$1500,$A$3:$A$1500,A110)</f>
        <v>0</v>
      </c>
      <c r="AQ110" s="37">
        <f>SUMIFS($AK$3:$AK$1500,$A$3:$A$1500,A110)</f>
        <v>15981806</v>
      </c>
      <c r="AR110" s="21" t="str">
        <f>"PKR "&amp;TEXT(AQ110,"#,##0")&amp;" only"</f>
        <v>PKR 15,981,806 only</v>
      </c>
      <c r="AS110" s="21" t="str">
        <f>"Sec 153 - deposit by "&amp;TEXT(EOMONTH(B110,0)+15,"dd-mmm-yyyy")</f>
        <v>Sec 153 - deposit by 15-Jun-2026</v>
      </c>
      <c r="AT110" s="21" t="s">
        <v>844</v>
      </c>
      <c r="AU110" s="21" t="s">
        <v>4708</v>
      </c>
      <c r="AV110" s="21" t="s">
        <v>4364</v>
      </c>
      <c r="AW110" s="29">
        <v>46156</v>
      </c>
      <c r="AX110" s="37">
        <f>AQ110+AY110</f>
        <v>15981806</v>
      </c>
      <c r="AY110" s="37">
        <v>0</v>
      </c>
      <c r="AZ110" s="21" t="s">
        <v>3090</v>
      </c>
      <c r="BA110" s="21" t="s">
        <v>4356</v>
      </c>
      <c r="BB110" s="21" t="s">
        <v>848</v>
      </c>
      <c r="BC110" s="21" t="s">
        <v>4365</v>
      </c>
      <c r="BD110" s="21" t="str">
        <f>IF(AL110&lt;1,"Bill fully settled","Bill partially settled")</f>
        <v>Bill fully settled</v>
      </c>
      <c r="BE110" s="21" t="str">
        <f>"Payable reduced by PKR "&amp;TEXT(AK110+AI110+AJ110,"#,##0")</f>
        <v>Payable reduced by PKR 3,611,920</v>
      </c>
      <c r="BF110" s="21" t="s">
        <v>4702</v>
      </c>
      <c r="BG110" s="21" t="s">
        <v>753</v>
      </c>
      <c r="BH110" s="21" t="s">
        <v>4367</v>
      </c>
      <c r="BI110" s="21" t="s">
        <v>844</v>
      </c>
      <c r="BJ110" s="21" t="s">
        <v>844</v>
      </c>
      <c r="BK110" s="21" t="s">
        <v>753</v>
      </c>
      <c r="BL110" s="21" t="s">
        <v>753</v>
      </c>
      <c r="BM110" s="21" t="s">
        <v>753</v>
      </c>
      <c r="BN110" s="21" t="s">
        <v>4368</v>
      </c>
      <c r="BO110" s="21" t="s">
        <v>848</v>
      </c>
      <c r="BP110" s="21" t="str">
        <f>K110</f>
        <v>Paid</v>
      </c>
    </row>
    <row r="111" spans="1:68" x14ac:dyDescent="0.3">
      <c r="A111" s="21" t="s">
        <v>4709</v>
      </c>
      <c r="B111" s="29">
        <v>46158</v>
      </c>
      <c r="C111" s="21" t="s">
        <v>4354</v>
      </c>
      <c r="D111" s="21" t="s">
        <v>743</v>
      </c>
      <c r="E111" s="21" t="s">
        <v>3400</v>
      </c>
      <c r="F111" s="21" t="s">
        <v>3401</v>
      </c>
      <c r="G111" s="21" t="s">
        <v>4355</v>
      </c>
      <c r="H111" s="21" t="s">
        <v>3095</v>
      </c>
      <c r="I111" s="21" t="s">
        <v>3085</v>
      </c>
      <c r="J111" s="21" t="s">
        <v>4356</v>
      </c>
      <c r="K111" s="21" t="s">
        <v>4357</v>
      </c>
      <c r="L111" s="21" t="s">
        <v>3403</v>
      </c>
      <c r="M111" s="21" t="s">
        <v>3419</v>
      </c>
      <c r="N111" s="21" t="s">
        <v>999</v>
      </c>
      <c r="O111" s="21" t="s">
        <v>746</v>
      </c>
      <c r="P111" s="21" t="s">
        <v>1014</v>
      </c>
      <c r="Q111" s="21" t="s">
        <v>998</v>
      </c>
      <c r="R111" s="21" t="s">
        <v>1015</v>
      </c>
      <c r="S111" s="21" t="s">
        <v>4358</v>
      </c>
      <c r="T111" s="21" t="s">
        <v>3420</v>
      </c>
      <c r="U111" s="37" cm="1">
        <f t="array" ref="U111">SUMPRODUCT(('T08'!$U$3:$U$1500=M111)*('T08'!$AF$3:$AF$1500=1)*('T08'!$I$3:$I$1500&lt;=B111)*'T08'!$BK$3:$BK$1500)-SUMPRODUCT(($M$3:$M$1500=M111)*($B$3:$B$1500&lt;B111)*($AK$3:$AK$1500+$AI$3:$AI$1500+$AJ$3:$AJ$1500))</f>
        <v>712732</v>
      </c>
      <c r="V111" s="21" t="s">
        <v>4157</v>
      </c>
      <c r="W111" s="21" t="str">
        <f>TEXT(_xlfn.XLOOKUP(V111,'T08'!$G$3:$G$1500,'T08'!$J$3:$J$1500),"dd-mmm-yyyy")&amp;" / due "&amp;TEXT(_xlfn.XLOOKUP(V111,'T08'!$G$3:$G$1500,'T08'!$BQ$3:$BQ$1500),"dd-mmm-yyyy")</f>
        <v>30-Apr-2026 / due 15-May-2026</v>
      </c>
      <c r="X111" s="21" t="s">
        <v>4359</v>
      </c>
      <c r="Y111" s="21" t="str">
        <f>_xlfn.XLOOKUP(V111,'T08'!$G$3:$G$1500,'T08'!$AC$3:$AC$1500)</f>
        <v>PO-2604-2</v>
      </c>
      <c r="Z111" s="21" t="s">
        <v>844</v>
      </c>
      <c r="AA111" s="37" t="s">
        <v>844</v>
      </c>
      <c r="AB111" s="21" t="str">
        <f>IF(C111="Against bill",IF(V111&lt;&gt;"N/A","OK - bill linked","Missing bill"),IF(Z111&lt;&gt;"N/A","OK - advance request linked","Missing request"))</f>
        <v>OK - bill linked</v>
      </c>
      <c r="AC111" s="21" t="s">
        <v>844</v>
      </c>
      <c r="AD111" s="21" t="s">
        <v>4360</v>
      </c>
      <c r="AE111" s="21">
        <v>1</v>
      </c>
      <c r="AF111" s="21" t="s">
        <v>4394</v>
      </c>
      <c r="AG111" s="37">
        <f>_xlfn.XLOOKUP(V111,'T08'!$G$3:$G$1500,'T08'!$BH$3:$BH$1500)</f>
        <v>1977310</v>
      </c>
      <c r="AH111" s="37">
        <v>0</v>
      </c>
      <c r="AI111" s="37">
        <f>_xlfn.XLOOKUP(V111,'T08'!$G$3:$G$1500,'T08'!$BI$3:$BI$1500)</f>
        <v>19773</v>
      </c>
      <c r="AJ111" s="37">
        <f>_xlfn.XLOOKUP(V111,'T08'!$G$3:$G$1500,'T08'!$BJ$3:$BJ$1500)</f>
        <v>0</v>
      </c>
      <c r="AK111" s="37">
        <f>AG111-AH111-AI111-AJ111</f>
        <v>1957537</v>
      </c>
      <c r="AL111" s="37">
        <f>AG111-AH111-AI111-AJ111-AK111</f>
        <v>0</v>
      </c>
      <c r="AM111" s="21" t="s">
        <v>4710</v>
      </c>
      <c r="AN111" s="37">
        <f>SUMIFS($AG$3:$AG$1500,$A$3:$A$1500,A111)</f>
        <v>1977310</v>
      </c>
      <c r="AO111" s="37">
        <f>SUMIFS($AI$3:$AI$1500,$A$3:$A$1500,A111)</f>
        <v>19773</v>
      </c>
      <c r="AP111" s="37">
        <f>SUMIFS($AJ$3:$AJ$1500,$A$3:$A$1500,A111)</f>
        <v>0</v>
      </c>
      <c r="AQ111" s="37">
        <f>SUMIFS($AK$3:$AK$1500,$A$3:$A$1500,A111)</f>
        <v>1957537</v>
      </c>
      <c r="AR111" s="21" t="str">
        <f>"PKR "&amp;TEXT(AQ111,"#,##0")&amp;" only"</f>
        <v>PKR 1,957,537 only</v>
      </c>
      <c r="AS111" s="21" t="str">
        <f>"Sec 153 - deposit by "&amp;TEXT(EOMONTH(B111,0)+15,"dd-mmm-yyyy")</f>
        <v>Sec 153 - deposit by 15-Jun-2026</v>
      </c>
      <c r="AT111" s="21" t="s">
        <v>844</v>
      </c>
      <c r="AU111" s="21" t="s">
        <v>4711</v>
      </c>
      <c r="AV111" s="21" t="s">
        <v>4364</v>
      </c>
      <c r="AW111" s="29">
        <v>46158</v>
      </c>
      <c r="AX111" s="37">
        <f>AQ111+AY111</f>
        <v>1957687</v>
      </c>
      <c r="AY111" s="37">
        <v>150</v>
      </c>
      <c r="AZ111" s="21" t="s">
        <v>3090</v>
      </c>
      <c r="BA111" s="21" t="s">
        <v>4356</v>
      </c>
      <c r="BB111" s="21" t="s">
        <v>848</v>
      </c>
      <c r="BC111" s="21" t="s">
        <v>4365</v>
      </c>
      <c r="BD111" s="21" t="str">
        <f>IF(AL111&lt;1,"Bill fully settled","Bill partially settled")</f>
        <v>Bill fully settled</v>
      </c>
      <c r="BE111" s="21" t="str">
        <f>"Payable reduced by PKR "&amp;TEXT(AK111+AI111+AJ111,"#,##0")</f>
        <v>Payable reduced by PKR 1,977,310</v>
      </c>
      <c r="BF111" s="21" t="s">
        <v>4712</v>
      </c>
      <c r="BG111" s="21" t="s">
        <v>753</v>
      </c>
      <c r="BH111" s="21" t="s">
        <v>4367</v>
      </c>
      <c r="BI111" s="21" t="s">
        <v>844</v>
      </c>
      <c r="BJ111" s="21" t="s">
        <v>844</v>
      </c>
      <c r="BK111" s="21" t="s">
        <v>753</v>
      </c>
      <c r="BL111" s="21" t="s">
        <v>753</v>
      </c>
      <c r="BM111" s="21" t="s">
        <v>753</v>
      </c>
      <c r="BN111" s="21" t="s">
        <v>4368</v>
      </c>
      <c r="BO111" s="21" t="s">
        <v>848</v>
      </c>
      <c r="BP111" s="21" t="str">
        <f>K111</f>
        <v>Paid</v>
      </c>
    </row>
    <row r="112" spans="1:68" x14ac:dyDescent="0.3">
      <c r="A112" s="21" t="s">
        <v>4713</v>
      </c>
      <c r="B112" s="29">
        <v>46158</v>
      </c>
      <c r="C112" s="21" t="s">
        <v>4354</v>
      </c>
      <c r="D112" s="21" t="s">
        <v>743</v>
      </c>
      <c r="E112" s="21" t="s">
        <v>3368</v>
      </c>
      <c r="F112" s="21" t="s">
        <v>3369</v>
      </c>
      <c r="G112" s="21" t="s">
        <v>4355</v>
      </c>
      <c r="H112" s="21" t="s">
        <v>3095</v>
      </c>
      <c r="I112" s="21" t="s">
        <v>3085</v>
      </c>
      <c r="J112" s="21" t="s">
        <v>4356</v>
      </c>
      <c r="K112" s="21" t="s">
        <v>4357</v>
      </c>
      <c r="L112" s="21" t="s">
        <v>3371</v>
      </c>
      <c r="M112" s="21" t="s">
        <v>3372</v>
      </c>
      <c r="N112" s="21" t="s">
        <v>3373</v>
      </c>
      <c r="O112" s="21" t="s">
        <v>746</v>
      </c>
      <c r="P112" s="21" t="s">
        <v>4415</v>
      </c>
      <c r="Q112" s="21" t="s">
        <v>4560</v>
      </c>
      <c r="R112" s="21" t="s">
        <v>4561</v>
      </c>
      <c r="S112" s="21" t="s">
        <v>4358</v>
      </c>
      <c r="T112" s="21" t="s">
        <v>3374</v>
      </c>
      <c r="U112" s="37" cm="1">
        <f t="array" ref="U112">SUMPRODUCT(('T08'!$U$3:$U$1500=M112)*('T08'!$AF$3:$AF$1500=1)*('T08'!$I$3:$I$1500&lt;=B112)*'T08'!$BK$3:$BK$1500)-SUMPRODUCT(($M$3:$M$1500=M112)*($B$3:$B$1500&lt;B112)*($AK$3:$AK$1500+$AI$3:$AI$1500+$AJ$3:$AJ$1500))</f>
        <v>313320</v>
      </c>
      <c r="V112" s="21" t="s">
        <v>4177</v>
      </c>
      <c r="W112" s="21" t="str">
        <f>TEXT(_xlfn.XLOOKUP(V112,'T08'!$G$3:$G$1500,'T08'!$J$3:$J$1500),"dd-mmm-yyyy")&amp;" / due "&amp;TEXT(_xlfn.XLOOKUP(V112,'T08'!$G$3:$G$1500,'T08'!$BQ$3:$BQ$1500),"dd-mmm-yyyy")</f>
        <v>11-May-2026 / due 18-May-2026</v>
      </c>
      <c r="X112" s="21" t="s">
        <v>4359</v>
      </c>
      <c r="Y112" s="21" t="str">
        <f>_xlfn.XLOOKUP(V112,'T08'!$G$3:$G$1500,'T08'!$AC$3:$AC$1500)</f>
        <v>N/A</v>
      </c>
      <c r="Z112" s="21" t="s">
        <v>844</v>
      </c>
      <c r="AA112" s="37" t="s">
        <v>844</v>
      </c>
      <c r="AB112" s="21" t="str">
        <f>IF(C112="Against bill",IF(V112&lt;&gt;"N/A","OK - bill linked","Missing bill"),IF(Z112&lt;&gt;"N/A","OK - advance request linked","Missing request"))</f>
        <v>OK - bill linked</v>
      </c>
      <c r="AC112" s="21" t="s">
        <v>844</v>
      </c>
      <c r="AD112" s="21" t="s">
        <v>4360</v>
      </c>
      <c r="AE112" s="21">
        <v>1</v>
      </c>
      <c r="AF112" s="21" t="s">
        <v>4562</v>
      </c>
      <c r="AG112" s="37">
        <f>_xlfn.XLOOKUP(V112,'T08'!$G$3:$G$1500,'T08'!$BH$3:$BH$1500)</f>
        <v>1129800</v>
      </c>
      <c r="AH112" s="37">
        <v>0</v>
      </c>
      <c r="AI112" s="37">
        <f>_xlfn.XLOOKUP(V112,'T08'!$G$3:$G$1500,'T08'!$BI$3:$BI$1500)</f>
        <v>169470</v>
      </c>
      <c r="AJ112" s="37">
        <f>_xlfn.XLOOKUP(V112,'T08'!$G$3:$G$1500,'T08'!$BJ$3:$BJ$1500)</f>
        <v>0</v>
      </c>
      <c r="AK112" s="37">
        <f>AG112-AH112-AI112-AJ112</f>
        <v>960330</v>
      </c>
      <c r="AL112" s="37">
        <f>AG112-AH112-AI112-AJ112-AK112</f>
        <v>0</v>
      </c>
      <c r="AM112" s="21" t="s">
        <v>4714</v>
      </c>
      <c r="AN112" s="37">
        <f>SUMIFS($AG$3:$AG$1500,$A$3:$A$1500,A112)</f>
        <v>1129800</v>
      </c>
      <c r="AO112" s="37">
        <f>SUMIFS($AI$3:$AI$1500,$A$3:$A$1500,A112)</f>
        <v>169470</v>
      </c>
      <c r="AP112" s="37">
        <f>SUMIFS($AJ$3:$AJ$1500,$A$3:$A$1500,A112)</f>
        <v>0</v>
      </c>
      <c r="AQ112" s="37">
        <f>SUMIFS($AK$3:$AK$1500,$A$3:$A$1500,A112)</f>
        <v>960330</v>
      </c>
      <c r="AR112" s="21" t="str">
        <f>"PKR "&amp;TEXT(AQ112,"#,##0")&amp;" only"</f>
        <v>PKR 960,330 only</v>
      </c>
      <c r="AS112" s="21" t="str">
        <f>"Sec 153 - deposit by "&amp;TEXT(EOMONTH(B112,0)+15,"dd-mmm-yyyy")</f>
        <v>Sec 153 - deposit by 15-Jun-2026</v>
      </c>
      <c r="AT112" s="21" t="s">
        <v>844</v>
      </c>
      <c r="AU112" s="21" t="s">
        <v>4715</v>
      </c>
      <c r="AV112" s="21" t="s">
        <v>4364</v>
      </c>
      <c r="AW112" s="29">
        <v>46158</v>
      </c>
      <c r="AX112" s="37">
        <f>AQ112+AY112</f>
        <v>960480</v>
      </c>
      <c r="AY112" s="37">
        <v>150</v>
      </c>
      <c r="AZ112" s="21" t="s">
        <v>3090</v>
      </c>
      <c r="BA112" s="21" t="s">
        <v>4356</v>
      </c>
      <c r="BB112" s="21" t="s">
        <v>848</v>
      </c>
      <c r="BC112" s="21" t="s">
        <v>4365</v>
      </c>
      <c r="BD112" s="21" t="str">
        <f>IF(AL112&lt;1,"Bill fully settled","Bill partially settled")</f>
        <v>Bill fully settled</v>
      </c>
      <c r="BE112" s="21" t="str">
        <f>"Payable reduced by PKR "&amp;TEXT(AK112+AI112+AJ112,"#,##0")</f>
        <v>Payable reduced by PKR 1,129,800</v>
      </c>
      <c r="BF112" s="21" t="s">
        <v>4716</v>
      </c>
      <c r="BG112" s="21" t="s">
        <v>753</v>
      </c>
      <c r="BH112" s="21" t="s">
        <v>844</v>
      </c>
      <c r="BI112" s="21" t="s">
        <v>844</v>
      </c>
      <c r="BJ112" s="21" t="s">
        <v>844</v>
      </c>
      <c r="BK112" s="21" t="s">
        <v>753</v>
      </c>
      <c r="BL112" s="21" t="s">
        <v>753</v>
      </c>
      <c r="BM112" s="21" t="s">
        <v>753</v>
      </c>
      <c r="BN112" s="21" t="s">
        <v>4368</v>
      </c>
      <c r="BO112" s="21" t="s">
        <v>848</v>
      </c>
      <c r="BP112" s="21" t="str">
        <f>K112</f>
        <v>Paid</v>
      </c>
    </row>
    <row r="113" spans="1:68" x14ac:dyDescent="0.3">
      <c r="A113" s="21" t="s">
        <v>4717</v>
      </c>
      <c r="B113" s="29">
        <v>46159</v>
      </c>
      <c r="C113" s="21" t="s">
        <v>4354</v>
      </c>
      <c r="D113" s="21" t="s">
        <v>743</v>
      </c>
      <c r="E113" s="21" t="s">
        <v>3350</v>
      </c>
      <c r="F113" s="21" t="s">
        <v>3351</v>
      </c>
      <c r="G113" s="21" t="s">
        <v>4355</v>
      </c>
      <c r="H113" s="21" t="s">
        <v>3095</v>
      </c>
      <c r="I113" s="21" t="s">
        <v>3085</v>
      </c>
      <c r="J113" s="21" t="s">
        <v>4356</v>
      </c>
      <c r="K113" s="21" t="s">
        <v>4357</v>
      </c>
      <c r="L113" s="21" t="s">
        <v>3353</v>
      </c>
      <c r="M113" s="21" t="s">
        <v>3354</v>
      </c>
      <c r="N113" s="21" t="s">
        <v>3355</v>
      </c>
      <c r="O113" s="21" t="s">
        <v>746</v>
      </c>
      <c r="P113" s="21" t="s">
        <v>4415</v>
      </c>
      <c r="Q113" s="21" t="s">
        <v>4416</v>
      </c>
      <c r="R113" s="21" t="s">
        <v>4417</v>
      </c>
      <c r="S113" s="21" t="s">
        <v>4358</v>
      </c>
      <c r="T113" s="21" t="s">
        <v>3356</v>
      </c>
      <c r="U113" s="37" cm="1">
        <f t="array" ref="U113">SUMPRODUCT(('T08'!$U$3:$U$1500=M113)*('T08'!$AF$3:$AF$1500=1)*('T08'!$I$3:$I$1500&lt;=B113)*'T08'!$BK$3:$BK$1500)-SUMPRODUCT(($M$3:$M$1500=M113)*($B$3:$B$1500&lt;B113)*($AK$3:$AK$1500+$AI$3:$AI$1500+$AJ$3:$AJ$1500))</f>
        <v>531188.80000000005</v>
      </c>
      <c r="V113" s="21" t="s">
        <v>4132</v>
      </c>
      <c r="W113" s="21" t="str">
        <f>TEXT(_xlfn.XLOOKUP(V113,'T08'!$G$3:$G$1500,'T08'!$J$3:$J$1500),"dd-mmm-yyyy")&amp;" / due "&amp;TEXT(_xlfn.XLOOKUP(V113,'T08'!$G$3:$G$1500,'T08'!$BQ$3:$BQ$1500),"dd-mmm-yyyy")</f>
        <v>21-Apr-2026 / due 01-May-2026</v>
      </c>
      <c r="X113" s="21" t="s">
        <v>4359</v>
      </c>
      <c r="Y113" s="21" t="str">
        <f>_xlfn.XLOOKUP(V113,'T08'!$G$3:$G$1500,'T08'!$AC$3:$AC$1500)</f>
        <v>N/A</v>
      </c>
      <c r="Z113" s="21" t="s">
        <v>844</v>
      </c>
      <c r="AA113" s="37" t="s">
        <v>844</v>
      </c>
      <c r="AB113" s="21" t="str">
        <f>IF(C113="Against bill",IF(V113&lt;&gt;"N/A","OK - bill linked","Missing bill"),IF(Z113&lt;&gt;"N/A","OK - advance request linked","Missing request"))</f>
        <v>OK - bill linked</v>
      </c>
      <c r="AC113" s="21" t="s">
        <v>844</v>
      </c>
      <c r="AD113" s="21" t="s">
        <v>4360</v>
      </c>
      <c r="AE113" s="21">
        <v>1</v>
      </c>
      <c r="AF113" s="21" t="s">
        <v>4418</v>
      </c>
      <c r="AG113" s="37">
        <f>_xlfn.XLOOKUP(V113,'T08'!$G$3:$G$1500,'T08'!$BH$3:$BH$1500)</f>
        <v>107521.60000000001</v>
      </c>
      <c r="AH113" s="37">
        <v>0</v>
      </c>
      <c r="AI113" s="37">
        <f>_xlfn.XLOOKUP(V113,'T08'!$G$3:$G$1500,'T08'!$BI$3:$BI$1500)</f>
        <v>0</v>
      </c>
      <c r="AJ113" s="37">
        <f>_xlfn.XLOOKUP(V113,'T08'!$G$3:$G$1500,'T08'!$BJ$3:$BJ$1500)</f>
        <v>0</v>
      </c>
      <c r="AK113" s="37">
        <f>AG113-AH113-AI113-AJ113</f>
        <v>107521.60000000001</v>
      </c>
      <c r="AL113" s="37">
        <f>AG113-AH113-AI113-AJ113-AK113</f>
        <v>0</v>
      </c>
      <c r="AM113" s="21" t="s">
        <v>4718</v>
      </c>
      <c r="AN113" s="37">
        <f>SUMIFS($AG$3:$AG$1500,$A$3:$A$1500,A113)</f>
        <v>215444.40000000002</v>
      </c>
      <c r="AO113" s="37">
        <f>SUMIFS($AI$3:$AI$1500,$A$3:$A$1500,A113)</f>
        <v>0</v>
      </c>
      <c r="AP113" s="37">
        <f>SUMIFS($AJ$3:$AJ$1500,$A$3:$A$1500,A113)</f>
        <v>0</v>
      </c>
      <c r="AQ113" s="37">
        <f>SUMIFS($AK$3:$AK$1500,$A$3:$A$1500,A113)</f>
        <v>215444.40000000002</v>
      </c>
      <c r="AR113" s="21" t="str">
        <f>"PKR "&amp;TEXT(AQ113,"#,##0")&amp;" only"</f>
        <v>PKR 215,444 only</v>
      </c>
      <c r="AS113" s="21" t="str">
        <f>"Sec 153 - deposit by "&amp;TEXT(EOMONTH(B113,0)+15,"dd-mmm-yyyy")</f>
        <v>Sec 153 - deposit by 15-Jun-2026</v>
      </c>
      <c r="AT113" s="21" t="s">
        <v>844</v>
      </c>
      <c r="AU113" s="21" t="s">
        <v>4719</v>
      </c>
      <c r="AV113" s="21" t="s">
        <v>4364</v>
      </c>
      <c r="AW113" s="29">
        <v>46159</v>
      </c>
      <c r="AX113" s="37">
        <f>AQ113+AY113</f>
        <v>215594.40000000002</v>
      </c>
      <c r="AY113" s="37">
        <v>150</v>
      </c>
      <c r="AZ113" s="21" t="s">
        <v>3090</v>
      </c>
      <c r="BA113" s="21" t="s">
        <v>4356</v>
      </c>
      <c r="BB113" s="21" t="s">
        <v>848</v>
      </c>
      <c r="BC113" s="21" t="s">
        <v>4365</v>
      </c>
      <c r="BD113" s="21" t="str">
        <f>IF(AL113&lt;1,"Bill fully settled","Bill partially settled")</f>
        <v>Bill fully settled</v>
      </c>
      <c r="BE113" s="21" t="str">
        <f>"Payable reduced by PKR "&amp;TEXT(AK113+AI113+AJ113,"#,##0")</f>
        <v>Payable reduced by PKR 107,522</v>
      </c>
      <c r="BF113" s="21" t="s">
        <v>4720</v>
      </c>
      <c r="BG113" s="21" t="s">
        <v>753</v>
      </c>
      <c r="BH113" s="21" t="s">
        <v>844</v>
      </c>
      <c r="BI113" s="21" t="s">
        <v>844</v>
      </c>
      <c r="BJ113" s="21" t="s">
        <v>844</v>
      </c>
      <c r="BK113" s="21" t="s">
        <v>753</v>
      </c>
      <c r="BL113" s="21" t="s">
        <v>753</v>
      </c>
      <c r="BM113" s="21" t="s">
        <v>753</v>
      </c>
      <c r="BN113" s="21" t="s">
        <v>4368</v>
      </c>
      <c r="BO113" s="21" t="s">
        <v>848</v>
      </c>
      <c r="BP113" s="21" t="str">
        <f>K113</f>
        <v>Paid</v>
      </c>
    </row>
    <row r="114" spans="1:68" x14ac:dyDescent="0.3">
      <c r="A114" s="21" t="s">
        <v>4717</v>
      </c>
      <c r="B114" s="29">
        <v>46159</v>
      </c>
      <c r="C114" s="21" t="s">
        <v>4354</v>
      </c>
      <c r="D114" s="21" t="s">
        <v>743</v>
      </c>
      <c r="E114" s="21" t="s">
        <v>3350</v>
      </c>
      <c r="F114" s="21" t="s">
        <v>3351</v>
      </c>
      <c r="G114" s="21" t="s">
        <v>4355</v>
      </c>
      <c r="H114" s="21" t="s">
        <v>3095</v>
      </c>
      <c r="I114" s="21" t="s">
        <v>3085</v>
      </c>
      <c r="J114" s="21" t="s">
        <v>4356</v>
      </c>
      <c r="K114" s="21" t="s">
        <v>4357</v>
      </c>
      <c r="L114" s="21" t="s">
        <v>3353</v>
      </c>
      <c r="M114" s="21" t="s">
        <v>3354</v>
      </c>
      <c r="N114" s="21" t="s">
        <v>3355</v>
      </c>
      <c r="O114" s="21" t="s">
        <v>746</v>
      </c>
      <c r="P114" s="21" t="s">
        <v>4415</v>
      </c>
      <c r="Q114" s="21" t="s">
        <v>4416</v>
      </c>
      <c r="R114" s="21" t="s">
        <v>4417</v>
      </c>
      <c r="S114" s="21" t="s">
        <v>4358</v>
      </c>
      <c r="T114" s="21" t="s">
        <v>3356</v>
      </c>
      <c r="U114" s="37" cm="1">
        <f t="array" ref="U114">SUMPRODUCT(('T08'!$U$3:$U$1500=M114)*('T08'!$AF$3:$AF$1500=1)*('T08'!$I$3:$I$1500&lt;=B114)*'T08'!$BK$3:$BK$1500)-SUMPRODUCT(($M$3:$M$1500=M114)*($B$3:$B$1500&lt;B114)*($AK$3:$AK$1500+$AI$3:$AI$1500+$AJ$3:$AJ$1500))</f>
        <v>531188.80000000005</v>
      </c>
      <c r="V114" s="21" t="s">
        <v>4171</v>
      </c>
      <c r="W114" s="21" t="str">
        <f>TEXT(_xlfn.XLOOKUP(V114,'T08'!$G$3:$G$1500,'T08'!$J$3:$J$1500),"dd-mmm-yyyy")&amp;" / due "&amp;TEXT(_xlfn.XLOOKUP(V114,'T08'!$G$3:$G$1500,'T08'!$BQ$3:$BQ$1500),"dd-mmm-yyyy")</f>
        <v>05-May-2026 / due 15-May-2026</v>
      </c>
      <c r="X114" s="21" t="s">
        <v>4359</v>
      </c>
      <c r="Y114" s="21" t="str">
        <f>_xlfn.XLOOKUP(V114,'T08'!$G$3:$G$1500,'T08'!$AC$3:$AC$1500)</f>
        <v>N/A</v>
      </c>
      <c r="Z114" s="21" t="s">
        <v>844</v>
      </c>
      <c r="AA114" s="37" t="s">
        <v>844</v>
      </c>
      <c r="AB114" s="21" t="str">
        <f>IF(C114="Against bill",IF(V114&lt;&gt;"N/A","OK - bill linked","Missing bill"),IF(Z114&lt;&gt;"N/A","OK - advance request linked","Missing request"))</f>
        <v>OK - bill linked</v>
      </c>
      <c r="AC114" s="21" t="s">
        <v>844</v>
      </c>
      <c r="AD114" s="21" t="s">
        <v>4360</v>
      </c>
      <c r="AE114" s="21">
        <v>2</v>
      </c>
      <c r="AF114" s="21" t="s">
        <v>4418</v>
      </c>
      <c r="AG114" s="37">
        <f>_xlfn.XLOOKUP(V114,'T08'!$G$3:$G$1500,'T08'!$BH$3:$BH$1500)</f>
        <v>107922.8</v>
      </c>
      <c r="AH114" s="37">
        <v>0</v>
      </c>
      <c r="AI114" s="37">
        <f>_xlfn.XLOOKUP(V114,'T08'!$G$3:$G$1500,'T08'!$BI$3:$BI$1500)</f>
        <v>0</v>
      </c>
      <c r="AJ114" s="37">
        <f>_xlfn.XLOOKUP(V114,'T08'!$G$3:$G$1500,'T08'!$BJ$3:$BJ$1500)</f>
        <v>0</v>
      </c>
      <c r="AK114" s="37">
        <f>AG114-AH114-AI114-AJ114</f>
        <v>107922.8</v>
      </c>
      <c r="AL114" s="37">
        <f>AG114-AH114-AI114-AJ114-AK114</f>
        <v>0</v>
      </c>
      <c r="AM114" s="21" t="s">
        <v>4721</v>
      </c>
      <c r="AN114" s="37">
        <f>SUMIFS($AG$3:$AG$1500,$A$3:$A$1500,A114)</f>
        <v>215444.40000000002</v>
      </c>
      <c r="AO114" s="37">
        <f>SUMIFS($AI$3:$AI$1500,$A$3:$A$1500,A114)</f>
        <v>0</v>
      </c>
      <c r="AP114" s="37">
        <f>SUMIFS($AJ$3:$AJ$1500,$A$3:$A$1500,A114)</f>
        <v>0</v>
      </c>
      <c r="AQ114" s="37">
        <f>SUMIFS($AK$3:$AK$1500,$A$3:$A$1500,A114)</f>
        <v>215444.40000000002</v>
      </c>
      <c r="AR114" s="21" t="str">
        <f>"PKR "&amp;TEXT(AQ114,"#,##0")&amp;" only"</f>
        <v>PKR 215,444 only</v>
      </c>
      <c r="AS114" s="21" t="str">
        <f>"Sec 153 - deposit by "&amp;TEXT(EOMONTH(B114,0)+15,"dd-mmm-yyyy")</f>
        <v>Sec 153 - deposit by 15-Jun-2026</v>
      </c>
      <c r="AT114" s="21" t="s">
        <v>844</v>
      </c>
      <c r="AU114" s="21" t="s">
        <v>4719</v>
      </c>
      <c r="AV114" s="21" t="s">
        <v>4364</v>
      </c>
      <c r="AW114" s="29">
        <v>46159</v>
      </c>
      <c r="AX114" s="37">
        <f>AQ114+AY114</f>
        <v>215444.40000000002</v>
      </c>
      <c r="AY114" s="37">
        <v>0</v>
      </c>
      <c r="AZ114" s="21" t="s">
        <v>3090</v>
      </c>
      <c r="BA114" s="21" t="s">
        <v>4356</v>
      </c>
      <c r="BB114" s="21" t="s">
        <v>848</v>
      </c>
      <c r="BC114" s="21" t="s">
        <v>4365</v>
      </c>
      <c r="BD114" s="21" t="str">
        <f>IF(AL114&lt;1,"Bill fully settled","Bill partially settled")</f>
        <v>Bill fully settled</v>
      </c>
      <c r="BE114" s="21" t="str">
        <f>"Payable reduced by PKR "&amp;TEXT(AK114+AI114+AJ114,"#,##0")</f>
        <v>Payable reduced by PKR 107,923</v>
      </c>
      <c r="BF114" s="21" t="s">
        <v>4720</v>
      </c>
      <c r="BG114" s="21" t="s">
        <v>753</v>
      </c>
      <c r="BH114" s="21" t="s">
        <v>844</v>
      </c>
      <c r="BI114" s="21" t="s">
        <v>844</v>
      </c>
      <c r="BJ114" s="21" t="s">
        <v>844</v>
      </c>
      <c r="BK114" s="21" t="s">
        <v>753</v>
      </c>
      <c r="BL114" s="21" t="s">
        <v>753</v>
      </c>
      <c r="BM114" s="21" t="s">
        <v>753</v>
      </c>
      <c r="BN114" s="21" t="s">
        <v>4368</v>
      </c>
      <c r="BO114" s="21" t="s">
        <v>848</v>
      </c>
      <c r="BP114" s="21" t="str">
        <f>K114</f>
        <v>Paid</v>
      </c>
    </row>
    <row r="115" spans="1:68" x14ac:dyDescent="0.3">
      <c r="A115" s="21" t="s">
        <v>4722</v>
      </c>
      <c r="B115" s="29">
        <v>46169</v>
      </c>
      <c r="C115" s="21" t="s">
        <v>4354</v>
      </c>
      <c r="D115" s="21" t="s">
        <v>743</v>
      </c>
      <c r="E115" s="21" t="s">
        <v>3350</v>
      </c>
      <c r="F115" s="21" t="s">
        <v>3351</v>
      </c>
      <c r="G115" s="21" t="s">
        <v>4355</v>
      </c>
      <c r="H115" s="21" t="s">
        <v>3084</v>
      </c>
      <c r="I115" s="21" t="s">
        <v>3085</v>
      </c>
      <c r="J115" s="21" t="s">
        <v>4723</v>
      </c>
      <c r="K115" s="21" t="s">
        <v>4357</v>
      </c>
      <c r="L115" s="21" t="s">
        <v>3387</v>
      </c>
      <c r="M115" s="21" t="s">
        <v>3388</v>
      </c>
      <c r="N115" s="21" t="s">
        <v>3389</v>
      </c>
      <c r="O115" s="21" t="s">
        <v>746</v>
      </c>
      <c r="P115" s="21" t="s">
        <v>4429</v>
      </c>
      <c r="Q115" s="21" t="s">
        <v>4430</v>
      </c>
      <c r="R115" s="21" t="s">
        <v>4431</v>
      </c>
      <c r="S115" s="21" t="s">
        <v>4358</v>
      </c>
      <c r="T115" s="21" t="s">
        <v>3390</v>
      </c>
      <c r="U115" s="37" cm="1">
        <f t="array" ref="U115">SUMPRODUCT(('T08'!$U$3:$U$1500=M115)*('T08'!$AF$3:$AF$1500=1)*('T08'!$I$3:$I$1500&lt;=B115)*'T08'!$BK$3:$BK$1500)-SUMPRODUCT(($M$3:$M$1500=M115)*($B$3:$B$1500&lt;B115)*($AK$3:$AK$1500+$AI$3:$AI$1500+$AJ$3:$AJ$1500))</f>
        <v>691521.20000000007</v>
      </c>
      <c r="V115" s="21" t="s">
        <v>3841</v>
      </c>
      <c r="W115" s="21" t="str">
        <f>TEXT(_xlfn.XLOOKUP(V115,'T08'!$G$3:$G$1500,'T08'!$J$3:$J$1500),"dd-mmm-yyyy")&amp;" / due "&amp;TEXT(_xlfn.XLOOKUP(V115,'T08'!$G$3:$G$1500,'T08'!$BQ$3:$BQ$1500),"dd-mmm-yyyy")</f>
        <v>11-Aug-2025 / due 10-Sep-2025</v>
      </c>
      <c r="X115" s="21" t="s">
        <v>4359</v>
      </c>
      <c r="Y115" s="21" t="str">
        <f>_xlfn.XLOOKUP(V115,'T08'!$G$3:$G$1500,'T08'!$AC$3:$AC$1500)</f>
        <v>N/A</v>
      </c>
      <c r="Z115" s="21" t="s">
        <v>844</v>
      </c>
      <c r="AA115" s="37" t="s">
        <v>844</v>
      </c>
      <c r="AB115" s="21" t="str">
        <f>IF(C115="Against bill",IF(V115&lt;&gt;"N/A","OK - bill linked","Missing bill"),IF(Z115&lt;&gt;"N/A","OK - advance request linked","Missing request"))</f>
        <v>OK - bill linked</v>
      </c>
      <c r="AC115" s="21" t="s">
        <v>844</v>
      </c>
      <c r="AD115" s="21" t="s">
        <v>4360</v>
      </c>
      <c r="AE115" s="21">
        <v>1</v>
      </c>
      <c r="AF115" s="21" t="s">
        <v>4432</v>
      </c>
      <c r="AG115" s="37">
        <f>_xlfn.XLOOKUP(V115,'T08'!$G$3:$G$1500,'T08'!$BH$3:$BH$1500)</f>
        <v>217152</v>
      </c>
      <c r="AH115" s="37">
        <v>0</v>
      </c>
      <c r="AI115" s="37">
        <f>_xlfn.XLOOKUP(V115,'T08'!$G$3:$G$1500,'T08'!$BI$3:$BI$1500)</f>
        <v>23887</v>
      </c>
      <c r="AJ115" s="37">
        <f>_xlfn.XLOOKUP(V115,'T08'!$G$3:$G$1500,'T08'!$BJ$3:$BJ$1500)</f>
        <v>0</v>
      </c>
      <c r="AK115" s="37">
        <f>AG115-AH115-AI115-AJ115</f>
        <v>193265</v>
      </c>
      <c r="AL115" s="37">
        <f>AG115-AH115-AI115-AJ115-AK115</f>
        <v>0</v>
      </c>
      <c r="AM115" s="21" t="s">
        <v>4724</v>
      </c>
      <c r="AN115" s="37">
        <f>SUMIFS($AG$3:$AG$1500,$A$3:$A$1500,A115)</f>
        <v>881971.19999999995</v>
      </c>
      <c r="AO115" s="37">
        <f>SUMIFS($AI$3:$AI$1500,$A$3:$A$1500,A115)</f>
        <v>97017</v>
      </c>
      <c r="AP115" s="37">
        <f>SUMIFS($AJ$3:$AJ$1500,$A$3:$A$1500,A115)</f>
        <v>0</v>
      </c>
      <c r="AQ115" s="37">
        <f>SUMIFS($AK$3:$AK$1500,$A$3:$A$1500,A115)</f>
        <v>784954.2</v>
      </c>
      <c r="AR115" s="21" t="str">
        <f>"PKR "&amp;TEXT(AQ115,"#,##0")&amp;" only"</f>
        <v>PKR 784,954 only</v>
      </c>
      <c r="AS115" s="21" t="str">
        <f>"Sec 153 - deposit by "&amp;TEXT(EOMONTH(B115,0)+15,"dd-mmm-yyyy")</f>
        <v>Sec 153 - deposit by 15-Jun-2026</v>
      </c>
      <c r="AT115" s="21" t="s">
        <v>844</v>
      </c>
      <c r="AU115" s="21" t="s">
        <v>4725</v>
      </c>
      <c r="AV115" s="21" t="s">
        <v>4364</v>
      </c>
      <c r="AW115" s="29">
        <v>46171</v>
      </c>
      <c r="AX115" s="37">
        <f>AQ115+AY115</f>
        <v>784954.2</v>
      </c>
      <c r="AY115" s="37">
        <v>0</v>
      </c>
      <c r="AZ115" s="21" t="s">
        <v>3090</v>
      </c>
      <c r="BA115" s="21" t="s">
        <v>4435</v>
      </c>
      <c r="BB115" s="21" t="s">
        <v>848</v>
      </c>
      <c r="BC115" s="21" t="s">
        <v>4365</v>
      </c>
      <c r="BD115" s="21" t="str">
        <f>IF(AL115&lt;1,"Bill fully settled","Bill partially settled")</f>
        <v>Bill fully settled</v>
      </c>
      <c r="BE115" s="21" t="str">
        <f>"Payable reduced by PKR "&amp;TEXT(AK115+AI115+AJ115,"#,##0")</f>
        <v>Payable reduced by PKR 217,152</v>
      </c>
      <c r="BF115" s="21" t="s">
        <v>4726</v>
      </c>
      <c r="BG115" s="21" t="s">
        <v>753</v>
      </c>
      <c r="BH115" s="21" t="s">
        <v>844</v>
      </c>
      <c r="BI115" s="21" t="s">
        <v>844</v>
      </c>
      <c r="BJ115" s="21" t="s">
        <v>844</v>
      </c>
      <c r="BK115" s="21" t="s">
        <v>753</v>
      </c>
      <c r="BL115" s="21" t="s">
        <v>753</v>
      </c>
      <c r="BM115" s="21" t="s">
        <v>753</v>
      </c>
      <c r="BN115" s="21" t="s">
        <v>4368</v>
      </c>
      <c r="BO115" s="21" t="s">
        <v>848</v>
      </c>
      <c r="BP115" s="21" t="str">
        <f>K115</f>
        <v>Paid</v>
      </c>
    </row>
    <row r="116" spans="1:68" x14ac:dyDescent="0.3">
      <c r="A116" s="21" t="s">
        <v>4722</v>
      </c>
      <c r="B116" s="29">
        <v>46169</v>
      </c>
      <c r="C116" s="21" t="s">
        <v>4354</v>
      </c>
      <c r="D116" s="21" t="s">
        <v>743</v>
      </c>
      <c r="E116" s="21" t="s">
        <v>3350</v>
      </c>
      <c r="F116" s="21" t="s">
        <v>3351</v>
      </c>
      <c r="G116" s="21" t="s">
        <v>4355</v>
      </c>
      <c r="H116" s="21" t="s">
        <v>3084</v>
      </c>
      <c r="I116" s="21" t="s">
        <v>3085</v>
      </c>
      <c r="J116" s="21" t="s">
        <v>4723</v>
      </c>
      <c r="K116" s="21" t="s">
        <v>4357</v>
      </c>
      <c r="L116" s="21" t="s">
        <v>3387</v>
      </c>
      <c r="M116" s="21" t="s">
        <v>3388</v>
      </c>
      <c r="N116" s="21" t="s">
        <v>3389</v>
      </c>
      <c r="O116" s="21" t="s">
        <v>746</v>
      </c>
      <c r="P116" s="21" t="s">
        <v>4429</v>
      </c>
      <c r="Q116" s="21" t="s">
        <v>4430</v>
      </c>
      <c r="R116" s="21" t="s">
        <v>4431</v>
      </c>
      <c r="S116" s="21" t="s">
        <v>4358</v>
      </c>
      <c r="T116" s="21" t="s">
        <v>3390</v>
      </c>
      <c r="U116" s="37" cm="1">
        <f t="array" ref="U116">SUMPRODUCT(('T08'!$U$3:$U$1500=M116)*('T08'!$AF$3:$AF$1500=1)*('T08'!$I$3:$I$1500&lt;=B116)*'T08'!$BK$3:$BK$1500)-SUMPRODUCT(($M$3:$M$1500=M116)*($B$3:$B$1500&lt;B116)*($AK$3:$AK$1500+$AI$3:$AI$1500+$AJ$3:$AJ$1500))</f>
        <v>691521.20000000007</v>
      </c>
      <c r="V116" s="21" t="s">
        <v>3955</v>
      </c>
      <c r="W116" s="21" t="str">
        <f>TEXT(_xlfn.XLOOKUP(V116,'T08'!$G$3:$G$1500,'T08'!$J$3:$J$1500),"dd-mmm-yyyy")&amp;" / due "&amp;TEXT(_xlfn.XLOOKUP(V116,'T08'!$G$3:$G$1500,'T08'!$BQ$3:$BQ$1500),"dd-mmm-yyyy")</f>
        <v>13-Nov-2025 / due 13-Dec-2025</v>
      </c>
      <c r="X116" s="21" t="s">
        <v>4359</v>
      </c>
      <c r="Y116" s="21" t="str">
        <f>_xlfn.XLOOKUP(V116,'T08'!$G$3:$G$1500,'T08'!$AC$3:$AC$1500)</f>
        <v>N/A</v>
      </c>
      <c r="Z116" s="21" t="s">
        <v>844</v>
      </c>
      <c r="AA116" s="37" t="s">
        <v>844</v>
      </c>
      <c r="AB116" s="21" t="str">
        <f>IF(C116="Against bill",IF(V116&lt;&gt;"N/A","OK - bill linked","Missing bill"),IF(Z116&lt;&gt;"N/A","OK - advance request linked","Missing request"))</f>
        <v>OK - bill linked</v>
      </c>
      <c r="AC116" s="21" t="s">
        <v>844</v>
      </c>
      <c r="AD116" s="21" t="s">
        <v>4360</v>
      </c>
      <c r="AE116" s="21">
        <v>2</v>
      </c>
      <c r="AF116" s="21" t="s">
        <v>4432</v>
      </c>
      <c r="AG116" s="37">
        <f>_xlfn.XLOOKUP(V116,'T08'!$G$3:$G$1500,'T08'!$BH$3:$BH$1500)</f>
        <v>219657.60000000001</v>
      </c>
      <c r="AH116" s="37">
        <v>0</v>
      </c>
      <c r="AI116" s="37">
        <f>_xlfn.XLOOKUP(V116,'T08'!$G$3:$G$1500,'T08'!$BI$3:$BI$1500)</f>
        <v>24162</v>
      </c>
      <c r="AJ116" s="37">
        <f>_xlfn.XLOOKUP(V116,'T08'!$G$3:$G$1500,'T08'!$BJ$3:$BJ$1500)</f>
        <v>0</v>
      </c>
      <c r="AK116" s="37">
        <f>AG116-AH116-AI116-AJ116</f>
        <v>195495.6</v>
      </c>
      <c r="AL116" s="37">
        <f>AG116-AH116-AI116-AJ116-AK116</f>
        <v>0</v>
      </c>
      <c r="AM116" s="21" t="s">
        <v>4727</v>
      </c>
      <c r="AN116" s="37">
        <f>SUMIFS($AG$3:$AG$1500,$A$3:$A$1500,A116)</f>
        <v>881971.19999999995</v>
      </c>
      <c r="AO116" s="37">
        <f>SUMIFS($AI$3:$AI$1500,$A$3:$A$1500,A116)</f>
        <v>97017</v>
      </c>
      <c r="AP116" s="37">
        <f>SUMIFS($AJ$3:$AJ$1500,$A$3:$A$1500,A116)</f>
        <v>0</v>
      </c>
      <c r="AQ116" s="37">
        <f>SUMIFS($AK$3:$AK$1500,$A$3:$A$1500,A116)</f>
        <v>784954.2</v>
      </c>
      <c r="AR116" s="21" t="str">
        <f>"PKR "&amp;TEXT(AQ116,"#,##0")&amp;" only"</f>
        <v>PKR 784,954 only</v>
      </c>
      <c r="AS116" s="21" t="str">
        <f>"Sec 153 - deposit by "&amp;TEXT(EOMONTH(B116,0)+15,"dd-mmm-yyyy")</f>
        <v>Sec 153 - deposit by 15-Jun-2026</v>
      </c>
      <c r="AT116" s="21" t="s">
        <v>844</v>
      </c>
      <c r="AU116" s="21" t="s">
        <v>4728</v>
      </c>
      <c r="AV116" s="21" t="s">
        <v>4364</v>
      </c>
      <c r="AW116" s="29">
        <v>46171</v>
      </c>
      <c r="AX116" s="37">
        <f>AQ116+AY116</f>
        <v>784954.2</v>
      </c>
      <c r="AY116" s="37">
        <v>0</v>
      </c>
      <c r="AZ116" s="21" t="s">
        <v>3090</v>
      </c>
      <c r="BA116" s="21" t="s">
        <v>4435</v>
      </c>
      <c r="BB116" s="21" t="s">
        <v>848</v>
      </c>
      <c r="BC116" s="21" t="s">
        <v>4365</v>
      </c>
      <c r="BD116" s="21" t="str">
        <f>IF(AL116&lt;1,"Bill fully settled","Bill partially settled")</f>
        <v>Bill fully settled</v>
      </c>
      <c r="BE116" s="21" t="str">
        <f>"Payable reduced by PKR "&amp;TEXT(AK116+AI116+AJ116,"#,##0")</f>
        <v>Payable reduced by PKR 219,658</v>
      </c>
      <c r="BF116" s="21" t="s">
        <v>4726</v>
      </c>
      <c r="BG116" s="21" t="s">
        <v>753</v>
      </c>
      <c r="BH116" s="21" t="s">
        <v>844</v>
      </c>
      <c r="BI116" s="21" t="s">
        <v>844</v>
      </c>
      <c r="BJ116" s="21" t="s">
        <v>844</v>
      </c>
      <c r="BK116" s="21" t="s">
        <v>753</v>
      </c>
      <c r="BL116" s="21" t="s">
        <v>753</v>
      </c>
      <c r="BM116" s="21" t="s">
        <v>753</v>
      </c>
      <c r="BN116" s="21" t="s">
        <v>4368</v>
      </c>
      <c r="BO116" s="21" t="s">
        <v>848</v>
      </c>
      <c r="BP116" s="21" t="str">
        <f>K116</f>
        <v>Paid</v>
      </c>
    </row>
    <row r="117" spans="1:68" x14ac:dyDescent="0.3">
      <c r="A117" s="21" t="s">
        <v>4722</v>
      </c>
      <c r="B117" s="29">
        <v>46169</v>
      </c>
      <c r="C117" s="21" t="s">
        <v>4354</v>
      </c>
      <c r="D117" s="21" t="s">
        <v>743</v>
      </c>
      <c r="E117" s="21" t="s">
        <v>3350</v>
      </c>
      <c r="F117" s="21" t="s">
        <v>3351</v>
      </c>
      <c r="G117" s="21" t="s">
        <v>4355</v>
      </c>
      <c r="H117" s="21" t="s">
        <v>3084</v>
      </c>
      <c r="I117" s="21" t="s">
        <v>3085</v>
      </c>
      <c r="J117" s="21" t="s">
        <v>4723</v>
      </c>
      <c r="K117" s="21" t="s">
        <v>4357</v>
      </c>
      <c r="L117" s="21" t="s">
        <v>3387</v>
      </c>
      <c r="M117" s="21" t="s">
        <v>3388</v>
      </c>
      <c r="N117" s="21" t="s">
        <v>3389</v>
      </c>
      <c r="O117" s="21" t="s">
        <v>746</v>
      </c>
      <c r="P117" s="21" t="s">
        <v>4429</v>
      </c>
      <c r="Q117" s="21" t="s">
        <v>4430</v>
      </c>
      <c r="R117" s="21" t="s">
        <v>4431</v>
      </c>
      <c r="S117" s="21" t="s">
        <v>4358</v>
      </c>
      <c r="T117" s="21" t="s">
        <v>3390</v>
      </c>
      <c r="U117" s="37" cm="1">
        <f t="array" ref="U117">SUMPRODUCT(('T08'!$U$3:$U$1500=M117)*('T08'!$AF$3:$AF$1500=1)*('T08'!$I$3:$I$1500&lt;=B117)*'T08'!$BK$3:$BK$1500)-SUMPRODUCT(($M$3:$M$1500=M117)*($B$3:$B$1500&lt;B117)*($AK$3:$AK$1500+$AI$3:$AI$1500+$AJ$3:$AJ$1500))</f>
        <v>691521.20000000007</v>
      </c>
      <c r="V117" s="21" t="s">
        <v>4024</v>
      </c>
      <c r="W117" s="21" t="str">
        <f>TEXT(_xlfn.XLOOKUP(V117,'T08'!$G$3:$G$1500,'T08'!$J$3:$J$1500),"dd-mmm-yyyy")&amp;" / due "&amp;TEXT(_xlfn.XLOOKUP(V117,'T08'!$G$3:$G$1500,'T08'!$BQ$3:$BQ$1500),"dd-mmm-yyyy")</f>
        <v>20-Jan-2026 / due 19-Feb-2026</v>
      </c>
      <c r="X117" s="21" t="s">
        <v>4359</v>
      </c>
      <c r="Y117" s="21" t="str">
        <f>_xlfn.XLOOKUP(V117,'T08'!$G$3:$G$1500,'T08'!$AC$3:$AC$1500)</f>
        <v>N/A</v>
      </c>
      <c r="Z117" s="21" t="s">
        <v>844</v>
      </c>
      <c r="AA117" s="37" t="s">
        <v>844</v>
      </c>
      <c r="AB117" s="21" t="str">
        <f>IF(C117="Against bill",IF(V117&lt;&gt;"N/A","OK - bill linked","Missing bill"),IF(Z117&lt;&gt;"N/A","OK - advance request linked","Missing request"))</f>
        <v>OK - bill linked</v>
      </c>
      <c r="AC117" s="21" t="s">
        <v>844</v>
      </c>
      <c r="AD117" s="21" t="s">
        <v>4360</v>
      </c>
      <c r="AE117" s="21">
        <v>3</v>
      </c>
      <c r="AF117" s="21" t="s">
        <v>4432</v>
      </c>
      <c r="AG117" s="37">
        <f>_xlfn.XLOOKUP(V117,'T08'!$G$3:$G$1500,'T08'!$BH$3:$BH$1500)</f>
        <v>221328</v>
      </c>
      <c r="AH117" s="37">
        <v>0</v>
      </c>
      <c r="AI117" s="37">
        <f>_xlfn.XLOOKUP(V117,'T08'!$G$3:$G$1500,'T08'!$BI$3:$BI$1500)</f>
        <v>24346</v>
      </c>
      <c r="AJ117" s="37">
        <f>_xlfn.XLOOKUP(V117,'T08'!$G$3:$G$1500,'T08'!$BJ$3:$BJ$1500)</f>
        <v>0</v>
      </c>
      <c r="AK117" s="37">
        <f>AG117-AH117-AI117-AJ117</f>
        <v>196982</v>
      </c>
      <c r="AL117" s="37">
        <f>AG117-AH117-AI117-AJ117-AK117</f>
        <v>0</v>
      </c>
      <c r="AM117" s="21" t="s">
        <v>4729</v>
      </c>
      <c r="AN117" s="37">
        <f>SUMIFS($AG$3:$AG$1500,$A$3:$A$1500,A117)</f>
        <v>881971.19999999995</v>
      </c>
      <c r="AO117" s="37">
        <f>SUMIFS($AI$3:$AI$1500,$A$3:$A$1500,A117)</f>
        <v>97017</v>
      </c>
      <c r="AP117" s="37">
        <f>SUMIFS($AJ$3:$AJ$1500,$A$3:$A$1500,A117)</f>
        <v>0</v>
      </c>
      <c r="AQ117" s="37">
        <f>SUMIFS($AK$3:$AK$1500,$A$3:$A$1500,A117)</f>
        <v>784954.2</v>
      </c>
      <c r="AR117" s="21" t="str">
        <f>"PKR "&amp;TEXT(AQ117,"#,##0")&amp;" only"</f>
        <v>PKR 784,954 only</v>
      </c>
      <c r="AS117" s="21" t="str">
        <f>"Sec 153 - deposit by "&amp;TEXT(EOMONTH(B117,0)+15,"dd-mmm-yyyy")</f>
        <v>Sec 153 - deposit by 15-Jun-2026</v>
      </c>
      <c r="AT117" s="21" t="s">
        <v>844</v>
      </c>
      <c r="AU117" s="21" t="s">
        <v>4730</v>
      </c>
      <c r="AV117" s="21" t="s">
        <v>4364</v>
      </c>
      <c r="AW117" s="29">
        <v>46171</v>
      </c>
      <c r="AX117" s="37">
        <f>AQ117+AY117</f>
        <v>784954.2</v>
      </c>
      <c r="AY117" s="37">
        <v>0</v>
      </c>
      <c r="AZ117" s="21" t="s">
        <v>3090</v>
      </c>
      <c r="BA117" s="21" t="s">
        <v>4435</v>
      </c>
      <c r="BB117" s="21" t="s">
        <v>848</v>
      </c>
      <c r="BC117" s="21" t="s">
        <v>4365</v>
      </c>
      <c r="BD117" s="21" t="str">
        <f>IF(AL117&lt;1,"Bill fully settled","Bill partially settled")</f>
        <v>Bill fully settled</v>
      </c>
      <c r="BE117" s="21" t="str">
        <f>"Payable reduced by PKR "&amp;TEXT(AK117+AI117+AJ117,"#,##0")</f>
        <v>Payable reduced by PKR 221,328</v>
      </c>
      <c r="BF117" s="21" t="s">
        <v>4726</v>
      </c>
      <c r="BG117" s="21" t="s">
        <v>753</v>
      </c>
      <c r="BH117" s="21" t="s">
        <v>844</v>
      </c>
      <c r="BI117" s="21" t="s">
        <v>844</v>
      </c>
      <c r="BJ117" s="21" t="s">
        <v>844</v>
      </c>
      <c r="BK117" s="21" t="s">
        <v>753</v>
      </c>
      <c r="BL117" s="21" t="s">
        <v>753</v>
      </c>
      <c r="BM117" s="21" t="s">
        <v>753</v>
      </c>
      <c r="BN117" s="21" t="s">
        <v>4368</v>
      </c>
      <c r="BO117" s="21" t="s">
        <v>848</v>
      </c>
      <c r="BP117" s="21" t="str">
        <f>K117</f>
        <v>Paid</v>
      </c>
    </row>
    <row r="118" spans="1:68" x14ac:dyDescent="0.3">
      <c r="A118" s="21" t="s">
        <v>4722</v>
      </c>
      <c r="B118" s="29">
        <v>46169</v>
      </c>
      <c r="C118" s="21" t="s">
        <v>4354</v>
      </c>
      <c r="D118" s="21" t="s">
        <v>743</v>
      </c>
      <c r="E118" s="21" t="s">
        <v>3350</v>
      </c>
      <c r="F118" s="21" t="s">
        <v>3351</v>
      </c>
      <c r="G118" s="21" t="s">
        <v>4355</v>
      </c>
      <c r="H118" s="21" t="s">
        <v>3084</v>
      </c>
      <c r="I118" s="21" t="s">
        <v>3085</v>
      </c>
      <c r="J118" s="21" t="s">
        <v>4723</v>
      </c>
      <c r="K118" s="21" t="s">
        <v>4357</v>
      </c>
      <c r="L118" s="21" t="s">
        <v>3387</v>
      </c>
      <c r="M118" s="21" t="s">
        <v>3388</v>
      </c>
      <c r="N118" s="21" t="s">
        <v>3389</v>
      </c>
      <c r="O118" s="21" t="s">
        <v>746</v>
      </c>
      <c r="P118" s="21" t="s">
        <v>4429</v>
      </c>
      <c r="Q118" s="21" t="s">
        <v>4430</v>
      </c>
      <c r="R118" s="21" t="s">
        <v>4431</v>
      </c>
      <c r="S118" s="21" t="s">
        <v>4358</v>
      </c>
      <c r="T118" s="21" t="s">
        <v>3390</v>
      </c>
      <c r="U118" s="37" cm="1">
        <f t="array" ref="U118">SUMPRODUCT(('T08'!$U$3:$U$1500=M118)*('T08'!$AF$3:$AF$1500=1)*('T08'!$I$3:$I$1500&lt;=B118)*'T08'!$BK$3:$BK$1500)-SUMPRODUCT(($M$3:$M$1500=M118)*($B$3:$B$1500&lt;B118)*($AK$3:$AK$1500+$AI$3:$AI$1500+$AJ$3:$AJ$1500))</f>
        <v>691521.20000000007</v>
      </c>
      <c r="V118" s="21" t="s">
        <v>4138</v>
      </c>
      <c r="W118" s="21" t="str">
        <f>TEXT(_xlfn.XLOOKUP(V118,'T08'!$G$3:$G$1500,'T08'!$J$3:$J$1500),"dd-mmm-yyyy")&amp;" / due "&amp;TEXT(_xlfn.XLOOKUP(V118,'T08'!$G$3:$G$1500,'T08'!$BQ$3:$BQ$1500),"dd-mmm-yyyy")</f>
        <v>23-Apr-2026 / due 23-May-2026</v>
      </c>
      <c r="X118" s="21" t="s">
        <v>4359</v>
      </c>
      <c r="Y118" s="21" t="str">
        <f>_xlfn.XLOOKUP(V118,'T08'!$G$3:$G$1500,'T08'!$AC$3:$AC$1500)</f>
        <v>N/A</v>
      </c>
      <c r="Z118" s="21" t="s">
        <v>844</v>
      </c>
      <c r="AA118" s="37" t="s">
        <v>844</v>
      </c>
      <c r="AB118" s="21" t="str">
        <f>IF(C118="Against bill",IF(V118&lt;&gt;"N/A","OK - bill linked","Missing bill"),IF(Z118&lt;&gt;"N/A","OK - advance request linked","Missing request"))</f>
        <v>OK - bill linked</v>
      </c>
      <c r="AC118" s="21" t="s">
        <v>844</v>
      </c>
      <c r="AD118" s="21" t="s">
        <v>4360</v>
      </c>
      <c r="AE118" s="21">
        <v>4</v>
      </c>
      <c r="AF118" s="21" t="s">
        <v>4432</v>
      </c>
      <c r="AG118" s="37">
        <f>_xlfn.XLOOKUP(V118,'T08'!$G$3:$G$1500,'T08'!$BH$3:$BH$1500)</f>
        <v>223833.60000000001</v>
      </c>
      <c r="AH118" s="37">
        <v>0</v>
      </c>
      <c r="AI118" s="37">
        <f>_xlfn.XLOOKUP(V118,'T08'!$G$3:$G$1500,'T08'!$BI$3:$BI$1500)</f>
        <v>24622</v>
      </c>
      <c r="AJ118" s="37">
        <f>_xlfn.XLOOKUP(V118,'T08'!$G$3:$G$1500,'T08'!$BJ$3:$BJ$1500)</f>
        <v>0</v>
      </c>
      <c r="AK118" s="37">
        <f>AG118-AH118-AI118-AJ118</f>
        <v>199211.6</v>
      </c>
      <c r="AL118" s="37">
        <f>AG118-AH118-AI118-AJ118-AK118</f>
        <v>0</v>
      </c>
      <c r="AM118" s="21" t="s">
        <v>4731</v>
      </c>
      <c r="AN118" s="37">
        <f>SUMIFS($AG$3:$AG$1500,$A$3:$A$1500,A118)</f>
        <v>881971.19999999995</v>
      </c>
      <c r="AO118" s="37">
        <f>SUMIFS($AI$3:$AI$1500,$A$3:$A$1500,A118)</f>
        <v>97017</v>
      </c>
      <c r="AP118" s="37">
        <f>SUMIFS($AJ$3:$AJ$1500,$A$3:$A$1500,A118)</f>
        <v>0</v>
      </c>
      <c r="AQ118" s="37">
        <f>SUMIFS($AK$3:$AK$1500,$A$3:$A$1500,A118)</f>
        <v>784954.2</v>
      </c>
      <c r="AR118" s="21" t="str">
        <f>"PKR "&amp;TEXT(AQ118,"#,##0")&amp;" only"</f>
        <v>PKR 784,954 only</v>
      </c>
      <c r="AS118" s="21" t="str">
        <f>"Sec 153 - deposit by "&amp;TEXT(EOMONTH(B118,0)+15,"dd-mmm-yyyy")</f>
        <v>Sec 153 - deposit by 15-Jun-2026</v>
      </c>
      <c r="AT118" s="21" t="s">
        <v>844</v>
      </c>
      <c r="AU118" s="21" t="s">
        <v>4725</v>
      </c>
      <c r="AV118" s="21" t="s">
        <v>4364</v>
      </c>
      <c r="AW118" s="29">
        <v>46171</v>
      </c>
      <c r="AX118" s="37">
        <f>AQ118+AY118</f>
        <v>784954.2</v>
      </c>
      <c r="AY118" s="37">
        <v>0</v>
      </c>
      <c r="AZ118" s="21" t="s">
        <v>3090</v>
      </c>
      <c r="BA118" s="21" t="s">
        <v>4435</v>
      </c>
      <c r="BB118" s="21" t="s">
        <v>848</v>
      </c>
      <c r="BC118" s="21" t="s">
        <v>4365</v>
      </c>
      <c r="BD118" s="21" t="str">
        <f>IF(AL118&lt;1,"Bill fully settled","Bill partially settled")</f>
        <v>Bill fully settled</v>
      </c>
      <c r="BE118" s="21" t="str">
        <f>"Payable reduced by PKR "&amp;TEXT(AK118+AI118+AJ118,"#,##0")</f>
        <v>Payable reduced by PKR 223,834</v>
      </c>
      <c r="BF118" s="21" t="s">
        <v>4726</v>
      </c>
      <c r="BG118" s="21" t="s">
        <v>753</v>
      </c>
      <c r="BH118" s="21" t="s">
        <v>844</v>
      </c>
      <c r="BI118" s="21" t="s">
        <v>844</v>
      </c>
      <c r="BJ118" s="21" t="s">
        <v>844</v>
      </c>
      <c r="BK118" s="21" t="s">
        <v>753</v>
      </c>
      <c r="BL118" s="21" t="s">
        <v>753</v>
      </c>
      <c r="BM118" s="21" t="s">
        <v>753</v>
      </c>
      <c r="BN118" s="21" t="s">
        <v>4368</v>
      </c>
      <c r="BO118" s="21" t="s">
        <v>848</v>
      </c>
      <c r="BP118" s="21" t="str">
        <f>K118</f>
        <v>Paid</v>
      </c>
    </row>
    <row r="119" spans="1:68" x14ac:dyDescent="0.3">
      <c r="A119" s="21" t="s">
        <v>4732</v>
      </c>
      <c r="B119" s="29">
        <v>46174</v>
      </c>
      <c r="C119" s="21" t="s">
        <v>4354</v>
      </c>
      <c r="D119" s="21" t="s">
        <v>743</v>
      </c>
      <c r="E119" s="21" t="s">
        <v>3350</v>
      </c>
      <c r="F119" s="21" t="s">
        <v>3429</v>
      </c>
      <c r="G119" s="21" t="s">
        <v>4355</v>
      </c>
      <c r="H119" s="21" t="s">
        <v>3095</v>
      </c>
      <c r="I119" s="21" t="s">
        <v>3085</v>
      </c>
      <c r="J119" s="21" t="s">
        <v>4356</v>
      </c>
      <c r="K119" s="21" t="s">
        <v>4357</v>
      </c>
      <c r="L119" s="21" t="s">
        <v>3431</v>
      </c>
      <c r="M119" s="21" t="s">
        <v>1213</v>
      </c>
      <c r="N119" s="21" t="s">
        <v>1194</v>
      </c>
      <c r="O119" s="21" t="s">
        <v>746</v>
      </c>
      <c r="P119" s="21" t="s">
        <v>983</v>
      </c>
      <c r="Q119" s="21" t="s">
        <v>1193</v>
      </c>
      <c r="R119" s="21" t="s">
        <v>1198</v>
      </c>
      <c r="S119" s="21" t="s">
        <v>4358</v>
      </c>
      <c r="T119" s="21" t="s">
        <v>3493</v>
      </c>
      <c r="U119" s="37" cm="1">
        <f t="array" ref="U119">SUMPRODUCT(('T08'!$U$3:$U$1500=M119)*('T08'!$AF$3:$AF$1500=1)*('T08'!$I$3:$I$1500&lt;=B119)*'T08'!$BK$3:$BK$1500)-SUMPRODUCT(($M$3:$M$1500=M119)*($B$3:$B$1500&lt;B119)*($AK$3:$AK$1500+$AI$3:$AI$1500+$AJ$3:$AJ$1500))</f>
        <v>57855</v>
      </c>
      <c r="V119" s="21" t="s">
        <v>4166</v>
      </c>
      <c r="W119" s="21" t="str">
        <f>TEXT(_xlfn.XLOOKUP(V119,'T08'!$G$3:$G$1500,'T08'!$J$3:$J$1500),"dd-mmm-yyyy")&amp;" / due "&amp;TEXT(_xlfn.XLOOKUP(V119,'T08'!$G$3:$G$1500,'T08'!$BQ$3:$BQ$1500),"dd-mmm-yyyy")</f>
        <v>01-May-2026 / due 31-May-2026</v>
      </c>
      <c r="X119" s="21" t="s">
        <v>4359</v>
      </c>
      <c r="Y119" s="21" t="str">
        <f>_xlfn.XLOOKUP(V119,'T08'!$G$3:$G$1500,'T08'!$AC$3:$AC$1500)</f>
        <v>N/A</v>
      </c>
      <c r="Z119" s="21" t="s">
        <v>844</v>
      </c>
      <c r="AA119" s="37" t="s">
        <v>844</v>
      </c>
      <c r="AB119" s="21" t="str">
        <f>IF(C119="Against bill",IF(V119&lt;&gt;"N/A","OK - bill linked","Missing bill"),IF(Z119&lt;&gt;"N/A","OK - advance request linked","Missing request"))</f>
        <v>OK - bill linked</v>
      </c>
      <c r="AC119" s="21" t="s">
        <v>844</v>
      </c>
      <c r="AD119" s="21" t="s">
        <v>4360</v>
      </c>
      <c r="AE119" s="21">
        <v>1</v>
      </c>
      <c r="AF119" s="21" t="s">
        <v>4404</v>
      </c>
      <c r="AG119" s="37">
        <f>_xlfn.XLOOKUP(V119,'T08'!$G$3:$G$1500,'T08'!$BH$3:$BH$1500)</f>
        <v>192096</v>
      </c>
      <c r="AH119" s="37">
        <v>0</v>
      </c>
      <c r="AI119" s="37">
        <f>_xlfn.XLOOKUP(V119,'T08'!$G$3:$G$1500,'T08'!$BI$3:$BI$1500)</f>
        <v>7684</v>
      </c>
      <c r="AJ119" s="37">
        <f>_xlfn.XLOOKUP(V119,'T08'!$G$3:$G$1500,'T08'!$BJ$3:$BJ$1500)</f>
        <v>0</v>
      </c>
      <c r="AK119" s="37">
        <f>AG119-AH119-AI119-AJ119</f>
        <v>184412</v>
      </c>
      <c r="AL119" s="37">
        <f>AG119-AH119-AI119-AJ119-AK119</f>
        <v>0</v>
      </c>
      <c r="AM119" s="21" t="s">
        <v>4733</v>
      </c>
      <c r="AN119" s="37">
        <f>SUMIFS($AG$3:$AG$1500,$A$3:$A$1500,A119)</f>
        <v>192096</v>
      </c>
      <c r="AO119" s="37">
        <f>SUMIFS($AI$3:$AI$1500,$A$3:$A$1500,A119)</f>
        <v>7684</v>
      </c>
      <c r="AP119" s="37">
        <f>SUMIFS($AJ$3:$AJ$1500,$A$3:$A$1500,A119)</f>
        <v>0</v>
      </c>
      <c r="AQ119" s="37">
        <f>SUMIFS($AK$3:$AK$1500,$A$3:$A$1500,A119)</f>
        <v>184412</v>
      </c>
      <c r="AR119" s="21" t="str">
        <f>"PKR "&amp;TEXT(AQ119,"#,##0")&amp;" only"</f>
        <v>PKR 184,412 only</v>
      </c>
      <c r="AS119" s="21" t="str">
        <f>"Sec 153 - deposit by "&amp;TEXT(EOMONTH(B119,0)+15,"dd-mmm-yyyy")</f>
        <v>Sec 153 - deposit by 15-Jul-2026</v>
      </c>
      <c r="AT119" s="21" t="s">
        <v>844</v>
      </c>
      <c r="AU119" s="21" t="s">
        <v>4734</v>
      </c>
      <c r="AV119" s="21" t="s">
        <v>4364</v>
      </c>
      <c r="AW119" s="29">
        <v>46174</v>
      </c>
      <c r="AX119" s="37">
        <f>AQ119+AY119</f>
        <v>184562</v>
      </c>
      <c r="AY119" s="37">
        <v>150</v>
      </c>
      <c r="AZ119" s="21" t="s">
        <v>3090</v>
      </c>
      <c r="BA119" s="21" t="s">
        <v>4356</v>
      </c>
      <c r="BB119" s="21" t="s">
        <v>848</v>
      </c>
      <c r="BC119" s="21" t="s">
        <v>4365</v>
      </c>
      <c r="BD119" s="21" t="str">
        <f>IF(AL119&lt;1,"Bill fully settled","Bill partially settled")</f>
        <v>Bill fully settled</v>
      </c>
      <c r="BE119" s="21" t="str">
        <f>"Payable reduced by PKR "&amp;TEXT(AK119+AI119+AJ119,"#,##0")</f>
        <v>Payable reduced by PKR 192,096</v>
      </c>
      <c r="BF119" s="21" t="s">
        <v>4735</v>
      </c>
      <c r="BG119" s="21" t="s">
        <v>753</v>
      </c>
      <c r="BH119" s="21" t="s">
        <v>844</v>
      </c>
      <c r="BI119" s="21" t="s">
        <v>844</v>
      </c>
      <c r="BJ119" s="21" t="s">
        <v>4387</v>
      </c>
      <c r="BK119" s="21" t="s">
        <v>753</v>
      </c>
      <c r="BL119" s="21" t="s">
        <v>753</v>
      </c>
      <c r="BM119" s="21" t="s">
        <v>753</v>
      </c>
      <c r="BN119" s="21" t="s">
        <v>4368</v>
      </c>
      <c r="BO119" s="21" t="s">
        <v>848</v>
      </c>
      <c r="BP119" s="21" t="str">
        <f>K119</f>
        <v>Paid</v>
      </c>
    </row>
    <row r="120" spans="1:68" x14ac:dyDescent="0.3">
      <c r="A120" s="21" t="s">
        <v>4736</v>
      </c>
      <c r="B120" s="29">
        <v>46175</v>
      </c>
      <c r="C120" s="21" t="s">
        <v>4354</v>
      </c>
      <c r="D120" s="21" t="s">
        <v>743</v>
      </c>
      <c r="E120" s="21" t="s">
        <v>3350</v>
      </c>
      <c r="F120" s="21" t="s">
        <v>3429</v>
      </c>
      <c r="G120" s="21" t="s">
        <v>4355</v>
      </c>
      <c r="H120" s="21" t="s">
        <v>3095</v>
      </c>
      <c r="I120" s="21" t="s">
        <v>3085</v>
      </c>
      <c r="J120" s="21" t="s">
        <v>4356</v>
      </c>
      <c r="K120" s="21" t="s">
        <v>4357</v>
      </c>
      <c r="L120" s="21" t="s">
        <v>3431</v>
      </c>
      <c r="M120" s="21" t="s">
        <v>1278</v>
      </c>
      <c r="N120" s="21" t="s">
        <v>1200</v>
      </c>
      <c r="O120" s="21" t="s">
        <v>746</v>
      </c>
      <c r="P120" s="21" t="s">
        <v>1014</v>
      </c>
      <c r="Q120" s="21" t="s">
        <v>1199</v>
      </c>
      <c r="R120" s="21" t="s">
        <v>1204</v>
      </c>
      <c r="S120" s="21" t="s">
        <v>4358</v>
      </c>
      <c r="T120" s="21" t="s">
        <v>3441</v>
      </c>
      <c r="U120" s="37" cm="1">
        <f t="array" ref="U120">SUMPRODUCT(('T08'!$U$3:$U$1500=M120)*('T08'!$AF$3:$AF$1500=1)*('T08'!$I$3:$I$1500&lt;=B120)*'T08'!$BK$3:$BK$1500)-SUMPRODUCT(($M$3:$M$1500=M120)*($B$3:$B$1500&lt;B120)*($AK$3:$AK$1500+$AI$3:$AI$1500+$AJ$3:$AJ$1500))</f>
        <v>-68367</v>
      </c>
      <c r="V120" s="21" t="s">
        <v>4168</v>
      </c>
      <c r="W120" s="21" t="str">
        <f>TEXT(_xlfn.XLOOKUP(V120,'T08'!$G$3:$G$1500,'T08'!$J$3:$J$1500),"dd-mmm-yyyy")&amp;" / due "&amp;TEXT(_xlfn.XLOOKUP(V120,'T08'!$G$3:$G$1500,'T08'!$BQ$3:$BQ$1500),"dd-mmm-yyyy")</f>
        <v>01-May-2026 / due 31-May-2026</v>
      </c>
      <c r="X120" s="21" t="s">
        <v>4359</v>
      </c>
      <c r="Y120" s="21" t="str">
        <f>_xlfn.XLOOKUP(V120,'T08'!$G$3:$G$1500,'T08'!$AC$3:$AC$1500)</f>
        <v>N/A</v>
      </c>
      <c r="Z120" s="21" t="s">
        <v>844</v>
      </c>
      <c r="AA120" s="37" t="s">
        <v>844</v>
      </c>
      <c r="AB120" s="21" t="str">
        <f>IF(C120="Against bill",IF(V120&lt;&gt;"N/A","OK - bill linked","Missing bill"),IF(Z120&lt;&gt;"N/A","OK - advance request linked","Missing request"))</f>
        <v>OK - bill linked</v>
      </c>
      <c r="AC120" s="21" t="s">
        <v>844</v>
      </c>
      <c r="AD120" s="21" t="s">
        <v>4360</v>
      </c>
      <c r="AE120" s="21">
        <v>1</v>
      </c>
      <c r="AF120" s="21" t="s">
        <v>4383</v>
      </c>
      <c r="AG120" s="37">
        <f>_xlfn.XLOOKUP(V120,'T08'!$G$3:$G$1500,'T08'!$BH$3:$BH$1500)</f>
        <v>48024</v>
      </c>
      <c r="AH120" s="37">
        <v>0</v>
      </c>
      <c r="AI120" s="37">
        <f>_xlfn.XLOOKUP(V120,'T08'!$G$3:$G$1500,'T08'!$BI$3:$BI$1500)</f>
        <v>1921</v>
      </c>
      <c r="AJ120" s="37">
        <f>_xlfn.XLOOKUP(V120,'T08'!$G$3:$G$1500,'T08'!$BJ$3:$BJ$1500)</f>
        <v>0</v>
      </c>
      <c r="AK120" s="37">
        <f>AG120-AH120-AI120-AJ120</f>
        <v>46103</v>
      </c>
      <c r="AL120" s="37">
        <f>AG120-AH120-AI120-AJ120-AK120</f>
        <v>0</v>
      </c>
      <c r="AM120" s="21" t="s">
        <v>4737</v>
      </c>
      <c r="AN120" s="37">
        <f>SUMIFS($AG$3:$AG$1500,$A$3:$A$1500,A120)</f>
        <v>48024</v>
      </c>
      <c r="AO120" s="37">
        <f>SUMIFS($AI$3:$AI$1500,$A$3:$A$1500,A120)</f>
        <v>1921</v>
      </c>
      <c r="AP120" s="37">
        <f>SUMIFS($AJ$3:$AJ$1500,$A$3:$A$1500,A120)</f>
        <v>0</v>
      </c>
      <c r="AQ120" s="37">
        <f>SUMIFS($AK$3:$AK$1500,$A$3:$A$1500,A120)</f>
        <v>46103</v>
      </c>
      <c r="AR120" s="21" t="str">
        <f>"PKR "&amp;TEXT(AQ120,"#,##0")&amp;" only"</f>
        <v>PKR 46,103 only</v>
      </c>
      <c r="AS120" s="21" t="str">
        <f>"Sec 153 - deposit by "&amp;TEXT(EOMONTH(B120,0)+15,"dd-mmm-yyyy")</f>
        <v>Sec 153 - deposit by 15-Jul-2026</v>
      </c>
      <c r="AT120" s="21" t="s">
        <v>844</v>
      </c>
      <c r="AU120" s="21" t="s">
        <v>4738</v>
      </c>
      <c r="AV120" s="21" t="s">
        <v>4364</v>
      </c>
      <c r="AW120" s="29">
        <v>46175</v>
      </c>
      <c r="AX120" s="37">
        <f>AQ120+AY120</f>
        <v>46253</v>
      </c>
      <c r="AY120" s="37">
        <v>150</v>
      </c>
      <c r="AZ120" s="21" t="s">
        <v>3090</v>
      </c>
      <c r="BA120" s="21" t="s">
        <v>4356</v>
      </c>
      <c r="BB120" s="21" t="s">
        <v>848</v>
      </c>
      <c r="BC120" s="21" t="s">
        <v>4365</v>
      </c>
      <c r="BD120" s="21" t="str">
        <f>IF(AL120&lt;1,"Bill fully settled","Bill partially settled")</f>
        <v>Bill fully settled</v>
      </c>
      <c r="BE120" s="21" t="str">
        <f>"Payable reduced by PKR "&amp;TEXT(AK120+AI120+AJ120,"#,##0")</f>
        <v>Payable reduced by PKR 48,024</v>
      </c>
      <c r="BF120" s="21" t="s">
        <v>4739</v>
      </c>
      <c r="BG120" s="21" t="s">
        <v>753</v>
      </c>
      <c r="BH120" s="21" t="s">
        <v>844</v>
      </c>
      <c r="BI120" s="21" t="s">
        <v>844</v>
      </c>
      <c r="BJ120" s="21" t="s">
        <v>4387</v>
      </c>
      <c r="BK120" s="21" t="s">
        <v>753</v>
      </c>
      <c r="BL120" s="21" t="s">
        <v>753</v>
      </c>
      <c r="BM120" s="21" t="s">
        <v>753</v>
      </c>
      <c r="BN120" s="21" t="s">
        <v>4368</v>
      </c>
      <c r="BO120" s="21" t="s">
        <v>848</v>
      </c>
      <c r="BP120" s="21" t="str">
        <f>K120</f>
        <v>Paid</v>
      </c>
    </row>
    <row r="121" spans="1:68" x14ac:dyDescent="0.3">
      <c r="A121" s="21" t="s">
        <v>4740</v>
      </c>
      <c r="B121" s="29">
        <v>46176</v>
      </c>
      <c r="C121" s="21" t="s">
        <v>4354</v>
      </c>
      <c r="D121" s="21" t="s">
        <v>743</v>
      </c>
      <c r="E121" s="21" t="s">
        <v>3350</v>
      </c>
      <c r="F121" s="21" t="s">
        <v>3429</v>
      </c>
      <c r="G121" s="21" t="s">
        <v>4355</v>
      </c>
      <c r="H121" s="21" t="s">
        <v>3095</v>
      </c>
      <c r="I121" s="21" t="s">
        <v>3085</v>
      </c>
      <c r="J121" s="21" t="s">
        <v>4356</v>
      </c>
      <c r="K121" s="21" t="s">
        <v>4357</v>
      </c>
      <c r="L121" s="21" t="s">
        <v>3431</v>
      </c>
      <c r="M121" s="21" t="s">
        <v>1339</v>
      </c>
      <c r="N121" s="21" t="s">
        <v>1207</v>
      </c>
      <c r="O121" s="21" t="s">
        <v>1066</v>
      </c>
      <c r="P121" s="21" t="s">
        <v>1059</v>
      </c>
      <c r="Q121" s="21" t="s">
        <v>1206</v>
      </c>
      <c r="R121" s="21" t="s">
        <v>1211</v>
      </c>
      <c r="S121" s="21" t="s">
        <v>4358</v>
      </c>
      <c r="T121" s="21" t="s">
        <v>3432</v>
      </c>
      <c r="U121" s="37" cm="1">
        <f t="array" ref="U121">SUMPRODUCT(('T08'!$U$3:$U$1500=M121)*('T08'!$AF$3:$AF$1500=1)*('T08'!$I$3:$I$1500&lt;=B121)*'T08'!$BK$3:$BK$1500)-SUMPRODUCT(($M$3:$M$1500=M121)*($B$3:$B$1500&lt;B121)*($AK$3:$AK$1500+$AI$3:$AI$1500+$AJ$3:$AJ$1500))</f>
        <v>514596</v>
      </c>
      <c r="V121" s="21" t="s">
        <v>4161</v>
      </c>
      <c r="W121" s="21" t="str">
        <f>TEXT(_xlfn.XLOOKUP(V121,'T08'!$G$3:$G$1500,'T08'!$J$3:$J$1500),"dd-mmm-yyyy")&amp;" / due "&amp;TEXT(_xlfn.XLOOKUP(V121,'T08'!$G$3:$G$1500,'T08'!$BQ$3:$BQ$1500),"dd-mmm-yyyy")</f>
        <v>01-May-2026 / due 31-May-2026</v>
      </c>
      <c r="X121" s="21" t="s">
        <v>4359</v>
      </c>
      <c r="Y121" s="21" t="str">
        <f>_xlfn.XLOOKUP(V121,'T08'!$G$3:$G$1500,'T08'!$AC$3:$AC$1500)</f>
        <v>N/A</v>
      </c>
      <c r="Z121" s="21" t="s">
        <v>844</v>
      </c>
      <c r="AA121" s="37" t="s">
        <v>844</v>
      </c>
      <c r="AB121" s="21" t="str">
        <f>IF(C121="Against bill",IF(V121&lt;&gt;"N/A","OK - bill linked","Missing bill"),IF(Z121&lt;&gt;"N/A","OK - advance request linked","Missing request"))</f>
        <v>OK - bill linked</v>
      </c>
      <c r="AC121" s="21" t="s">
        <v>844</v>
      </c>
      <c r="AD121" s="21" t="s">
        <v>4360</v>
      </c>
      <c r="AE121" s="21">
        <v>1</v>
      </c>
      <c r="AF121" s="21" t="s">
        <v>4540</v>
      </c>
      <c r="AG121" s="37">
        <f>_xlfn.XLOOKUP(V121,'T08'!$G$3:$G$1500,'T08'!$BH$3:$BH$1500)</f>
        <v>417600</v>
      </c>
      <c r="AH121" s="37">
        <v>0</v>
      </c>
      <c r="AI121" s="37">
        <f>_xlfn.XLOOKUP(V121,'T08'!$G$3:$G$1500,'T08'!$BI$3:$BI$1500)</f>
        <v>33408</v>
      </c>
      <c r="AJ121" s="37">
        <f>_xlfn.XLOOKUP(V121,'T08'!$G$3:$G$1500,'T08'!$BJ$3:$BJ$1500)</f>
        <v>0</v>
      </c>
      <c r="AK121" s="37">
        <f>AG121-AH121-AI121-AJ121</f>
        <v>384192</v>
      </c>
      <c r="AL121" s="37">
        <f>AG121-AH121-AI121-AJ121-AK121</f>
        <v>0</v>
      </c>
      <c r="AM121" s="21" t="s">
        <v>4741</v>
      </c>
      <c r="AN121" s="37">
        <f>SUMIFS($AG$3:$AG$1500,$A$3:$A$1500,A121)</f>
        <v>417600</v>
      </c>
      <c r="AO121" s="37">
        <f>SUMIFS($AI$3:$AI$1500,$A$3:$A$1500,A121)</f>
        <v>33408</v>
      </c>
      <c r="AP121" s="37">
        <f>SUMIFS($AJ$3:$AJ$1500,$A$3:$A$1500,A121)</f>
        <v>0</v>
      </c>
      <c r="AQ121" s="37">
        <f>SUMIFS($AK$3:$AK$1500,$A$3:$A$1500,A121)</f>
        <v>384192</v>
      </c>
      <c r="AR121" s="21" t="str">
        <f>"PKR "&amp;TEXT(AQ121,"#,##0")&amp;" only"</f>
        <v>PKR 384,192 only</v>
      </c>
      <c r="AS121" s="21" t="str">
        <f>"Sec 153 - deposit by "&amp;TEXT(EOMONTH(B121,0)+15,"dd-mmm-yyyy")</f>
        <v>Sec 153 - deposit by 15-Jul-2026</v>
      </c>
      <c r="AT121" s="21" t="s">
        <v>844</v>
      </c>
      <c r="AU121" s="21" t="s">
        <v>4742</v>
      </c>
      <c r="AV121" s="21" t="s">
        <v>4364</v>
      </c>
      <c r="AW121" s="29">
        <v>46176</v>
      </c>
      <c r="AX121" s="37">
        <f>AQ121+AY121</f>
        <v>384342</v>
      </c>
      <c r="AY121" s="37">
        <v>150</v>
      </c>
      <c r="AZ121" s="21" t="s">
        <v>3090</v>
      </c>
      <c r="BA121" s="21" t="s">
        <v>4356</v>
      </c>
      <c r="BB121" s="21" t="s">
        <v>848</v>
      </c>
      <c r="BC121" s="21" t="s">
        <v>4365</v>
      </c>
      <c r="BD121" s="21" t="str">
        <f>IF(AL121&lt;1,"Bill fully settled","Bill partially settled")</f>
        <v>Bill fully settled</v>
      </c>
      <c r="BE121" s="21" t="str">
        <f>"Payable reduced by PKR "&amp;TEXT(AK121+AI121+AJ121,"#,##0")</f>
        <v>Payable reduced by PKR 417,600</v>
      </c>
      <c r="BF121" s="21" t="s">
        <v>4743</v>
      </c>
      <c r="BG121" s="21" t="s">
        <v>753</v>
      </c>
      <c r="BH121" s="21" t="s">
        <v>844</v>
      </c>
      <c r="BI121" s="21" t="s">
        <v>844</v>
      </c>
      <c r="BJ121" s="21" t="s">
        <v>4387</v>
      </c>
      <c r="BK121" s="21" t="s">
        <v>753</v>
      </c>
      <c r="BL121" s="21" t="s">
        <v>753</v>
      </c>
      <c r="BM121" s="21" t="s">
        <v>753</v>
      </c>
      <c r="BN121" s="21" t="s">
        <v>4368</v>
      </c>
      <c r="BO121" s="21" t="s">
        <v>848</v>
      </c>
      <c r="BP121" s="21" t="str">
        <f>K121</f>
        <v>Paid</v>
      </c>
    </row>
    <row r="122" spans="1:68" x14ac:dyDescent="0.3">
      <c r="A122" s="21" t="s">
        <v>4744</v>
      </c>
      <c r="B122" s="29">
        <v>46186</v>
      </c>
      <c r="C122" s="21" t="s">
        <v>4354</v>
      </c>
      <c r="D122" s="21" t="s">
        <v>743</v>
      </c>
      <c r="E122" s="21" t="s">
        <v>3400</v>
      </c>
      <c r="F122" s="21" t="s">
        <v>3401</v>
      </c>
      <c r="G122" s="21" t="s">
        <v>4355</v>
      </c>
      <c r="H122" s="21" t="s">
        <v>3095</v>
      </c>
      <c r="I122" s="21" t="s">
        <v>3085</v>
      </c>
      <c r="J122" s="21" t="s">
        <v>4356</v>
      </c>
      <c r="K122" s="21" t="s">
        <v>4357</v>
      </c>
      <c r="L122" s="21" t="s">
        <v>3403</v>
      </c>
      <c r="M122" s="21" t="s">
        <v>3419</v>
      </c>
      <c r="N122" s="21" t="s">
        <v>999</v>
      </c>
      <c r="O122" s="21" t="s">
        <v>746</v>
      </c>
      <c r="P122" s="21" t="s">
        <v>1014</v>
      </c>
      <c r="Q122" s="21" t="s">
        <v>998</v>
      </c>
      <c r="R122" s="21" t="s">
        <v>1015</v>
      </c>
      <c r="S122" s="21" t="s">
        <v>4358</v>
      </c>
      <c r="T122" s="21" t="s">
        <v>3420</v>
      </c>
      <c r="U122" s="37" cm="1">
        <f t="array" ref="U122">SUMPRODUCT(('T08'!$U$3:$U$1500=M122)*('T08'!$AF$3:$AF$1500=1)*('T08'!$I$3:$I$1500&lt;=B122)*'T08'!$BK$3:$BK$1500)-SUMPRODUCT(($M$3:$M$1500=M122)*($B$3:$B$1500&lt;B122)*($AK$3:$AK$1500+$AI$3:$AI$1500+$AJ$3:$AJ$1500))</f>
        <v>4630575</v>
      </c>
      <c r="V122" s="21" t="s">
        <v>4191</v>
      </c>
      <c r="W122" s="21" t="str">
        <f>TEXT(_xlfn.XLOOKUP(V122,'T08'!$G$3:$G$1500,'T08'!$J$3:$J$1500),"dd-mmm-yyyy")&amp;" / due "&amp;TEXT(_xlfn.XLOOKUP(V122,'T08'!$G$3:$G$1500,'T08'!$BQ$3:$BQ$1500),"dd-mmm-yyyy")</f>
        <v>31-May-2026 / due 15-Jun-2026</v>
      </c>
      <c r="X122" s="21" t="s">
        <v>4359</v>
      </c>
      <c r="Y122" s="21" t="str">
        <f>_xlfn.XLOOKUP(V122,'T08'!$G$3:$G$1500,'T08'!$AC$3:$AC$1500)</f>
        <v>PO-2605-2</v>
      </c>
      <c r="Z122" s="21" t="s">
        <v>844</v>
      </c>
      <c r="AA122" s="37" t="s">
        <v>844</v>
      </c>
      <c r="AB122" s="21" t="str">
        <f>IF(C122="Against bill",IF(V122&lt;&gt;"N/A","OK - bill linked","Missing bill"),IF(Z122&lt;&gt;"N/A","OK - advance request linked","Missing request"))</f>
        <v>OK - bill linked</v>
      </c>
      <c r="AC122" s="21" t="s">
        <v>844</v>
      </c>
      <c r="AD122" s="21" t="s">
        <v>4360</v>
      </c>
      <c r="AE122" s="21">
        <v>1</v>
      </c>
      <c r="AF122" s="21" t="s">
        <v>4394</v>
      </c>
      <c r="AG122" s="37">
        <f>_xlfn.XLOOKUP(V122,'T08'!$G$3:$G$1500,'T08'!$BH$3:$BH$1500)</f>
        <v>5954700</v>
      </c>
      <c r="AH122" s="37">
        <v>0</v>
      </c>
      <c r="AI122" s="37">
        <f>_xlfn.XLOOKUP(V122,'T08'!$G$3:$G$1500,'T08'!$BI$3:$BI$1500)</f>
        <v>59547</v>
      </c>
      <c r="AJ122" s="37">
        <f>_xlfn.XLOOKUP(V122,'T08'!$G$3:$G$1500,'T08'!$BJ$3:$BJ$1500)</f>
        <v>0</v>
      </c>
      <c r="AK122" s="37">
        <f>AG122-AH122-AI122-AJ122</f>
        <v>5895153</v>
      </c>
      <c r="AL122" s="37">
        <f>AG122-AH122-AI122-AJ122-AK122</f>
        <v>0</v>
      </c>
      <c r="AM122" s="21" t="s">
        <v>4745</v>
      </c>
      <c r="AN122" s="37">
        <f>SUMIFS($AG$3:$AG$1500,$A$3:$A$1500,A122)</f>
        <v>5954700</v>
      </c>
      <c r="AO122" s="37">
        <f>SUMIFS($AI$3:$AI$1500,$A$3:$A$1500,A122)</f>
        <v>59547</v>
      </c>
      <c r="AP122" s="37">
        <f>SUMIFS($AJ$3:$AJ$1500,$A$3:$A$1500,A122)</f>
        <v>0</v>
      </c>
      <c r="AQ122" s="37">
        <f>SUMIFS($AK$3:$AK$1500,$A$3:$A$1500,A122)</f>
        <v>5895153</v>
      </c>
      <c r="AR122" s="21" t="str">
        <f>"PKR "&amp;TEXT(AQ122,"#,##0")&amp;" only"</f>
        <v>PKR 5,895,153 only</v>
      </c>
      <c r="AS122" s="21" t="str">
        <f>"Sec 153 - deposit by "&amp;TEXT(EOMONTH(B122,0)+15,"dd-mmm-yyyy")</f>
        <v>Sec 153 - deposit by 15-Jul-2026</v>
      </c>
      <c r="AT122" s="21" t="s">
        <v>844</v>
      </c>
      <c r="AU122" s="21" t="s">
        <v>4746</v>
      </c>
      <c r="AV122" s="21" t="s">
        <v>4364</v>
      </c>
      <c r="AW122" s="29">
        <v>46186</v>
      </c>
      <c r="AX122" s="37">
        <f>AQ122+AY122</f>
        <v>5895303</v>
      </c>
      <c r="AY122" s="37">
        <v>150</v>
      </c>
      <c r="AZ122" s="21" t="s">
        <v>3090</v>
      </c>
      <c r="BA122" s="21" t="s">
        <v>4356</v>
      </c>
      <c r="BB122" s="21" t="s">
        <v>848</v>
      </c>
      <c r="BC122" s="21" t="s">
        <v>4365</v>
      </c>
      <c r="BD122" s="21" t="str">
        <f>IF(AL122&lt;1,"Bill fully settled","Bill partially settled")</f>
        <v>Bill fully settled</v>
      </c>
      <c r="BE122" s="21" t="str">
        <f>"Payable reduced by PKR "&amp;TEXT(AK122+AI122+AJ122,"#,##0")</f>
        <v>Payable reduced by PKR 5,954,700</v>
      </c>
      <c r="BF122" s="21" t="s">
        <v>4747</v>
      </c>
      <c r="BG122" s="21" t="s">
        <v>753</v>
      </c>
      <c r="BH122" s="21" t="s">
        <v>4367</v>
      </c>
      <c r="BI122" s="21" t="s">
        <v>844</v>
      </c>
      <c r="BJ122" s="21" t="s">
        <v>844</v>
      </c>
      <c r="BK122" s="21" t="s">
        <v>753</v>
      </c>
      <c r="BL122" s="21" t="s">
        <v>753</v>
      </c>
      <c r="BM122" s="21" t="s">
        <v>753</v>
      </c>
      <c r="BN122" s="21" t="s">
        <v>4368</v>
      </c>
      <c r="BO122" s="21" t="s">
        <v>848</v>
      </c>
      <c r="BP122" s="21" t="str">
        <f>K122</f>
        <v>Paid</v>
      </c>
    </row>
    <row r="123" spans="1:68" x14ac:dyDescent="0.3">
      <c r="A123" s="21" t="s">
        <v>4748</v>
      </c>
      <c r="B123" s="29">
        <v>46189</v>
      </c>
      <c r="C123" s="21" t="s">
        <v>4354</v>
      </c>
      <c r="D123" s="21" t="s">
        <v>743</v>
      </c>
      <c r="E123" s="21" t="s">
        <v>3400</v>
      </c>
      <c r="F123" s="21" t="s">
        <v>3401</v>
      </c>
      <c r="G123" s="21" t="s">
        <v>4355</v>
      </c>
      <c r="H123" s="21" t="s">
        <v>3095</v>
      </c>
      <c r="I123" s="21" t="s">
        <v>3085</v>
      </c>
      <c r="J123" s="21" t="s">
        <v>4356</v>
      </c>
      <c r="K123" s="21" t="s">
        <v>4357</v>
      </c>
      <c r="L123" s="21" t="s">
        <v>3403</v>
      </c>
      <c r="M123" s="21" t="s">
        <v>3404</v>
      </c>
      <c r="N123" s="21" t="s">
        <v>967</v>
      </c>
      <c r="O123" s="21" t="s">
        <v>746</v>
      </c>
      <c r="P123" s="21" t="s">
        <v>983</v>
      </c>
      <c r="Q123" s="21" t="s">
        <v>965</v>
      </c>
      <c r="R123" s="21" t="s">
        <v>985</v>
      </c>
      <c r="S123" s="21" t="s">
        <v>4358</v>
      </c>
      <c r="T123" s="21" t="s">
        <v>3405</v>
      </c>
      <c r="U123" s="37" cm="1">
        <f t="array" ref="U123">SUMPRODUCT(('T08'!$U$3:$U$1500=M123)*('T08'!$AF$3:$AF$1500=1)*('T08'!$I$3:$I$1500&lt;=B123)*'T08'!$BK$3:$BK$1500)-SUMPRODUCT(($M$3:$M$1500=M123)*($B$3:$B$1500&lt;B123)*($AK$3:$AK$1500+$AI$3:$AI$1500+$AJ$3:$AJ$1500))</f>
        <v>-3313988</v>
      </c>
      <c r="V123" s="21" t="s">
        <v>4183</v>
      </c>
      <c r="W123" s="21" t="str">
        <f>TEXT(_xlfn.XLOOKUP(V123,'T08'!$G$3:$G$1500,'T08'!$J$3:$J$1500),"dd-mmm-yyyy")&amp;" / due "&amp;TEXT(_xlfn.XLOOKUP(V123,'T08'!$G$3:$G$1500,'T08'!$BQ$3:$BQ$1500),"dd-mmm-yyyy")</f>
        <v>31-May-2026 / due 15-Jun-2026</v>
      </c>
      <c r="X123" s="21" t="s">
        <v>4359</v>
      </c>
      <c r="Y123" s="21" t="str">
        <f>_xlfn.XLOOKUP(V123,'T08'!$G$3:$G$1500,'T08'!$AC$3:$AC$1500)</f>
        <v>PO-2605-1</v>
      </c>
      <c r="Z123" s="21" t="s">
        <v>844</v>
      </c>
      <c r="AA123" s="37" t="s">
        <v>844</v>
      </c>
      <c r="AB123" s="21" t="str">
        <f>IF(C123="Against bill",IF(V123&lt;&gt;"N/A","OK - bill linked","Missing bill"),IF(Z123&lt;&gt;"N/A","OK - advance request linked","Missing request"))</f>
        <v>OK - bill linked</v>
      </c>
      <c r="AC123" s="21" t="s">
        <v>844</v>
      </c>
      <c r="AD123" s="21" t="s">
        <v>4360</v>
      </c>
      <c r="AE123" s="21">
        <v>1</v>
      </c>
      <c r="AF123" s="21" t="s">
        <v>4361</v>
      </c>
      <c r="AG123" s="37">
        <f>_xlfn.XLOOKUP(V123,'T08'!$G$3:$G$1500,'T08'!$BH$3:$BH$1500)</f>
        <v>8479180</v>
      </c>
      <c r="AH123" s="37">
        <v>0</v>
      </c>
      <c r="AI123" s="37">
        <f>_xlfn.XLOOKUP(V123,'T08'!$G$3:$G$1500,'T08'!$BI$3:$BI$1500)</f>
        <v>423959</v>
      </c>
      <c r="AJ123" s="37">
        <f>_xlfn.XLOOKUP(V123,'T08'!$G$3:$G$1500,'T08'!$BJ$3:$BJ$1500)</f>
        <v>0</v>
      </c>
      <c r="AK123" s="37">
        <f>AG123-AH123-AI123-AJ123</f>
        <v>8055221</v>
      </c>
      <c r="AL123" s="37">
        <f>AG123-AH123-AI123-AJ123-AK123</f>
        <v>0</v>
      </c>
      <c r="AM123" s="21" t="s">
        <v>4749</v>
      </c>
      <c r="AN123" s="37">
        <f>SUMIFS($AG$3:$AG$1500,$A$3:$A$1500,A123)</f>
        <v>8479180</v>
      </c>
      <c r="AO123" s="37">
        <f>SUMIFS($AI$3:$AI$1500,$A$3:$A$1500,A123)</f>
        <v>423959</v>
      </c>
      <c r="AP123" s="37">
        <f>SUMIFS($AJ$3:$AJ$1500,$A$3:$A$1500,A123)</f>
        <v>0</v>
      </c>
      <c r="AQ123" s="37">
        <f>SUMIFS($AK$3:$AK$1500,$A$3:$A$1500,A123)</f>
        <v>8055221</v>
      </c>
      <c r="AR123" s="21" t="str">
        <f>"PKR "&amp;TEXT(AQ123,"#,##0")&amp;" only"</f>
        <v>PKR 8,055,221 only</v>
      </c>
      <c r="AS123" s="21" t="str">
        <f>"Sec 153 - deposit by "&amp;TEXT(EOMONTH(B123,0)+15,"dd-mmm-yyyy")</f>
        <v>Sec 153 - deposit by 15-Jul-2026</v>
      </c>
      <c r="AT123" s="21" t="s">
        <v>844</v>
      </c>
      <c r="AU123" s="21" t="s">
        <v>4750</v>
      </c>
      <c r="AV123" s="21" t="s">
        <v>4364</v>
      </c>
      <c r="AW123" s="29">
        <v>46189</v>
      </c>
      <c r="AX123" s="37">
        <f>AQ123+AY123</f>
        <v>8055371</v>
      </c>
      <c r="AY123" s="37">
        <v>150</v>
      </c>
      <c r="AZ123" s="21" t="s">
        <v>3090</v>
      </c>
      <c r="BA123" s="21" t="s">
        <v>4356</v>
      </c>
      <c r="BB123" s="21" t="s">
        <v>848</v>
      </c>
      <c r="BC123" s="21" t="s">
        <v>4365</v>
      </c>
      <c r="BD123" s="21" t="str">
        <f>IF(AL123&lt;1,"Bill fully settled","Bill partially settled")</f>
        <v>Bill fully settled</v>
      </c>
      <c r="BE123" s="21" t="str">
        <f>"Payable reduced by PKR "&amp;TEXT(AK123+AI123+AJ123,"#,##0")</f>
        <v>Payable reduced by PKR 8,479,180</v>
      </c>
      <c r="BF123" s="21" t="s">
        <v>4751</v>
      </c>
      <c r="BG123" s="21" t="s">
        <v>753</v>
      </c>
      <c r="BH123" s="21" t="s">
        <v>4367</v>
      </c>
      <c r="BI123" s="21" t="s">
        <v>844</v>
      </c>
      <c r="BJ123" s="21" t="s">
        <v>844</v>
      </c>
      <c r="BK123" s="21" t="s">
        <v>753</v>
      </c>
      <c r="BL123" s="21" t="s">
        <v>753</v>
      </c>
      <c r="BM123" s="21" t="s">
        <v>753</v>
      </c>
      <c r="BN123" s="21" t="s">
        <v>4368</v>
      </c>
      <c r="BO123" s="21" t="s">
        <v>848</v>
      </c>
      <c r="BP123" s="21" t="str">
        <f>K123</f>
        <v>Paid</v>
      </c>
    </row>
    <row r="124" spans="1:68" x14ac:dyDescent="0.3">
      <c r="A124" s="21" t="s">
        <v>4752</v>
      </c>
      <c r="B124" s="29">
        <v>46192</v>
      </c>
      <c r="C124" s="21" t="s">
        <v>4354</v>
      </c>
      <c r="D124" s="21" t="s">
        <v>743</v>
      </c>
      <c r="E124" s="21" t="s">
        <v>3350</v>
      </c>
      <c r="F124" s="21" t="s">
        <v>3351</v>
      </c>
      <c r="G124" s="21" t="s">
        <v>4355</v>
      </c>
      <c r="H124" s="21" t="s">
        <v>3084</v>
      </c>
      <c r="I124" s="21" t="s">
        <v>3085</v>
      </c>
      <c r="J124" s="21" t="s">
        <v>4753</v>
      </c>
      <c r="K124" s="21" t="s">
        <v>4357</v>
      </c>
      <c r="L124" s="21" t="s">
        <v>3353</v>
      </c>
      <c r="M124" s="21" t="s">
        <v>3450</v>
      </c>
      <c r="N124" s="21" t="s">
        <v>3451</v>
      </c>
      <c r="O124" s="21" t="s">
        <v>746</v>
      </c>
      <c r="P124" s="21" t="s">
        <v>4462</v>
      </c>
      <c r="Q124" s="21" t="s">
        <v>4463</v>
      </c>
      <c r="R124" s="21" t="s">
        <v>4464</v>
      </c>
      <c r="S124" s="21" t="s">
        <v>4358</v>
      </c>
      <c r="T124" s="21" t="s">
        <v>3452</v>
      </c>
      <c r="U124" s="37" cm="1">
        <f t="array" ref="U124">SUMPRODUCT(('T08'!$U$3:$U$1500=M124)*('T08'!$AF$3:$AF$1500=1)*('T08'!$I$3:$I$1500&lt;=B124)*'T08'!$BK$3:$BK$1500)-SUMPRODUCT(($M$3:$M$1500=M124)*($B$3:$B$1500&lt;B124)*($AK$3:$AK$1500+$AI$3:$AI$1500+$AJ$3:$AJ$1500))</f>
        <v>31320</v>
      </c>
      <c r="V124" s="21" t="s">
        <v>4214</v>
      </c>
      <c r="W124" s="21" t="str">
        <f>TEXT(_xlfn.XLOOKUP(V124,'T08'!$G$3:$G$1500,'T08'!$J$3:$J$1500),"dd-mmm-yyyy")&amp;" / due "&amp;TEXT(_xlfn.XLOOKUP(V124,'T08'!$G$3:$G$1500,'T08'!$BQ$3:$BQ$1500),"dd-mmm-yyyy")</f>
        <v>05-Jun-2026 / due 20-Jun-2026</v>
      </c>
      <c r="X124" s="21" t="s">
        <v>4359</v>
      </c>
      <c r="Y124" s="21" t="str">
        <f>_xlfn.XLOOKUP(V124,'T08'!$G$3:$G$1500,'T08'!$AC$3:$AC$1500)</f>
        <v>N/A</v>
      </c>
      <c r="Z124" s="21" t="s">
        <v>844</v>
      </c>
      <c r="AA124" s="37" t="s">
        <v>844</v>
      </c>
      <c r="AB124" s="21" t="str">
        <f>IF(C124="Against bill",IF(V124&lt;&gt;"N/A","OK - bill linked","Missing bill"),IF(Z124&lt;&gt;"N/A","OK - advance request linked","Missing request"))</f>
        <v>OK - bill linked</v>
      </c>
      <c r="AC124" s="21" t="s">
        <v>844</v>
      </c>
      <c r="AD124" s="21" t="s">
        <v>4360</v>
      </c>
      <c r="AE124" s="21">
        <v>1</v>
      </c>
      <c r="AF124" s="21" t="s">
        <v>4465</v>
      </c>
      <c r="AG124" s="37">
        <f>_xlfn.XLOOKUP(V124,'T08'!$G$3:$G$1500,'T08'!$BH$3:$BH$1500)</f>
        <v>31320</v>
      </c>
      <c r="AH124" s="37">
        <v>0</v>
      </c>
      <c r="AI124" s="37">
        <f>_xlfn.XLOOKUP(V124,'T08'!$G$3:$G$1500,'T08'!$BI$3:$BI$1500)</f>
        <v>0</v>
      </c>
      <c r="AJ124" s="37">
        <f>_xlfn.XLOOKUP(V124,'T08'!$G$3:$G$1500,'T08'!$BJ$3:$BJ$1500)</f>
        <v>0</v>
      </c>
      <c r="AK124" s="37">
        <f>AG124-AH124-AI124-AJ124</f>
        <v>31320</v>
      </c>
      <c r="AL124" s="37">
        <f>AG124-AH124-AI124-AJ124-AK124</f>
        <v>0</v>
      </c>
      <c r="AM124" s="21" t="s">
        <v>4754</v>
      </c>
      <c r="AN124" s="37">
        <f>SUMIFS($AG$3:$AG$1500,$A$3:$A$1500,A124)</f>
        <v>31320</v>
      </c>
      <c r="AO124" s="37">
        <f>SUMIFS($AI$3:$AI$1500,$A$3:$A$1500,A124)</f>
        <v>0</v>
      </c>
      <c r="AP124" s="37">
        <f>SUMIFS($AJ$3:$AJ$1500,$A$3:$A$1500,A124)</f>
        <v>0</v>
      </c>
      <c r="AQ124" s="37">
        <f>SUMIFS($AK$3:$AK$1500,$A$3:$A$1500,A124)</f>
        <v>31320</v>
      </c>
      <c r="AR124" s="21" t="str">
        <f>"PKR "&amp;TEXT(AQ124,"#,##0")&amp;" only"</f>
        <v>PKR 31,320 only</v>
      </c>
      <c r="AS124" s="21" t="str">
        <f>"Sec 153 - deposit by "&amp;TEXT(EOMONTH(B124,0)+15,"dd-mmm-yyyy")</f>
        <v>Sec 153 - deposit by 15-Jul-2026</v>
      </c>
      <c r="AT124" s="21" t="s">
        <v>844</v>
      </c>
      <c r="AU124" s="21" t="s">
        <v>4755</v>
      </c>
      <c r="AV124" s="21" t="s">
        <v>4364</v>
      </c>
      <c r="AW124" s="29">
        <v>46194</v>
      </c>
      <c r="AX124" s="37">
        <f>AQ124+AY124</f>
        <v>31320</v>
      </c>
      <c r="AY124" s="37">
        <v>0</v>
      </c>
      <c r="AZ124" s="21" t="s">
        <v>3090</v>
      </c>
      <c r="BA124" s="21" t="s">
        <v>4435</v>
      </c>
      <c r="BB124" s="21" t="s">
        <v>848</v>
      </c>
      <c r="BC124" s="21" t="s">
        <v>4365</v>
      </c>
      <c r="BD124" s="21" t="str">
        <f>IF(AL124&lt;1,"Bill fully settled","Bill partially settled")</f>
        <v>Bill fully settled</v>
      </c>
      <c r="BE124" s="21" t="str">
        <f>"Payable reduced by PKR "&amp;TEXT(AK124+AI124+AJ124,"#,##0")</f>
        <v>Payable reduced by PKR 31,320</v>
      </c>
      <c r="BF124" s="21" t="s">
        <v>4756</v>
      </c>
      <c r="BG124" s="21" t="s">
        <v>753</v>
      </c>
      <c r="BH124" s="21" t="s">
        <v>844</v>
      </c>
      <c r="BI124" s="21" t="s">
        <v>844</v>
      </c>
      <c r="BJ124" s="21" t="s">
        <v>844</v>
      </c>
      <c r="BK124" s="21" t="s">
        <v>753</v>
      </c>
      <c r="BL124" s="21" t="s">
        <v>753</v>
      </c>
      <c r="BM124" s="21" t="s">
        <v>753</v>
      </c>
      <c r="BN124" s="21" t="s">
        <v>4368</v>
      </c>
      <c r="BO124" s="21" t="s">
        <v>848</v>
      </c>
      <c r="BP124" s="21" t="str">
        <f>K124</f>
        <v>Paid</v>
      </c>
    </row>
    <row r="125" spans="1:68" x14ac:dyDescent="0.3">
      <c r="A125" s="21" t="s">
        <v>4757</v>
      </c>
      <c r="B125" s="29">
        <v>46202</v>
      </c>
      <c r="C125" s="21" t="s">
        <v>4354</v>
      </c>
      <c r="D125" s="21" t="s">
        <v>743</v>
      </c>
      <c r="E125" s="21" t="s">
        <v>3350</v>
      </c>
      <c r="F125" s="21" t="s">
        <v>3429</v>
      </c>
      <c r="G125" s="21" t="s">
        <v>4355</v>
      </c>
      <c r="H125" s="21" t="s">
        <v>3095</v>
      </c>
      <c r="I125" s="21" t="s">
        <v>3085</v>
      </c>
      <c r="J125" s="21" t="s">
        <v>4356</v>
      </c>
      <c r="K125" s="21" t="s">
        <v>4357</v>
      </c>
      <c r="L125" s="21" t="s">
        <v>3431</v>
      </c>
      <c r="M125" s="21" t="s">
        <v>1278</v>
      </c>
      <c r="N125" s="21" t="s">
        <v>1200</v>
      </c>
      <c r="O125" s="21" t="s">
        <v>746</v>
      </c>
      <c r="P125" s="21" t="s">
        <v>1014</v>
      </c>
      <c r="Q125" s="21" t="s">
        <v>1199</v>
      </c>
      <c r="R125" s="21" t="s">
        <v>1204</v>
      </c>
      <c r="S125" s="21" t="s">
        <v>4358</v>
      </c>
      <c r="T125" s="21" t="s">
        <v>3441</v>
      </c>
      <c r="U125" s="37" cm="1">
        <f t="array" ref="U125">SUMPRODUCT(('T08'!$U$3:$U$1500=M125)*('T08'!$AF$3:$AF$1500=1)*('T08'!$I$3:$I$1500&lt;=B125)*'T08'!$BK$3:$BK$1500)-SUMPRODUCT(($M$3:$M$1500=M125)*($B$3:$B$1500&lt;B125)*($AK$3:$AK$1500+$AI$3:$AI$1500+$AJ$3:$AJ$1500))</f>
        <v>-23739</v>
      </c>
      <c r="V125" s="21" t="s">
        <v>4205</v>
      </c>
      <c r="W125" s="21" t="str">
        <f>TEXT(_xlfn.XLOOKUP(V125,'T08'!$G$3:$G$1500,'T08'!$J$3:$J$1500),"dd-mmm-yyyy")&amp;" / due "&amp;TEXT(_xlfn.XLOOKUP(V125,'T08'!$G$3:$G$1500,'T08'!$BQ$3:$BQ$1500),"dd-mmm-yyyy")</f>
        <v>01-Jun-2026 / due 01-Jul-2026</v>
      </c>
      <c r="X125" s="21" t="s">
        <v>4359</v>
      </c>
      <c r="Y125" s="21" t="str">
        <f>_xlfn.XLOOKUP(V125,'T08'!$G$3:$G$1500,'T08'!$AC$3:$AC$1500)</f>
        <v>N/A</v>
      </c>
      <c r="Z125" s="21" t="s">
        <v>844</v>
      </c>
      <c r="AA125" s="37" t="s">
        <v>844</v>
      </c>
      <c r="AB125" s="21" t="str">
        <f>IF(C125="Against bill",IF(V125&lt;&gt;"N/A","OK - bill linked","Missing bill"),IF(Z125&lt;&gt;"N/A","OK - advance request linked","Missing request"))</f>
        <v>OK - bill linked</v>
      </c>
      <c r="AC125" s="21" t="s">
        <v>844</v>
      </c>
      <c r="AD125" s="21" t="s">
        <v>4360</v>
      </c>
      <c r="AE125" s="21">
        <v>1</v>
      </c>
      <c r="AF125" s="21" t="s">
        <v>4383</v>
      </c>
      <c r="AG125" s="37">
        <f>_xlfn.XLOOKUP(V125,'T08'!$G$3:$G$1500,'T08'!$BH$3:$BH$1500)</f>
        <v>96512</v>
      </c>
      <c r="AH125" s="37">
        <v>0</v>
      </c>
      <c r="AI125" s="37">
        <f>_xlfn.XLOOKUP(V125,'T08'!$G$3:$G$1500,'T08'!$BI$3:$BI$1500)</f>
        <v>3860</v>
      </c>
      <c r="AJ125" s="37">
        <f>_xlfn.XLOOKUP(V125,'T08'!$G$3:$G$1500,'T08'!$BJ$3:$BJ$1500)</f>
        <v>0</v>
      </c>
      <c r="AK125" s="37">
        <f>AG125-AH125-AI125-AJ125</f>
        <v>92652</v>
      </c>
      <c r="AL125" s="37">
        <f>AG125-AH125-AI125-AJ125-AK125</f>
        <v>0</v>
      </c>
      <c r="AM125" s="21" t="s">
        <v>4758</v>
      </c>
      <c r="AN125" s="37">
        <f>SUMIFS($AG$3:$AG$1500,$A$3:$A$1500,A125)</f>
        <v>96512</v>
      </c>
      <c r="AO125" s="37">
        <f>SUMIFS($AI$3:$AI$1500,$A$3:$A$1500,A125)</f>
        <v>3860</v>
      </c>
      <c r="AP125" s="37">
        <f>SUMIFS($AJ$3:$AJ$1500,$A$3:$A$1500,A125)</f>
        <v>0</v>
      </c>
      <c r="AQ125" s="37">
        <f>SUMIFS($AK$3:$AK$1500,$A$3:$A$1500,A125)</f>
        <v>92652</v>
      </c>
      <c r="AR125" s="21" t="str">
        <f>"PKR "&amp;TEXT(AQ125,"#,##0")&amp;" only"</f>
        <v>PKR 92,652 only</v>
      </c>
      <c r="AS125" s="21" t="str">
        <f>"Sec 153 - deposit by "&amp;TEXT(EOMONTH(B125,0)+15,"dd-mmm-yyyy")</f>
        <v>Sec 153 - deposit by 15-Jul-2026</v>
      </c>
      <c r="AT125" s="21" t="s">
        <v>844</v>
      </c>
      <c r="AU125" s="21" t="s">
        <v>4759</v>
      </c>
      <c r="AV125" s="21" t="s">
        <v>4364</v>
      </c>
      <c r="AW125" s="29">
        <v>46202</v>
      </c>
      <c r="AX125" s="37">
        <f>AQ125+AY125</f>
        <v>92802</v>
      </c>
      <c r="AY125" s="37">
        <v>150</v>
      </c>
      <c r="AZ125" s="21" t="s">
        <v>3090</v>
      </c>
      <c r="BA125" s="21" t="s">
        <v>4356</v>
      </c>
      <c r="BB125" s="21" t="s">
        <v>848</v>
      </c>
      <c r="BC125" s="21" t="s">
        <v>4365</v>
      </c>
      <c r="BD125" s="21" t="str">
        <f>IF(AL125&lt;1,"Bill fully settled","Bill partially settled")</f>
        <v>Bill fully settled</v>
      </c>
      <c r="BE125" s="21" t="str">
        <f>"Payable reduced by PKR "&amp;TEXT(AK125+AI125+AJ125,"#,##0")</f>
        <v>Payable reduced by PKR 96,512</v>
      </c>
      <c r="BF125" s="21" t="s">
        <v>4760</v>
      </c>
      <c r="BG125" s="21" t="s">
        <v>753</v>
      </c>
      <c r="BH125" s="21" t="s">
        <v>844</v>
      </c>
      <c r="BI125" s="21" t="s">
        <v>844</v>
      </c>
      <c r="BJ125" s="21" t="s">
        <v>4387</v>
      </c>
      <c r="BK125" s="21" t="s">
        <v>753</v>
      </c>
      <c r="BL125" s="21" t="s">
        <v>753</v>
      </c>
      <c r="BM125" s="21" t="s">
        <v>753</v>
      </c>
      <c r="BN125" s="21" t="s">
        <v>4368</v>
      </c>
      <c r="BO125" s="21" t="s">
        <v>848</v>
      </c>
      <c r="BP125" s="21" t="str">
        <f>K125</f>
        <v>Paid</v>
      </c>
    </row>
    <row r="126" spans="1:68" x14ac:dyDescent="0.3">
      <c r="A126" s="21" t="s">
        <v>4761</v>
      </c>
      <c r="B126" s="29">
        <v>46207</v>
      </c>
      <c r="C126" s="21" t="s">
        <v>4354</v>
      </c>
      <c r="D126" s="21" t="s">
        <v>743</v>
      </c>
      <c r="E126" s="21" t="s">
        <v>3350</v>
      </c>
      <c r="F126" s="21" t="s">
        <v>3429</v>
      </c>
      <c r="G126" s="21" t="s">
        <v>4355</v>
      </c>
      <c r="H126" s="21" t="s">
        <v>3095</v>
      </c>
      <c r="I126" s="21" t="s">
        <v>3085</v>
      </c>
      <c r="J126" s="21" t="s">
        <v>4356</v>
      </c>
      <c r="K126" s="21" t="s">
        <v>4357</v>
      </c>
      <c r="L126" s="21" t="s">
        <v>3431</v>
      </c>
      <c r="M126" s="21" t="s">
        <v>1213</v>
      </c>
      <c r="N126" s="21" t="s">
        <v>1194</v>
      </c>
      <c r="O126" s="21" t="s">
        <v>746</v>
      </c>
      <c r="P126" s="21" t="s">
        <v>983</v>
      </c>
      <c r="Q126" s="21" t="s">
        <v>1193</v>
      </c>
      <c r="R126" s="21" t="s">
        <v>1198</v>
      </c>
      <c r="S126" s="21" t="s">
        <v>4358</v>
      </c>
      <c r="T126" s="21" t="s">
        <v>3493</v>
      </c>
      <c r="U126" s="37" cm="1">
        <f t="array" ref="U126">SUMPRODUCT(('T08'!$U$3:$U$1500=M126)*('T08'!$AF$3:$AF$1500=1)*('T08'!$I$3:$I$1500&lt;=B126)*'T08'!$BK$3:$BK$1500)-SUMPRODUCT(($M$3:$M$1500=M126)*($B$3:$B$1500&lt;B126)*($AK$3:$AK$1500+$AI$3:$AI$1500+$AJ$3:$AJ$1500))</f>
        <v>51062</v>
      </c>
      <c r="V126" s="21" t="s">
        <v>4201</v>
      </c>
      <c r="W126" s="21" t="str">
        <f>TEXT(_xlfn.XLOOKUP(V126,'T08'!$G$3:$G$1500,'T08'!$J$3:$J$1500),"dd-mmm-yyyy")&amp;" / due "&amp;TEXT(_xlfn.XLOOKUP(V126,'T08'!$G$3:$G$1500,'T08'!$BQ$3:$BQ$1500),"dd-mmm-yyyy")</f>
        <v>01-Jun-2026 / due 01-Jul-2026</v>
      </c>
      <c r="X126" s="21" t="s">
        <v>4359</v>
      </c>
      <c r="Y126" s="21" t="str">
        <f>_xlfn.XLOOKUP(V126,'T08'!$G$3:$G$1500,'T08'!$AC$3:$AC$1500)</f>
        <v>N/A</v>
      </c>
      <c r="Z126" s="21" t="s">
        <v>844</v>
      </c>
      <c r="AA126" s="37" t="s">
        <v>844</v>
      </c>
      <c r="AB126" s="21" t="str">
        <f>IF(C126="Against bill",IF(V126&lt;&gt;"N/A","OK - bill linked","Missing bill"),IF(Z126&lt;&gt;"N/A","OK - advance request linked","Missing request"))</f>
        <v>OK - bill linked</v>
      </c>
      <c r="AC126" s="21" t="s">
        <v>844</v>
      </c>
      <c r="AD126" s="21" t="s">
        <v>4360</v>
      </c>
      <c r="AE126" s="21">
        <v>1</v>
      </c>
      <c r="AF126" s="21" t="s">
        <v>4404</v>
      </c>
      <c r="AG126" s="37">
        <f>_xlfn.XLOOKUP(V126,'T08'!$G$3:$G$1500,'T08'!$BH$3:$BH$1500)</f>
        <v>193024</v>
      </c>
      <c r="AH126" s="37">
        <v>0</v>
      </c>
      <c r="AI126" s="37">
        <f>_xlfn.XLOOKUP(V126,'T08'!$G$3:$G$1500,'T08'!$BI$3:$BI$1500)</f>
        <v>7721</v>
      </c>
      <c r="AJ126" s="37">
        <f>_xlfn.XLOOKUP(V126,'T08'!$G$3:$G$1500,'T08'!$BJ$3:$BJ$1500)</f>
        <v>0</v>
      </c>
      <c r="AK126" s="37">
        <f>AG126-AH126-AI126-AJ126</f>
        <v>185303</v>
      </c>
      <c r="AL126" s="37">
        <f>AG126-AH126-AI126-AJ126-AK126</f>
        <v>0</v>
      </c>
      <c r="AM126" s="21" t="s">
        <v>4762</v>
      </c>
      <c r="AN126" s="37">
        <f>SUMIFS($AG$3:$AG$1500,$A$3:$A$1500,A126)</f>
        <v>193024</v>
      </c>
      <c r="AO126" s="37">
        <f>SUMIFS($AI$3:$AI$1500,$A$3:$A$1500,A126)</f>
        <v>7721</v>
      </c>
      <c r="AP126" s="37">
        <f>SUMIFS($AJ$3:$AJ$1500,$A$3:$A$1500,A126)</f>
        <v>0</v>
      </c>
      <c r="AQ126" s="37">
        <f>SUMIFS($AK$3:$AK$1500,$A$3:$A$1500,A126)</f>
        <v>185303</v>
      </c>
      <c r="AR126" s="21" t="str">
        <f>"PKR "&amp;TEXT(AQ126,"#,##0")&amp;" only"</f>
        <v>PKR 185,303 only</v>
      </c>
      <c r="AS126" s="21" t="str">
        <f>"Sec 153 - deposit by "&amp;TEXT(EOMONTH(B126,0)+15,"dd-mmm-yyyy")</f>
        <v>Sec 153 - deposit by 15-Aug-2026</v>
      </c>
      <c r="AT126" s="21" t="s">
        <v>844</v>
      </c>
      <c r="AU126" s="21" t="s">
        <v>4763</v>
      </c>
      <c r="AV126" s="21" t="s">
        <v>4364</v>
      </c>
      <c r="AW126" s="29">
        <v>46207</v>
      </c>
      <c r="AX126" s="37">
        <f>AQ126+AY126</f>
        <v>185453</v>
      </c>
      <c r="AY126" s="37">
        <v>150</v>
      </c>
      <c r="AZ126" s="21" t="s">
        <v>3090</v>
      </c>
      <c r="BA126" s="21" t="s">
        <v>4356</v>
      </c>
      <c r="BB126" s="21" t="s">
        <v>848</v>
      </c>
      <c r="BC126" s="21" t="s">
        <v>4365</v>
      </c>
      <c r="BD126" s="21" t="str">
        <f>IF(AL126&lt;1,"Bill fully settled","Bill partially settled")</f>
        <v>Bill fully settled</v>
      </c>
      <c r="BE126" s="21" t="str">
        <f>"Payable reduced by PKR "&amp;TEXT(AK126+AI126+AJ126,"#,##0")</f>
        <v>Payable reduced by PKR 193,024</v>
      </c>
      <c r="BF126" s="21" t="s">
        <v>4764</v>
      </c>
      <c r="BG126" s="21" t="s">
        <v>753</v>
      </c>
      <c r="BH126" s="21" t="s">
        <v>844</v>
      </c>
      <c r="BI126" s="21" t="s">
        <v>844</v>
      </c>
      <c r="BJ126" s="21" t="s">
        <v>4387</v>
      </c>
      <c r="BK126" s="21" t="s">
        <v>753</v>
      </c>
      <c r="BL126" s="21" t="s">
        <v>753</v>
      </c>
      <c r="BM126" s="21" t="s">
        <v>753</v>
      </c>
      <c r="BN126" s="21" t="s">
        <v>4368</v>
      </c>
      <c r="BO126" s="21" t="s">
        <v>848</v>
      </c>
      <c r="BP126" s="21" t="str">
        <f>K126</f>
        <v>Paid</v>
      </c>
    </row>
    <row r="127" spans="1:68" x14ac:dyDescent="0.3">
      <c r="A127" s="21" t="s">
        <v>4765</v>
      </c>
      <c r="B127" s="29">
        <v>46208</v>
      </c>
      <c r="C127" s="21" t="s">
        <v>4354</v>
      </c>
      <c r="D127" s="21" t="s">
        <v>743</v>
      </c>
      <c r="E127" s="21" t="s">
        <v>3350</v>
      </c>
      <c r="F127" s="21" t="s">
        <v>3351</v>
      </c>
      <c r="G127" s="21" t="s">
        <v>4355</v>
      </c>
      <c r="H127" s="21" t="s">
        <v>3084</v>
      </c>
      <c r="I127" s="21" t="s">
        <v>3085</v>
      </c>
      <c r="J127" s="21" t="s">
        <v>4766</v>
      </c>
      <c r="K127" s="21" t="s">
        <v>4357</v>
      </c>
      <c r="L127" s="21" t="s">
        <v>3387</v>
      </c>
      <c r="M127" s="21" t="s">
        <v>3388</v>
      </c>
      <c r="N127" s="21" t="s">
        <v>3389</v>
      </c>
      <c r="O127" s="21" t="s">
        <v>746</v>
      </c>
      <c r="P127" s="21" t="s">
        <v>4429</v>
      </c>
      <c r="Q127" s="21" t="s">
        <v>4430</v>
      </c>
      <c r="R127" s="21" t="s">
        <v>4431</v>
      </c>
      <c r="S127" s="21" t="s">
        <v>4358</v>
      </c>
      <c r="T127" s="21" t="s">
        <v>3390</v>
      </c>
      <c r="U127" s="37" cm="1">
        <f t="array" ref="U127">SUMPRODUCT(('T08'!$U$3:$U$1500=M127)*('T08'!$AF$3:$AF$1500=1)*('T08'!$I$3:$I$1500&lt;=B127)*'T08'!$BK$3:$BK$1500)-SUMPRODUCT(($M$3:$M$1500=M127)*($B$3:$B$1500&lt;B127)*($AK$3:$AK$1500+$AI$3:$AI$1500+$AJ$3:$AJ$1500))</f>
        <v>10249</v>
      </c>
      <c r="V127" s="21" t="s">
        <v>4208</v>
      </c>
      <c r="W127" s="21" t="str">
        <f>TEXT(_xlfn.XLOOKUP(V127,'T08'!$G$3:$G$1500,'T08'!$J$3:$J$1500),"dd-mmm-yyyy")&amp;" / due "&amp;TEXT(_xlfn.XLOOKUP(V127,'T08'!$G$3:$G$1500,'T08'!$BQ$3:$BQ$1500),"dd-mmm-yyyy")</f>
        <v>02-Jun-2026 / due 02-Jul-2026</v>
      </c>
      <c r="X127" s="21" t="s">
        <v>4359</v>
      </c>
      <c r="Y127" s="21" t="str">
        <f>_xlfn.XLOOKUP(V127,'T08'!$G$3:$G$1500,'T08'!$AC$3:$AC$1500)</f>
        <v>N/A</v>
      </c>
      <c r="Z127" s="21" t="s">
        <v>844</v>
      </c>
      <c r="AA127" s="37" t="s">
        <v>844</v>
      </c>
      <c r="AB127" s="21" t="str">
        <f>IF(C127="Against bill",IF(V127&lt;&gt;"N/A","OK - bill linked","Missing bill"),IF(Z127&lt;&gt;"N/A","OK - advance request linked","Missing request"))</f>
        <v>OK - bill linked</v>
      </c>
      <c r="AC127" s="21" t="s">
        <v>844</v>
      </c>
      <c r="AD127" s="21" t="s">
        <v>4360</v>
      </c>
      <c r="AE127" s="21">
        <v>1</v>
      </c>
      <c r="AF127" s="21" t="s">
        <v>4432</v>
      </c>
      <c r="AG127" s="37">
        <f>_xlfn.XLOOKUP(V127,'T08'!$G$3:$G$1500,'T08'!$BH$3:$BH$1500)</f>
        <v>225504</v>
      </c>
      <c r="AH127" s="37">
        <v>0</v>
      </c>
      <c r="AI127" s="37">
        <f>_xlfn.XLOOKUP(V127,'T08'!$G$3:$G$1500,'T08'!$BI$3:$BI$1500)</f>
        <v>24805</v>
      </c>
      <c r="AJ127" s="37">
        <f>_xlfn.XLOOKUP(V127,'T08'!$G$3:$G$1500,'T08'!$BJ$3:$BJ$1500)</f>
        <v>0</v>
      </c>
      <c r="AK127" s="37">
        <f>AG127-AH127-AI127-AJ127</f>
        <v>200699</v>
      </c>
      <c r="AL127" s="37">
        <f>AG127-AH127-AI127-AJ127-AK127</f>
        <v>0</v>
      </c>
      <c r="AM127" s="21" t="s">
        <v>4767</v>
      </c>
      <c r="AN127" s="37">
        <f>SUMIFS($AG$3:$AG$1500,$A$3:$A$1500,A127)</f>
        <v>225504</v>
      </c>
      <c r="AO127" s="37">
        <f>SUMIFS($AI$3:$AI$1500,$A$3:$A$1500,A127)</f>
        <v>24805</v>
      </c>
      <c r="AP127" s="37">
        <f>SUMIFS($AJ$3:$AJ$1500,$A$3:$A$1500,A127)</f>
        <v>0</v>
      </c>
      <c r="AQ127" s="37">
        <f>SUMIFS($AK$3:$AK$1500,$A$3:$A$1500,A127)</f>
        <v>200699</v>
      </c>
      <c r="AR127" s="21" t="str">
        <f>"PKR "&amp;TEXT(AQ127,"#,##0")&amp;" only"</f>
        <v>PKR 200,699 only</v>
      </c>
      <c r="AS127" s="21" t="str">
        <f>"Sec 153 - deposit by "&amp;TEXT(EOMONTH(B127,0)+15,"dd-mmm-yyyy")</f>
        <v>Sec 153 - deposit by 15-Aug-2026</v>
      </c>
      <c r="AT127" s="21" t="s">
        <v>844</v>
      </c>
      <c r="AU127" s="21" t="s">
        <v>4768</v>
      </c>
      <c r="AV127" s="21" t="s">
        <v>4364</v>
      </c>
      <c r="AW127" s="29">
        <v>46210</v>
      </c>
      <c r="AX127" s="37">
        <f>AQ127+AY127</f>
        <v>200699</v>
      </c>
      <c r="AY127" s="37">
        <v>0</v>
      </c>
      <c r="AZ127" s="21" t="s">
        <v>3090</v>
      </c>
      <c r="BA127" s="21" t="s">
        <v>4435</v>
      </c>
      <c r="BB127" s="21" t="s">
        <v>848</v>
      </c>
      <c r="BC127" s="21" t="s">
        <v>4365</v>
      </c>
      <c r="BD127" s="21" t="str">
        <f>IF(AL127&lt;1,"Bill fully settled","Bill partially settled")</f>
        <v>Bill fully settled</v>
      </c>
      <c r="BE127" s="21" t="str">
        <f>"Payable reduced by PKR "&amp;TEXT(AK127+AI127+AJ127,"#,##0")</f>
        <v>Payable reduced by PKR 225,504</v>
      </c>
      <c r="BF127" s="21" t="s">
        <v>4769</v>
      </c>
      <c r="BG127" s="21" t="s">
        <v>753</v>
      </c>
      <c r="BH127" s="21" t="s">
        <v>844</v>
      </c>
      <c r="BI127" s="21" t="s">
        <v>844</v>
      </c>
      <c r="BJ127" s="21" t="s">
        <v>844</v>
      </c>
      <c r="BK127" s="21" t="s">
        <v>753</v>
      </c>
      <c r="BL127" s="21" t="s">
        <v>753</v>
      </c>
      <c r="BM127" s="21" t="s">
        <v>753</v>
      </c>
      <c r="BN127" s="21" t="s">
        <v>4368</v>
      </c>
      <c r="BO127" s="21" t="s">
        <v>848</v>
      </c>
      <c r="BP127" s="21" t="str">
        <f>K127</f>
        <v>Paid</v>
      </c>
    </row>
    <row r="128" spans="1:68" x14ac:dyDescent="0.3">
      <c r="A128" s="21" t="s">
        <v>4770</v>
      </c>
      <c r="B128" s="29">
        <v>46211</v>
      </c>
      <c r="C128" s="21" t="s">
        <v>4354</v>
      </c>
      <c r="D128" s="21" t="s">
        <v>743</v>
      </c>
      <c r="E128" s="21" t="s">
        <v>3368</v>
      </c>
      <c r="F128" s="21" t="s">
        <v>3429</v>
      </c>
      <c r="G128" s="21" t="s">
        <v>4355</v>
      </c>
      <c r="H128" s="21" t="s">
        <v>3095</v>
      </c>
      <c r="I128" s="21" t="s">
        <v>3085</v>
      </c>
      <c r="J128" s="21" t="s">
        <v>4356</v>
      </c>
      <c r="K128" s="21" t="s">
        <v>4357</v>
      </c>
      <c r="L128" s="21" t="s">
        <v>3462</v>
      </c>
      <c r="M128" s="21" t="s">
        <v>3463</v>
      </c>
      <c r="N128" s="21" t="s">
        <v>3464</v>
      </c>
      <c r="O128" s="21" t="s">
        <v>746</v>
      </c>
      <c r="P128" s="21" t="s">
        <v>4462</v>
      </c>
      <c r="Q128" s="21" t="s">
        <v>4606</v>
      </c>
      <c r="R128" s="21" t="s">
        <v>4607</v>
      </c>
      <c r="S128" s="21" t="s">
        <v>4358</v>
      </c>
      <c r="T128" s="21" t="s">
        <v>3465</v>
      </c>
      <c r="U128" s="37" cm="1">
        <f t="array" ref="U128">SUMPRODUCT(('T08'!$U$3:$U$1500=M128)*('T08'!$AF$3:$AF$1500=1)*('T08'!$I$3:$I$1500&lt;=B128)*'T08'!$BK$3:$BK$1500)-SUMPRODUCT(($M$3:$M$1500=M128)*($B$3:$B$1500&lt;B128)*($AK$3:$AK$1500+$AI$3:$AI$1500+$AJ$3:$AJ$1500))</f>
        <v>280261.80000000005</v>
      </c>
      <c r="V128" s="21" t="s">
        <v>4220</v>
      </c>
      <c r="W128" s="21" t="str">
        <f>TEXT(_xlfn.XLOOKUP(V128,'T08'!$G$3:$G$1500,'T08'!$J$3:$J$1500),"dd-mmm-yyyy")&amp;" / due "&amp;TEXT(_xlfn.XLOOKUP(V128,'T08'!$G$3:$G$1500,'T08'!$BQ$3:$BQ$1500),"dd-mmm-yyyy")</f>
        <v>17-Jun-2026 / due 02-Jul-2026</v>
      </c>
      <c r="X128" s="21" t="s">
        <v>4359</v>
      </c>
      <c r="Y128" s="21" t="str">
        <f>_xlfn.XLOOKUP(V128,'T08'!$G$3:$G$1500,'T08'!$AC$3:$AC$1500)</f>
        <v>N/A</v>
      </c>
      <c r="Z128" s="21" t="s">
        <v>844</v>
      </c>
      <c r="AA128" s="37" t="s">
        <v>844</v>
      </c>
      <c r="AB128" s="21" t="str">
        <f>IF(C128="Against bill",IF(V128&lt;&gt;"N/A","OK - bill linked","Missing bill"),IF(Z128&lt;&gt;"N/A","OK - advance request linked","Missing request"))</f>
        <v>OK - bill linked</v>
      </c>
      <c r="AC128" s="21" t="s">
        <v>844</v>
      </c>
      <c r="AD128" s="21" t="s">
        <v>4360</v>
      </c>
      <c r="AE128" s="21">
        <v>1</v>
      </c>
      <c r="AF128" s="21" t="s">
        <v>4608</v>
      </c>
      <c r="AG128" s="37">
        <f>_xlfn.XLOOKUP(V128,'T08'!$G$3:$G$1500,'T08'!$BH$3:$BH$1500)</f>
        <v>280261.8</v>
      </c>
      <c r="AH128" s="37">
        <v>0</v>
      </c>
      <c r="AI128" s="37">
        <f>_xlfn.XLOOKUP(V128,'T08'!$G$3:$G$1500,'T08'!$BI$3:$BI$1500)</f>
        <v>0</v>
      </c>
      <c r="AJ128" s="37">
        <f>_xlfn.XLOOKUP(V128,'T08'!$G$3:$G$1500,'T08'!$BJ$3:$BJ$1500)</f>
        <v>0</v>
      </c>
      <c r="AK128" s="37">
        <f>AG128-AH128-AI128-AJ128</f>
        <v>280261.8</v>
      </c>
      <c r="AL128" s="37">
        <f>AG128-AH128-AI128-AJ128-AK128</f>
        <v>0</v>
      </c>
      <c r="AM128" s="21" t="s">
        <v>4771</v>
      </c>
      <c r="AN128" s="37">
        <f>SUMIFS($AG$3:$AG$1500,$A$3:$A$1500,A128)</f>
        <v>280261.8</v>
      </c>
      <c r="AO128" s="37">
        <f>SUMIFS($AI$3:$AI$1500,$A$3:$A$1500,A128)</f>
        <v>0</v>
      </c>
      <c r="AP128" s="37">
        <f>SUMIFS($AJ$3:$AJ$1500,$A$3:$A$1500,A128)</f>
        <v>0</v>
      </c>
      <c r="AQ128" s="37">
        <f>SUMIFS($AK$3:$AK$1500,$A$3:$A$1500,A128)</f>
        <v>280261.8</v>
      </c>
      <c r="AR128" s="21" t="str">
        <f>"PKR "&amp;TEXT(AQ128,"#,##0")&amp;" only"</f>
        <v>PKR 280,262 only</v>
      </c>
      <c r="AS128" s="21" t="str">
        <f>"Sec 153 - deposit by "&amp;TEXT(EOMONTH(B128,0)+15,"dd-mmm-yyyy")</f>
        <v>Sec 153 - deposit by 15-Aug-2026</v>
      </c>
      <c r="AT128" s="21" t="s">
        <v>844</v>
      </c>
      <c r="AU128" s="21" t="s">
        <v>4772</v>
      </c>
      <c r="AV128" s="21" t="s">
        <v>4364</v>
      </c>
      <c r="AW128" s="29">
        <v>46211</v>
      </c>
      <c r="AX128" s="37">
        <f>AQ128+AY128</f>
        <v>280411.8</v>
      </c>
      <c r="AY128" s="37">
        <v>150</v>
      </c>
      <c r="AZ128" s="21" t="s">
        <v>3090</v>
      </c>
      <c r="BA128" s="21" t="s">
        <v>4356</v>
      </c>
      <c r="BB128" s="21" t="s">
        <v>848</v>
      </c>
      <c r="BC128" s="21" t="s">
        <v>4365</v>
      </c>
      <c r="BD128" s="21" t="str">
        <f>IF(AL128&lt;1,"Bill fully settled","Bill partially settled")</f>
        <v>Bill fully settled</v>
      </c>
      <c r="BE128" s="21" t="str">
        <f>"Payable reduced by PKR "&amp;TEXT(AK128+AI128+AJ128,"#,##0")</f>
        <v>Payable reduced by PKR 280,262</v>
      </c>
      <c r="BF128" s="21" t="s">
        <v>4773</v>
      </c>
      <c r="BG128" s="21" t="s">
        <v>753</v>
      </c>
      <c r="BH128" s="21" t="s">
        <v>4367</v>
      </c>
      <c r="BI128" s="21" t="s">
        <v>844</v>
      </c>
      <c r="BJ128" s="21" t="s">
        <v>844</v>
      </c>
      <c r="BK128" s="21" t="s">
        <v>753</v>
      </c>
      <c r="BL128" s="21" t="s">
        <v>753</v>
      </c>
      <c r="BM128" s="21" t="s">
        <v>753</v>
      </c>
      <c r="BN128" s="21" t="s">
        <v>4368</v>
      </c>
      <c r="BO128" s="21" t="s">
        <v>848</v>
      </c>
      <c r="BP128" s="21" t="str">
        <f>K128</f>
        <v>Paid</v>
      </c>
    </row>
    <row r="129" spans="1:68" x14ac:dyDescent="0.3">
      <c r="A129" s="21" t="s">
        <v>4774</v>
      </c>
      <c r="B129" s="29">
        <v>46217</v>
      </c>
      <c r="C129" s="21" t="s">
        <v>4354</v>
      </c>
      <c r="D129" s="21" t="s">
        <v>743</v>
      </c>
      <c r="E129" s="21" t="s">
        <v>3400</v>
      </c>
      <c r="F129" s="21" t="s">
        <v>3401</v>
      </c>
      <c r="G129" s="21" t="s">
        <v>4355</v>
      </c>
      <c r="H129" s="21" t="s">
        <v>3095</v>
      </c>
      <c r="I129" s="21" t="s">
        <v>3085</v>
      </c>
      <c r="J129" s="21" t="s">
        <v>4356</v>
      </c>
      <c r="K129" s="21" t="s">
        <v>4357</v>
      </c>
      <c r="L129" s="21" t="s">
        <v>3403</v>
      </c>
      <c r="M129" s="21" t="s">
        <v>3419</v>
      </c>
      <c r="N129" s="21" t="s">
        <v>999</v>
      </c>
      <c r="O129" s="21" t="s">
        <v>746</v>
      </c>
      <c r="P129" s="21" t="s">
        <v>1014</v>
      </c>
      <c r="Q129" s="21" t="s">
        <v>998</v>
      </c>
      <c r="R129" s="21" t="s">
        <v>1015</v>
      </c>
      <c r="S129" s="21" t="s">
        <v>4358</v>
      </c>
      <c r="T129" s="21" t="s">
        <v>3420</v>
      </c>
      <c r="U129" s="37" cm="1">
        <f t="array" ref="U129">SUMPRODUCT(('T08'!$U$3:$U$1500=M129)*('T08'!$AF$3:$AF$1500=1)*('T08'!$I$3:$I$1500&lt;=B129)*'T08'!$BK$3:$BK$1500)-SUMPRODUCT(($M$3:$M$1500=M129)*($B$3:$B$1500&lt;B129)*($AK$3:$AK$1500+$AI$3:$AI$1500+$AJ$3:$AJ$1500))</f>
        <v>398277</v>
      </c>
      <c r="V129" s="21" t="s">
        <v>4234</v>
      </c>
      <c r="W129" s="21" t="str">
        <f>TEXT(_xlfn.XLOOKUP(V129,'T08'!$G$3:$G$1500,'T08'!$J$3:$J$1500),"dd-mmm-yyyy")&amp;" / due "&amp;TEXT(_xlfn.XLOOKUP(V129,'T08'!$G$3:$G$1500,'T08'!$BQ$3:$BQ$1500),"dd-mmm-yyyy")</f>
        <v>30-Jun-2026 / due 15-Jul-2026</v>
      </c>
      <c r="X129" s="21" t="s">
        <v>4359</v>
      </c>
      <c r="Y129" s="21" t="str">
        <f>_xlfn.XLOOKUP(V129,'T08'!$G$3:$G$1500,'T08'!$AC$3:$AC$1500)</f>
        <v>PO-2606-2</v>
      </c>
      <c r="Z129" s="21" t="s">
        <v>844</v>
      </c>
      <c r="AA129" s="37" t="s">
        <v>844</v>
      </c>
      <c r="AB129" s="21" t="str">
        <f>IF(C129="Against bill",IF(V129&lt;&gt;"N/A","OK - bill linked","Missing bill"),IF(Z129&lt;&gt;"N/A","OK - advance request linked","Missing request"))</f>
        <v>OK - bill linked</v>
      </c>
      <c r="AC129" s="21" t="s">
        <v>844</v>
      </c>
      <c r="AD129" s="21" t="s">
        <v>4360</v>
      </c>
      <c r="AE129" s="21">
        <v>1</v>
      </c>
      <c r="AF129" s="21" t="s">
        <v>4394</v>
      </c>
      <c r="AG129" s="37">
        <f>_xlfn.XLOOKUP(V129,'T08'!$G$3:$G$1500,'T08'!$BH$3:$BH$1500)</f>
        <v>1739800</v>
      </c>
      <c r="AH129" s="37">
        <v>0</v>
      </c>
      <c r="AI129" s="37">
        <f>_xlfn.XLOOKUP(V129,'T08'!$G$3:$G$1500,'T08'!$BI$3:$BI$1500)</f>
        <v>17398</v>
      </c>
      <c r="AJ129" s="37">
        <f>_xlfn.XLOOKUP(V129,'T08'!$G$3:$G$1500,'T08'!$BJ$3:$BJ$1500)</f>
        <v>0</v>
      </c>
      <c r="AK129" s="37">
        <f>AG129-AH129-AI129-AJ129</f>
        <v>1722402</v>
      </c>
      <c r="AL129" s="37">
        <f>AG129-AH129-AI129-AJ129-AK129</f>
        <v>0</v>
      </c>
      <c r="AM129" s="21" t="s">
        <v>4775</v>
      </c>
      <c r="AN129" s="37">
        <f>SUMIFS($AG$3:$AG$1500,$A$3:$A$1500,A129)</f>
        <v>1739800</v>
      </c>
      <c r="AO129" s="37">
        <f>SUMIFS($AI$3:$AI$1500,$A$3:$A$1500,A129)</f>
        <v>17398</v>
      </c>
      <c r="AP129" s="37">
        <f>SUMIFS($AJ$3:$AJ$1500,$A$3:$A$1500,A129)</f>
        <v>0</v>
      </c>
      <c r="AQ129" s="37">
        <f>SUMIFS($AK$3:$AK$1500,$A$3:$A$1500,A129)</f>
        <v>1722402</v>
      </c>
      <c r="AR129" s="21" t="str">
        <f>"PKR "&amp;TEXT(AQ129,"#,##0")&amp;" only"</f>
        <v>PKR 1,722,402 only</v>
      </c>
      <c r="AS129" s="21" t="str">
        <f>"Sec 153 - deposit by "&amp;TEXT(EOMONTH(B129,0)+15,"dd-mmm-yyyy")</f>
        <v>Sec 153 - deposit by 15-Aug-2026</v>
      </c>
      <c r="AT129" s="21" t="s">
        <v>844</v>
      </c>
      <c r="AU129" s="21" t="s">
        <v>4776</v>
      </c>
      <c r="AV129" s="21" t="s">
        <v>4364</v>
      </c>
      <c r="AW129" s="29">
        <v>46217</v>
      </c>
      <c r="AX129" s="37">
        <f>AQ129+AY129</f>
        <v>1722552</v>
      </c>
      <c r="AY129" s="37">
        <v>150</v>
      </c>
      <c r="AZ129" s="21" t="s">
        <v>3090</v>
      </c>
      <c r="BA129" s="21" t="s">
        <v>4356</v>
      </c>
      <c r="BB129" s="21" t="s">
        <v>848</v>
      </c>
      <c r="BC129" s="21" t="s">
        <v>4365</v>
      </c>
      <c r="BD129" s="21" t="str">
        <f>IF(AL129&lt;1,"Bill fully settled","Bill partially settled")</f>
        <v>Bill fully settled</v>
      </c>
      <c r="BE129" s="21" t="str">
        <f>"Payable reduced by PKR "&amp;TEXT(AK129+AI129+AJ129,"#,##0")</f>
        <v>Payable reduced by PKR 1,739,800</v>
      </c>
      <c r="BF129" s="21" t="s">
        <v>4777</v>
      </c>
      <c r="BG129" s="21" t="s">
        <v>753</v>
      </c>
      <c r="BH129" s="21" t="s">
        <v>4367</v>
      </c>
      <c r="BI129" s="21" t="s">
        <v>844</v>
      </c>
      <c r="BJ129" s="21" t="s">
        <v>844</v>
      </c>
      <c r="BK129" s="21" t="s">
        <v>753</v>
      </c>
      <c r="BL129" s="21" t="s">
        <v>753</v>
      </c>
      <c r="BM129" s="21" t="s">
        <v>753</v>
      </c>
      <c r="BN129" s="21" t="s">
        <v>4368</v>
      </c>
      <c r="BO129" s="21" t="s">
        <v>848</v>
      </c>
      <c r="BP129" s="21" t="str">
        <f>K129</f>
        <v>Paid</v>
      </c>
    </row>
    <row r="130" spans="1:68" x14ac:dyDescent="0.3">
      <c r="A130" s="21" t="s">
        <v>4778</v>
      </c>
      <c r="B130" s="29">
        <v>46218</v>
      </c>
      <c r="C130" s="21" t="s">
        <v>4354</v>
      </c>
      <c r="D130" s="21" t="s">
        <v>743</v>
      </c>
      <c r="E130" s="21" t="s">
        <v>3400</v>
      </c>
      <c r="F130" s="21" t="s">
        <v>3401</v>
      </c>
      <c r="G130" s="21" t="s">
        <v>4355</v>
      </c>
      <c r="H130" s="21" t="s">
        <v>3095</v>
      </c>
      <c r="I130" s="21" t="s">
        <v>3085</v>
      </c>
      <c r="J130" s="21" t="s">
        <v>4356</v>
      </c>
      <c r="K130" s="21" t="s">
        <v>4357</v>
      </c>
      <c r="L130" s="21" t="s">
        <v>3403</v>
      </c>
      <c r="M130" s="21" t="s">
        <v>3404</v>
      </c>
      <c r="N130" s="21" t="s">
        <v>967</v>
      </c>
      <c r="O130" s="21" t="s">
        <v>746</v>
      </c>
      <c r="P130" s="21" t="s">
        <v>983</v>
      </c>
      <c r="Q130" s="21" t="s">
        <v>965</v>
      </c>
      <c r="R130" s="21" t="s">
        <v>985</v>
      </c>
      <c r="S130" s="21" t="s">
        <v>4358</v>
      </c>
      <c r="T130" s="21" t="s">
        <v>3405</v>
      </c>
      <c r="U130" s="37" cm="1">
        <f t="array" ref="U130">SUMPRODUCT(('T08'!$U$3:$U$1500=M130)*('T08'!$AF$3:$AF$1500=1)*('T08'!$I$3:$I$1500&lt;=B130)*'T08'!$BK$3:$BK$1500)-SUMPRODUCT(($M$3:$M$1500=M130)*($B$3:$B$1500&lt;B130)*($AK$3:$AK$1500+$AI$3:$AI$1500+$AJ$3:$AJ$1500))</f>
        <v>-8497960</v>
      </c>
      <c r="V130" s="21" t="s">
        <v>4226</v>
      </c>
      <c r="W130" s="21" t="str">
        <f>TEXT(_xlfn.XLOOKUP(V130,'T08'!$G$3:$G$1500,'T08'!$J$3:$J$1500),"dd-mmm-yyyy")&amp;" / due "&amp;TEXT(_xlfn.XLOOKUP(V130,'T08'!$G$3:$G$1500,'T08'!$BQ$3:$BQ$1500),"dd-mmm-yyyy")</f>
        <v>30-Jun-2026 / due 15-Jul-2026</v>
      </c>
      <c r="X130" s="21" t="s">
        <v>4359</v>
      </c>
      <c r="Y130" s="21" t="str">
        <f>_xlfn.XLOOKUP(V130,'T08'!$G$3:$G$1500,'T08'!$AC$3:$AC$1500)</f>
        <v>PO-2606-1</v>
      </c>
      <c r="Z130" s="21" t="s">
        <v>844</v>
      </c>
      <c r="AA130" s="37" t="s">
        <v>844</v>
      </c>
      <c r="AB130" s="21" t="str">
        <f>IF(C130="Against bill",IF(V130&lt;&gt;"N/A","OK - bill linked","Missing bill"),IF(Z130&lt;&gt;"N/A","OK - advance request linked","Missing request"))</f>
        <v>OK - bill linked</v>
      </c>
      <c r="AC130" s="21" t="s">
        <v>844</v>
      </c>
      <c r="AD130" s="21" t="s">
        <v>4360</v>
      </c>
      <c r="AE130" s="21">
        <v>1</v>
      </c>
      <c r="AF130" s="21" t="s">
        <v>4361</v>
      </c>
      <c r="AG130" s="37">
        <f>_xlfn.XLOOKUP(V130,'T08'!$G$3:$G$1500,'T08'!$BH$3:$BH$1500)</f>
        <v>3468640</v>
      </c>
      <c r="AH130" s="37">
        <v>0</v>
      </c>
      <c r="AI130" s="37">
        <f>_xlfn.XLOOKUP(V130,'T08'!$G$3:$G$1500,'T08'!$BI$3:$BI$1500)</f>
        <v>173432</v>
      </c>
      <c r="AJ130" s="37">
        <f>_xlfn.XLOOKUP(V130,'T08'!$G$3:$G$1500,'T08'!$BJ$3:$BJ$1500)</f>
        <v>0</v>
      </c>
      <c r="AK130" s="37">
        <f>AG130-AH130-AI130-AJ130</f>
        <v>3295208</v>
      </c>
      <c r="AL130" s="37">
        <f>AG130-AH130-AI130-AJ130-AK130</f>
        <v>0</v>
      </c>
      <c r="AM130" s="21" t="s">
        <v>4779</v>
      </c>
      <c r="AN130" s="37">
        <f>SUMIFS($AG$3:$AG$1500,$A$3:$A$1500,A130)</f>
        <v>3468640</v>
      </c>
      <c r="AO130" s="37">
        <f>SUMIFS($AI$3:$AI$1500,$A$3:$A$1500,A130)</f>
        <v>173432</v>
      </c>
      <c r="AP130" s="37">
        <f>SUMIFS($AJ$3:$AJ$1500,$A$3:$A$1500,A130)</f>
        <v>0</v>
      </c>
      <c r="AQ130" s="37">
        <f>SUMIFS($AK$3:$AK$1500,$A$3:$A$1500,A130)</f>
        <v>3295208</v>
      </c>
      <c r="AR130" s="21" t="str">
        <f>"PKR "&amp;TEXT(AQ130,"#,##0")&amp;" only"</f>
        <v>PKR 3,295,208 only</v>
      </c>
      <c r="AS130" s="21" t="str">
        <f>"Sec 153 - deposit by "&amp;TEXT(EOMONTH(B130,0)+15,"dd-mmm-yyyy")</f>
        <v>Sec 153 - deposit by 15-Aug-2026</v>
      </c>
      <c r="AT130" s="21" t="s">
        <v>844</v>
      </c>
      <c r="AU130" s="21" t="s">
        <v>4780</v>
      </c>
      <c r="AV130" s="21" t="s">
        <v>4364</v>
      </c>
      <c r="AW130" s="29">
        <v>46218</v>
      </c>
      <c r="AX130" s="37">
        <f>AQ130+AY130</f>
        <v>3295358</v>
      </c>
      <c r="AY130" s="37">
        <v>150</v>
      </c>
      <c r="AZ130" s="21" t="s">
        <v>3090</v>
      </c>
      <c r="BA130" s="21" t="s">
        <v>4356</v>
      </c>
      <c r="BB130" s="21" t="s">
        <v>848</v>
      </c>
      <c r="BC130" s="21" t="s">
        <v>4365</v>
      </c>
      <c r="BD130" s="21" t="str">
        <f>IF(AL130&lt;1,"Bill fully settled","Bill partially settled")</f>
        <v>Bill fully settled</v>
      </c>
      <c r="BE130" s="21" t="str">
        <f>"Payable reduced by PKR "&amp;TEXT(AK130+AI130+AJ130,"#,##0")</f>
        <v>Payable reduced by PKR 3,468,640</v>
      </c>
      <c r="BF130" s="21" t="s">
        <v>4781</v>
      </c>
      <c r="BG130" s="21" t="s">
        <v>753</v>
      </c>
      <c r="BH130" s="21" t="s">
        <v>4367</v>
      </c>
      <c r="BI130" s="21" t="s">
        <v>844</v>
      </c>
      <c r="BJ130" s="21" t="s">
        <v>844</v>
      </c>
      <c r="BK130" s="21" t="s">
        <v>753</v>
      </c>
      <c r="BL130" s="21" t="s">
        <v>753</v>
      </c>
      <c r="BM130" s="21" t="s">
        <v>753</v>
      </c>
      <c r="BN130" s="21" t="s">
        <v>4368</v>
      </c>
      <c r="BO130" s="21" t="s">
        <v>848</v>
      </c>
      <c r="BP130" s="21" t="str">
        <f>K130</f>
        <v>Paid</v>
      </c>
    </row>
    <row r="131" spans="1:68" x14ac:dyDescent="0.3">
      <c r="A131" s="21" t="s">
        <v>4782</v>
      </c>
      <c r="B131" s="29">
        <v>46238</v>
      </c>
      <c r="C131" s="21" t="s">
        <v>4354</v>
      </c>
      <c r="D131" s="21" t="s">
        <v>743</v>
      </c>
      <c r="E131" s="21" t="s">
        <v>3350</v>
      </c>
      <c r="F131" s="21" t="s">
        <v>3429</v>
      </c>
      <c r="G131" s="21" t="s">
        <v>4355</v>
      </c>
      <c r="H131" s="21" t="s">
        <v>3095</v>
      </c>
      <c r="I131" s="21" t="s">
        <v>3085</v>
      </c>
      <c r="J131" s="21" t="s">
        <v>4356</v>
      </c>
      <c r="K131" s="21" t="s">
        <v>4357</v>
      </c>
      <c r="L131" s="21" t="s">
        <v>3431</v>
      </c>
      <c r="M131" s="21" t="s">
        <v>1278</v>
      </c>
      <c r="N131" s="21" t="s">
        <v>1200</v>
      </c>
      <c r="O131" s="21" t="s">
        <v>746</v>
      </c>
      <c r="P131" s="21" t="s">
        <v>1014</v>
      </c>
      <c r="Q131" s="21" t="s">
        <v>1199</v>
      </c>
      <c r="R131" s="21" t="s">
        <v>1204</v>
      </c>
      <c r="S131" s="21" t="s">
        <v>4358</v>
      </c>
      <c r="T131" s="21" t="s">
        <v>3441</v>
      </c>
      <c r="U131" s="37" cm="1">
        <f t="array" ref="U131">SUMPRODUCT(('T08'!$U$3:$U$1500=M131)*('T08'!$AF$3:$AF$1500=1)*('T08'!$I$3:$I$1500&lt;=B131)*'T08'!$BK$3:$BK$1500)-SUMPRODUCT(($M$3:$M$1500=M131)*($B$3:$B$1500&lt;B131)*($AK$3:$AK$1500+$AI$3:$AI$1500+$AJ$3:$AJ$1500))</f>
        <v>363418</v>
      </c>
      <c r="V131" s="21" t="s">
        <v>4239</v>
      </c>
      <c r="W131" s="21" t="str">
        <f>TEXT(_xlfn.XLOOKUP(V131,'T08'!$G$3:$G$1500,'T08'!$J$3:$J$1500),"dd-mmm-yyyy")&amp;" / due "&amp;TEXT(_xlfn.XLOOKUP(V131,'T08'!$G$3:$G$1500,'T08'!$BQ$3:$BQ$1500),"dd-mmm-yyyy")</f>
        <v>01-Jul-2026 / due 31-Jul-2026</v>
      </c>
      <c r="X131" s="21" t="s">
        <v>4359</v>
      </c>
      <c r="Y131" s="21" t="str">
        <f>_xlfn.XLOOKUP(V131,'T08'!$G$3:$G$1500,'T08'!$AC$3:$AC$1500)</f>
        <v>N/A</v>
      </c>
      <c r="Z131" s="21" t="s">
        <v>844</v>
      </c>
      <c r="AA131" s="37" t="s">
        <v>844</v>
      </c>
      <c r="AB131" s="21" t="str">
        <f>IF(C131="Against bill",IF(V131&lt;&gt;"N/A","OK - bill linked","Missing bill"),IF(Z131&lt;&gt;"N/A","OK - advance request linked","Missing request"))</f>
        <v>OK - bill linked</v>
      </c>
      <c r="AC131" s="21" t="s">
        <v>844</v>
      </c>
      <c r="AD131" s="21" t="s">
        <v>4360</v>
      </c>
      <c r="AE131" s="21">
        <v>1</v>
      </c>
      <c r="AF131" s="21" t="s">
        <v>4383</v>
      </c>
      <c r="AG131" s="37">
        <f>_xlfn.XLOOKUP(V131,'T08'!$G$3:$G$1500,'T08'!$BH$3:$BH$1500)</f>
        <v>249940</v>
      </c>
      <c r="AH131" s="37">
        <v>0</v>
      </c>
      <c r="AI131" s="37">
        <f>_xlfn.XLOOKUP(V131,'T08'!$G$3:$G$1500,'T08'!$BI$3:$BI$1500)</f>
        <v>4999</v>
      </c>
      <c r="AJ131" s="37">
        <f>_xlfn.XLOOKUP(V131,'T08'!$G$3:$G$1500,'T08'!$BJ$3:$BJ$1500)</f>
        <v>0</v>
      </c>
      <c r="AK131" s="37">
        <f>AG131-AH131-AI131-AJ131</f>
        <v>244941</v>
      </c>
      <c r="AL131" s="37">
        <f>AG131-AH131-AI131-AJ131-AK131</f>
        <v>0</v>
      </c>
      <c r="AM131" s="21" t="s">
        <v>4783</v>
      </c>
      <c r="AN131" s="37">
        <f>SUMIFS($AG$3:$AG$1500,$A$3:$A$1500,A131)</f>
        <v>249940</v>
      </c>
      <c r="AO131" s="37">
        <f>SUMIFS($AI$3:$AI$1500,$A$3:$A$1500,A131)</f>
        <v>4999</v>
      </c>
      <c r="AP131" s="37">
        <f>SUMIFS($AJ$3:$AJ$1500,$A$3:$A$1500,A131)</f>
        <v>0</v>
      </c>
      <c r="AQ131" s="37">
        <f>SUMIFS($AK$3:$AK$1500,$A$3:$A$1500,A131)</f>
        <v>244941</v>
      </c>
      <c r="AR131" s="21" t="str">
        <f>"PKR "&amp;TEXT(AQ131,"#,##0")&amp;" only"</f>
        <v>PKR 244,941 only</v>
      </c>
      <c r="AS131" s="21" t="str">
        <f>"Sec 153 - deposit by "&amp;TEXT(EOMONTH(B131,0)+15,"dd-mmm-yyyy")</f>
        <v>Sec 153 - deposit by 15-Sep-2026</v>
      </c>
      <c r="AT131" s="21" t="s">
        <v>844</v>
      </c>
      <c r="AU131" s="21" t="s">
        <v>4784</v>
      </c>
      <c r="AV131" s="21" t="s">
        <v>4364</v>
      </c>
      <c r="AW131" s="29">
        <v>46238</v>
      </c>
      <c r="AX131" s="37">
        <f>AQ131+AY131</f>
        <v>245091</v>
      </c>
      <c r="AY131" s="37">
        <v>150</v>
      </c>
      <c r="AZ131" s="21" t="s">
        <v>3090</v>
      </c>
      <c r="BA131" s="21" t="s">
        <v>4356</v>
      </c>
      <c r="BB131" s="21" t="s">
        <v>848</v>
      </c>
      <c r="BC131" s="21" t="s">
        <v>4365</v>
      </c>
      <c r="BD131" s="21" t="str">
        <f>IF(AL131&lt;1,"Bill fully settled","Bill partially settled")</f>
        <v>Bill fully settled</v>
      </c>
      <c r="BE131" s="21" t="str">
        <f>"Payable reduced by PKR "&amp;TEXT(AK131+AI131+AJ131,"#,##0")</f>
        <v>Payable reduced by PKR 249,940</v>
      </c>
      <c r="BF131" s="21" t="s">
        <v>4785</v>
      </c>
      <c r="BG131" s="21" t="s">
        <v>753</v>
      </c>
      <c r="BH131" s="21" t="s">
        <v>844</v>
      </c>
      <c r="BI131" s="21" t="s">
        <v>844</v>
      </c>
      <c r="BJ131" s="21" t="s">
        <v>4387</v>
      </c>
      <c r="BK131" s="21" t="s">
        <v>753</v>
      </c>
      <c r="BL131" s="21" t="s">
        <v>753</v>
      </c>
      <c r="BM131" s="21" t="s">
        <v>753</v>
      </c>
      <c r="BN131" s="21" t="s">
        <v>4368</v>
      </c>
      <c r="BO131" s="21" t="s">
        <v>848</v>
      </c>
      <c r="BP131" s="21" t="str">
        <f>K131</f>
        <v>Paid</v>
      </c>
    </row>
    <row r="132" spans="1:68" x14ac:dyDescent="0.3">
      <c r="A132" s="21" t="s">
        <v>4786</v>
      </c>
      <c r="B132" s="29">
        <v>46244</v>
      </c>
      <c r="C132" s="21" t="s">
        <v>4354</v>
      </c>
      <c r="D132" s="21" t="s">
        <v>743</v>
      </c>
      <c r="E132" s="21" t="s">
        <v>3350</v>
      </c>
      <c r="F132" s="21" t="s">
        <v>3429</v>
      </c>
      <c r="G132" s="21" t="s">
        <v>4355</v>
      </c>
      <c r="H132" s="21" t="s">
        <v>3095</v>
      </c>
      <c r="I132" s="21" t="s">
        <v>3085</v>
      </c>
      <c r="J132" s="21" t="s">
        <v>4356</v>
      </c>
      <c r="K132" s="21" t="s">
        <v>4357</v>
      </c>
      <c r="L132" s="21" t="s">
        <v>3517</v>
      </c>
      <c r="M132" s="21" t="s">
        <v>3518</v>
      </c>
      <c r="N132" s="21" t="s">
        <v>3519</v>
      </c>
      <c r="O132" s="21" t="s">
        <v>746</v>
      </c>
      <c r="P132" s="21" t="s">
        <v>4442</v>
      </c>
      <c r="Q132" s="21" t="s">
        <v>4643</v>
      </c>
      <c r="R132" s="21" t="s">
        <v>4644</v>
      </c>
      <c r="S132" s="21" t="s">
        <v>4358</v>
      </c>
      <c r="T132" s="21" t="s">
        <v>3520</v>
      </c>
      <c r="U132" s="37" cm="1">
        <f t="array" ref="U132">SUMPRODUCT(('T08'!$U$3:$U$1500=M132)*('T08'!$AF$3:$AF$1500=1)*('T08'!$I$3:$I$1500&lt;=B132)*'T08'!$BK$3:$BK$1500)-SUMPRODUCT(($M$3:$M$1500=M132)*($B$3:$B$1500&lt;B132)*($AK$3:$AK$1500+$AI$3:$AI$1500+$AJ$3:$AJ$1500))</f>
        <v>166522.79999999981</v>
      </c>
      <c r="V132" s="21" t="s">
        <v>4247</v>
      </c>
      <c r="W132" s="21" t="str">
        <f>TEXT(_xlfn.XLOOKUP(V132,'T08'!$G$3:$G$1500,'T08'!$J$3:$J$1500),"dd-mmm-yyyy")&amp;" / due "&amp;TEXT(_xlfn.XLOOKUP(V132,'T08'!$G$3:$G$1500,'T08'!$BQ$3:$BQ$1500),"dd-mmm-yyyy")</f>
        <v>05-Jul-2026 / due 04-Aug-2026</v>
      </c>
      <c r="X132" s="21" t="s">
        <v>4359</v>
      </c>
      <c r="Y132" s="21" t="str">
        <f>_xlfn.XLOOKUP(V132,'T08'!$G$3:$G$1500,'T08'!$AC$3:$AC$1500)</f>
        <v>PO-2607-953</v>
      </c>
      <c r="Z132" s="21" t="s">
        <v>844</v>
      </c>
      <c r="AA132" s="37" t="s">
        <v>844</v>
      </c>
      <c r="AB132" s="21" t="str">
        <f>IF(C132="Against bill",IF(V132&lt;&gt;"N/A","OK - bill linked","Missing bill"),IF(Z132&lt;&gt;"N/A","OK - advance request linked","Missing request"))</f>
        <v>OK - bill linked</v>
      </c>
      <c r="AC132" s="21" t="s">
        <v>844</v>
      </c>
      <c r="AD132" s="21" t="s">
        <v>4360</v>
      </c>
      <c r="AE132" s="21">
        <v>1</v>
      </c>
      <c r="AF132" s="21" t="s">
        <v>4645</v>
      </c>
      <c r="AG132" s="37">
        <f>_xlfn.XLOOKUP(V132,'T08'!$G$3:$G$1500,'T08'!$BH$3:$BH$1500)</f>
        <v>300616.8</v>
      </c>
      <c r="AH132" s="37">
        <v>0</v>
      </c>
      <c r="AI132" s="37">
        <f>_xlfn.XLOOKUP(V132,'T08'!$G$3:$G$1500,'T08'!$BI$3:$BI$1500)</f>
        <v>15031</v>
      </c>
      <c r="AJ132" s="37">
        <f>_xlfn.XLOOKUP(V132,'T08'!$G$3:$G$1500,'T08'!$BJ$3:$BJ$1500)</f>
        <v>0</v>
      </c>
      <c r="AK132" s="37">
        <f>AG132-AH132-AI132-AJ132</f>
        <v>285585.8</v>
      </c>
      <c r="AL132" s="37">
        <f>AG132-AH132-AI132-AJ132-AK132</f>
        <v>0</v>
      </c>
      <c r="AM132" s="21" t="s">
        <v>4787</v>
      </c>
      <c r="AN132" s="37">
        <f>SUMIFS($AG$3:$AG$1500,$A$3:$A$1500,A132)</f>
        <v>300616.8</v>
      </c>
      <c r="AO132" s="37">
        <f>SUMIFS($AI$3:$AI$1500,$A$3:$A$1500,A132)</f>
        <v>15031</v>
      </c>
      <c r="AP132" s="37">
        <f>SUMIFS($AJ$3:$AJ$1500,$A$3:$A$1500,A132)</f>
        <v>0</v>
      </c>
      <c r="AQ132" s="37">
        <f>SUMIFS($AK$3:$AK$1500,$A$3:$A$1500,A132)</f>
        <v>285585.8</v>
      </c>
      <c r="AR132" s="21" t="str">
        <f>"PKR "&amp;TEXT(AQ132,"#,##0")&amp;" only"</f>
        <v>PKR 285,586 only</v>
      </c>
      <c r="AS132" s="21" t="str">
        <f>"Sec 153 - deposit by "&amp;TEXT(EOMONTH(B132,0)+15,"dd-mmm-yyyy")</f>
        <v>Sec 153 - deposit by 15-Sep-2026</v>
      </c>
      <c r="AT132" s="21" t="s">
        <v>844</v>
      </c>
      <c r="AU132" s="21" t="s">
        <v>4788</v>
      </c>
      <c r="AV132" s="21" t="s">
        <v>4364</v>
      </c>
      <c r="AW132" s="29">
        <v>46244</v>
      </c>
      <c r="AX132" s="37">
        <f>AQ132+AY132</f>
        <v>285735.8</v>
      </c>
      <c r="AY132" s="37">
        <v>150</v>
      </c>
      <c r="AZ132" s="21" t="s">
        <v>3090</v>
      </c>
      <c r="BA132" s="21" t="s">
        <v>4356</v>
      </c>
      <c r="BB132" s="21" t="s">
        <v>848</v>
      </c>
      <c r="BC132" s="21" t="s">
        <v>4365</v>
      </c>
      <c r="BD132" s="21" t="str">
        <f>IF(AL132&lt;1,"Bill fully settled","Bill partially settled")</f>
        <v>Bill fully settled</v>
      </c>
      <c r="BE132" s="21" t="str">
        <f>"Payable reduced by PKR "&amp;TEXT(AK132+AI132+AJ132,"#,##0")</f>
        <v>Payable reduced by PKR 300,617</v>
      </c>
      <c r="BF132" s="21" t="s">
        <v>4789</v>
      </c>
      <c r="BG132" s="21" t="s">
        <v>753</v>
      </c>
      <c r="BH132" s="21" t="s">
        <v>4367</v>
      </c>
      <c r="BI132" s="21" t="s">
        <v>844</v>
      </c>
      <c r="BJ132" s="21" t="s">
        <v>844</v>
      </c>
      <c r="BK132" s="21" t="s">
        <v>753</v>
      </c>
      <c r="BL132" s="21" t="s">
        <v>753</v>
      </c>
      <c r="BM132" s="21" t="s">
        <v>753</v>
      </c>
      <c r="BN132" s="21" t="s">
        <v>4368</v>
      </c>
      <c r="BO132" s="21" t="s">
        <v>848</v>
      </c>
      <c r="BP132" s="21" t="str">
        <f>K132</f>
        <v>Paid</v>
      </c>
    </row>
    <row r="133" spans="1:68" x14ac:dyDescent="0.3">
      <c r="A133" s="21" t="s">
        <v>4790</v>
      </c>
      <c r="B133" s="29">
        <v>46249</v>
      </c>
      <c r="C133" s="21" t="s">
        <v>4354</v>
      </c>
      <c r="D133" s="21" t="s">
        <v>743</v>
      </c>
      <c r="E133" s="21" t="s">
        <v>3400</v>
      </c>
      <c r="F133" s="21" t="s">
        <v>3401</v>
      </c>
      <c r="G133" s="21" t="s">
        <v>4355</v>
      </c>
      <c r="H133" s="21" t="s">
        <v>3095</v>
      </c>
      <c r="I133" s="21" t="s">
        <v>3085</v>
      </c>
      <c r="J133" s="21" t="s">
        <v>4356</v>
      </c>
      <c r="K133" s="21" t="s">
        <v>4357</v>
      </c>
      <c r="L133" s="21" t="s">
        <v>3403</v>
      </c>
      <c r="M133" s="21" t="s">
        <v>3404</v>
      </c>
      <c r="N133" s="21" t="s">
        <v>967</v>
      </c>
      <c r="O133" s="21" t="s">
        <v>746</v>
      </c>
      <c r="P133" s="21" t="s">
        <v>983</v>
      </c>
      <c r="Q133" s="21" t="s">
        <v>965</v>
      </c>
      <c r="R133" s="21" t="s">
        <v>985</v>
      </c>
      <c r="S133" s="21" t="s">
        <v>4358</v>
      </c>
      <c r="T133" s="21" t="s">
        <v>3405</v>
      </c>
      <c r="U133" s="37" cm="1">
        <f t="array" ref="U133">SUMPRODUCT(('T08'!$U$3:$U$1500=M133)*('T08'!$AF$3:$AF$1500=1)*('T08'!$I$3:$I$1500&lt;=B133)*'T08'!$BK$3:$BK$1500)-SUMPRODUCT(($M$3:$M$1500=M133)*($B$3:$B$1500&lt;B133)*($AK$3:$AK$1500+$AI$3:$AI$1500+$AJ$3:$AJ$1500))</f>
        <v>-9410641.700000003</v>
      </c>
      <c r="V133" s="21" t="s">
        <v>4272</v>
      </c>
      <c r="W133" s="21" t="str">
        <f>TEXT(_xlfn.XLOOKUP(V133,'T08'!$G$3:$G$1500,'T08'!$J$3:$J$1500),"dd-mmm-yyyy")&amp;" / due "&amp;TEXT(_xlfn.XLOOKUP(V133,'T08'!$G$3:$G$1500,'T08'!$BQ$3:$BQ$1500),"dd-mmm-yyyy")</f>
        <v>31-Jul-2026 / due 15-Aug-2026</v>
      </c>
      <c r="X133" s="21" t="s">
        <v>4359</v>
      </c>
      <c r="Y133" s="21" t="str">
        <f>_xlfn.XLOOKUP(V133,'T08'!$G$3:$G$1500,'T08'!$AC$3:$AC$1500)</f>
        <v>PO-2607-1</v>
      </c>
      <c r="Z133" s="21" t="s">
        <v>844</v>
      </c>
      <c r="AA133" s="37" t="s">
        <v>844</v>
      </c>
      <c r="AB133" s="21" t="str">
        <f>IF(C133="Against bill",IF(V133&lt;&gt;"N/A","OK - bill linked","Missing bill"),IF(Z133&lt;&gt;"N/A","OK - advance request linked","Missing request"))</f>
        <v>OK - bill linked</v>
      </c>
      <c r="AC133" s="21" t="s">
        <v>844</v>
      </c>
      <c r="AD133" s="21" t="s">
        <v>4360</v>
      </c>
      <c r="AE133" s="21">
        <v>1</v>
      </c>
      <c r="AF133" s="21" t="s">
        <v>4361</v>
      </c>
      <c r="AG133" s="37">
        <f>_xlfn.XLOOKUP(V133,'T08'!$G$3:$G$1500,'T08'!$BH$3:$BH$1500)</f>
        <v>2690482.3</v>
      </c>
      <c r="AH133" s="37">
        <v>0</v>
      </c>
      <c r="AI133" s="37">
        <f>_xlfn.XLOOKUP(V133,'T08'!$G$3:$G$1500,'T08'!$BI$3:$BI$1500)</f>
        <v>134524</v>
      </c>
      <c r="AJ133" s="37">
        <f>_xlfn.XLOOKUP(V133,'T08'!$G$3:$G$1500,'T08'!$BJ$3:$BJ$1500)</f>
        <v>0</v>
      </c>
      <c r="AK133" s="37">
        <f>AG133-AH133-AI133-AJ133</f>
        <v>2555958.2999999998</v>
      </c>
      <c r="AL133" s="37">
        <f>AG133-AH133-AI133-AJ133-AK133</f>
        <v>0</v>
      </c>
      <c r="AM133" s="21" t="s">
        <v>4791</v>
      </c>
      <c r="AN133" s="37">
        <f>SUMIFS($AG$3:$AG$1500,$A$3:$A$1500,A133)</f>
        <v>2690482.3</v>
      </c>
      <c r="AO133" s="37">
        <f>SUMIFS($AI$3:$AI$1500,$A$3:$A$1500,A133)</f>
        <v>134524</v>
      </c>
      <c r="AP133" s="37">
        <f>SUMIFS($AJ$3:$AJ$1500,$A$3:$A$1500,A133)</f>
        <v>0</v>
      </c>
      <c r="AQ133" s="37">
        <f>SUMIFS($AK$3:$AK$1500,$A$3:$A$1500,A133)</f>
        <v>2555958.2999999998</v>
      </c>
      <c r="AR133" s="21" t="str">
        <f>"PKR "&amp;TEXT(AQ133,"#,##0")&amp;" only"</f>
        <v>PKR 2,555,958 only</v>
      </c>
      <c r="AS133" s="21" t="str">
        <f>"Sec 153 - deposit by "&amp;TEXT(EOMONTH(B133,0)+15,"dd-mmm-yyyy")</f>
        <v>Sec 153 - deposit by 15-Sep-2026</v>
      </c>
      <c r="AT133" s="21" t="s">
        <v>844</v>
      </c>
      <c r="AU133" s="21" t="s">
        <v>4792</v>
      </c>
      <c r="AV133" s="21" t="s">
        <v>4364</v>
      </c>
      <c r="AW133" s="29">
        <v>46249</v>
      </c>
      <c r="AX133" s="37">
        <f>AQ133+AY133</f>
        <v>2556108.2999999998</v>
      </c>
      <c r="AY133" s="37">
        <v>150</v>
      </c>
      <c r="AZ133" s="21" t="s">
        <v>3090</v>
      </c>
      <c r="BA133" s="21" t="s">
        <v>4356</v>
      </c>
      <c r="BB133" s="21" t="s">
        <v>848</v>
      </c>
      <c r="BC133" s="21" t="s">
        <v>4365</v>
      </c>
      <c r="BD133" s="21" t="str">
        <f>IF(AL133&lt;1,"Bill fully settled","Bill partially settled")</f>
        <v>Bill fully settled</v>
      </c>
      <c r="BE133" s="21" t="str">
        <f>"Payable reduced by PKR "&amp;TEXT(AK133+AI133+AJ133,"#,##0")</f>
        <v>Payable reduced by PKR 2,690,482</v>
      </c>
      <c r="BF133" s="21" t="s">
        <v>4793</v>
      </c>
      <c r="BG133" s="21" t="s">
        <v>753</v>
      </c>
      <c r="BH133" s="21" t="s">
        <v>4367</v>
      </c>
      <c r="BI133" s="21" t="s">
        <v>844</v>
      </c>
      <c r="BJ133" s="21" t="s">
        <v>844</v>
      </c>
      <c r="BK133" s="21" t="s">
        <v>753</v>
      </c>
      <c r="BL133" s="21" t="s">
        <v>753</v>
      </c>
      <c r="BM133" s="21" t="s">
        <v>753</v>
      </c>
      <c r="BN133" s="21" t="s">
        <v>4368</v>
      </c>
      <c r="BO133" s="21" t="s">
        <v>848</v>
      </c>
      <c r="BP133" s="21" t="str">
        <f>K133</f>
        <v>Paid</v>
      </c>
    </row>
    <row r="134" spans="1:68" x14ac:dyDescent="0.3">
      <c r="A134" s="21" t="s">
        <v>4794</v>
      </c>
      <c r="B134" s="29">
        <v>46250</v>
      </c>
      <c r="C134" s="21" t="s">
        <v>4354</v>
      </c>
      <c r="D134" s="21" t="s">
        <v>743</v>
      </c>
      <c r="E134" s="21" t="s">
        <v>3350</v>
      </c>
      <c r="F134" s="21" t="s">
        <v>3351</v>
      </c>
      <c r="G134" s="21" t="s">
        <v>4355</v>
      </c>
      <c r="H134" s="21" t="s">
        <v>3095</v>
      </c>
      <c r="I134" s="21" t="s">
        <v>3085</v>
      </c>
      <c r="J134" s="21" t="s">
        <v>4356</v>
      </c>
      <c r="K134" s="21" t="s">
        <v>4357</v>
      </c>
      <c r="L134" s="21" t="s">
        <v>3353</v>
      </c>
      <c r="M134" s="21" t="s">
        <v>3354</v>
      </c>
      <c r="N134" s="21" t="s">
        <v>3355</v>
      </c>
      <c r="O134" s="21" t="s">
        <v>746</v>
      </c>
      <c r="P134" s="21" t="s">
        <v>4415</v>
      </c>
      <c r="Q134" s="21" t="s">
        <v>4416</v>
      </c>
      <c r="R134" s="21" t="s">
        <v>4417</v>
      </c>
      <c r="S134" s="21" t="s">
        <v>4358</v>
      </c>
      <c r="T134" s="21" t="s">
        <v>3356</v>
      </c>
      <c r="U134" s="37" cm="1">
        <f t="array" ref="U134">SUMPRODUCT(('T08'!$U$3:$U$1500=M134)*('T08'!$AF$3:$AF$1500=1)*('T08'!$I$3:$I$1500&lt;=B134)*'T08'!$BK$3:$BK$1500)-SUMPRODUCT(($M$3:$M$1500=M134)*($B$3:$B$1500&lt;B134)*($AK$3:$AK$1500+$AI$3:$AI$1500+$AJ$3:$AJ$1500))</f>
        <v>424870.80000000005</v>
      </c>
      <c r="V134" s="21" t="s">
        <v>3835</v>
      </c>
      <c r="W134" s="21" t="str">
        <f>TEXT(_xlfn.XLOOKUP(V134,'T08'!$G$3:$G$1500,'T08'!$J$3:$J$1500),"dd-mmm-yyyy")&amp;" / due "&amp;TEXT(_xlfn.XLOOKUP(V134,'T08'!$G$3:$G$1500,'T08'!$BQ$3:$BQ$1500),"dd-mmm-yyyy")</f>
        <v>05-Aug-2025 / due 15-Aug-2025</v>
      </c>
      <c r="X134" s="21" t="s">
        <v>4359</v>
      </c>
      <c r="Y134" s="21" t="str">
        <f>_xlfn.XLOOKUP(V134,'T08'!$G$3:$G$1500,'T08'!$AC$3:$AC$1500)</f>
        <v>N/A</v>
      </c>
      <c r="Z134" s="21" t="s">
        <v>844</v>
      </c>
      <c r="AA134" s="37" t="s">
        <v>844</v>
      </c>
      <c r="AB134" s="21" t="str">
        <f>IF(C134="Against bill",IF(V134&lt;&gt;"N/A","OK - bill linked","Missing bill"),IF(Z134&lt;&gt;"N/A","OK - advance request linked","Missing request"))</f>
        <v>OK - bill linked</v>
      </c>
      <c r="AC134" s="21" t="s">
        <v>844</v>
      </c>
      <c r="AD134" s="21" t="s">
        <v>4360</v>
      </c>
      <c r="AE134" s="21">
        <v>1</v>
      </c>
      <c r="AF134" s="21" t="s">
        <v>4418</v>
      </c>
      <c r="AG134" s="37">
        <f>_xlfn.XLOOKUP(V134,'T08'!$G$3:$G$1500,'T08'!$BH$3:$BH$1500)</f>
        <v>104312</v>
      </c>
      <c r="AH134" s="37">
        <v>0</v>
      </c>
      <c r="AI134" s="37">
        <f>_xlfn.XLOOKUP(V134,'T08'!$G$3:$G$1500,'T08'!$BI$3:$BI$1500)</f>
        <v>0</v>
      </c>
      <c r="AJ134" s="37">
        <f>_xlfn.XLOOKUP(V134,'T08'!$G$3:$G$1500,'T08'!$BJ$3:$BJ$1500)</f>
        <v>0</v>
      </c>
      <c r="AK134" s="37">
        <f>AG134-AH134-AI134-AJ134</f>
        <v>104312</v>
      </c>
      <c r="AL134" s="37">
        <f>AG134-AH134-AI134-AJ134-AK134</f>
        <v>0</v>
      </c>
      <c r="AM134" s="21" t="s">
        <v>4795</v>
      </c>
      <c r="AN134" s="37">
        <f>SUMIFS($AG$3:$AG$1500,$A$3:$A$1500,A134)</f>
        <v>424870.80000000005</v>
      </c>
      <c r="AO134" s="37">
        <f>SUMIFS($AI$3:$AI$1500,$A$3:$A$1500,A134)</f>
        <v>0</v>
      </c>
      <c r="AP134" s="37">
        <f>SUMIFS($AJ$3:$AJ$1500,$A$3:$A$1500,A134)</f>
        <v>0</v>
      </c>
      <c r="AQ134" s="37">
        <f>SUMIFS($AK$3:$AK$1500,$A$3:$A$1500,A134)</f>
        <v>424870.80000000005</v>
      </c>
      <c r="AR134" s="21" t="str">
        <f>"PKR "&amp;TEXT(AQ134,"#,##0")&amp;" only"</f>
        <v>PKR 424,871 only</v>
      </c>
      <c r="AS134" s="21" t="str">
        <f>"Sec 153 - deposit by "&amp;TEXT(EOMONTH(B134,0)+15,"dd-mmm-yyyy")</f>
        <v>Sec 153 - deposit by 15-Sep-2026</v>
      </c>
      <c r="AT134" s="21" t="s">
        <v>844</v>
      </c>
      <c r="AU134" s="21" t="s">
        <v>4796</v>
      </c>
      <c r="AV134" s="21" t="s">
        <v>4364</v>
      </c>
      <c r="AW134" s="29">
        <v>46250</v>
      </c>
      <c r="AX134" s="37">
        <f>AQ134+AY134</f>
        <v>425020.80000000005</v>
      </c>
      <c r="AY134" s="37">
        <v>150</v>
      </c>
      <c r="AZ134" s="21" t="s">
        <v>3090</v>
      </c>
      <c r="BA134" s="21" t="s">
        <v>4356</v>
      </c>
      <c r="BB134" s="21" t="s">
        <v>848</v>
      </c>
      <c r="BC134" s="21" t="s">
        <v>4365</v>
      </c>
      <c r="BD134" s="21" t="str">
        <f>IF(AL134&lt;1,"Bill fully settled","Bill partially settled")</f>
        <v>Bill fully settled</v>
      </c>
      <c r="BE134" s="21" t="str">
        <f>"Payable reduced by PKR "&amp;TEXT(AK134+AI134+AJ134,"#,##0")</f>
        <v>Payable reduced by PKR 104,312</v>
      </c>
      <c r="BF134" s="21" t="s">
        <v>4797</v>
      </c>
      <c r="BG134" s="21" t="s">
        <v>753</v>
      </c>
      <c r="BH134" s="21" t="s">
        <v>844</v>
      </c>
      <c r="BI134" s="21" t="s">
        <v>844</v>
      </c>
      <c r="BJ134" s="21" t="s">
        <v>844</v>
      </c>
      <c r="BK134" s="21" t="s">
        <v>753</v>
      </c>
      <c r="BL134" s="21" t="s">
        <v>753</v>
      </c>
      <c r="BM134" s="21" t="s">
        <v>753</v>
      </c>
      <c r="BN134" s="21" t="s">
        <v>4368</v>
      </c>
      <c r="BO134" s="21" t="s">
        <v>848</v>
      </c>
      <c r="BP134" s="21" t="str">
        <f>K134</f>
        <v>Paid</v>
      </c>
    </row>
    <row r="135" spans="1:68" x14ac:dyDescent="0.3">
      <c r="A135" s="21" t="s">
        <v>4794</v>
      </c>
      <c r="B135" s="29">
        <v>46250</v>
      </c>
      <c r="C135" s="21" t="s">
        <v>4354</v>
      </c>
      <c r="D135" s="21" t="s">
        <v>743</v>
      </c>
      <c r="E135" s="21" t="s">
        <v>3350</v>
      </c>
      <c r="F135" s="21" t="s">
        <v>3351</v>
      </c>
      <c r="G135" s="21" t="s">
        <v>4355</v>
      </c>
      <c r="H135" s="21" t="s">
        <v>3095</v>
      </c>
      <c r="I135" s="21" t="s">
        <v>3085</v>
      </c>
      <c r="J135" s="21" t="s">
        <v>4356</v>
      </c>
      <c r="K135" s="21" t="s">
        <v>4357</v>
      </c>
      <c r="L135" s="21" t="s">
        <v>3353</v>
      </c>
      <c r="M135" s="21" t="s">
        <v>3354</v>
      </c>
      <c r="N135" s="21" t="s">
        <v>3355</v>
      </c>
      <c r="O135" s="21" t="s">
        <v>746</v>
      </c>
      <c r="P135" s="21" t="s">
        <v>4415</v>
      </c>
      <c r="Q135" s="21" t="s">
        <v>4416</v>
      </c>
      <c r="R135" s="21" t="s">
        <v>4417</v>
      </c>
      <c r="S135" s="21" t="s">
        <v>4358</v>
      </c>
      <c r="T135" s="21" t="s">
        <v>3356</v>
      </c>
      <c r="U135" s="37" cm="1">
        <f t="array" ref="U135">SUMPRODUCT(('T08'!$U$3:$U$1500=M135)*('T08'!$AF$3:$AF$1500=1)*('T08'!$I$3:$I$1500&lt;=B135)*'T08'!$BK$3:$BK$1500)-SUMPRODUCT(($M$3:$M$1500=M135)*($B$3:$B$1500&lt;B135)*($AK$3:$AK$1500+$AI$3:$AI$1500+$AJ$3:$AJ$1500))</f>
        <v>424870.80000000005</v>
      </c>
      <c r="V135" s="21" t="s">
        <v>3949</v>
      </c>
      <c r="W135" s="21" t="str">
        <f>TEXT(_xlfn.XLOOKUP(V135,'T08'!$G$3:$G$1500,'T08'!$J$3:$J$1500),"dd-mmm-yyyy")&amp;" / due "&amp;TEXT(_xlfn.XLOOKUP(V135,'T08'!$G$3:$G$1500,'T08'!$BQ$3:$BQ$1500),"dd-mmm-yyyy")</f>
        <v>03-Nov-2025 / due 13-Nov-2025</v>
      </c>
      <c r="X135" s="21" t="s">
        <v>4359</v>
      </c>
      <c r="Y135" s="21" t="str">
        <f>_xlfn.XLOOKUP(V135,'T08'!$G$3:$G$1500,'T08'!$AC$3:$AC$1500)</f>
        <v>N/A</v>
      </c>
      <c r="Z135" s="21" t="s">
        <v>844</v>
      </c>
      <c r="AA135" s="37" t="s">
        <v>844</v>
      </c>
      <c r="AB135" s="21" t="str">
        <f>IF(C135="Against bill",IF(V135&lt;&gt;"N/A","OK - bill linked","Missing bill"),IF(Z135&lt;&gt;"N/A","OK - advance request linked","Missing request"))</f>
        <v>OK - bill linked</v>
      </c>
      <c r="AC135" s="21" t="s">
        <v>844</v>
      </c>
      <c r="AD135" s="21" t="s">
        <v>4360</v>
      </c>
      <c r="AE135" s="21">
        <v>2</v>
      </c>
      <c r="AF135" s="21" t="s">
        <v>4418</v>
      </c>
      <c r="AG135" s="37">
        <f>_xlfn.XLOOKUP(V135,'T08'!$G$3:$G$1500,'T08'!$BH$3:$BH$1500)</f>
        <v>105515.6</v>
      </c>
      <c r="AH135" s="37">
        <v>0</v>
      </c>
      <c r="AI135" s="37">
        <f>_xlfn.XLOOKUP(V135,'T08'!$G$3:$G$1500,'T08'!$BI$3:$BI$1500)</f>
        <v>0</v>
      </c>
      <c r="AJ135" s="37">
        <f>_xlfn.XLOOKUP(V135,'T08'!$G$3:$G$1500,'T08'!$BJ$3:$BJ$1500)</f>
        <v>0</v>
      </c>
      <c r="AK135" s="37">
        <f>AG135-AH135-AI135-AJ135</f>
        <v>105515.6</v>
      </c>
      <c r="AL135" s="37">
        <f>AG135-AH135-AI135-AJ135-AK135</f>
        <v>0</v>
      </c>
      <c r="AM135" s="21" t="s">
        <v>4798</v>
      </c>
      <c r="AN135" s="37">
        <f>SUMIFS($AG$3:$AG$1500,$A$3:$A$1500,A135)</f>
        <v>424870.80000000005</v>
      </c>
      <c r="AO135" s="37">
        <f>SUMIFS($AI$3:$AI$1500,$A$3:$A$1500,A135)</f>
        <v>0</v>
      </c>
      <c r="AP135" s="37">
        <f>SUMIFS($AJ$3:$AJ$1500,$A$3:$A$1500,A135)</f>
        <v>0</v>
      </c>
      <c r="AQ135" s="37">
        <f>SUMIFS($AK$3:$AK$1500,$A$3:$A$1500,A135)</f>
        <v>424870.80000000005</v>
      </c>
      <c r="AR135" s="21" t="str">
        <f>"PKR "&amp;TEXT(AQ135,"#,##0")&amp;" only"</f>
        <v>PKR 424,871 only</v>
      </c>
      <c r="AS135" s="21" t="str">
        <f>"Sec 153 - deposit by "&amp;TEXT(EOMONTH(B135,0)+15,"dd-mmm-yyyy")</f>
        <v>Sec 153 - deposit by 15-Sep-2026</v>
      </c>
      <c r="AT135" s="21" t="s">
        <v>844</v>
      </c>
      <c r="AU135" s="21" t="s">
        <v>4799</v>
      </c>
      <c r="AV135" s="21" t="s">
        <v>4364</v>
      </c>
      <c r="AW135" s="29">
        <v>46250</v>
      </c>
      <c r="AX135" s="37">
        <f>AQ135+AY135</f>
        <v>424870.80000000005</v>
      </c>
      <c r="AY135" s="37">
        <v>0</v>
      </c>
      <c r="AZ135" s="21" t="s">
        <v>3090</v>
      </c>
      <c r="BA135" s="21" t="s">
        <v>4356</v>
      </c>
      <c r="BB135" s="21" t="s">
        <v>848</v>
      </c>
      <c r="BC135" s="21" t="s">
        <v>4365</v>
      </c>
      <c r="BD135" s="21" t="str">
        <f>IF(AL135&lt;1,"Bill fully settled","Bill partially settled")</f>
        <v>Bill fully settled</v>
      </c>
      <c r="BE135" s="21" t="str">
        <f>"Payable reduced by PKR "&amp;TEXT(AK135+AI135+AJ135,"#,##0")</f>
        <v>Payable reduced by PKR 105,516</v>
      </c>
      <c r="BF135" s="21" t="s">
        <v>4797</v>
      </c>
      <c r="BG135" s="21" t="s">
        <v>753</v>
      </c>
      <c r="BH135" s="21" t="s">
        <v>844</v>
      </c>
      <c r="BI135" s="21" t="s">
        <v>844</v>
      </c>
      <c r="BJ135" s="21" t="s">
        <v>844</v>
      </c>
      <c r="BK135" s="21" t="s">
        <v>753</v>
      </c>
      <c r="BL135" s="21" t="s">
        <v>753</v>
      </c>
      <c r="BM135" s="21" t="s">
        <v>753</v>
      </c>
      <c r="BN135" s="21" t="s">
        <v>4368</v>
      </c>
      <c r="BO135" s="21" t="s">
        <v>848</v>
      </c>
      <c r="BP135" s="21" t="str">
        <f>K135</f>
        <v>Paid</v>
      </c>
    </row>
    <row r="136" spans="1:68" x14ac:dyDescent="0.3">
      <c r="A136" s="21" t="s">
        <v>4794</v>
      </c>
      <c r="B136" s="29">
        <v>46250</v>
      </c>
      <c r="C136" s="21" t="s">
        <v>4354</v>
      </c>
      <c r="D136" s="21" t="s">
        <v>743</v>
      </c>
      <c r="E136" s="21" t="s">
        <v>3350</v>
      </c>
      <c r="F136" s="21" t="s">
        <v>3351</v>
      </c>
      <c r="G136" s="21" t="s">
        <v>4355</v>
      </c>
      <c r="H136" s="21" t="s">
        <v>3095</v>
      </c>
      <c r="I136" s="21" t="s">
        <v>3085</v>
      </c>
      <c r="J136" s="21" t="s">
        <v>4356</v>
      </c>
      <c r="K136" s="21" t="s">
        <v>4357</v>
      </c>
      <c r="L136" s="21" t="s">
        <v>3353</v>
      </c>
      <c r="M136" s="21" t="s">
        <v>3354</v>
      </c>
      <c r="N136" s="21" t="s">
        <v>3355</v>
      </c>
      <c r="O136" s="21" t="s">
        <v>746</v>
      </c>
      <c r="P136" s="21" t="s">
        <v>4415</v>
      </c>
      <c r="Q136" s="21" t="s">
        <v>4416</v>
      </c>
      <c r="R136" s="21" t="s">
        <v>4417</v>
      </c>
      <c r="S136" s="21" t="s">
        <v>4358</v>
      </c>
      <c r="T136" s="21" t="s">
        <v>3356</v>
      </c>
      <c r="U136" s="37" cm="1">
        <f t="array" ref="U136">SUMPRODUCT(('T08'!$U$3:$U$1500=M136)*('T08'!$AF$3:$AF$1500=1)*('T08'!$I$3:$I$1500&lt;=B136)*'T08'!$BK$3:$BK$1500)-SUMPRODUCT(($M$3:$M$1500=M136)*($B$3:$B$1500&lt;B136)*($AK$3:$AK$1500+$AI$3:$AI$1500+$AJ$3:$AJ$1500))</f>
        <v>424870.80000000005</v>
      </c>
      <c r="V136" s="21" t="s">
        <v>3987</v>
      </c>
      <c r="W136" s="21" t="str">
        <f>TEXT(_xlfn.XLOOKUP(V136,'T08'!$G$3:$G$1500,'T08'!$J$3:$J$1500),"dd-mmm-yyyy")&amp;" / due "&amp;TEXT(_xlfn.XLOOKUP(V136,'T08'!$G$3:$G$1500,'T08'!$BQ$3:$BQ$1500),"dd-mmm-yyyy")</f>
        <v>14-Dec-2025 / due 24-Dec-2025</v>
      </c>
      <c r="X136" s="21" t="s">
        <v>4359</v>
      </c>
      <c r="Y136" s="21" t="str">
        <f>_xlfn.XLOOKUP(V136,'T08'!$G$3:$G$1500,'T08'!$AC$3:$AC$1500)</f>
        <v>N/A</v>
      </c>
      <c r="Z136" s="21" t="s">
        <v>844</v>
      </c>
      <c r="AA136" s="37" t="s">
        <v>844</v>
      </c>
      <c r="AB136" s="21" t="str">
        <f>IF(C136="Against bill",IF(V136&lt;&gt;"N/A","OK - bill linked","Missing bill"),IF(Z136&lt;&gt;"N/A","OK - advance request linked","Missing request"))</f>
        <v>OK - bill linked</v>
      </c>
      <c r="AC136" s="21" t="s">
        <v>844</v>
      </c>
      <c r="AD136" s="21" t="s">
        <v>4360</v>
      </c>
      <c r="AE136" s="21">
        <v>3</v>
      </c>
      <c r="AF136" s="21" t="s">
        <v>4418</v>
      </c>
      <c r="AG136" s="37">
        <f>_xlfn.XLOOKUP(V136,'T08'!$G$3:$G$1500,'T08'!$BH$3:$BH$1500)</f>
        <v>105916.8</v>
      </c>
      <c r="AH136" s="37">
        <v>0</v>
      </c>
      <c r="AI136" s="37">
        <f>_xlfn.XLOOKUP(V136,'T08'!$G$3:$G$1500,'T08'!$BI$3:$BI$1500)</f>
        <v>0</v>
      </c>
      <c r="AJ136" s="37">
        <f>_xlfn.XLOOKUP(V136,'T08'!$G$3:$G$1500,'T08'!$BJ$3:$BJ$1500)</f>
        <v>0</v>
      </c>
      <c r="AK136" s="37">
        <f>AG136-AH136-AI136-AJ136</f>
        <v>105916.8</v>
      </c>
      <c r="AL136" s="37">
        <f>AG136-AH136-AI136-AJ136-AK136</f>
        <v>0</v>
      </c>
      <c r="AM136" s="21" t="s">
        <v>4800</v>
      </c>
      <c r="AN136" s="37">
        <f>SUMIFS($AG$3:$AG$1500,$A$3:$A$1500,A136)</f>
        <v>424870.80000000005</v>
      </c>
      <c r="AO136" s="37">
        <f>SUMIFS($AI$3:$AI$1500,$A$3:$A$1500,A136)</f>
        <v>0</v>
      </c>
      <c r="AP136" s="37">
        <f>SUMIFS($AJ$3:$AJ$1500,$A$3:$A$1500,A136)</f>
        <v>0</v>
      </c>
      <c r="AQ136" s="37">
        <f>SUMIFS($AK$3:$AK$1500,$A$3:$A$1500,A136)</f>
        <v>424870.80000000005</v>
      </c>
      <c r="AR136" s="21" t="str">
        <f>"PKR "&amp;TEXT(AQ136,"#,##0")&amp;" only"</f>
        <v>PKR 424,871 only</v>
      </c>
      <c r="AS136" s="21" t="str">
        <f>"Sec 153 - deposit by "&amp;TEXT(EOMONTH(B136,0)+15,"dd-mmm-yyyy")</f>
        <v>Sec 153 - deposit by 15-Sep-2026</v>
      </c>
      <c r="AT136" s="21" t="s">
        <v>844</v>
      </c>
      <c r="AU136" s="21" t="s">
        <v>4801</v>
      </c>
      <c r="AV136" s="21" t="s">
        <v>4364</v>
      </c>
      <c r="AW136" s="29">
        <v>46250</v>
      </c>
      <c r="AX136" s="37">
        <f>AQ136+AY136</f>
        <v>424870.80000000005</v>
      </c>
      <c r="AY136" s="37">
        <v>0</v>
      </c>
      <c r="AZ136" s="21" t="s">
        <v>3090</v>
      </c>
      <c r="BA136" s="21" t="s">
        <v>4356</v>
      </c>
      <c r="BB136" s="21" t="s">
        <v>848</v>
      </c>
      <c r="BC136" s="21" t="s">
        <v>4365</v>
      </c>
      <c r="BD136" s="21" t="str">
        <f>IF(AL136&lt;1,"Bill fully settled","Bill partially settled")</f>
        <v>Bill fully settled</v>
      </c>
      <c r="BE136" s="21" t="str">
        <f>"Payable reduced by PKR "&amp;TEXT(AK136+AI136+AJ136,"#,##0")</f>
        <v>Payable reduced by PKR 105,917</v>
      </c>
      <c r="BF136" s="21" t="s">
        <v>4797</v>
      </c>
      <c r="BG136" s="21" t="s">
        <v>753</v>
      </c>
      <c r="BH136" s="21" t="s">
        <v>844</v>
      </c>
      <c r="BI136" s="21" t="s">
        <v>844</v>
      </c>
      <c r="BJ136" s="21" t="s">
        <v>844</v>
      </c>
      <c r="BK136" s="21" t="s">
        <v>753</v>
      </c>
      <c r="BL136" s="21" t="s">
        <v>753</v>
      </c>
      <c r="BM136" s="21" t="s">
        <v>753</v>
      </c>
      <c r="BN136" s="21" t="s">
        <v>4368</v>
      </c>
      <c r="BO136" s="21" t="s">
        <v>848</v>
      </c>
      <c r="BP136" s="21" t="str">
        <f>K136</f>
        <v>Paid</v>
      </c>
    </row>
    <row r="137" spans="1:68" x14ac:dyDescent="0.3">
      <c r="A137" s="21" t="s">
        <v>4794</v>
      </c>
      <c r="B137" s="29">
        <v>46250</v>
      </c>
      <c r="C137" s="21" t="s">
        <v>4354</v>
      </c>
      <c r="D137" s="21" t="s">
        <v>743</v>
      </c>
      <c r="E137" s="21" t="s">
        <v>3350</v>
      </c>
      <c r="F137" s="21" t="s">
        <v>3351</v>
      </c>
      <c r="G137" s="21" t="s">
        <v>4355</v>
      </c>
      <c r="H137" s="21" t="s">
        <v>3095</v>
      </c>
      <c r="I137" s="21" t="s">
        <v>3085</v>
      </c>
      <c r="J137" s="21" t="s">
        <v>4356</v>
      </c>
      <c r="K137" s="21" t="s">
        <v>4357</v>
      </c>
      <c r="L137" s="21" t="s">
        <v>3353</v>
      </c>
      <c r="M137" s="21" t="s">
        <v>3354</v>
      </c>
      <c r="N137" s="21" t="s">
        <v>3355</v>
      </c>
      <c r="O137" s="21" t="s">
        <v>746</v>
      </c>
      <c r="P137" s="21" t="s">
        <v>4415</v>
      </c>
      <c r="Q137" s="21" t="s">
        <v>4416</v>
      </c>
      <c r="R137" s="21" t="s">
        <v>4417</v>
      </c>
      <c r="S137" s="21" t="s">
        <v>4358</v>
      </c>
      <c r="T137" s="21" t="s">
        <v>3356</v>
      </c>
      <c r="U137" s="37" cm="1">
        <f t="array" ref="U137">SUMPRODUCT(('T08'!$U$3:$U$1500=M137)*('T08'!$AF$3:$AF$1500=1)*('T08'!$I$3:$I$1500&lt;=B137)*'T08'!$BK$3:$BK$1500)-SUMPRODUCT(($M$3:$M$1500=M137)*($B$3:$B$1500&lt;B137)*($AK$3:$AK$1500+$AI$3:$AI$1500+$AJ$3:$AJ$1500))</f>
        <v>424870.80000000005</v>
      </c>
      <c r="V137" s="21" t="s">
        <v>4291</v>
      </c>
      <c r="W137" s="21" t="str">
        <f>TEXT(_xlfn.XLOOKUP(V137,'T08'!$G$3:$G$1500,'T08'!$J$3:$J$1500),"dd-mmm-yyyy")&amp;" / due "&amp;TEXT(_xlfn.XLOOKUP(V137,'T08'!$G$3:$G$1500,'T08'!$BQ$3:$BQ$1500),"dd-mmm-yyyy")</f>
        <v>05-Aug-2026 / due 15-Aug-2026</v>
      </c>
      <c r="X137" s="21" t="s">
        <v>4359</v>
      </c>
      <c r="Y137" s="21" t="str">
        <f>_xlfn.XLOOKUP(V137,'T08'!$G$3:$G$1500,'T08'!$AC$3:$AC$1500)</f>
        <v>N/A</v>
      </c>
      <c r="Z137" s="21" t="s">
        <v>844</v>
      </c>
      <c r="AA137" s="37" t="s">
        <v>844</v>
      </c>
      <c r="AB137" s="21" t="str">
        <f>IF(C137="Against bill",IF(V137&lt;&gt;"N/A","OK - bill linked","Missing bill"),IF(Z137&lt;&gt;"N/A","OK - advance request linked","Missing request"))</f>
        <v>OK - bill linked</v>
      </c>
      <c r="AC137" s="21" t="s">
        <v>844</v>
      </c>
      <c r="AD137" s="21" t="s">
        <v>4360</v>
      </c>
      <c r="AE137" s="21">
        <v>4</v>
      </c>
      <c r="AF137" s="21" t="s">
        <v>4418</v>
      </c>
      <c r="AG137" s="37">
        <f>_xlfn.XLOOKUP(V137,'T08'!$G$3:$G$1500,'T08'!$BH$3:$BH$1500)</f>
        <v>109126.39999999999</v>
      </c>
      <c r="AH137" s="37">
        <v>0</v>
      </c>
      <c r="AI137" s="37">
        <f>_xlfn.XLOOKUP(V137,'T08'!$G$3:$G$1500,'T08'!$BI$3:$BI$1500)</f>
        <v>0</v>
      </c>
      <c r="AJ137" s="37">
        <f>_xlfn.XLOOKUP(V137,'T08'!$G$3:$G$1500,'T08'!$BJ$3:$BJ$1500)</f>
        <v>0</v>
      </c>
      <c r="AK137" s="37">
        <f>AG137-AH137-AI137-AJ137</f>
        <v>109126.39999999999</v>
      </c>
      <c r="AL137" s="37">
        <f>AG137-AH137-AI137-AJ137-AK137</f>
        <v>0</v>
      </c>
      <c r="AM137" s="21" t="s">
        <v>4802</v>
      </c>
      <c r="AN137" s="37">
        <f>SUMIFS($AG$3:$AG$1500,$A$3:$A$1500,A137)</f>
        <v>424870.80000000005</v>
      </c>
      <c r="AO137" s="37">
        <f>SUMIFS($AI$3:$AI$1500,$A$3:$A$1500,A137)</f>
        <v>0</v>
      </c>
      <c r="AP137" s="37">
        <f>SUMIFS($AJ$3:$AJ$1500,$A$3:$A$1500,A137)</f>
        <v>0</v>
      </c>
      <c r="AQ137" s="37">
        <f>SUMIFS($AK$3:$AK$1500,$A$3:$A$1500,A137)</f>
        <v>424870.80000000005</v>
      </c>
      <c r="AR137" s="21" t="str">
        <f>"PKR "&amp;TEXT(AQ137,"#,##0")&amp;" only"</f>
        <v>PKR 424,871 only</v>
      </c>
      <c r="AS137" s="21" t="str">
        <f>"Sec 153 - deposit by "&amp;TEXT(EOMONTH(B137,0)+15,"dd-mmm-yyyy")</f>
        <v>Sec 153 - deposit by 15-Sep-2026</v>
      </c>
      <c r="AT137" s="21" t="s">
        <v>844</v>
      </c>
      <c r="AU137" s="21" t="s">
        <v>4803</v>
      </c>
      <c r="AV137" s="21" t="s">
        <v>4364</v>
      </c>
      <c r="AW137" s="29">
        <v>46250</v>
      </c>
      <c r="AX137" s="37">
        <f>AQ137+AY137</f>
        <v>424870.80000000005</v>
      </c>
      <c r="AY137" s="37">
        <v>0</v>
      </c>
      <c r="AZ137" s="21" t="s">
        <v>3090</v>
      </c>
      <c r="BA137" s="21" t="s">
        <v>4356</v>
      </c>
      <c r="BB137" s="21" t="s">
        <v>848</v>
      </c>
      <c r="BC137" s="21" t="s">
        <v>4365</v>
      </c>
      <c r="BD137" s="21" t="str">
        <f>IF(AL137&lt;1,"Bill fully settled","Bill partially settled")</f>
        <v>Bill fully settled</v>
      </c>
      <c r="BE137" s="21" t="str">
        <f>"Payable reduced by PKR "&amp;TEXT(AK137+AI137+AJ137,"#,##0")</f>
        <v>Payable reduced by PKR 109,126</v>
      </c>
      <c r="BF137" s="21" t="s">
        <v>4797</v>
      </c>
      <c r="BG137" s="21" t="s">
        <v>753</v>
      </c>
      <c r="BH137" s="21" t="s">
        <v>844</v>
      </c>
      <c r="BI137" s="21" t="s">
        <v>844</v>
      </c>
      <c r="BJ137" s="21" t="s">
        <v>844</v>
      </c>
      <c r="BK137" s="21" t="s">
        <v>753</v>
      </c>
      <c r="BL137" s="21" t="s">
        <v>753</v>
      </c>
      <c r="BM137" s="21" t="s">
        <v>753</v>
      </c>
      <c r="BN137" s="21" t="s">
        <v>4368</v>
      </c>
      <c r="BO137" s="21" t="s">
        <v>848</v>
      </c>
      <c r="BP137" s="21" t="str">
        <f>K137</f>
        <v>Paid</v>
      </c>
    </row>
    <row r="138" spans="1:68" x14ac:dyDescent="0.3">
      <c r="A138" s="21" t="s">
        <v>4804</v>
      </c>
      <c r="B138" s="29">
        <v>46253</v>
      </c>
      <c r="C138" s="21" t="s">
        <v>4354</v>
      </c>
      <c r="D138" s="21" t="s">
        <v>743</v>
      </c>
      <c r="E138" s="21" t="s">
        <v>3350</v>
      </c>
      <c r="F138" s="21" t="s">
        <v>3351</v>
      </c>
      <c r="G138" s="21" t="s">
        <v>4355</v>
      </c>
      <c r="H138" s="21" t="s">
        <v>3095</v>
      </c>
      <c r="I138" s="21" t="s">
        <v>3085</v>
      </c>
      <c r="J138" s="21" t="s">
        <v>4356</v>
      </c>
      <c r="K138" s="21" t="s">
        <v>4357</v>
      </c>
      <c r="L138" s="21" t="s">
        <v>3502</v>
      </c>
      <c r="M138" s="21" t="s">
        <v>3503</v>
      </c>
      <c r="N138" s="21" t="s">
        <v>3504</v>
      </c>
      <c r="O138" s="21" t="s">
        <v>746</v>
      </c>
      <c r="P138" s="21" t="s">
        <v>4429</v>
      </c>
      <c r="Q138" s="21" t="s">
        <v>4630</v>
      </c>
      <c r="R138" s="21" t="s">
        <v>4631</v>
      </c>
      <c r="S138" s="21" t="s">
        <v>4358</v>
      </c>
      <c r="T138" s="21" t="s">
        <v>3505</v>
      </c>
      <c r="U138" s="37" cm="1">
        <f t="array" ref="U138">SUMPRODUCT(('T08'!$U$3:$U$1500=M138)*('T08'!$AF$3:$AF$1500=1)*('T08'!$I$3:$I$1500&lt;=B138)*'T08'!$BK$3:$BK$1500)-SUMPRODUCT(($M$3:$M$1500=M138)*($B$3:$B$1500&lt;B138)*($AK$3:$AK$1500+$AI$3:$AI$1500+$AJ$3:$AJ$1500))</f>
        <v>14556.800000000003</v>
      </c>
      <c r="V138" s="21" t="s">
        <v>4256</v>
      </c>
      <c r="W138" s="21" t="str">
        <f>TEXT(_xlfn.XLOOKUP(V138,'T08'!$G$3:$G$1500,'T08'!$J$3:$J$1500),"dd-mmm-yyyy")&amp;" / due "&amp;TEXT(_xlfn.XLOOKUP(V138,'T08'!$G$3:$G$1500,'T08'!$BQ$3:$BQ$1500),"dd-mmm-yyyy")</f>
        <v>20-Jul-2026 / due 19-Aug-2026</v>
      </c>
      <c r="X138" s="21" t="s">
        <v>4359</v>
      </c>
      <c r="Y138" s="21" t="str">
        <f>_xlfn.XLOOKUP(V138,'T08'!$G$3:$G$1500,'T08'!$AC$3:$AC$1500)</f>
        <v>PO-2607-954</v>
      </c>
      <c r="Z138" s="21" t="s">
        <v>844</v>
      </c>
      <c r="AA138" s="37" t="s">
        <v>844</v>
      </c>
      <c r="AB138" s="21" t="str">
        <f>IF(C138="Against bill",IF(V138&lt;&gt;"N/A","OK - bill linked","Missing bill"),IF(Z138&lt;&gt;"N/A","OK - advance request linked","Missing request"))</f>
        <v>OK - bill linked</v>
      </c>
      <c r="AC138" s="21" t="s">
        <v>844</v>
      </c>
      <c r="AD138" s="21" t="s">
        <v>4360</v>
      </c>
      <c r="AE138" s="21">
        <v>1</v>
      </c>
      <c r="AF138" s="21" t="s">
        <v>4632</v>
      </c>
      <c r="AG138" s="37">
        <f>_xlfn.XLOOKUP(V138,'T08'!$G$3:$G$1500,'T08'!$BH$3:$BH$1500)</f>
        <v>19186.8</v>
      </c>
      <c r="AH138" s="37">
        <v>0</v>
      </c>
      <c r="AI138" s="37">
        <f>_xlfn.XLOOKUP(V138,'T08'!$G$3:$G$1500,'T08'!$BI$3:$BI$1500)</f>
        <v>959</v>
      </c>
      <c r="AJ138" s="37">
        <f>_xlfn.XLOOKUP(V138,'T08'!$G$3:$G$1500,'T08'!$BJ$3:$BJ$1500)</f>
        <v>0</v>
      </c>
      <c r="AK138" s="37">
        <f>AG138-AH138-AI138-AJ138</f>
        <v>18227.8</v>
      </c>
      <c r="AL138" s="37">
        <f>AG138-AH138-AI138-AJ138-AK138</f>
        <v>0</v>
      </c>
      <c r="AM138" s="21" t="s">
        <v>4805</v>
      </c>
      <c r="AN138" s="37">
        <f>SUMIFS($AG$3:$AG$1500,$A$3:$A$1500,A138)</f>
        <v>19186.8</v>
      </c>
      <c r="AO138" s="37">
        <f>SUMIFS($AI$3:$AI$1500,$A$3:$A$1500,A138)</f>
        <v>959</v>
      </c>
      <c r="AP138" s="37">
        <f>SUMIFS($AJ$3:$AJ$1500,$A$3:$A$1500,A138)</f>
        <v>0</v>
      </c>
      <c r="AQ138" s="37">
        <f>SUMIFS($AK$3:$AK$1500,$A$3:$A$1500,A138)</f>
        <v>18227.8</v>
      </c>
      <c r="AR138" s="21" t="str">
        <f>"PKR "&amp;TEXT(AQ138,"#,##0")&amp;" only"</f>
        <v>PKR 18,228 only</v>
      </c>
      <c r="AS138" s="21" t="str">
        <f>"Sec 153 - deposit by "&amp;TEXT(EOMONTH(B138,0)+15,"dd-mmm-yyyy")</f>
        <v>Sec 153 - deposit by 15-Sep-2026</v>
      </c>
      <c r="AT138" s="21" t="s">
        <v>844</v>
      </c>
      <c r="AU138" s="21" t="s">
        <v>4806</v>
      </c>
      <c r="AV138" s="21" t="s">
        <v>4364</v>
      </c>
      <c r="AW138" s="29">
        <v>46253</v>
      </c>
      <c r="AX138" s="37">
        <f>AQ138+AY138</f>
        <v>18377.8</v>
      </c>
      <c r="AY138" s="37">
        <v>150</v>
      </c>
      <c r="AZ138" s="21" t="s">
        <v>3090</v>
      </c>
      <c r="BA138" s="21" t="s">
        <v>4356</v>
      </c>
      <c r="BB138" s="21" t="s">
        <v>848</v>
      </c>
      <c r="BC138" s="21" t="s">
        <v>4365</v>
      </c>
      <c r="BD138" s="21" t="str">
        <f>IF(AL138&lt;1,"Bill fully settled","Bill partially settled")</f>
        <v>Bill fully settled</v>
      </c>
      <c r="BE138" s="21" t="str">
        <f>"Payable reduced by PKR "&amp;TEXT(AK138+AI138+AJ138,"#,##0")</f>
        <v>Payable reduced by PKR 19,187</v>
      </c>
      <c r="BF138" s="21" t="s">
        <v>4807</v>
      </c>
      <c r="BG138" s="21" t="s">
        <v>753</v>
      </c>
      <c r="BH138" s="21" t="s">
        <v>4367</v>
      </c>
      <c r="BI138" s="21" t="s">
        <v>844</v>
      </c>
      <c r="BJ138" s="21" t="s">
        <v>844</v>
      </c>
      <c r="BK138" s="21" t="s">
        <v>753</v>
      </c>
      <c r="BL138" s="21" t="s">
        <v>753</v>
      </c>
      <c r="BM138" s="21" t="s">
        <v>753</v>
      </c>
      <c r="BN138" s="21" t="s">
        <v>4368</v>
      </c>
      <c r="BO138" s="21" t="s">
        <v>848</v>
      </c>
      <c r="BP138" s="21" t="str">
        <f>K138</f>
        <v>Paid</v>
      </c>
    </row>
    <row r="139" spans="1:68" x14ac:dyDescent="0.3">
      <c r="A139" s="21" t="s">
        <v>4808</v>
      </c>
      <c r="B139" s="29">
        <v>46264</v>
      </c>
      <c r="C139" s="21" t="s">
        <v>4354</v>
      </c>
      <c r="D139" s="21" t="s">
        <v>743</v>
      </c>
      <c r="E139" s="21" t="s">
        <v>3350</v>
      </c>
      <c r="F139" s="21" t="s">
        <v>3429</v>
      </c>
      <c r="G139" s="21" t="s">
        <v>4355</v>
      </c>
      <c r="H139" s="21" t="s">
        <v>3095</v>
      </c>
      <c r="I139" s="21" t="s">
        <v>3085</v>
      </c>
      <c r="J139" s="21" t="s">
        <v>4356</v>
      </c>
      <c r="K139" s="21" t="s">
        <v>4357</v>
      </c>
      <c r="L139" s="21" t="s">
        <v>3431</v>
      </c>
      <c r="M139" s="21" t="s">
        <v>1278</v>
      </c>
      <c r="N139" s="21" t="s">
        <v>1200</v>
      </c>
      <c r="O139" s="21" t="s">
        <v>746</v>
      </c>
      <c r="P139" s="21" t="s">
        <v>1014</v>
      </c>
      <c r="Q139" s="21" t="s">
        <v>1199</v>
      </c>
      <c r="R139" s="21" t="s">
        <v>1204</v>
      </c>
      <c r="S139" s="21" t="s">
        <v>4358</v>
      </c>
      <c r="T139" s="21" t="s">
        <v>3441</v>
      </c>
      <c r="U139" s="37" cm="1">
        <f t="array" ref="U139">SUMPRODUCT(('T08'!$U$3:$U$1500=M139)*('T08'!$AF$3:$AF$1500=1)*('T08'!$I$3:$I$1500&lt;=B139)*'T08'!$BK$3:$BK$1500)-SUMPRODUCT(($M$3:$M$1500=M139)*($B$3:$B$1500&lt;B139)*($AK$3:$AK$1500+$AI$3:$AI$1500+$AJ$3:$AJ$1500))</f>
        <v>113478</v>
      </c>
      <c r="V139" s="21" t="s">
        <v>4277</v>
      </c>
      <c r="W139" s="21" t="str">
        <f>TEXT(_xlfn.XLOOKUP(V139,'T08'!$G$3:$G$1500,'T08'!$J$3:$J$1500),"dd-mmm-yyyy")&amp;" / due "&amp;TEXT(_xlfn.XLOOKUP(V139,'T08'!$G$3:$G$1500,'T08'!$BQ$3:$BQ$1500),"dd-mmm-yyyy")</f>
        <v>01-Aug-2026 / due 31-Aug-2026</v>
      </c>
      <c r="X139" s="21" t="s">
        <v>4359</v>
      </c>
      <c r="Y139" s="21" t="str">
        <f>_xlfn.XLOOKUP(V139,'T08'!$G$3:$G$1500,'T08'!$AC$3:$AC$1500)</f>
        <v>N/A</v>
      </c>
      <c r="Z139" s="21" t="s">
        <v>844</v>
      </c>
      <c r="AA139" s="37" t="s">
        <v>844</v>
      </c>
      <c r="AB139" s="21" t="str">
        <f>IF(C139="Against bill",IF(V139&lt;&gt;"N/A","OK - bill linked","Missing bill"),IF(Z139&lt;&gt;"N/A","OK - advance request linked","Missing request"))</f>
        <v>OK - bill linked</v>
      </c>
      <c r="AC139" s="21" t="s">
        <v>844</v>
      </c>
      <c r="AD139" s="21" t="s">
        <v>4360</v>
      </c>
      <c r="AE139" s="21">
        <v>1</v>
      </c>
      <c r="AF139" s="21" t="s">
        <v>4383</v>
      </c>
      <c r="AG139" s="37">
        <f>_xlfn.XLOOKUP(V139,'T08'!$G$3:$G$1500,'T08'!$BH$3:$BH$1500)</f>
        <v>243600</v>
      </c>
      <c r="AH139" s="37">
        <v>0</v>
      </c>
      <c r="AI139" s="37">
        <f>_xlfn.XLOOKUP(V139,'T08'!$G$3:$G$1500,'T08'!$BI$3:$BI$1500)</f>
        <v>4872</v>
      </c>
      <c r="AJ139" s="37">
        <f>_xlfn.XLOOKUP(V139,'T08'!$G$3:$G$1500,'T08'!$BJ$3:$BJ$1500)</f>
        <v>0</v>
      </c>
      <c r="AK139" s="37">
        <f>AG139-AH139-AI139-AJ139</f>
        <v>238728</v>
      </c>
      <c r="AL139" s="37">
        <f>AG139-AH139-AI139-AJ139-AK139</f>
        <v>0</v>
      </c>
      <c r="AM139" s="21" t="s">
        <v>4809</v>
      </c>
      <c r="AN139" s="37">
        <f>SUMIFS($AG$3:$AG$1500,$A$3:$A$1500,A139)</f>
        <v>243600</v>
      </c>
      <c r="AO139" s="37">
        <f>SUMIFS($AI$3:$AI$1500,$A$3:$A$1500,A139)</f>
        <v>4872</v>
      </c>
      <c r="AP139" s="37">
        <f>SUMIFS($AJ$3:$AJ$1500,$A$3:$A$1500,A139)</f>
        <v>0</v>
      </c>
      <c r="AQ139" s="37">
        <f>SUMIFS($AK$3:$AK$1500,$A$3:$A$1500,A139)</f>
        <v>238728</v>
      </c>
      <c r="AR139" s="21" t="str">
        <f>"PKR "&amp;TEXT(AQ139,"#,##0")&amp;" only"</f>
        <v>PKR 238,728 only</v>
      </c>
      <c r="AS139" s="21" t="str">
        <f>"Sec 153 - deposit by "&amp;TEXT(EOMONTH(B139,0)+15,"dd-mmm-yyyy")</f>
        <v>Sec 153 - deposit by 15-Sep-2026</v>
      </c>
      <c r="AT139" s="21" t="s">
        <v>844</v>
      </c>
      <c r="AU139" s="21" t="s">
        <v>4810</v>
      </c>
      <c r="AV139" s="21" t="s">
        <v>4364</v>
      </c>
      <c r="AW139" s="29">
        <v>46264</v>
      </c>
      <c r="AX139" s="37">
        <f>AQ139+AY139</f>
        <v>238878</v>
      </c>
      <c r="AY139" s="37">
        <v>150</v>
      </c>
      <c r="AZ139" s="21" t="s">
        <v>3090</v>
      </c>
      <c r="BA139" s="21" t="s">
        <v>4356</v>
      </c>
      <c r="BB139" s="21" t="s">
        <v>848</v>
      </c>
      <c r="BC139" s="21" t="s">
        <v>4365</v>
      </c>
      <c r="BD139" s="21" t="str">
        <f>IF(AL139&lt;1,"Bill fully settled","Bill partially settled")</f>
        <v>Bill fully settled</v>
      </c>
      <c r="BE139" s="21" t="str">
        <f>"Payable reduced by PKR "&amp;TEXT(AK139+AI139+AJ139,"#,##0")</f>
        <v>Payable reduced by PKR 243,600</v>
      </c>
      <c r="BF139" s="21" t="s">
        <v>4811</v>
      </c>
      <c r="BG139" s="21" t="s">
        <v>753</v>
      </c>
      <c r="BH139" s="21" t="s">
        <v>844</v>
      </c>
      <c r="BI139" s="21" t="s">
        <v>844</v>
      </c>
      <c r="BJ139" s="21" t="s">
        <v>4387</v>
      </c>
      <c r="BK139" s="21" t="s">
        <v>753</v>
      </c>
      <c r="BL139" s="21" t="s">
        <v>753</v>
      </c>
      <c r="BM139" s="21" t="s">
        <v>753</v>
      </c>
      <c r="BN139" s="21" t="s">
        <v>4368</v>
      </c>
      <c r="BO139" s="21" t="s">
        <v>848</v>
      </c>
      <c r="BP139" s="21" t="str">
        <f>K139</f>
        <v>Paid</v>
      </c>
    </row>
    <row r="140" spans="1:68" x14ac:dyDescent="0.3">
      <c r="A140" s="21" t="s">
        <v>4812</v>
      </c>
      <c r="B140" s="29">
        <v>46265</v>
      </c>
      <c r="C140" s="21" t="s">
        <v>4354</v>
      </c>
      <c r="D140" s="21" t="s">
        <v>743</v>
      </c>
      <c r="E140" s="21" t="s">
        <v>3350</v>
      </c>
      <c r="F140" s="21" t="s">
        <v>3429</v>
      </c>
      <c r="G140" s="21" t="s">
        <v>4355</v>
      </c>
      <c r="H140" s="21" t="s">
        <v>3095</v>
      </c>
      <c r="I140" s="21" t="s">
        <v>3085</v>
      </c>
      <c r="J140" s="21" t="s">
        <v>4356</v>
      </c>
      <c r="K140" s="21" t="s">
        <v>4357</v>
      </c>
      <c r="L140" s="21" t="s">
        <v>3387</v>
      </c>
      <c r="M140" s="21" t="s">
        <v>3567</v>
      </c>
      <c r="N140" s="21" t="s">
        <v>3568</v>
      </c>
      <c r="O140" s="21" t="s">
        <v>746</v>
      </c>
      <c r="P140" s="21" t="s">
        <v>4462</v>
      </c>
      <c r="Q140" s="21" t="s">
        <v>4813</v>
      </c>
      <c r="R140" s="21" t="s">
        <v>4814</v>
      </c>
      <c r="S140" s="21" t="s">
        <v>4358</v>
      </c>
      <c r="T140" s="21" t="s">
        <v>3569</v>
      </c>
      <c r="U140" s="37" cm="1">
        <f t="array" ref="U140">SUMPRODUCT(('T08'!$U$3:$U$1500=M140)*('T08'!$AF$3:$AF$1500=1)*('T08'!$I$3:$I$1500&lt;=B140)*'T08'!$BK$3:$BK$1500)-SUMPRODUCT(($M$3:$M$1500=M140)*($B$3:$B$1500&lt;B140)*($AK$3:$AK$1500+$AI$3:$AI$1500+$AJ$3:$AJ$1500))</f>
        <v>152340.6</v>
      </c>
      <c r="V140" s="21" t="s">
        <v>3565</v>
      </c>
      <c r="W140" s="21" t="str">
        <f>TEXT(_xlfn.XLOOKUP(V140,'T08'!$G$3:$G$1500,'T08'!$J$3:$J$1500),"dd-mmm-yyyy")&amp;" / due "&amp;TEXT(_xlfn.XLOOKUP(V140,'T08'!$G$3:$G$1500,'T08'!$BQ$3:$BQ$1500),"dd-mmm-yyyy")</f>
        <v>22-Jan-2025 / due 21-Feb-2025</v>
      </c>
      <c r="X140" s="21" t="s">
        <v>4359</v>
      </c>
      <c r="Y140" s="21" t="str">
        <f>_xlfn.XLOOKUP(V140,'T08'!$G$3:$G$1500,'T08'!$AC$3:$AC$1500)</f>
        <v>N/A</v>
      </c>
      <c r="Z140" s="21" t="s">
        <v>844</v>
      </c>
      <c r="AA140" s="37" t="s">
        <v>844</v>
      </c>
      <c r="AB140" s="21" t="str">
        <f>IF(C140="Against bill",IF(V140&lt;&gt;"N/A","OK - bill linked","Missing bill"),IF(Z140&lt;&gt;"N/A","OK - advance request linked","Missing request"))</f>
        <v>OK - bill linked</v>
      </c>
      <c r="AC140" s="21" t="s">
        <v>844</v>
      </c>
      <c r="AD140" s="21" t="s">
        <v>4360</v>
      </c>
      <c r="AE140" s="21">
        <v>1</v>
      </c>
      <c r="AF140" s="21" t="s">
        <v>4815</v>
      </c>
      <c r="AG140" s="37">
        <f>_xlfn.XLOOKUP(V140,'T08'!$G$3:$G$1500,'T08'!$BH$3:$BH$1500)</f>
        <v>41087.199999999997</v>
      </c>
      <c r="AH140" s="37">
        <v>0</v>
      </c>
      <c r="AI140" s="37">
        <f>_xlfn.XLOOKUP(V140,'T08'!$G$3:$G$1500,'T08'!$BI$3:$BI$1500)</f>
        <v>4520</v>
      </c>
      <c r="AJ140" s="37">
        <f>_xlfn.XLOOKUP(V140,'T08'!$G$3:$G$1500,'T08'!$BJ$3:$BJ$1500)</f>
        <v>0</v>
      </c>
      <c r="AK140" s="37">
        <f>AG140-AH140-AI140-AJ140</f>
        <v>36567.199999999997</v>
      </c>
      <c r="AL140" s="37">
        <f>AG140-AH140-AI140-AJ140-AK140</f>
        <v>0</v>
      </c>
      <c r="AM140" s="21" t="s">
        <v>4816</v>
      </c>
      <c r="AN140" s="37">
        <f>SUMIFS($AG$3:$AG$1500,$A$3:$A$1500,A140)</f>
        <v>171169.6</v>
      </c>
      <c r="AO140" s="37">
        <f>SUMIFS($AI$3:$AI$1500,$A$3:$A$1500,A140)</f>
        <v>18829</v>
      </c>
      <c r="AP140" s="37">
        <f>SUMIFS($AJ$3:$AJ$1500,$A$3:$A$1500,A140)</f>
        <v>0</v>
      </c>
      <c r="AQ140" s="37">
        <f>SUMIFS($AK$3:$AK$1500,$A$3:$A$1500,A140)</f>
        <v>152340.6</v>
      </c>
      <c r="AR140" s="21" t="str">
        <f>"PKR "&amp;TEXT(AQ140,"#,##0")&amp;" only"</f>
        <v>PKR 152,341 only</v>
      </c>
      <c r="AS140" s="21" t="str">
        <f>"Sec 153 - deposit by "&amp;TEXT(EOMONTH(B140,0)+15,"dd-mmm-yyyy")</f>
        <v>Sec 153 - deposit by 15-Sep-2026</v>
      </c>
      <c r="AT140" s="21" t="s">
        <v>844</v>
      </c>
      <c r="AU140" s="21" t="s">
        <v>4817</v>
      </c>
      <c r="AV140" s="21" t="s">
        <v>4364</v>
      </c>
      <c r="AW140" s="29">
        <v>46265</v>
      </c>
      <c r="AX140" s="37">
        <f>AQ140+AY140</f>
        <v>152490.6</v>
      </c>
      <c r="AY140" s="37">
        <v>150</v>
      </c>
      <c r="AZ140" s="21" t="s">
        <v>3090</v>
      </c>
      <c r="BA140" s="21" t="s">
        <v>4356</v>
      </c>
      <c r="BB140" s="21" t="s">
        <v>848</v>
      </c>
      <c r="BC140" s="21" t="s">
        <v>4365</v>
      </c>
      <c r="BD140" s="21" t="str">
        <f>IF(AL140&lt;1,"Bill fully settled","Bill partially settled")</f>
        <v>Bill fully settled</v>
      </c>
      <c r="BE140" s="21" t="str">
        <f>"Payable reduced by PKR "&amp;TEXT(AK140+AI140+AJ140,"#,##0")</f>
        <v>Payable reduced by PKR 41,087</v>
      </c>
      <c r="BF140" s="21" t="s">
        <v>4818</v>
      </c>
      <c r="BG140" s="21" t="s">
        <v>753</v>
      </c>
      <c r="BH140" s="21" t="s">
        <v>844</v>
      </c>
      <c r="BI140" s="21" t="s">
        <v>844</v>
      </c>
      <c r="BJ140" s="21" t="s">
        <v>844</v>
      </c>
      <c r="BK140" s="21" t="s">
        <v>753</v>
      </c>
      <c r="BL140" s="21" t="s">
        <v>753</v>
      </c>
      <c r="BM140" s="21" t="s">
        <v>753</v>
      </c>
      <c r="BN140" s="21" t="s">
        <v>4368</v>
      </c>
      <c r="BO140" s="21" t="s">
        <v>848</v>
      </c>
      <c r="BP140" s="21" t="str">
        <f>K140</f>
        <v>Paid</v>
      </c>
    </row>
    <row r="141" spans="1:68" x14ac:dyDescent="0.3">
      <c r="A141" s="21" t="s">
        <v>4812</v>
      </c>
      <c r="B141" s="29">
        <v>46265</v>
      </c>
      <c r="C141" s="21" t="s">
        <v>4354</v>
      </c>
      <c r="D141" s="21" t="s">
        <v>743</v>
      </c>
      <c r="E141" s="21" t="s">
        <v>3350</v>
      </c>
      <c r="F141" s="21" t="s">
        <v>3429</v>
      </c>
      <c r="G141" s="21" t="s">
        <v>4355</v>
      </c>
      <c r="H141" s="21" t="s">
        <v>3095</v>
      </c>
      <c r="I141" s="21" t="s">
        <v>3085</v>
      </c>
      <c r="J141" s="21" t="s">
        <v>4356</v>
      </c>
      <c r="K141" s="21" t="s">
        <v>4357</v>
      </c>
      <c r="L141" s="21" t="s">
        <v>3387</v>
      </c>
      <c r="M141" s="21" t="s">
        <v>3567</v>
      </c>
      <c r="N141" s="21" t="s">
        <v>3568</v>
      </c>
      <c r="O141" s="21" t="s">
        <v>746</v>
      </c>
      <c r="P141" s="21" t="s">
        <v>4462</v>
      </c>
      <c r="Q141" s="21" t="s">
        <v>4813</v>
      </c>
      <c r="R141" s="21" t="s">
        <v>4814</v>
      </c>
      <c r="S141" s="21" t="s">
        <v>4358</v>
      </c>
      <c r="T141" s="21" t="s">
        <v>3569</v>
      </c>
      <c r="U141" s="37" cm="1">
        <f t="array" ref="U141">SUMPRODUCT(('T08'!$U$3:$U$1500=M141)*('T08'!$AF$3:$AF$1500=1)*('T08'!$I$3:$I$1500&lt;=B141)*'T08'!$BK$3:$BK$1500)-SUMPRODUCT(($M$3:$M$1500=M141)*($B$3:$B$1500&lt;B141)*($AK$3:$AK$1500+$AI$3:$AI$1500+$AJ$3:$AJ$1500))</f>
        <v>152340.6</v>
      </c>
      <c r="V141" s="21" t="s">
        <v>3907</v>
      </c>
      <c r="W141" s="21" t="str">
        <f>TEXT(_xlfn.XLOOKUP(V141,'T08'!$G$3:$G$1500,'T08'!$J$3:$J$1500),"dd-mmm-yyyy")&amp;" / due "&amp;TEXT(_xlfn.XLOOKUP(V141,'T08'!$G$3:$G$1500,'T08'!$BQ$3:$BQ$1500),"dd-mmm-yyyy")</f>
        <v>04-Oct-2025 / due 03-Nov-2025</v>
      </c>
      <c r="X141" s="21" t="s">
        <v>4359</v>
      </c>
      <c r="Y141" s="21" t="str">
        <f>_xlfn.XLOOKUP(V141,'T08'!$G$3:$G$1500,'T08'!$AC$3:$AC$1500)</f>
        <v>N/A</v>
      </c>
      <c r="Z141" s="21" t="s">
        <v>844</v>
      </c>
      <c r="AA141" s="37" t="s">
        <v>844</v>
      </c>
      <c r="AB141" s="21" t="str">
        <f>IF(C141="Against bill",IF(V141&lt;&gt;"N/A","OK - bill linked","Missing bill"),IF(Z141&lt;&gt;"N/A","OK - advance request linked","Missing request"))</f>
        <v>OK - bill linked</v>
      </c>
      <c r="AC141" s="21" t="s">
        <v>844</v>
      </c>
      <c r="AD141" s="21" t="s">
        <v>4360</v>
      </c>
      <c r="AE141" s="21">
        <v>2</v>
      </c>
      <c r="AF141" s="21" t="s">
        <v>4815</v>
      </c>
      <c r="AG141" s="37">
        <f>_xlfn.XLOOKUP(V141,'T08'!$G$3:$G$1500,'T08'!$BH$3:$BH$1500)</f>
        <v>42548.800000000003</v>
      </c>
      <c r="AH141" s="37">
        <v>0</v>
      </c>
      <c r="AI141" s="37">
        <f>_xlfn.XLOOKUP(V141,'T08'!$G$3:$G$1500,'T08'!$BI$3:$BI$1500)</f>
        <v>4680</v>
      </c>
      <c r="AJ141" s="37">
        <f>_xlfn.XLOOKUP(V141,'T08'!$G$3:$G$1500,'T08'!$BJ$3:$BJ$1500)</f>
        <v>0</v>
      </c>
      <c r="AK141" s="37">
        <f>AG141-AH141-AI141-AJ141</f>
        <v>37868.800000000003</v>
      </c>
      <c r="AL141" s="37">
        <f>AG141-AH141-AI141-AJ141-AK141</f>
        <v>0</v>
      </c>
      <c r="AM141" s="21" t="s">
        <v>4819</v>
      </c>
      <c r="AN141" s="37">
        <f>SUMIFS($AG$3:$AG$1500,$A$3:$A$1500,A141)</f>
        <v>171169.6</v>
      </c>
      <c r="AO141" s="37">
        <f>SUMIFS($AI$3:$AI$1500,$A$3:$A$1500,A141)</f>
        <v>18829</v>
      </c>
      <c r="AP141" s="37">
        <f>SUMIFS($AJ$3:$AJ$1500,$A$3:$A$1500,A141)</f>
        <v>0</v>
      </c>
      <c r="AQ141" s="37">
        <f>SUMIFS($AK$3:$AK$1500,$A$3:$A$1500,A141)</f>
        <v>152340.6</v>
      </c>
      <c r="AR141" s="21" t="str">
        <f>"PKR "&amp;TEXT(AQ141,"#,##0")&amp;" only"</f>
        <v>PKR 152,341 only</v>
      </c>
      <c r="AS141" s="21" t="str">
        <f>"Sec 153 - deposit by "&amp;TEXT(EOMONTH(B141,0)+15,"dd-mmm-yyyy")</f>
        <v>Sec 153 - deposit by 15-Sep-2026</v>
      </c>
      <c r="AT141" s="21" t="s">
        <v>844</v>
      </c>
      <c r="AU141" s="21" t="s">
        <v>4820</v>
      </c>
      <c r="AV141" s="21" t="s">
        <v>4364</v>
      </c>
      <c r="AW141" s="29">
        <v>46265</v>
      </c>
      <c r="AX141" s="37">
        <f>AQ141+AY141</f>
        <v>152340.6</v>
      </c>
      <c r="AY141" s="37">
        <v>0</v>
      </c>
      <c r="AZ141" s="21" t="s">
        <v>3090</v>
      </c>
      <c r="BA141" s="21" t="s">
        <v>4356</v>
      </c>
      <c r="BB141" s="21" t="s">
        <v>848</v>
      </c>
      <c r="BC141" s="21" t="s">
        <v>4365</v>
      </c>
      <c r="BD141" s="21" t="str">
        <f>IF(AL141&lt;1,"Bill fully settled","Bill partially settled")</f>
        <v>Bill fully settled</v>
      </c>
      <c r="BE141" s="21" t="str">
        <f>"Payable reduced by PKR "&amp;TEXT(AK141+AI141+AJ141,"#,##0")</f>
        <v>Payable reduced by PKR 42,549</v>
      </c>
      <c r="BF141" s="21" t="s">
        <v>4818</v>
      </c>
      <c r="BG141" s="21" t="s">
        <v>753</v>
      </c>
      <c r="BH141" s="21" t="s">
        <v>844</v>
      </c>
      <c r="BI141" s="21" t="s">
        <v>844</v>
      </c>
      <c r="BJ141" s="21" t="s">
        <v>844</v>
      </c>
      <c r="BK141" s="21" t="s">
        <v>753</v>
      </c>
      <c r="BL141" s="21" t="s">
        <v>753</v>
      </c>
      <c r="BM141" s="21" t="s">
        <v>753</v>
      </c>
      <c r="BN141" s="21" t="s">
        <v>4368</v>
      </c>
      <c r="BO141" s="21" t="s">
        <v>848</v>
      </c>
      <c r="BP141" s="21" t="str">
        <f>K141</f>
        <v>Paid</v>
      </c>
    </row>
    <row r="142" spans="1:68" x14ac:dyDescent="0.3">
      <c r="A142" s="21" t="s">
        <v>4812</v>
      </c>
      <c r="B142" s="29">
        <v>46265</v>
      </c>
      <c r="C142" s="21" t="s">
        <v>4354</v>
      </c>
      <c r="D142" s="21" t="s">
        <v>743</v>
      </c>
      <c r="E142" s="21" t="s">
        <v>3350</v>
      </c>
      <c r="F142" s="21" t="s">
        <v>3429</v>
      </c>
      <c r="G142" s="21" t="s">
        <v>4355</v>
      </c>
      <c r="H142" s="21" t="s">
        <v>3095</v>
      </c>
      <c r="I142" s="21" t="s">
        <v>3085</v>
      </c>
      <c r="J142" s="21" t="s">
        <v>4356</v>
      </c>
      <c r="K142" s="21" t="s">
        <v>4357</v>
      </c>
      <c r="L142" s="21" t="s">
        <v>3387</v>
      </c>
      <c r="M142" s="21" t="s">
        <v>3567</v>
      </c>
      <c r="N142" s="21" t="s">
        <v>3568</v>
      </c>
      <c r="O142" s="21" t="s">
        <v>746</v>
      </c>
      <c r="P142" s="21" t="s">
        <v>4462</v>
      </c>
      <c r="Q142" s="21" t="s">
        <v>4813</v>
      </c>
      <c r="R142" s="21" t="s">
        <v>4814</v>
      </c>
      <c r="S142" s="21" t="s">
        <v>4358</v>
      </c>
      <c r="T142" s="21" t="s">
        <v>3569</v>
      </c>
      <c r="U142" s="37" cm="1">
        <f t="array" ref="U142">SUMPRODUCT(('T08'!$U$3:$U$1500=M142)*('T08'!$AF$3:$AF$1500=1)*('T08'!$I$3:$I$1500&lt;=B142)*'T08'!$BK$3:$BK$1500)-SUMPRODUCT(($M$3:$M$1500=M142)*($B$3:$B$1500&lt;B142)*($AK$3:$AK$1500+$AI$3:$AI$1500+$AJ$3:$AJ$1500))</f>
        <v>152340.6</v>
      </c>
      <c r="V142" s="21" t="s">
        <v>4107</v>
      </c>
      <c r="W142" s="21" t="str">
        <f>TEXT(_xlfn.XLOOKUP(V142,'T08'!$G$3:$G$1500,'T08'!$J$3:$J$1500),"dd-mmm-yyyy")&amp;" / due "&amp;TEXT(_xlfn.XLOOKUP(V142,'T08'!$G$3:$G$1500,'T08'!$BQ$3:$BQ$1500),"dd-mmm-yyyy")</f>
        <v>21-Mar-2026 / due 20-Apr-2026</v>
      </c>
      <c r="X142" s="21" t="s">
        <v>4359</v>
      </c>
      <c r="Y142" s="21" t="str">
        <f>_xlfn.XLOOKUP(V142,'T08'!$G$3:$G$1500,'T08'!$AC$3:$AC$1500)</f>
        <v>N/A</v>
      </c>
      <c r="Z142" s="21" t="s">
        <v>844</v>
      </c>
      <c r="AA142" s="37" t="s">
        <v>844</v>
      </c>
      <c r="AB142" s="21" t="str">
        <f>IF(C142="Against bill",IF(V142&lt;&gt;"N/A","OK - bill linked","Missing bill"),IF(Z142&lt;&gt;"N/A","OK - advance request linked","Missing request"))</f>
        <v>OK - bill linked</v>
      </c>
      <c r="AC142" s="21" t="s">
        <v>844</v>
      </c>
      <c r="AD142" s="21" t="s">
        <v>4360</v>
      </c>
      <c r="AE142" s="21">
        <v>3</v>
      </c>
      <c r="AF142" s="21" t="s">
        <v>4815</v>
      </c>
      <c r="AG142" s="37">
        <f>_xlfn.XLOOKUP(V142,'T08'!$G$3:$G$1500,'T08'!$BH$3:$BH$1500)</f>
        <v>43360.800000000003</v>
      </c>
      <c r="AH142" s="37">
        <v>0</v>
      </c>
      <c r="AI142" s="37">
        <f>_xlfn.XLOOKUP(V142,'T08'!$G$3:$G$1500,'T08'!$BI$3:$BI$1500)</f>
        <v>4770</v>
      </c>
      <c r="AJ142" s="37">
        <f>_xlfn.XLOOKUP(V142,'T08'!$G$3:$G$1500,'T08'!$BJ$3:$BJ$1500)</f>
        <v>0</v>
      </c>
      <c r="AK142" s="37">
        <f>AG142-AH142-AI142-AJ142</f>
        <v>38590.800000000003</v>
      </c>
      <c r="AL142" s="37">
        <f>AG142-AH142-AI142-AJ142-AK142</f>
        <v>0</v>
      </c>
      <c r="AM142" s="21" t="s">
        <v>4821</v>
      </c>
      <c r="AN142" s="37">
        <f>SUMIFS($AG$3:$AG$1500,$A$3:$A$1500,A142)</f>
        <v>171169.6</v>
      </c>
      <c r="AO142" s="37">
        <f>SUMIFS($AI$3:$AI$1500,$A$3:$A$1500,A142)</f>
        <v>18829</v>
      </c>
      <c r="AP142" s="37">
        <f>SUMIFS($AJ$3:$AJ$1500,$A$3:$A$1500,A142)</f>
        <v>0</v>
      </c>
      <c r="AQ142" s="37">
        <f>SUMIFS($AK$3:$AK$1500,$A$3:$A$1500,A142)</f>
        <v>152340.6</v>
      </c>
      <c r="AR142" s="21" t="str">
        <f>"PKR "&amp;TEXT(AQ142,"#,##0")&amp;" only"</f>
        <v>PKR 152,341 only</v>
      </c>
      <c r="AS142" s="21" t="str">
        <f>"Sec 153 - deposit by "&amp;TEXT(EOMONTH(B142,0)+15,"dd-mmm-yyyy")</f>
        <v>Sec 153 - deposit by 15-Sep-2026</v>
      </c>
      <c r="AT142" s="21" t="s">
        <v>844</v>
      </c>
      <c r="AU142" s="21" t="s">
        <v>4822</v>
      </c>
      <c r="AV142" s="21" t="s">
        <v>4364</v>
      </c>
      <c r="AW142" s="29">
        <v>46265</v>
      </c>
      <c r="AX142" s="37">
        <f>AQ142+AY142</f>
        <v>152340.6</v>
      </c>
      <c r="AY142" s="37">
        <v>0</v>
      </c>
      <c r="AZ142" s="21" t="s">
        <v>3090</v>
      </c>
      <c r="BA142" s="21" t="s">
        <v>4356</v>
      </c>
      <c r="BB142" s="21" t="s">
        <v>848</v>
      </c>
      <c r="BC142" s="21" t="s">
        <v>4365</v>
      </c>
      <c r="BD142" s="21" t="str">
        <f>IF(AL142&lt;1,"Bill fully settled","Bill partially settled")</f>
        <v>Bill fully settled</v>
      </c>
      <c r="BE142" s="21" t="str">
        <f>"Payable reduced by PKR "&amp;TEXT(AK142+AI142+AJ142,"#,##0")</f>
        <v>Payable reduced by PKR 43,361</v>
      </c>
      <c r="BF142" s="21" t="s">
        <v>4818</v>
      </c>
      <c r="BG142" s="21" t="s">
        <v>753</v>
      </c>
      <c r="BH142" s="21" t="s">
        <v>844</v>
      </c>
      <c r="BI142" s="21" t="s">
        <v>844</v>
      </c>
      <c r="BJ142" s="21" t="s">
        <v>844</v>
      </c>
      <c r="BK142" s="21" t="s">
        <v>753</v>
      </c>
      <c r="BL142" s="21" t="s">
        <v>753</v>
      </c>
      <c r="BM142" s="21" t="s">
        <v>753</v>
      </c>
      <c r="BN142" s="21" t="s">
        <v>4368</v>
      </c>
      <c r="BO142" s="21" t="s">
        <v>848</v>
      </c>
      <c r="BP142" s="21" t="str">
        <f>K142</f>
        <v>Paid</v>
      </c>
    </row>
    <row r="143" spans="1:68" x14ac:dyDescent="0.3">
      <c r="A143" s="21" t="s">
        <v>4812</v>
      </c>
      <c r="B143" s="29">
        <v>46265</v>
      </c>
      <c r="C143" s="21" t="s">
        <v>4354</v>
      </c>
      <c r="D143" s="21" t="s">
        <v>743</v>
      </c>
      <c r="E143" s="21" t="s">
        <v>3350</v>
      </c>
      <c r="F143" s="21" t="s">
        <v>3429</v>
      </c>
      <c r="G143" s="21" t="s">
        <v>4355</v>
      </c>
      <c r="H143" s="21" t="s">
        <v>3095</v>
      </c>
      <c r="I143" s="21" t="s">
        <v>3085</v>
      </c>
      <c r="J143" s="21" t="s">
        <v>4356</v>
      </c>
      <c r="K143" s="21" t="s">
        <v>4357</v>
      </c>
      <c r="L143" s="21" t="s">
        <v>3387</v>
      </c>
      <c r="M143" s="21" t="s">
        <v>3567</v>
      </c>
      <c r="N143" s="21" t="s">
        <v>3568</v>
      </c>
      <c r="O143" s="21" t="s">
        <v>746</v>
      </c>
      <c r="P143" s="21" t="s">
        <v>4462</v>
      </c>
      <c r="Q143" s="21" t="s">
        <v>4813</v>
      </c>
      <c r="R143" s="21" t="s">
        <v>4814</v>
      </c>
      <c r="S143" s="21" t="s">
        <v>4358</v>
      </c>
      <c r="T143" s="21" t="s">
        <v>3569</v>
      </c>
      <c r="U143" s="37" cm="1">
        <f t="array" ref="U143">SUMPRODUCT(('T08'!$U$3:$U$1500=M143)*('T08'!$AF$3:$AF$1500=1)*('T08'!$I$3:$I$1500&lt;=B143)*'T08'!$BK$3:$BK$1500)-SUMPRODUCT(($M$3:$M$1500=M143)*($B$3:$B$1500&lt;B143)*($AK$3:$AK$1500+$AI$3:$AI$1500+$AJ$3:$AJ$1500))</f>
        <v>152340.6</v>
      </c>
      <c r="V143" s="21" t="s">
        <v>4285</v>
      </c>
      <c r="W143" s="21" t="str">
        <f>TEXT(_xlfn.XLOOKUP(V143,'T08'!$G$3:$G$1500,'T08'!$J$3:$J$1500),"dd-mmm-yyyy")&amp;" / due "&amp;TEXT(_xlfn.XLOOKUP(V143,'T08'!$G$3:$G$1500,'T08'!$BQ$3:$BQ$1500),"dd-mmm-yyyy")</f>
        <v>03-Aug-2026 / due 02-Sep-2026</v>
      </c>
      <c r="X143" s="21" t="s">
        <v>4359</v>
      </c>
      <c r="Y143" s="21" t="str">
        <f>_xlfn.XLOOKUP(V143,'T08'!$G$3:$G$1500,'T08'!$AC$3:$AC$1500)</f>
        <v>N/A</v>
      </c>
      <c r="Z143" s="21" t="s">
        <v>844</v>
      </c>
      <c r="AA143" s="37" t="s">
        <v>844</v>
      </c>
      <c r="AB143" s="21" t="str">
        <f>IF(C143="Against bill",IF(V143&lt;&gt;"N/A","OK - bill linked","Missing bill"),IF(Z143&lt;&gt;"N/A","OK - advance request linked","Missing request"))</f>
        <v>OK - bill linked</v>
      </c>
      <c r="AC143" s="21" t="s">
        <v>844</v>
      </c>
      <c r="AD143" s="21" t="s">
        <v>4360</v>
      </c>
      <c r="AE143" s="21">
        <v>4</v>
      </c>
      <c r="AF143" s="21" t="s">
        <v>4815</v>
      </c>
      <c r="AG143" s="37">
        <f>_xlfn.XLOOKUP(V143,'T08'!$G$3:$G$1500,'T08'!$BH$3:$BH$1500)</f>
        <v>44172.800000000003</v>
      </c>
      <c r="AH143" s="37">
        <v>0</v>
      </c>
      <c r="AI143" s="37">
        <f>_xlfn.XLOOKUP(V143,'T08'!$G$3:$G$1500,'T08'!$BI$3:$BI$1500)</f>
        <v>4859</v>
      </c>
      <c r="AJ143" s="37">
        <f>_xlfn.XLOOKUP(V143,'T08'!$G$3:$G$1500,'T08'!$BJ$3:$BJ$1500)</f>
        <v>0</v>
      </c>
      <c r="AK143" s="37">
        <f>AG143-AH143-AI143-AJ143</f>
        <v>39313.800000000003</v>
      </c>
      <c r="AL143" s="37">
        <f>AG143-AH143-AI143-AJ143-AK143</f>
        <v>0</v>
      </c>
      <c r="AM143" s="21" t="s">
        <v>4823</v>
      </c>
      <c r="AN143" s="37">
        <f>SUMIFS($AG$3:$AG$1500,$A$3:$A$1500,A143)</f>
        <v>171169.6</v>
      </c>
      <c r="AO143" s="37">
        <f>SUMIFS($AI$3:$AI$1500,$A$3:$A$1500,A143)</f>
        <v>18829</v>
      </c>
      <c r="AP143" s="37">
        <f>SUMIFS($AJ$3:$AJ$1500,$A$3:$A$1500,A143)</f>
        <v>0</v>
      </c>
      <c r="AQ143" s="37">
        <f>SUMIFS($AK$3:$AK$1500,$A$3:$A$1500,A143)</f>
        <v>152340.6</v>
      </c>
      <c r="AR143" s="21" t="str">
        <f>"PKR "&amp;TEXT(AQ143,"#,##0")&amp;" only"</f>
        <v>PKR 152,341 only</v>
      </c>
      <c r="AS143" s="21" t="str">
        <f>"Sec 153 - deposit by "&amp;TEXT(EOMONTH(B143,0)+15,"dd-mmm-yyyy")</f>
        <v>Sec 153 - deposit by 15-Sep-2026</v>
      </c>
      <c r="AT143" s="21" t="s">
        <v>844</v>
      </c>
      <c r="AU143" s="21" t="s">
        <v>4822</v>
      </c>
      <c r="AV143" s="21" t="s">
        <v>4364</v>
      </c>
      <c r="AW143" s="29">
        <v>46265</v>
      </c>
      <c r="AX143" s="37">
        <f>AQ143+AY143</f>
        <v>152340.6</v>
      </c>
      <c r="AY143" s="37">
        <v>0</v>
      </c>
      <c r="AZ143" s="21" t="s">
        <v>3090</v>
      </c>
      <c r="BA143" s="21" t="s">
        <v>4356</v>
      </c>
      <c r="BB143" s="21" t="s">
        <v>848</v>
      </c>
      <c r="BC143" s="21" t="s">
        <v>4365</v>
      </c>
      <c r="BD143" s="21" t="str">
        <f>IF(AL143&lt;1,"Bill fully settled","Bill partially settled")</f>
        <v>Bill fully settled</v>
      </c>
      <c r="BE143" s="21" t="str">
        <f>"Payable reduced by PKR "&amp;TEXT(AK143+AI143+AJ143,"#,##0")</f>
        <v>Payable reduced by PKR 44,173</v>
      </c>
      <c r="BF143" s="21" t="s">
        <v>4818</v>
      </c>
      <c r="BG143" s="21" t="s">
        <v>753</v>
      </c>
      <c r="BH143" s="21" t="s">
        <v>844</v>
      </c>
      <c r="BI143" s="21" t="s">
        <v>844</v>
      </c>
      <c r="BJ143" s="21" t="s">
        <v>844</v>
      </c>
      <c r="BK143" s="21" t="s">
        <v>753</v>
      </c>
      <c r="BL143" s="21" t="s">
        <v>753</v>
      </c>
      <c r="BM143" s="21" t="s">
        <v>753</v>
      </c>
      <c r="BN143" s="21" t="s">
        <v>4368</v>
      </c>
      <c r="BO143" s="21" t="s">
        <v>848</v>
      </c>
      <c r="BP143" s="21" t="str">
        <f>K143</f>
        <v>Paid</v>
      </c>
    </row>
    <row r="144" spans="1:68" x14ac:dyDescent="0.3">
      <c r="A144" s="21" t="s">
        <v>4824</v>
      </c>
      <c r="B144" s="29">
        <v>46266</v>
      </c>
      <c r="C144" s="21" t="s">
        <v>4354</v>
      </c>
      <c r="D144" s="21" t="s">
        <v>743</v>
      </c>
      <c r="E144" s="21" t="s">
        <v>3350</v>
      </c>
      <c r="F144" s="21" t="s">
        <v>3429</v>
      </c>
      <c r="G144" s="21" t="s">
        <v>4355</v>
      </c>
      <c r="H144" s="21" t="s">
        <v>3095</v>
      </c>
      <c r="I144" s="21" t="s">
        <v>3085</v>
      </c>
      <c r="J144" s="21" t="s">
        <v>4356</v>
      </c>
      <c r="K144" s="21" t="s">
        <v>4357</v>
      </c>
      <c r="L144" s="21" t="s">
        <v>3431</v>
      </c>
      <c r="M144" s="21" t="s">
        <v>1213</v>
      </c>
      <c r="N144" s="21" t="s">
        <v>1194</v>
      </c>
      <c r="O144" s="21" t="s">
        <v>746</v>
      </c>
      <c r="P144" s="21" t="s">
        <v>983</v>
      </c>
      <c r="Q144" s="21" t="s">
        <v>1193</v>
      </c>
      <c r="R144" s="21" t="s">
        <v>1198</v>
      </c>
      <c r="S144" s="21" t="s">
        <v>4358</v>
      </c>
      <c r="T144" s="21" t="s">
        <v>3493</v>
      </c>
      <c r="U144" s="37" cm="1">
        <f t="array" ref="U144">SUMPRODUCT(('T08'!$U$3:$U$1500=M144)*('T08'!$AF$3:$AF$1500=1)*('T08'!$I$3:$I$1500&lt;=B144)*'T08'!$BK$3:$BK$1500)-SUMPRODUCT(($M$3:$M$1500=M144)*($B$3:$B$1500&lt;B144)*($AK$3:$AK$1500+$AI$3:$AI$1500+$AJ$3:$AJ$1500))</f>
        <v>232208</v>
      </c>
      <c r="V144" s="21" t="s">
        <v>4282</v>
      </c>
      <c r="W144" s="21" t="str">
        <f>TEXT(_xlfn.XLOOKUP(V144,'T08'!$G$3:$G$1500,'T08'!$J$3:$J$1500),"dd-mmm-yyyy")&amp;" / due "&amp;TEXT(_xlfn.XLOOKUP(V144,'T08'!$G$3:$G$1500,'T08'!$BQ$3:$BQ$1500),"dd-mmm-yyyy")</f>
        <v>01-Aug-2026 / due 31-Aug-2026</v>
      </c>
      <c r="X144" s="21" t="s">
        <v>4359</v>
      </c>
      <c r="Y144" s="21" t="str">
        <f>_xlfn.XLOOKUP(V144,'T08'!$G$3:$G$1500,'T08'!$AC$3:$AC$1500)</f>
        <v>N/A</v>
      </c>
      <c r="Z144" s="21" t="s">
        <v>844</v>
      </c>
      <c r="AA144" s="37" t="s">
        <v>844</v>
      </c>
      <c r="AB144" s="21" t="str">
        <f>IF(C144="Against bill",IF(V144&lt;&gt;"N/A","OK - bill linked","Missing bill"),IF(Z144&lt;&gt;"N/A","OK - advance request linked","Missing request"))</f>
        <v>OK - bill linked</v>
      </c>
      <c r="AC144" s="21" t="s">
        <v>844</v>
      </c>
      <c r="AD144" s="21" t="s">
        <v>4360</v>
      </c>
      <c r="AE144" s="21">
        <v>1</v>
      </c>
      <c r="AF144" s="21" t="s">
        <v>4404</v>
      </c>
      <c r="AG144" s="37">
        <f>_xlfn.XLOOKUP(V144,'T08'!$G$3:$G$1500,'T08'!$BH$3:$BH$1500)</f>
        <v>389760</v>
      </c>
      <c r="AH144" s="37">
        <v>0</v>
      </c>
      <c r="AI144" s="37">
        <f>_xlfn.XLOOKUP(V144,'T08'!$G$3:$G$1500,'T08'!$BI$3:$BI$1500)</f>
        <v>15590</v>
      </c>
      <c r="AJ144" s="37">
        <f>_xlfn.XLOOKUP(V144,'T08'!$G$3:$G$1500,'T08'!$BJ$3:$BJ$1500)</f>
        <v>0</v>
      </c>
      <c r="AK144" s="37">
        <f>AG144-AH144-AI144-AJ144</f>
        <v>374170</v>
      </c>
      <c r="AL144" s="37">
        <f>AG144-AH144-AI144-AJ144-AK144</f>
        <v>0</v>
      </c>
      <c r="AM144" s="21" t="s">
        <v>4825</v>
      </c>
      <c r="AN144" s="37">
        <f>SUMIFS($AG$3:$AG$1500,$A$3:$A$1500,A144)</f>
        <v>389760</v>
      </c>
      <c r="AO144" s="37">
        <f>SUMIFS($AI$3:$AI$1500,$A$3:$A$1500,A144)</f>
        <v>15590</v>
      </c>
      <c r="AP144" s="37">
        <f>SUMIFS($AJ$3:$AJ$1500,$A$3:$A$1500,A144)</f>
        <v>0</v>
      </c>
      <c r="AQ144" s="37">
        <f>SUMIFS($AK$3:$AK$1500,$A$3:$A$1500,A144)</f>
        <v>374170</v>
      </c>
      <c r="AR144" s="21" t="str">
        <f>"PKR "&amp;TEXT(AQ144,"#,##0")&amp;" only"</f>
        <v>PKR 374,170 only</v>
      </c>
      <c r="AS144" s="21" t="str">
        <f>"Sec 153 - deposit by "&amp;TEXT(EOMONTH(B144,0)+15,"dd-mmm-yyyy")</f>
        <v>Sec 153 - deposit by 15-Oct-2026</v>
      </c>
      <c r="AT144" s="21" t="s">
        <v>844</v>
      </c>
      <c r="AU144" s="21" t="s">
        <v>4826</v>
      </c>
      <c r="AV144" s="21" t="s">
        <v>4364</v>
      </c>
      <c r="AW144" s="29">
        <v>46266</v>
      </c>
      <c r="AX144" s="37">
        <f>AQ144+AY144</f>
        <v>374320</v>
      </c>
      <c r="AY144" s="37">
        <v>150</v>
      </c>
      <c r="AZ144" s="21" t="s">
        <v>3090</v>
      </c>
      <c r="BA144" s="21" t="s">
        <v>4356</v>
      </c>
      <c r="BB144" s="21" t="s">
        <v>848</v>
      </c>
      <c r="BC144" s="21" t="s">
        <v>4365</v>
      </c>
      <c r="BD144" s="21" t="str">
        <f>IF(AL144&lt;1,"Bill fully settled","Bill partially settled")</f>
        <v>Bill fully settled</v>
      </c>
      <c r="BE144" s="21" t="str">
        <f>"Payable reduced by PKR "&amp;TEXT(AK144+AI144+AJ144,"#,##0")</f>
        <v>Payable reduced by PKR 389,760</v>
      </c>
      <c r="BF144" s="21" t="s">
        <v>4827</v>
      </c>
      <c r="BG144" s="21" t="s">
        <v>753</v>
      </c>
      <c r="BH144" s="21" t="s">
        <v>844</v>
      </c>
      <c r="BI144" s="21" t="s">
        <v>844</v>
      </c>
      <c r="BJ144" s="21" t="s">
        <v>4387</v>
      </c>
      <c r="BK144" s="21" t="s">
        <v>753</v>
      </c>
      <c r="BL144" s="21" t="s">
        <v>753</v>
      </c>
      <c r="BM144" s="21" t="s">
        <v>753</v>
      </c>
      <c r="BN144" s="21" t="s">
        <v>4368</v>
      </c>
      <c r="BO144" s="21" t="s">
        <v>848</v>
      </c>
      <c r="BP144" s="21" t="str">
        <f>K144</f>
        <v>Paid</v>
      </c>
    </row>
    <row r="145" spans="1:68" x14ac:dyDescent="0.3">
      <c r="A145" s="21" t="s">
        <v>4828</v>
      </c>
      <c r="B145" s="29">
        <v>46277</v>
      </c>
      <c r="C145" s="21" t="s">
        <v>4354</v>
      </c>
      <c r="D145" s="21" t="s">
        <v>743</v>
      </c>
      <c r="E145" s="21" t="s">
        <v>3400</v>
      </c>
      <c r="F145" s="21" t="s">
        <v>3401</v>
      </c>
      <c r="G145" s="21" t="s">
        <v>4355</v>
      </c>
      <c r="H145" s="21" t="s">
        <v>3095</v>
      </c>
      <c r="I145" s="21" t="s">
        <v>3085</v>
      </c>
      <c r="J145" s="21" t="s">
        <v>4356</v>
      </c>
      <c r="K145" s="21" t="s">
        <v>4357</v>
      </c>
      <c r="L145" s="21" t="s">
        <v>3403</v>
      </c>
      <c r="M145" s="21" t="s">
        <v>3578</v>
      </c>
      <c r="N145" s="21" t="s">
        <v>1021</v>
      </c>
      <c r="O145" s="21" t="s">
        <v>746</v>
      </c>
      <c r="P145" s="21" t="s">
        <v>1037</v>
      </c>
      <c r="Q145" s="21" t="s">
        <v>1019</v>
      </c>
      <c r="R145" s="21" t="s">
        <v>1038</v>
      </c>
      <c r="S145" s="21" t="s">
        <v>4358</v>
      </c>
      <c r="T145" s="21" t="s">
        <v>3579</v>
      </c>
      <c r="U145" s="37" cm="1">
        <f t="array" ref="U145">SUMPRODUCT(('T08'!$U$3:$U$1500=M145)*('T08'!$AF$3:$AF$1500=1)*('T08'!$I$3:$I$1500&lt;=B145)*'T08'!$BK$3:$BK$1500)-SUMPRODUCT(($M$3:$M$1500=M145)*($B$3:$B$1500&lt;B145)*($AK$3:$AK$1500+$AI$3:$AI$1500+$AJ$3:$AJ$1500))</f>
        <v>27276911.299999997</v>
      </c>
      <c r="V145" s="21" t="s">
        <v>4306</v>
      </c>
      <c r="W145" s="21" t="str">
        <f>TEXT(_xlfn.XLOOKUP(V145,'T08'!$G$3:$G$1500,'T08'!$J$3:$J$1500),"dd-mmm-yyyy")&amp;" / due "&amp;TEXT(_xlfn.XLOOKUP(V145,'T08'!$G$3:$G$1500,'T08'!$BQ$3:$BQ$1500),"dd-mmm-yyyy")</f>
        <v>31-Aug-2026 / due 15-Sep-2026</v>
      </c>
      <c r="X145" s="21" t="s">
        <v>4359</v>
      </c>
      <c r="Y145" s="21" t="str">
        <f>_xlfn.XLOOKUP(V145,'T08'!$G$3:$G$1500,'T08'!$AC$3:$AC$1500)</f>
        <v>PO-2608-3</v>
      </c>
      <c r="Z145" s="21" t="s">
        <v>844</v>
      </c>
      <c r="AA145" s="37" t="s">
        <v>844</v>
      </c>
      <c r="AB145" s="21" t="str">
        <f>IF(C145="Against bill",IF(V145&lt;&gt;"N/A","OK - bill linked","Missing bill"),IF(Z145&lt;&gt;"N/A","OK - advance request linked","Missing request"))</f>
        <v>OK - bill linked</v>
      </c>
      <c r="AC145" s="21" t="s">
        <v>844</v>
      </c>
      <c r="AD145" s="21" t="s">
        <v>4360</v>
      </c>
      <c r="AE145" s="21">
        <v>1</v>
      </c>
      <c r="AF145" s="21" t="s">
        <v>4450</v>
      </c>
      <c r="AG145" s="37">
        <f>_xlfn.XLOOKUP(V145,'T08'!$G$3:$G$1500,'T08'!$BH$3:$BH$1500)</f>
        <v>8959440</v>
      </c>
      <c r="AH145" s="37">
        <v>0</v>
      </c>
      <c r="AI145" s="37">
        <f>_xlfn.XLOOKUP(V145,'T08'!$G$3:$G$1500,'T08'!$BI$3:$BI$1500)</f>
        <v>447972</v>
      </c>
      <c r="AJ145" s="37">
        <f>_xlfn.XLOOKUP(V145,'T08'!$G$3:$G$1500,'T08'!$BJ$3:$BJ$1500)</f>
        <v>0</v>
      </c>
      <c r="AK145" s="37">
        <f>AG145-AH145-AI145-AJ145</f>
        <v>8511468</v>
      </c>
      <c r="AL145" s="37">
        <f>AG145-AH145-AI145-AJ145-AK145</f>
        <v>0</v>
      </c>
      <c r="AM145" s="21" t="s">
        <v>4829</v>
      </c>
      <c r="AN145" s="37">
        <f>SUMIFS($AG$3:$AG$1500,$A$3:$A$1500,A145)</f>
        <v>8959440</v>
      </c>
      <c r="AO145" s="37">
        <f>SUMIFS($AI$3:$AI$1500,$A$3:$A$1500,A145)</f>
        <v>447972</v>
      </c>
      <c r="AP145" s="37">
        <f>SUMIFS($AJ$3:$AJ$1500,$A$3:$A$1500,A145)</f>
        <v>0</v>
      </c>
      <c r="AQ145" s="37">
        <f>SUMIFS($AK$3:$AK$1500,$A$3:$A$1500,A145)</f>
        <v>8511468</v>
      </c>
      <c r="AR145" s="21" t="str">
        <f>"PKR "&amp;TEXT(AQ145,"#,##0")&amp;" only"</f>
        <v>PKR 8,511,468 only</v>
      </c>
      <c r="AS145" s="21" t="str">
        <f>"Sec 153 - deposit by "&amp;TEXT(EOMONTH(B145,0)+15,"dd-mmm-yyyy")</f>
        <v>Sec 153 - deposit by 15-Oct-2026</v>
      </c>
      <c r="AT145" s="21" t="s">
        <v>844</v>
      </c>
      <c r="AU145" s="21" t="s">
        <v>4830</v>
      </c>
      <c r="AV145" s="21" t="s">
        <v>4364</v>
      </c>
      <c r="AW145" s="29">
        <v>46277</v>
      </c>
      <c r="AX145" s="37">
        <f>AQ145+AY145</f>
        <v>8511618</v>
      </c>
      <c r="AY145" s="37">
        <v>150</v>
      </c>
      <c r="AZ145" s="21" t="s">
        <v>3090</v>
      </c>
      <c r="BA145" s="21" t="s">
        <v>4356</v>
      </c>
      <c r="BB145" s="21" t="s">
        <v>848</v>
      </c>
      <c r="BC145" s="21" t="s">
        <v>4365</v>
      </c>
      <c r="BD145" s="21" t="str">
        <f>IF(AL145&lt;1,"Bill fully settled","Bill partially settled")</f>
        <v>Bill fully settled</v>
      </c>
      <c r="BE145" s="21" t="str">
        <f>"Payable reduced by PKR "&amp;TEXT(AK145+AI145+AJ145,"#,##0")</f>
        <v>Payable reduced by PKR 8,959,440</v>
      </c>
      <c r="BF145" s="21" t="s">
        <v>4831</v>
      </c>
      <c r="BG145" s="21" t="s">
        <v>753</v>
      </c>
      <c r="BH145" s="21" t="s">
        <v>4367</v>
      </c>
      <c r="BI145" s="21" t="s">
        <v>844</v>
      </c>
      <c r="BJ145" s="21" t="s">
        <v>844</v>
      </c>
      <c r="BK145" s="21" t="s">
        <v>753</v>
      </c>
      <c r="BL145" s="21" t="s">
        <v>753</v>
      </c>
      <c r="BM145" s="21" t="s">
        <v>753</v>
      </c>
      <c r="BN145" s="21" t="s">
        <v>4368</v>
      </c>
      <c r="BO145" s="21" t="s">
        <v>848</v>
      </c>
      <c r="BP145" s="21" t="str">
        <f>K145</f>
        <v>Paid</v>
      </c>
    </row>
    <row r="146" spans="1:68" x14ac:dyDescent="0.3">
      <c r="A146" s="21" t="s">
        <v>4832</v>
      </c>
      <c r="B146" s="29">
        <v>46279</v>
      </c>
      <c r="C146" s="21" t="s">
        <v>4354</v>
      </c>
      <c r="D146" s="21" t="s">
        <v>743</v>
      </c>
      <c r="E146" s="21" t="s">
        <v>3368</v>
      </c>
      <c r="F146" s="21" t="s">
        <v>3369</v>
      </c>
      <c r="G146" s="21" t="s">
        <v>4355</v>
      </c>
      <c r="H146" s="21" t="s">
        <v>3095</v>
      </c>
      <c r="I146" s="21" t="s">
        <v>3085</v>
      </c>
      <c r="J146" s="21" t="s">
        <v>4356</v>
      </c>
      <c r="K146" s="21" t="s">
        <v>4357</v>
      </c>
      <c r="L146" s="21" t="s">
        <v>3533</v>
      </c>
      <c r="M146" s="21" t="s">
        <v>3534</v>
      </c>
      <c r="N146" s="21" t="s">
        <v>3535</v>
      </c>
      <c r="O146" s="21" t="s">
        <v>746</v>
      </c>
      <c r="P146" s="21" t="s">
        <v>4462</v>
      </c>
      <c r="Q146" s="21" t="s">
        <v>4671</v>
      </c>
      <c r="R146" s="21" t="s">
        <v>4672</v>
      </c>
      <c r="S146" s="21" t="s">
        <v>4358</v>
      </c>
      <c r="T146" s="21" t="s">
        <v>3536</v>
      </c>
      <c r="U146" s="37" cm="1">
        <f t="array" ref="U146">SUMPRODUCT(('T08'!$U$3:$U$1500=M146)*('T08'!$AF$3:$AF$1500=1)*('T08'!$I$3:$I$1500&lt;=B146)*'T08'!$BK$3:$BK$1500)-SUMPRODUCT(($M$3:$M$1500=M146)*($B$3:$B$1500&lt;B146)*($AK$3:$AK$1500+$AI$3:$AI$1500+$AJ$3:$AJ$1500))</f>
        <v>219793</v>
      </c>
      <c r="V146" s="21" t="s">
        <v>4297</v>
      </c>
      <c r="W146" s="21" t="str">
        <f>TEXT(_xlfn.XLOOKUP(V146,'T08'!$G$3:$G$1500,'T08'!$J$3:$J$1500),"dd-mmm-yyyy")&amp;" / due "&amp;TEXT(_xlfn.XLOOKUP(V146,'T08'!$G$3:$G$1500,'T08'!$BQ$3:$BQ$1500),"dd-mmm-yyyy")</f>
        <v>17-Aug-2026 / due 16-Sep-2026</v>
      </c>
      <c r="X146" s="21" t="s">
        <v>4359</v>
      </c>
      <c r="Y146" s="21" t="str">
        <f>_xlfn.XLOOKUP(V146,'T08'!$G$3:$G$1500,'T08'!$AC$3:$AC$1500)</f>
        <v>PO-2608-955</v>
      </c>
      <c r="Z146" s="21" t="s">
        <v>844</v>
      </c>
      <c r="AA146" s="37" t="s">
        <v>844</v>
      </c>
      <c r="AB146" s="21" t="str">
        <f>IF(C146="Against bill",IF(V146&lt;&gt;"N/A","OK - bill linked","Missing bill"),IF(Z146&lt;&gt;"N/A","OK - advance request linked","Missing request"))</f>
        <v>OK - bill linked</v>
      </c>
      <c r="AC146" s="21" t="s">
        <v>844</v>
      </c>
      <c r="AD146" s="21" t="s">
        <v>4360</v>
      </c>
      <c r="AE146" s="21">
        <v>1</v>
      </c>
      <c r="AF146" s="21" t="s">
        <v>4673</v>
      </c>
      <c r="AG146" s="37">
        <f>_xlfn.XLOOKUP(V146,'T08'!$G$3:$G$1500,'T08'!$BH$3:$BH$1500)</f>
        <v>278480</v>
      </c>
      <c r="AH146" s="37">
        <v>0</v>
      </c>
      <c r="AI146" s="37">
        <f>_xlfn.XLOOKUP(V146,'T08'!$G$3:$G$1500,'T08'!$BI$3:$BI$1500)</f>
        <v>13924</v>
      </c>
      <c r="AJ146" s="37">
        <f>_xlfn.XLOOKUP(V146,'T08'!$G$3:$G$1500,'T08'!$BJ$3:$BJ$1500)</f>
        <v>0</v>
      </c>
      <c r="AK146" s="37">
        <f>AG146-AH146-AI146-AJ146</f>
        <v>264556</v>
      </c>
      <c r="AL146" s="37">
        <f>AG146-AH146-AI146-AJ146-AK146</f>
        <v>0</v>
      </c>
      <c r="AM146" s="21" t="s">
        <v>4833</v>
      </c>
      <c r="AN146" s="37">
        <f>SUMIFS($AG$3:$AG$1500,$A$3:$A$1500,A146)</f>
        <v>278480</v>
      </c>
      <c r="AO146" s="37">
        <f>SUMIFS($AI$3:$AI$1500,$A$3:$A$1500,A146)</f>
        <v>13924</v>
      </c>
      <c r="AP146" s="37">
        <f>SUMIFS($AJ$3:$AJ$1500,$A$3:$A$1500,A146)</f>
        <v>0</v>
      </c>
      <c r="AQ146" s="37">
        <f>SUMIFS($AK$3:$AK$1500,$A$3:$A$1500,A146)</f>
        <v>264556</v>
      </c>
      <c r="AR146" s="21" t="str">
        <f>"PKR "&amp;TEXT(AQ146,"#,##0")&amp;" only"</f>
        <v>PKR 264,556 only</v>
      </c>
      <c r="AS146" s="21" t="str">
        <f>"Sec 153 - deposit by "&amp;TEXT(EOMONTH(B146,0)+15,"dd-mmm-yyyy")</f>
        <v>Sec 153 - deposit by 15-Oct-2026</v>
      </c>
      <c r="AT146" s="21" t="s">
        <v>844</v>
      </c>
      <c r="AU146" s="21" t="s">
        <v>4834</v>
      </c>
      <c r="AV146" s="21" t="s">
        <v>4364</v>
      </c>
      <c r="AW146" s="29">
        <v>46279</v>
      </c>
      <c r="AX146" s="37">
        <f>AQ146+AY146</f>
        <v>264706</v>
      </c>
      <c r="AY146" s="37">
        <v>150</v>
      </c>
      <c r="AZ146" s="21" t="s">
        <v>3090</v>
      </c>
      <c r="BA146" s="21" t="s">
        <v>4356</v>
      </c>
      <c r="BB146" s="21" t="s">
        <v>848</v>
      </c>
      <c r="BC146" s="21" t="s">
        <v>4365</v>
      </c>
      <c r="BD146" s="21" t="str">
        <f>IF(AL146&lt;1,"Bill fully settled","Bill partially settled")</f>
        <v>Bill fully settled</v>
      </c>
      <c r="BE146" s="21" t="str">
        <f>"Payable reduced by PKR "&amp;TEXT(AK146+AI146+AJ146,"#,##0")</f>
        <v>Payable reduced by PKR 278,480</v>
      </c>
      <c r="BF146" s="21" t="s">
        <v>4835</v>
      </c>
      <c r="BG146" s="21" t="s">
        <v>753</v>
      </c>
      <c r="BH146" s="21" t="s">
        <v>4367</v>
      </c>
      <c r="BI146" s="21" t="s">
        <v>844</v>
      </c>
      <c r="BJ146" s="21" t="s">
        <v>844</v>
      </c>
      <c r="BK146" s="21" t="s">
        <v>753</v>
      </c>
      <c r="BL146" s="21" t="s">
        <v>753</v>
      </c>
      <c r="BM146" s="21" t="s">
        <v>753</v>
      </c>
      <c r="BN146" s="21" t="s">
        <v>4368</v>
      </c>
      <c r="BO146" s="21" t="s">
        <v>848</v>
      </c>
      <c r="BP146" s="21" t="str">
        <f>K146</f>
        <v>Paid</v>
      </c>
    </row>
    <row r="147" spans="1:68" x14ac:dyDescent="0.3">
      <c r="A147" s="21" t="s">
        <v>4836</v>
      </c>
      <c r="B147" s="29">
        <v>46284</v>
      </c>
      <c r="C147" s="21" t="s">
        <v>4354</v>
      </c>
      <c r="D147" s="21" t="s">
        <v>743</v>
      </c>
      <c r="E147" s="21" t="s">
        <v>3400</v>
      </c>
      <c r="F147" s="21" t="s">
        <v>3401</v>
      </c>
      <c r="G147" s="21" t="s">
        <v>4355</v>
      </c>
      <c r="H147" s="21" t="s">
        <v>3095</v>
      </c>
      <c r="I147" s="21" t="s">
        <v>3085</v>
      </c>
      <c r="J147" s="21" t="s">
        <v>4356</v>
      </c>
      <c r="K147" s="21" t="s">
        <v>4357</v>
      </c>
      <c r="L147" s="21" t="s">
        <v>3403</v>
      </c>
      <c r="M147" s="21" t="s">
        <v>3404</v>
      </c>
      <c r="N147" s="21" t="s">
        <v>967</v>
      </c>
      <c r="O147" s="21" t="s">
        <v>746</v>
      </c>
      <c r="P147" s="21" t="s">
        <v>983</v>
      </c>
      <c r="Q147" s="21" t="s">
        <v>965</v>
      </c>
      <c r="R147" s="21" t="s">
        <v>985</v>
      </c>
      <c r="S147" s="21" t="s">
        <v>4358</v>
      </c>
      <c r="T147" s="21" t="s">
        <v>3405</v>
      </c>
      <c r="U147" s="37" cm="1">
        <f t="array" ref="U147">SUMPRODUCT(('T08'!$U$3:$U$1500=M147)*('T08'!$AF$3:$AF$1500=1)*('T08'!$I$3:$I$1500&lt;=B147)*'T08'!$BK$3:$BK$1500)-SUMPRODUCT(($M$3:$M$1500=M147)*($B$3:$B$1500&lt;B147)*($AK$3:$AK$1500+$AI$3:$AI$1500+$AJ$3:$AJ$1500))</f>
        <v>-7056700</v>
      </c>
      <c r="V147" s="21" t="s">
        <v>4314</v>
      </c>
      <c r="W147" s="21" t="str">
        <f>TEXT(_xlfn.XLOOKUP(V147,'T08'!$G$3:$G$1500,'T08'!$J$3:$J$1500),"dd-mmm-yyyy")&amp;" / due "&amp;TEXT(_xlfn.XLOOKUP(V147,'T08'!$G$3:$G$1500,'T08'!$BQ$3:$BQ$1500),"dd-mmm-yyyy")</f>
        <v>31-Aug-2026 / due 15-Sep-2026</v>
      </c>
      <c r="X147" s="21" t="s">
        <v>4359</v>
      </c>
      <c r="Y147" s="21" t="str">
        <f>_xlfn.XLOOKUP(V147,'T08'!$G$3:$G$1500,'T08'!$AC$3:$AC$1500)</f>
        <v>PO-2608-1</v>
      </c>
      <c r="Z147" s="21" t="s">
        <v>844</v>
      </c>
      <c r="AA147" s="37" t="s">
        <v>844</v>
      </c>
      <c r="AB147" s="21" t="str">
        <f>IF(C147="Against bill",IF(V147&lt;&gt;"N/A","OK - bill linked","Missing bill"),IF(Z147&lt;&gt;"N/A","OK - advance request linked","Missing request"))</f>
        <v>OK - bill linked</v>
      </c>
      <c r="AC147" s="21" t="s">
        <v>844</v>
      </c>
      <c r="AD147" s="21" t="s">
        <v>4360</v>
      </c>
      <c r="AE147" s="21">
        <v>1</v>
      </c>
      <c r="AF147" s="21" t="s">
        <v>4361</v>
      </c>
      <c r="AG147" s="37">
        <f>_xlfn.XLOOKUP(V147,'T08'!$G$3:$G$1500,'T08'!$BH$3:$BH$1500)</f>
        <v>5309920</v>
      </c>
      <c r="AH147" s="37">
        <v>0</v>
      </c>
      <c r="AI147" s="37">
        <f>_xlfn.XLOOKUP(V147,'T08'!$G$3:$G$1500,'T08'!$BI$3:$BI$1500)</f>
        <v>265496</v>
      </c>
      <c r="AJ147" s="37">
        <f>_xlfn.XLOOKUP(V147,'T08'!$G$3:$G$1500,'T08'!$BJ$3:$BJ$1500)</f>
        <v>0</v>
      </c>
      <c r="AK147" s="37">
        <f>AG147-AH147-AI147-AJ147</f>
        <v>5044424</v>
      </c>
      <c r="AL147" s="37">
        <f>AG147-AH147-AI147-AJ147-AK147</f>
        <v>0</v>
      </c>
      <c r="AM147" s="21" t="s">
        <v>4837</v>
      </c>
      <c r="AN147" s="37">
        <f>SUMIFS($AG$3:$AG$1500,$A$3:$A$1500,A147)</f>
        <v>5309920</v>
      </c>
      <c r="AO147" s="37">
        <f>SUMIFS($AI$3:$AI$1500,$A$3:$A$1500,A147)</f>
        <v>265496</v>
      </c>
      <c r="AP147" s="37">
        <f>SUMIFS($AJ$3:$AJ$1500,$A$3:$A$1500,A147)</f>
        <v>0</v>
      </c>
      <c r="AQ147" s="37">
        <f>SUMIFS($AK$3:$AK$1500,$A$3:$A$1500,A147)</f>
        <v>5044424</v>
      </c>
      <c r="AR147" s="21" t="str">
        <f>"PKR "&amp;TEXT(AQ147,"#,##0")&amp;" only"</f>
        <v>PKR 5,044,424 only</v>
      </c>
      <c r="AS147" s="21" t="str">
        <f>"Sec 153 - deposit by "&amp;TEXT(EOMONTH(B147,0)+15,"dd-mmm-yyyy")</f>
        <v>Sec 153 - deposit by 15-Oct-2026</v>
      </c>
      <c r="AT147" s="21" t="s">
        <v>844</v>
      </c>
      <c r="AU147" s="21" t="s">
        <v>4838</v>
      </c>
      <c r="AV147" s="21" t="s">
        <v>4364</v>
      </c>
      <c r="AW147" s="29">
        <v>46284</v>
      </c>
      <c r="AX147" s="37">
        <f>AQ147+AY147</f>
        <v>5044574</v>
      </c>
      <c r="AY147" s="37">
        <v>150</v>
      </c>
      <c r="AZ147" s="21" t="s">
        <v>3090</v>
      </c>
      <c r="BA147" s="21" t="s">
        <v>4356</v>
      </c>
      <c r="BB147" s="21" t="s">
        <v>848</v>
      </c>
      <c r="BC147" s="21" t="s">
        <v>4365</v>
      </c>
      <c r="BD147" s="21" t="str">
        <f>IF(AL147&lt;1,"Bill fully settled","Bill partially settled")</f>
        <v>Bill fully settled</v>
      </c>
      <c r="BE147" s="21" t="str">
        <f>"Payable reduced by PKR "&amp;TEXT(AK147+AI147+AJ147,"#,##0")</f>
        <v>Payable reduced by PKR 5,309,920</v>
      </c>
      <c r="BF147" s="21" t="s">
        <v>4839</v>
      </c>
      <c r="BG147" s="21" t="s">
        <v>753</v>
      </c>
      <c r="BH147" s="21" t="s">
        <v>4367</v>
      </c>
      <c r="BI147" s="21" t="s">
        <v>844</v>
      </c>
      <c r="BJ147" s="21" t="s">
        <v>844</v>
      </c>
      <c r="BK147" s="21" t="s">
        <v>753</v>
      </c>
      <c r="BL147" s="21" t="s">
        <v>753</v>
      </c>
      <c r="BM147" s="21" t="s">
        <v>753</v>
      </c>
      <c r="BN147" s="21" t="s">
        <v>4368</v>
      </c>
      <c r="BO147" s="21" t="s">
        <v>848</v>
      </c>
      <c r="BP147" s="21" t="str">
        <f>K147</f>
        <v>Paid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F2CE2-F94F-448B-9257-A6ED6A6BFF6F}">
  <dimension ref="A1:AP71"/>
  <sheetViews>
    <sheetView workbookViewId="0">
      <pane ySplit="2" topLeftCell="A3" activePane="bottomLeft" state="frozen"/>
      <selection activeCell="B16" sqref="B16"/>
      <selection pane="bottomLeft" activeCell="B16" sqref="B16"/>
    </sheetView>
  </sheetViews>
  <sheetFormatPr defaultRowHeight="16.5" x14ac:dyDescent="0.3"/>
  <cols>
    <col min="1" max="42" width="18.375" customWidth="1"/>
  </cols>
  <sheetData>
    <row r="1" spans="1:42" s="12" customFormat="1" ht="30" customHeight="1" x14ac:dyDescent="0.3">
      <c r="A1" s="15" t="s">
        <v>525</v>
      </c>
      <c r="B1" s="14" t="s">
        <v>60</v>
      </c>
      <c r="C1" s="14" t="s">
        <v>60</v>
      </c>
      <c r="D1" s="14" t="s">
        <v>60</v>
      </c>
      <c r="E1" s="14" t="s">
        <v>60</v>
      </c>
      <c r="F1" s="14" t="s">
        <v>60</v>
      </c>
      <c r="G1" s="14" t="s">
        <v>524</v>
      </c>
      <c r="H1" s="14" t="s">
        <v>60</v>
      </c>
      <c r="I1" s="14" t="s">
        <v>60</v>
      </c>
      <c r="J1" s="14" t="s">
        <v>60</v>
      </c>
      <c r="K1" s="14" t="s">
        <v>60</v>
      </c>
      <c r="L1" s="14" t="s">
        <v>60</v>
      </c>
      <c r="M1" s="14" t="s">
        <v>523</v>
      </c>
      <c r="N1" s="14" t="s">
        <v>60</v>
      </c>
      <c r="O1" s="14" t="s">
        <v>60</v>
      </c>
      <c r="P1" s="14" t="s">
        <v>522</v>
      </c>
      <c r="Q1" s="14" t="s">
        <v>60</v>
      </c>
      <c r="R1" s="14" t="s">
        <v>60</v>
      </c>
      <c r="S1" s="14" t="s">
        <v>60</v>
      </c>
      <c r="T1" s="14" t="s">
        <v>60</v>
      </c>
      <c r="U1" s="14" t="s">
        <v>60</v>
      </c>
      <c r="V1" s="14" t="s">
        <v>60</v>
      </c>
      <c r="W1" s="14" t="s">
        <v>60</v>
      </c>
      <c r="X1" s="14" t="s">
        <v>60</v>
      </c>
      <c r="Y1" s="14" t="s">
        <v>60</v>
      </c>
      <c r="Z1" s="14" t="s">
        <v>60</v>
      </c>
      <c r="AA1" s="14" t="s">
        <v>521</v>
      </c>
      <c r="AB1" s="14" t="s">
        <v>60</v>
      </c>
      <c r="AC1" s="14" t="s">
        <v>60</v>
      </c>
      <c r="AD1" s="14" t="s">
        <v>60</v>
      </c>
      <c r="AE1" s="14" t="s">
        <v>60</v>
      </c>
      <c r="AF1" s="14" t="s">
        <v>520</v>
      </c>
      <c r="AG1" s="14" t="s">
        <v>60</v>
      </c>
      <c r="AH1" s="14" t="s">
        <v>60</v>
      </c>
      <c r="AI1" s="14" t="s">
        <v>60</v>
      </c>
      <c r="AJ1" s="14" t="s">
        <v>60</v>
      </c>
      <c r="AK1" s="14" t="s">
        <v>60</v>
      </c>
      <c r="AL1" s="14" t="s">
        <v>519</v>
      </c>
      <c r="AM1" s="14" t="s">
        <v>60</v>
      </c>
      <c r="AN1" s="14" t="s">
        <v>60</v>
      </c>
      <c r="AO1" s="14" t="s">
        <v>60</v>
      </c>
      <c r="AP1" s="13" t="s">
        <v>60</v>
      </c>
    </row>
    <row r="2" spans="1:42" ht="45" customHeight="1" x14ac:dyDescent="0.3">
      <c r="A2" s="11" t="s">
        <v>518</v>
      </c>
      <c r="B2" s="10" t="s">
        <v>517</v>
      </c>
      <c r="C2" s="10" t="s">
        <v>516</v>
      </c>
      <c r="D2" s="10" t="s">
        <v>515</v>
      </c>
      <c r="E2" s="10" t="s">
        <v>514</v>
      </c>
      <c r="F2" s="10" t="s">
        <v>513</v>
      </c>
      <c r="G2" s="10" t="s">
        <v>512</v>
      </c>
      <c r="H2" s="10" t="s">
        <v>511</v>
      </c>
      <c r="I2" s="10" t="s">
        <v>510</v>
      </c>
      <c r="J2" s="10" t="s">
        <v>509</v>
      </c>
      <c r="K2" s="10" t="s">
        <v>508</v>
      </c>
      <c r="L2" s="10" t="s">
        <v>507</v>
      </c>
      <c r="M2" s="10" t="s">
        <v>506</v>
      </c>
      <c r="N2" s="10" t="s">
        <v>505</v>
      </c>
      <c r="O2" s="10" t="s">
        <v>504</v>
      </c>
      <c r="P2" s="10" t="s">
        <v>322</v>
      </c>
      <c r="Q2" s="10" t="s">
        <v>503</v>
      </c>
      <c r="R2" s="10" t="s">
        <v>502</v>
      </c>
      <c r="S2" s="10" t="s">
        <v>319</v>
      </c>
      <c r="T2" s="10" t="s">
        <v>501</v>
      </c>
      <c r="U2" s="10" t="s">
        <v>500</v>
      </c>
      <c r="V2" s="10" t="s">
        <v>499</v>
      </c>
      <c r="W2" s="10" t="s">
        <v>498</v>
      </c>
      <c r="X2" s="10" t="s">
        <v>497</v>
      </c>
      <c r="Y2" s="10" t="s">
        <v>496</v>
      </c>
      <c r="Z2" s="10" t="s">
        <v>495</v>
      </c>
      <c r="AA2" s="10" t="s">
        <v>494</v>
      </c>
      <c r="AB2" s="10" t="s">
        <v>493</v>
      </c>
      <c r="AC2" s="10" t="s">
        <v>492</v>
      </c>
      <c r="AD2" s="10" t="s">
        <v>491</v>
      </c>
      <c r="AE2" s="10" t="s">
        <v>431</v>
      </c>
      <c r="AF2" s="10" t="s">
        <v>490</v>
      </c>
      <c r="AG2" s="10" t="s">
        <v>489</v>
      </c>
      <c r="AH2" s="10" t="s">
        <v>488</v>
      </c>
      <c r="AI2" s="10" t="s">
        <v>487</v>
      </c>
      <c r="AJ2" s="10" t="s">
        <v>486</v>
      </c>
      <c r="AK2" s="10" t="s">
        <v>485</v>
      </c>
      <c r="AL2" s="10" t="s">
        <v>484</v>
      </c>
      <c r="AM2" s="10" t="s">
        <v>483</v>
      </c>
      <c r="AN2" s="10" t="s">
        <v>482</v>
      </c>
      <c r="AO2" s="10" t="s">
        <v>481</v>
      </c>
      <c r="AP2" s="9" t="s">
        <v>480</v>
      </c>
    </row>
    <row r="3" spans="1:42" x14ac:dyDescent="0.3">
      <c r="A3" s="20" t="s">
        <v>1923</v>
      </c>
      <c r="B3" s="28">
        <v>45591</v>
      </c>
      <c r="C3" s="20" t="s">
        <v>3020</v>
      </c>
      <c r="D3" s="20" t="s">
        <v>3021</v>
      </c>
      <c r="E3" s="40" t="s">
        <v>4994</v>
      </c>
      <c r="F3" s="20" t="s">
        <v>1809</v>
      </c>
      <c r="G3" s="20" t="s">
        <v>1813</v>
      </c>
      <c r="H3" s="20" t="s">
        <v>1106</v>
      </c>
      <c r="I3" s="20" t="s">
        <v>1089</v>
      </c>
      <c r="J3" s="20" t="s">
        <v>844</v>
      </c>
      <c r="K3" s="20" t="s">
        <v>848</v>
      </c>
      <c r="L3" s="20" t="s">
        <v>3022</v>
      </c>
      <c r="M3" s="20" t="str" cm="1">
        <f t="array" ref="M3">_xlfn.TEXTJOIN(", ",TRUE,_xlfn.UNIQUE(_xlfn._xlws.FILTER('T14'!$A$3:$A$1500,'T14'!$AO$3:$AO$1500=A3,"")))</f>
        <v>DC-00001, DC-00003, DC-00006, DC-00008, DC-00010, DC-00012</v>
      </c>
      <c r="N3" s="24">
        <f>SUMIFS('T14'!$AD$3:$AD$1500,'T14'!$AO$3:$AO$1500,A3,'T14'!$AA$3:$AA$1500,Q3&amp;"*")</f>
        <v>207</v>
      </c>
      <c r="O3" s="20" t="s">
        <v>1091</v>
      </c>
      <c r="P3" s="20">
        <v>1</v>
      </c>
      <c r="Q3" s="20" t="s">
        <v>781</v>
      </c>
      <c r="R3" s="20" t="s">
        <v>782</v>
      </c>
      <c r="S3" s="20" t="s">
        <v>783</v>
      </c>
      <c r="T3" s="24">
        <f>SUMIFS('T14'!$AI$3:$AI$1500,'T14'!$AO$3:$AO$1500,A3,'T14'!$AA$3:$AA$1500,Q3&amp;"*")</f>
        <v>207</v>
      </c>
      <c r="U3" s="24">
        <f>SUMIFS('T09'!$W$3:$W$1500,'T09'!$A$3:$A$1500,F3,'T09'!$T$3:$T$1500,Q3&amp;"*")</f>
        <v>27150</v>
      </c>
      <c r="V3" s="24">
        <f>T3*U3</f>
        <v>5620050</v>
      </c>
      <c r="W3" s="24">
        <f>V3</f>
        <v>5620050</v>
      </c>
      <c r="X3" s="22">
        <f>_xlfn.XLOOKUP(Q3,'T13'!$A$3:$A$1500,'T13'!$O$3:$O$1500)</f>
        <v>0.18</v>
      </c>
      <c r="Y3" s="24">
        <f>T3*IF(S3="MT",1000,IF(S3="Jumbo bag (1.5 MT)",1500,IF(S3="Bag (40 kg)",40,50)))*3</f>
        <v>621000</v>
      </c>
      <c r="Z3" s="20" t="str">
        <f>_xlfn.XLOOKUP(Q3,'T13'!$A$3:$A$1500,'T13'!$AA$3:$AA$1500)&amp;" / CC-SALES-LHR"</f>
        <v>4102 Sales - Cement bulk / CC-SALES-LHR</v>
      </c>
      <c r="AA3" s="32">
        <f>SUMIFS($T$3:$T$1500,$A$3:$A$1500,A3,$S$3:$S$1500,"Bag (50 kg)")*0.05+SUMIFS($T$3:$T$1500,$A$3:$A$1500,A3,$S$3:$S$1500,"Bag (40 kg)")*0.04+SUMIFS($T$3:$T$1500,$A$3:$A$1500,A3,$S$3:$S$1500,"MT")+SUMIFS($T$3:$T$1500,$A$3:$A$1500,A3,$S$3:$S$1500,"Jumbo bag (1.5 MT)")*1.5</f>
        <v>207</v>
      </c>
      <c r="AB3" s="24" cm="1">
        <f t="array" ref="AB3">SUMPRODUCT(($A$3:$A$1500=A3)*$W$3:$W$1500*$X$3:$X$1500)</f>
        <v>1011609</v>
      </c>
      <c r="AC3" s="24">
        <f>SUMIFS($Y$3:$Y$1500,$A$3:$A$1500,A3)</f>
        <v>621000</v>
      </c>
      <c r="AD3" s="24">
        <f>SUMIFS($W$3:$W$1500,$A$3:$A$1500,A3)+AB3+AC3</f>
        <v>7252659</v>
      </c>
      <c r="AE3" s="20" t="str">
        <f>"PKR "&amp;TEXT(AD3,"#,##0")&amp;" only"</f>
        <v>PKR 7,252,659 only</v>
      </c>
      <c r="AF3" s="20" t="s">
        <v>1051</v>
      </c>
      <c r="AG3" s="28">
        <f>B3+30</f>
        <v>45621</v>
      </c>
      <c r="AH3" s="24">
        <f>SUMIFS('T15'!$BC$3:$BC$1499,'T15'!$AY$3:$AY$1499,A3,'T15'!$C$3:$C$1499,"Advance*")</f>
        <v>0</v>
      </c>
      <c r="AI3" s="24">
        <f>SUMIFS('T15'!$BC$3:$BC$1499,'T15'!$AY$3:$AY$1499,A3)+SUMIFS('T15'!$BD$3:$BD$1499,'T15'!$AY$3:$AY$1499,A3)+SUMIFS('T15'!$BE$3:$BE$1499,'T15'!$AY$3:$AY$1499,A3)</f>
        <v>7252659</v>
      </c>
      <c r="AJ3" s="20" t="str">
        <f ca="1">TEXT(AD3-AI3,"#,##0")&amp;" - "&amp;IF(AD3-AI3&lt;1,"Paid",IF(AI3&gt;0,"Partially paid",IF(AG3&lt;TODAY(),"Overdue","Open")))</f>
        <v>0 - Paid</v>
      </c>
      <c r="AK3" s="20" t="str" cm="1">
        <f t="array" ref="AK3">_xlfn.TEXTJOIN(", ",TRUE,_xlfn._xlws.FILTER('T15'!$A$3:$A$1499,'T15'!$AY$3:$AY$1499=A3,"None"))</f>
        <v>RCP-0001, RCP-0002</v>
      </c>
      <c r="AL3" s="20" t="s">
        <v>753</v>
      </c>
      <c r="AM3" s="20" t="s">
        <v>753</v>
      </c>
      <c r="AN3" s="20" t="s">
        <v>753</v>
      </c>
      <c r="AO3" s="20" t="s">
        <v>3023</v>
      </c>
      <c r="AP3" s="20" t="s">
        <v>844</v>
      </c>
    </row>
    <row r="4" spans="1:42" x14ac:dyDescent="0.3">
      <c r="A4" s="21" t="s">
        <v>1935</v>
      </c>
      <c r="B4" s="29">
        <v>45591</v>
      </c>
      <c r="C4" s="21" t="s">
        <v>3020</v>
      </c>
      <c r="D4" s="21" t="s">
        <v>3021</v>
      </c>
      <c r="E4" s="41" t="s">
        <v>4994</v>
      </c>
      <c r="F4" s="21" t="s">
        <v>1794</v>
      </c>
      <c r="G4" s="21" t="s">
        <v>1800</v>
      </c>
      <c r="H4" s="21" t="s">
        <v>1928</v>
      </c>
      <c r="I4" s="21" t="s">
        <v>1073</v>
      </c>
      <c r="J4" s="21" t="s">
        <v>844</v>
      </c>
      <c r="K4" s="21" t="s">
        <v>848</v>
      </c>
      <c r="L4" s="21" t="s">
        <v>3024</v>
      </c>
      <c r="M4" s="21" t="str" cm="1">
        <f t="array" ref="M4">_xlfn.TEXTJOIN(", ",TRUE,_xlfn.UNIQUE(_xlfn._xlws.FILTER('T14'!$A$3:$A$1500,'T14'!$AO$3:$AO$1500=A4,"")))</f>
        <v>DC-00002, DC-00004, DC-00005, DC-00007, DC-00009, DC-00011</v>
      </c>
      <c r="N4" s="25">
        <f>SUMIFS('T14'!$AD$3:$AD$1500,'T14'!$AO$3:$AO$1500,A4,'T14'!$AA$3:$AA$1500,Q4&amp;"*")</f>
        <v>2350</v>
      </c>
      <c r="O4" s="21" t="s">
        <v>1091</v>
      </c>
      <c r="P4" s="21">
        <v>1</v>
      </c>
      <c r="Q4" s="21" t="s">
        <v>788</v>
      </c>
      <c r="R4" s="21" t="s">
        <v>790</v>
      </c>
      <c r="S4" s="21" t="s">
        <v>1804</v>
      </c>
      <c r="T4" s="25">
        <f>SUMIFS('T14'!$AI$3:$AI$1500,'T14'!$AO$3:$AO$1500,A4,'T14'!$AA$3:$AA$1500,Q4&amp;"*")</f>
        <v>2345</v>
      </c>
      <c r="U4" s="25">
        <f>SUMIFS('T09'!$W$3:$W$1500,'T09'!$A$3:$A$1500,F4,'T09'!$T$3:$T$1500,Q4&amp;"*")</f>
        <v>1485</v>
      </c>
      <c r="V4" s="25">
        <f>T4*U4</f>
        <v>3482325</v>
      </c>
      <c r="W4" s="25">
        <f>V4</f>
        <v>3482325</v>
      </c>
      <c r="X4" s="23">
        <f>_xlfn.XLOOKUP(Q4,'T13'!$A$3:$A$1500,'T13'!$O$3:$O$1500)</f>
        <v>0.18</v>
      </c>
      <c r="Y4" s="25">
        <f>T4*IF(S4="MT",1000,IF(S4="Jumbo bag (1.5 MT)",1500,IF(S4="Bag (40 kg)",40,50)))*3</f>
        <v>351750</v>
      </c>
      <c r="Z4" s="21" t="str">
        <f>_xlfn.XLOOKUP(Q4,'T13'!$A$3:$A$1500,'T13'!$AA$3:$AA$1500)&amp;" / CC-SALES-LHR"</f>
        <v>4101 Sales - Cement bags / CC-SALES-LHR</v>
      </c>
      <c r="AA4" s="33">
        <f>SUMIFS($T$3:$T$1500,$A$3:$A$1500,A4,$S$3:$S$1500,"Bag (50 kg)")*0.05+SUMIFS($T$3:$T$1500,$A$3:$A$1500,A4,$S$3:$S$1500,"Bag (40 kg)")*0.04+SUMIFS($T$3:$T$1500,$A$3:$A$1500,A4,$S$3:$S$1500,"MT")+SUMIFS($T$3:$T$1500,$A$3:$A$1500,A4,$S$3:$S$1500,"Jumbo bag (1.5 MT)")*1.5</f>
        <v>159.75</v>
      </c>
      <c r="AB4" s="25" cm="1">
        <f t="array" ref="AB4">SUMPRODUCT(($A$3:$A$1500=A4)*$W$3:$W$1500*$X$3:$X$1500)</f>
        <v>835663.5</v>
      </c>
      <c r="AC4" s="25">
        <f>SUMIFS($Y$3:$Y$1500,$A$3:$A$1500,A4)</f>
        <v>479250</v>
      </c>
      <c r="AD4" s="25">
        <f>SUMIFS($W$3:$W$1500,$A$3:$A$1500,A4)+AB4+AC4</f>
        <v>5957488.5</v>
      </c>
      <c r="AE4" s="21" t="str">
        <f>"PKR "&amp;TEXT(AD4,"#,##0")&amp;" only"</f>
        <v>PKR 5,957,489 only</v>
      </c>
      <c r="AF4" s="21" t="s">
        <v>1051</v>
      </c>
      <c r="AG4" s="29">
        <f>B4+30</f>
        <v>45621</v>
      </c>
      <c r="AH4" s="25">
        <f>SUMIFS('T15'!$BC$3:$BC$1499,'T15'!$AY$3:$AY$1499,A4,'T15'!$C$3:$C$1499,"Advance*")</f>
        <v>0</v>
      </c>
      <c r="AI4" s="25">
        <f>SUMIFS('T15'!$BC$3:$BC$1499,'T15'!$AY$3:$AY$1499,A4)+SUMIFS('T15'!$BD$3:$BD$1499,'T15'!$AY$3:$AY$1499,A4)+SUMIFS('T15'!$BE$3:$BE$1499,'T15'!$AY$3:$AY$1499,A4)</f>
        <v>5957488.5</v>
      </c>
      <c r="AJ4" s="21" t="str">
        <f ca="1">TEXT(AD4-AI4,"#,##0")&amp;" - "&amp;IF(AD4-AI4&lt;1,"Paid",IF(AI4&gt;0,"Partially paid",IF(AG4&lt;TODAY(),"Overdue","Open")))</f>
        <v>0 - Paid</v>
      </c>
      <c r="AK4" s="21" t="str" cm="1">
        <f t="array" ref="AK4">_xlfn.TEXTJOIN(", ",TRUE,_xlfn._xlws.FILTER('T15'!$A$3:$A$1499,'T15'!$AY$3:$AY$1499=A4,"None"))</f>
        <v>RCP-0003</v>
      </c>
      <c r="AL4" s="21" t="s">
        <v>753</v>
      </c>
      <c r="AM4" s="21" t="s">
        <v>844</v>
      </c>
      <c r="AN4" s="21" t="s">
        <v>846</v>
      </c>
      <c r="AO4" s="21" t="s">
        <v>3025</v>
      </c>
      <c r="AP4" s="21" t="s">
        <v>844</v>
      </c>
    </row>
    <row r="5" spans="1:42" x14ac:dyDescent="0.3">
      <c r="A5" s="21" t="s">
        <v>1935</v>
      </c>
      <c r="B5" s="29">
        <v>45591</v>
      </c>
      <c r="C5" s="21" t="s">
        <v>3020</v>
      </c>
      <c r="D5" s="21" t="s">
        <v>3021</v>
      </c>
      <c r="E5" s="41" t="s">
        <v>4994</v>
      </c>
      <c r="F5" s="21" t="s">
        <v>1794</v>
      </c>
      <c r="G5" s="21" t="s">
        <v>1800</v>
      </c>
      <c r="H5" s="21" t="s">
        <v>1928</v>
      </c>
      <c r="I5" s="21" t="s">
        <v>1073</v>
      </c>
      <c r="J5" s="21" t="s">
        <v>844</v>
      </c>
      <c r="K5" s="21" t="s">
        <v>848</v>
      </c>
      <c r="L5" s="21" t="s">
        <v>3024</v>
      </c>
      <c r="M5" s="21" t="str" cm="1">
        <f t="array" ref="M5">_xlfn.TEXTJOIN(", ",TRUE,_xlfn.UNIQUE(_xlfn._xlws.FILTER('T14'!$A$3:$A$1500,'T14'!$AO$3:$AO$1500=A5,"")))</f>
        <v>DC-00002, DC-00004, DC-00005, DC-00007, DC-00009, DC-00011</v>
      </c>
      <c r="N5" s="25">
        <f>SUMIFS('T14'!$AD$3:$AD$1500,'T14'!$AO$3:$AO$1500,A5,'T14'!$AA$3:$AA$1500,Q5&amp;"*")</f>
        <v>850</v>
      </c>
      <c r="O5" s="21" t="s">
        <v>1091</v>
      </c>
      <c r="P5" s="21">
        <v>2</v>
      </c>
      <c r="Q5" s="21" t="s">
        <v>799</v>
      </c>
      <c r="R5" s="21" t="s">
        <v>801</v>
      </c>
      <c r="S5" s="21" t="s">
        <v>1804</v>
      </c>
      <c r="T5" s="25">
        <f>SUMIFS('T14'!$AI$3:$AI$1500,'T14'!$AO$3:$AO$1500,A5,'T14'!$AA$3:$AA$1500,Q5&amp;"*")</f>
        <v>850</v>
      </c>
      <c r="U5" s="25">
        <f>SUMIFS('T09'!$W$3:$W$1500,'T09'!$A$3:$A$1500,F5,'T09'!$T$3:$T$1500,Q5&amp;"*")</f>
        <v>1365</v>
      </c>
      <c r="V5" s="25">
        <f>T5*U5</f>
        <v>1160250</v>
      </c>
      <c r="W5" s="25">
        <f>V5</f>
        <v>1160250</v>
      </c>
      <c r="X5" s="23">
        <f>_xlfn.XLOOKUP(Q5,'T13'!$A$3:$A$1500,'T13'!$O$3:$O$1500)</f>
        <v>0.18</v>
      </c>
      <c r="Y5" s="25">
        <f>T5*IF(S5="MT",1000,IF(S5="Jumbo bag (1.5 MT)",1500,IF(S5="Bag (40 kg)",40,50)))*3</f>
        <v>127500</v>
      </c>
      <c r="Z5" s="21" t="str">
        <f>_xlfn.XLOOKUP(Q5,'T13'!$A$3:$A$1500,'T13'!$AA$3:$AA$1500)&amp;" / CC-SALES-LHR"</f>
        <v>4101 Sales - Cement bags / CC-SALES-LHR</v>
      </c>
      <c r="AA5" s="33">
        <f>SUMIFS($T$3:$T$1500,$A$3:$A$1500,A5,$S$3:$S$1500,"Bag (50 kg)")*0.05+SUMIFS($T$3:$T$1500,$A$3:$A$1500,A5,$S$3:$S$1500,"Bag (40 kg)")*0.04+SUMIFS($T$3:$T$1500,$A$3:$A$1500,A5,$S$3:$S$1500,"MT")+SUMIFS($T$3:$T$1500,$A$3:$A$1500,A5,$S$3:$S$1500,"Jumbo bag (1.5 MT)")*1.5</f>
        <v>159.75</v>
      </c>
      <c r="AB5" s="25" cm="1">
        <f t="array" ref="AB5">SUMPRODUCT(($A$3:$A$1500=A5)*$W$3:$W$1500*$X$3:$X$1500)</f>
        <v>835663.5</v>
      </c>
      <c r="AC5" s="25">
        <f>SUMIFS($Y$3:$Y$1500,$A$3:$A$1500,A5)</f>
        <v>479250</v>
      </c>
      <c r="AD5" s="25">
        <f>SUMIFS($W$3:$W$1500,$A$3:$A$1500,A5)+AB5+AC5</f>
        <v>5957488.5</v>
      </c>
      <c r="AE5" s="21" t="str">
        <f>"PKR "&amp;TEXT(AD5,"#,##0")&amp;" only"</f>
        <v>PKR 5,957,489 only</v>
      </c>
      <c r="AF5" s="21" t="s">
        <v>1051</v>
      </c>
      <c r="AG5" s="29">
        <f>B5+30</f>
        <v>45621</v>
      </c>
      <c r="AH5" s="25">
        <f>SUMIFS('T15'!$BC$3:$BC$1499,'T15'!$AY$3:$AY$1499,A5,'T15'!$C$3:$C$1499,"Advance*")</f>
        <v>0</v>
      </c>
      <c r="AI5" s="25">
        <f>SUMIFS('T15'!$BC$3:$BC$1499,'T15'!$AY$3:$AY$1499,A5)+SUMIFS('T15'!$BD$3:$BD$1499,'T15'!$AY$3:$AY$1499,A5)+SUMIFS('T15'!$BE$3:$BE$1499,'T15'!$AY$3:$AY$1499,A5)</f>
        <v>5957488.5</v>
      </c>
      <c r="AJ5" s="21" t="str">
        <f ca="1">TEXT(AD5-AI5,"#,##0")&amp;" - "&amp;IF(AD5-AI5&lt;1,"Paid",IF(AI5&gt;0,"Partially paid",IF(AG5&lt;TODAY(),"Overdue","Open")))</f>
        <v>0 - Paid</v>
      </c>
      <c r="AK5" s="21" t="str" cm="1">
        <f t="array" ref="AK5">_xlfn.TEXTJOIN(", ",TRUE,_xlfn._xlws.FILTER('T15'!$A$3:$A$1499,'T15'!$AY$3:$AY$1499=A5,"None"))</f>
        <v>RCP-0003</v>
      </c>
      <c r="AL5" s="21" t="s">
        <v>753</v>
      </c>
      <c r="AM5" s="21" t="s">
        <v>844</v>
      </c>
      <c r="AN5" s="21" t="s">
        <v>846</v>
      </c>
      <c r="AO5" s="21" t="s">
        <v>3025</v>
      </c>
      <c r="AP5" s="21" t="s">
        <v>844</v>
      </c>
    </row>
    <row r="6" spans="1:42" x14ac:dyDescent="0.3">
      <c r="A6" s="21" t="s">
        <v>1994</v>
      </c>
      <c r="B6" s="29">
        <v>45621</v>
      </c>
      <c r="C6" s="21" t="s">
        <v>3020</v>
      </c>
      <c r="D6" s="21" t="s">
        <v>3021</v>
      </c>
      <c r="E6" s="41" t="s">
        <v>4994</v>
      </c>
      <c r="F6" s="21" t="s">
        <v>1822</v>
      </c>
      <c r="G6" s="21" t="s">
        <v>1823</v>
      </c>
      <c r="H6" s="21" t="s">
        <v>1989</v>
      </c>
      <c r="I6" s="21" t="s">
        <v>1080</v>
      </c>
      <c r="J6" s="21" t="s">
        <v>844</v>
      </c>
      <c r="K6" s="21" t="s">
        <v>848</v>
      </c>
      <c r="L6" s="21" t="s">
        <v>3026</v>
      </c>
      <c r="M6" s="21" t="str" cm="1">
        <f t="array" ref="M6">_xlfn.TEXTJOIN(", ",TRUE,_xlfn.UNIQUE(_xlfn._xlws.FILTER('T14'!$A$3:$A$1500,'T14'!$AO$3:$AO$1500=A6,"")))</f>
        <v>DC-00014, DC-00016, DC-00018, DC-00021, DC-00022</v>
      </c>
      <c r="N6" s="25">
        <f>SUMIFS('T14'!$AD$3:$AD$1500,'T14'!$AO$3:$AO$1500,A6,'T14'!$AA$3:$AA$1500,Q6&amp;"*")</f>
        <v>250</v>
      </c>
      <c r="O6" s="21" t="s">
        <v>1091</v>
      </c>
      <c r="P6" s="21">
        <v>1</v>
      </c>
      <c r="Q6" s="21" t="s">
        <v>763</v>
      </c>
      <c r="R6" s="21" t="s">
        <v>766</v>
      </c>
      <c r="S6" s="21" t="s">
        <v>1804</v>
      </c>
      <c r="T6" s="25">
        <f>SUMIFS('T14'!$AI$3:$AI$1500,'T14'!$AO$3:$AO$1500,A6,'T14'!$AA$3:$AA$1500,Q6&amp;"*")</f>
        <v>250</v>
      </c>
      <c r="U6" s="25">
        <f>SUMIFS('T09'!$W$3:$W$1500,'T09'!$A$3:$A$1500,F6,'T09'!$T$3:$T$1500,Q6&amp;"*")</f>
        <v>1420</v>
      </c>
      <c r="V6" s="25">
        <f>T6*U6</f>
        <v>355000</v>
      </c>
      <c r="W6" s="25">
        <f>V6</f>
        <v>355000</v>
      </c>
      <c r="X6" s="23">
        <f>_xlfn.XLOOKUP(Q6,'T13'!$A$3:$A$1500,'T13'!$O$3:$O$1500)</f>
        <v>0.18</v>
      </c>
      <c r="Y6" s="25">
        <f>T6*IF(S6="MT",1000,IF(S6="Jumbo bag (1.5 MT)",1500,IF(S6="Bag (40 kg)",40,50)))*3</f>
        <v>37500</v>
      </c>
      <c r="Z6" s="21" t="str">
        <f>_xlfn.XLOOKUP(Q6,'T13'!$A$3:$A$1500,'T13'!$AA$3:$AA$1500)&amp;" / CC-SALES-LHR"</f>
        <v>4101 Sales - Cement bags / CC-SALES-LHR</v>
      </c>
      <c r="AA6" s="33">
        <f>SUMIFS($T$3:$T$1500,$A$3:$A$1500,A6,$S$3:$S$1500,"Bag (50 kg)")*0.05+SUMIFS($T$3:$T$1500,$A$3:$A$1500,A6,$S$3:$S$1500,"Bag (40 kg)")*0.04+SUMIFS($T$3:$T$1500,$A$3:$A$1500,A6,$S$3:$S$1500,"MT")+SUMIFS($T$3:$T$1500,$A$3:$A$1500,A6,$S$3:$S$1500,"Jumbo bag (1.5 MT)")*1.5</f>
        <v>110</v>
      </c>
      <c r="AB6" s="25" cm="1">
        <f t="array" ref="AB6">SUMPRODUCT(($A$3:$A$1500=A6)*$W$3:$W$1500*$X$3:$X$1500)</f>
        <v>537750</v>
      </c>
      <c r="AC6" s="25">
        <f>SUMIFS($Y$3:$Y$1500,$A$3:$A$1500,A6)</f>
        <v>330000</v>
      </c>
      <c r="AD6" s="25">
        <f>SUMIFS($W$3:$W$1500,$A$3:$A$1500,A6)+AB6+AC6</f>
        <v>3855250</v>
      </c>
      <c r="AE6" s="21" t="str">
        <f>"PKR "&amp;TEXT(AD6,"#,##0")&amp;" only"</f>
        <v>PKR 3,855,250 only</v>
      </c>
      <c r="AF6" s="21" t="s">
        <v>1087</v>
      </c>
      <c r="AG6" s="29">
        <f>B6+7</f>
        <v>45628</v>
      </c>
      <c r="AH6" s="25">
        <f>SUMIFS('T15'!$BC$3:$BC$1499,'T15'!$AY$3:$AY$1499,A6,'T15'!$C$3:$C$1499,"Advance*")</f>
        <v>0</v>
      </c>
      <c r="AI6" s="25">
        <f>SUMIFS('T15'!$BC$3:$BC$1499,'T15'!$AY$3:$AY$1499,A6)+SUMIFS('T15'!$BD$3:$BD$1499,'T15'!$AY$3:$AY$1499,A6)+SUMIFS('T15'!$BE$3:$BE$1499,'T15'!$AY$3:$AY$1499,A6)</f>
        <v>3855250</v>
      </c>
      <c r="AJ6" s="21" t="str">
        <f ca="1">TEXT(AD6-AI6,"#,##0")&amp;" - "&amp;IF(AD6-AI6&lt;1,"Paid",IF(AI6&gt;0,"Partially paid",IF(AG6&lt;TODAY(),"Overdue","Open")))</f>
        <v>0 - Paid</v>
      </c>
      <c r="AK6" s="21" t="str" cm="1">
        <f t="array" ref="AK6">_xlfn.TEXTJOIN(", ",TRUE,_xlfn._xlws.FILTER('T15'!$A$3:$A$1499,'T15'!$AY$3:$AY$1499=A6,"None"))</f>
        <v>RCP-0004, RCP-0005</v>
      </c>
      <c r="AL6" s="21" t="s">
        <v>753</v>
      </c>
      <c r="AM6" s="21" t="s">
        <v>844</v>
      </c>
      <c r="AN6" s="21" t="s">
        <v>846</v>
      </c>
      <c r="AO6" s="21" t="s">
        <v>3027</v>
      </c>
      <c r="AP6" s="21" t="s">
        <v>844</v>
      </c>
    </row>
    <row r="7" spans="1:42" x14ac:dyDescent="0.3">
      <c r="A7" s="21" t="s">
        <v>1994</v>
      </c>
      <c r="B7" s="29">
        <v>45621</v>
      </c>
      <c r="C7" s="21" t="s">
        <v>3020</v>
      </c>
      <c r="D7" s="21" t="s">
        <v>3021</v>
      </c>
      <c r="E7" s="41" t="s">
        <v>4994</v>
      </c>
      <c r="F7" s="21" t="s">
        <v>1822</v>
      </c>
      <c r="G7" s="21" t="s">
        <v>1823</v>
      </c>
      <c r="H7" s="21" t="s">
        <v>1989</v>
      </c>
      <c r="I7" s="21" t="s">
        <v>1080</v>
      </c>
      <c r="J7" s="21" t="s">
        <v>844</v>
      </c>
      <c r="K7" s="21" t="s">
        <v>848</v>
      </c>
      <c r="L7" s="21" t="s">
        <v>3026</v>
      </c>
      <c r="M7" s="21" t="str" cm="1">
        <f t="array" ref="M7">_xlfn.TEXTJOIN(", ",TRUE,_xlfn.UNIQUE(_xlfn._xlws.FILTER('T14'!$A$3:$A$1500,'T14'!$AO$3:$AO$1500=A7,"")))</f>
        <v>DC-00014, DC-00016, DC-00018, DC-00021, DC-00022</v>
      </c>
      <c r="N7" s="25">
        <f>SUMIFS('T14'!$AD$3:$AD$1500,'T14'!$AO$3:$AO$1500,A7,'T14'!$AA$3:$AA$1500,Q7&amp;"*")</f>
        <v>1950</v>
      </c>
      <c r="O7" s="21" t="s">
        <v>1091</v>
      </c>
      <c r="P7" s="21">
        <v>2</v>
      </c>
      <c r="Q7" s="21" t="s">
        <v>820</v>
      </c>
      <c r="R7" s="21" t="s">
        <v>822</v>
      </c>
      <c r="S7" s="21" t="s">
        <v>1804</v>
      </c>
      <c r="T7" s="25">
        <f>SUMIFS('T14'!$AI$3:$AI$1500,'T14'!$AO$3:$AO$1500,A7,'T14'!$AA$3:$AA$1500,Q7&amp;"*")</f>
        <v>1950</v>
      </c>
      <c r="U7" s="25">
        <f>SUMIFS('T09'!$W$3:$W$1500,'T09'!$A$3:$A$1500,F7,'T09'!$T$3:$T$1500,Q7&amp;"*")</f>
        <v>1350</v>
      </c>
      <c r="V7" s="25">
        <f>T7*U7</f>
        <v>2632500</v>
      </c>
      <c r="W7" s="25">
        <f>V7</f>
        <v>2632500</v>
      </c>
      <c r="X7" s="23">
        <f>_xlfn.XLOOKUP(Q7,'T13'!$A$3:$A$1500,'T13'!$O$3:$O$1500)</f>
        <v>0.18</v>
      </c>
      <c r="Y7" s="25">
        <f>T7*IF(S7="MT",1000,IF(S7="Jumbo bag (1.5 MT)",1500,IF(S7="Bag (40 kg)",40,50)))*3</f>
        <v>292500</v>
      </c>
      <c r="Z7" s="21" t="str">
        <f>_xlfn.XLOOKUP(Q7,'T13'!$A$3:$A$1500,'T13'!$AA$3:$AA$1500)&amp;" / CC-SALES-LHR"</f>
        <v>4101 Sales - Cement bags / CC-SALES-LHR</v>
      </c>
      <c r="AA7" s="33">
        <f>SUMIFS($T$3:$T$1500,$A$3:$A$1500,A7,$S$3:$S$1500,"Bag (50 kg)")*0.05+SUMIFS($T$3:$T$1500,$A$3:$A$1500,A7,$S$3:$S$1500,"Bag (40 kg)")*0.04+SUMIFS($T$3:$T$1500,$A$3:$A$1500,A7,$S$3:$S$1500,"MT")+SUMIFS($T$3:$T$1500,$A$3:$A$1500,A7,$S$3:$S$1500,"Jumbo bag (1.5 MT)")*1.5</f>
        <v>110</v>
      </c>
      <c r="AB7" s="25" cm="1">
        <f t="array" ref="AB7">SUMPRODUCT(($A$3:$A$1500=A7)*$W$3:$W$1500*$X$3:$X$1500)</f>
        <v>537750</v>
      </c>
      <c r="AC7" s="25">
        <f>SUMIFS($Y$3:$Y$1500,$A$3:$A$1500,A7)</f>
        <v>330000</v>
      </c>
      <c r="AD7" s="25">
        <f>SUMIFS($W$3:$W$1500,$A$3:$A$1500,A7)+AB7+AC7</f>
        <v>3855250</v>
      </c>
      <c r="AE7" s="21" t="str">
        <f>"PKR "&amp;TEXT(AD7,"#,##0")&amp;" only"</f>
        <v>PKR 3,855,250 only</v>
      </c>
      <c r="AF7" s="21" t="s">
        <v>1087</v>
      </c>
      <c r="AG7" s="29">
        <f>B7+7</f>
        <v>45628</v>
      </c>
      <c r="AH7" s="25">
        <f>SUMIFS('T15'!$BC$3:$BC$1499,'T15'!$AY$3:$AY$1499,A7,'T15'!$C$3:$C$1499,"Advance*")</f>
        <v>0</v>
      </c>
      <c r="AI7" s="25">
        <f>SUMIFS('T15'!$BC$3:$BC$1499,'T15'!$AY$3:$AY$1499,A7)+SUMIFS('T15'!$BD$3:$BD$1499,'T15'!$AY$3:$AY$1499,A7)+SUMIFS('T15'!$BE$3:$BE$1499,'T15'!$AY$3:$AY$1499,A7)</f>
        <v>3855250</v>
      </c>
      <c r="AJ7" s="21" t="str">
        <f ca="1">TEXT(AD7-AI7,"#,##0")&amp;" - "&amp;IF(AD7-AI7&lt;1,"Paid",IF(AI7&gt;0,"Partially paid",IF(AG7&lt;TODAY(),"Overdue","Open")))</f>
        <v>0 - Paid</v>
      </c>
      <c r="AK7" s="21" t="str" cm="1">
        <f t="array" ref="AK7">_xlfn.TEXTJOIN(", ",TRUE,_xlfn._xlws.FILTER('T15'!$A$3:$A$1499,'T15'!$AY$3:$AY$1499=A7,"None"))</f>
        <v>RCP-0004, RCP-0005</v>
      </c>
      <c r="AL7" s="21" t="s">
        <v>753</v>
      </c>
      <c r="AM7" s="21" t="s">
        <v>844</v>
      </c>
      <c r="AN7" s="21" t="s">
        <v>846</v>
      </c>
      <c r="AO7" s="21" t="s">
        <v>3027</v>
      </c>
      <c r="AP7" s="21" t="s">
        <v>844</v>
      </c>
    </row>
    <row r="8" spans="1:42" x14ac:dyDescent="0.3">
      <c r="A8" s="21" t="s">
        <v>1985</v>
      </c>
      <c r="B8" s="29">
        <v>45622</v>
      </c>
      <c r="C8" s="21" t="s">
        <v>3020</v>
      </c>
      <c r="D8" s="21" t="s">
        <v>3021</v>
      </c>
      <c r="E8" s="41" t="s">
        <v>4994</v>
      </c>
      <c r="F8" s="21" t="s">
        <v>1818</v>
      </c>
      <c r="G8" s="21" t="s">
        <v>1819</v>
      </c>
      <c r="H8" s="21" t="s">
        <v>1980</v>
      </c>
      <c r="I8" s="21" t="s">
        <v>1156</v>
      </c>
      <c r="J8" s="21" t="s">
        <v>844</v>
      </c>
      <c r="K8" s="21" t="s">
        <v>848</v>
      </c>
      <c r="L8" s="21" t="s">
        <v>3028</v>
      </c>
      <c r="M8" s="21" t="str" cm="1">
        <f t="array" ref="M8">_xlfn.TEXTJOIN(", ",TRUE,_xlfn.UNIQUE(_xlfn._xlws.FILTER('T14'!$A$3:$A$1500,'T14'!$AO$3:$AO$1500=A8,"")))</f>
        <v>DC-00013, DC-00015, DC-00017, DC-00019, DC-00020, DC-00023</v>
      </c>
      <c r="N8" s="25">
        <f>SUMIFS('T14'!$AD$3:$AD$1500,'T14'!$AO$3:$AO$1500,A8,'T14'!$AA$3:$AA$1500,Q8&amp;"*")</f>
        <v>4200</v>
      </c>
      <c r="O8" s="21" t="s">
        <v>1091</v>
      </c>
      <c r="P8" s="21">
        <v>1</v>
      </c>
      <c r="Q8" s="21" t="s">
        <v>799</v>
      </c>
      <c r="R8" s="21" t="s">
        <v>801</v>
      </c>
      <c r="S8" s="21" t="s">
        <v>1804</v>
      </c>
      <c r="T8" s="25">
        <f>SUMIFS('T14'!$AI$3:$AI$1500,'T14'!$AO$3:$AO$1500,A8,'T14'!$AA$3:$AA$1500,Q8&amp;"*")</f>
        <v>4200</v>
      </c>
      <c r="U8" s="25">
        <f>SUMIFS('T09'!$W$3:$W$1500,'T09'!$A$3:$A$1500,F8,'T09'!$T$3:$T$1500,Q8&amp;"*")</f>
        <v>1370</v>
      </c>
      <c r="V8" s="25">
        <f>T8*U8</f>
        <v>5754000</v>
      </c>
      <c r="W8" s="25">
        <f>V8</f>
        <v>5754000</v>
      </c>
      <c r="X8" s="23">
        <f>_xlfn.XLOOKUP(Q8,'T13'!$A$3:$A$1500,'T13'!$O$3:$O$1500)</f>
        <v>0.18</v>
      </c>
      <c r="Y8" s="25">
        <f>T8*IF(S8="MT",1000,IF(S8="Jumbo bag (1.5 MT)",1500,IF(S8="Bag (40 kg)",40,50)))*3</f>
        <v>630000</v>
      </c>
      <c r="Z8" s="21" t="str">
        <f>_xlfn.XLOOKUP(Q8,'T13'!$A$3:$A$1500,'T13'!$AA$3:$AA$1500)&amp;" / CC-SALES-LHR"</f>
        <v>4101 Sales - Cement bags / CC-SALES-LHR</v>
      </c>
      <c r="AA8" s="33">
        <f>SUMIFS($T$3:$T$1500,$A$3:$A$1500,A8,$S$3:$S$1500,"Bag (50 kg)")*0.05+SUMIFS($T$3:$T$1500,$A$3:$A$1500,A8,$S$3:$S$1500,"Bag (40 kg)")*0.04+SUMIFS($T$3:$T$1500,$A$3:$A$1500,A8,$S$3:$S$1500,"MT")+SUMIFS($T$3:$T$1500,$A$3:$A$1500,A8,$S$3:$S$1500,"Jumbo bag (1.5 MT)")*1.5</f>
        <v>210</v>
      </c>
      <c r="AB8" s="25" cm="1">
        <f t="array" ref="AB8">SUMPRODUCT(($A$3:$A$1500=A8)*$W$3:$W$1500*$X$3:$X$1500)</f>
        <v>1035720</v>
      </c>
      <c r="AC8" s="25">
        <f>SUMIFS($Y$3:$Y$1500,$A$3:$A$1500,A8)</f>
        <v>630000</v>
      </c>
      <c r="AD8" s="25">
        <f>SUMIFS($W$3:$W$1500,$A$3:$A$1500,A8)+AB8+AC8</f>
        <v>7419720</v>
      </c>
      <c r="AE8" s="21" t="str">
        <f>"PKR "&amp;TEXT(AD8,"#,##0")&amp;" only"</f>
        <v>PKR 7,419,720 only</v>
      </c>
      <c r="AF8" s="21" t="s">
        <v>1051</v>
      </c>
      <c r="AG8" s="29">
        <f>B8+30</f>
        <v>45652</v>
      </c>
      <c r="AH8" s="25">
        <f>SUMIFS('T15'!$BC$3:$BC$1499,'T15'!$AY$3:$AY$1499,A8,'T15'!$C$3:$C$1499,"Advance*")</f>
        <v>0</v>
      </c>
      <c r="AI8" s="25">
        <f>SUMIFS('T15'!$BC$3:$BC$1499,'T15'!$AY$3:$AY$1499,A8)+SUMIFS('T15'!$BD$3:$BD$1499,'T15'!$AY$3:$AY$1499,A8)+SUMIFS('T15'!$BE$3:$BE$1499,'T15'!$AY$3:$AY$1499,A8)</f>
        <v>7419720</v>
      </c>
      <c r="AJ8" s="21" t="str">
        <f ca="1">TEXT(AD8-AI8,"#,##0")&amp;" - "&amp;IF(AD8-AI8&lt;1,"Paid",IF(AI8&gt;0,"Partially paid",IF(AG8&lt;TODAY(),"Overdue","Open")))</f>
        <v>0 - Paid</v>
      </c>
      <c r="AK8" s="21" t="str" cm="1">
        <f t="array" ref="AK8">_xlfn.TEXTJOIN(", ",TRUE,_xlfn._xlws.FILTER('T15'!$A$3:$A$1499,'T15'!$AY$3:$AY$1499=A8,"None"))</f>
        <v>RCP-0006</v>
      </c>
      <c r="AL8" s="21" t="s">
        <v>753</v>
      </c>
      <c r="AM8" s="21" t="s">
        <v>844</v>
      </c>
      <c r="AN8" s="21" t="s">
        <v>753</v>
      </c>
      <c r="AO8" s="21" t="s">
        <v>3029</v>
      </c>
      <c r="AP8" s="21" t="s">
        <v>844</v>
      </c>
    </row>
    <row r="9" spans="1:42" x14ac:dyDescent="0.3">
      <c r="A9" s="21" t="s">
        <v>2033</v>
      </c>
      <c r="B9" s="29">
        <v>45653</v>
      </c>
      <c r="C9" s="21" t="s">
        <v>3020</v>
      </c>
      <c r="D9" s="21" t="s">
        <v>3021</v>
      </c>
      <c r="E9" s="41" t="s">
        <v>4994</v>
      </c>
      <c r="F9" s="21" t="s">
        <v>1829</v>
      </c>
      <c r="G9" s="21" t="s">
        <v>1830</v>
      </c>
      <c r="H9" s="21" t="s">
        <v>1140</v>
      </c>
      <c r="I9" s="21" t="s">
        <v>1133</v>
      </c>
      <c r="J9" s="21" t="s">
        <v>844</v>
      </c>
      <c r="K9" s="21" t="s">
        <v>848</v>
      </c>
      <c r="L9" s="21" t="s">
        <v>3030</v>
      </c>
      <c r="M9" s="21" t="str" cm="1">
        <f t="array" ref="M9">_xlfn.TEXTJOIN(", ",TRUE,_xlfn.UNIQUE(_xlfn._xlws.FILTER('T14'!$A$3:$A$1500,'T14'!$AO$3:$AO$1500=A9,"")))</f>
        <v>DC-00024, DC-00025, DC-00026, DC-00027, DC-00028, DC-00029, DC-00030</v>
      </c>
      <c r="N9" s="25">
        <f>SUMIFS('T14'!$AD$3:$AD$1500,'T14'!$AO$3:$AO$1500,A9,'T14'!$AA$3:$AA$1500,Q9&amp;"*")</f>
        <v>235</v>
      </c>
      <c r="O9" s="21" t="s">
        <v>1091</v>
      </c>
      <c r="P9" s="21">
        <v>1</v>
      </c>
      <c r="Q9" s="21" t="s">
        <v>781</v>
      </c>
      <c r="R9" s="21" t="s">
        <v>782</v>
      </c>
      <c r="S9" s="21" t="s">
        <v>783</v>
      </c>
      <c r="T9" s="25">
        <f>SUMIFS('T14'!$AI$3:$AI$1500,'T14'!$AO$3:$AO$1500,A9,'T14'!$AA$3:$AA$1500,Q9&amp;"*")</f>
        <v>235</v>
      </c>
      <c r="U9" s="25">
        <f>SUMIFS('T09'!$W$3:$W$1500,'T09'!$A$3:$A$1500,F9,'T09'!$T$3:$T$1500,Q9&amp;"*")</f>
        <v>27450</v>
      </c>
      <c r="V9" s="25">
        <f>T9*U9</f>
        <v>6450750</v>
      </c>
      <c r="W9" s="25">
        <f>V9</f>
        <v>6450750</v>
      </c>
      <c r="X9" s="23">
        <f>_xlfn.XLOOKUP(Q9,'T13'!$A$3:$A$1500,'T13'!$O$3:$O$1500)</f>
        <v>0.18</v>
      </c>
      <c r="Y9" s="25">
        <f>T9*IF(S9="MT",1000,IF(S9="Jumbo bag (1.5 MT)",1500,IF(S9="Bag (40 kg)",40,50)))*3</f>
        <v>705000</v>
      </c>
      <c r="Z9" s="21" t="str">
        <f>_xlfn.XLOOKUP(Q9,'T13'!$A$3:$A$1500,'T13'!$AA$3:$AA$1500)&amp;" / CC-SALES-LHR"</f>
        <v>4102 Sales - Cement bulk / CC-SALES-LHR</v>
      </c>
      <c r="AA9" s="33">
        <f>SUMIFS($T$3:$T$1500,$A$3:$A$1500,A9,$S$3:$S$1500,"Bag (50 kg)")*0.05+SUMIFS($T$3:$T$1500,$A$3:$A$1500,A9,$S$3:$S$1500,"Bag (40 kg)")*0.04+SUMIFS($T$3:$T$1500,$A$3:$A$1500,A9,$S$3:$S$1500,"MT")+SUMIFS($T$3:$T$1500,$A$3:$A$1500,A9,$S$3:$S$1500,"Jumbo bag (1.5 MT)")*1.5</f>
        <v>235</v>
      </c>
      <c r="AB9" s="25" cm="1">
        <f t="array" ref="AB9">SUMPRODUCT(($A$3:$A$1500=A9)*$W$3:$W$1500*$X$3:$X$1500)</f>
        <v>1161135</v>
      </c>
      <c r="AC9" s="25">
        <f>SUMIFS($Y$3:$Y$1500,$A$3:$A$1500,A9)</f>
        <v>705000</v>
      </c>
      <c r="AD9" s="25">
        <f>SUMIFS($W$3:$W$1500,$A$3:$A$1500,A9)+AB9+AC9</f>
        <v>8316885</v>
      </c>
      <c r="AE9" s="21" t="str">
        <f>"PKR "&amp;TEXT(AD9,"#,##0")&amp;" only"</f>
        <v>PKR 8,316,885 only</v>
      </c>
      <c r="AF9" s="21" t="s">
        <v>1051</v>
      </c>
      <c r="AG9" s="29">
        <f>B9+30</f>
        <v>45683</v>
      </c>
      <c r="AH9" s="25">
        <f>SUMIFS('T15'!$BC$3:$BC$1499,'T15'!$AY$3:$AY$1499,A9,'T15'!$C$3:$C$1499,"Advance*")</f>
        <v>0</v>
      </c>
      <c r="AI9" s="25">
        <f>SUMIFS('T15'!$BC$3:$BC$1499,'T15'!$AY$3:$AY$1499,A9)+SUMIFS('T15'!$BD$3:$BD$1499,'T15'!$AY$3:$AY$1499,A9)+SUMIFS('T15'!$BE$3:$BE$1499,'T15'!$AY$3:$AY$1499,A9)</f>
        <v>8316885</v>
      </c>
      <c r="AJ9" s="21" t="str">
        <f ca="1">TEXT(AD9-AI9,"#,##0")&amp;" - "&amp;IF(AD9-AI9&lt;1,"Paid",IF(AI9&gt;0,"Partially paid",IF(AG9&lt;TODAY(),"Overdue","Open")))</f>
        <v>0 - Paid</v>
      </c>
      <c r="AK9" s="21" t="str" cm="1">
        <f t="array" ref="AK9">_xlfn.TEXTJOIN(", ",TRUE,_xlfn._xlws.FILTER('T15'!$A$3:$A$1499,'T15'!$AY$3:$AY$1499=A9,"None"))</f>
        <v>RCP-0008, RCP-0009</v>
      </c>
      <c r="AL9" s="21" t="s">
        <v>753</v>
      </c>
      <c r="AM9" s="21" t="s">
        <v>753</v>
      </c>
      <c r="AN9" s="21" t="s">
        <v>753</v>
      </c>
      <c r="AO9" s="21" t="s">
        <v>3031</v>
      </c>
      <c r="AP9" s="21" t="s">
        <v>844</v>
      </c>
    </row>
    <row r="10" spans="1:42" x14ac:dyDescent="0.3">
      <c r="A10" s="21" t="s">
        <v>2060</v>
      </c>
      <c r="B10" s="29">
        <v>45681</v>
      </c>
      <c r="C10" s="21" t="s">
        <v>3020</v>
      </c>
      <c r="D10" s="21" t="s">
        <v>3021</v>
      </c>
      <c r="E10" s="41" t="s">
        <v>4994</v>
      </c>
      <c r="F10" s="21" t="s">
        <v>1839</v>
      </c>
      <c r="G10" s="21" t="s">
        <v>1823</v>
      </c>
      <c r="H10" s="21" t="s">
        <v>1989</v>
      </c>
      <c r="I10" s="21" t="s">
        <v>1080</v>
      </c>
      <c r="J10" s="21" t="s">
        <v>844</v>
      </c>
      <c r="K10" s="21" t="s">
        <v>848</v>
      </c>
      <c r="L10" s="21" t="s">
        <v>3026</v>
      </c>
      <c r="M10" s="21" t="str" cm="1">
        <f t="array" ref="M10">_xlfn.TEXTJOIN(", ",TRUE,_xlfn.UNIQUE(_xlfn._xlws.FILTER('T14'!$A$3:$A$1500,'T14'!$AO$3:$AO$1500=A10,"")))</f>
        <v>DC-00031, DC-00034, DC-00036, DC-00038, DC-00040</v>
      </c>
      <c r="N10" s="25">
        <f>SUMIFS('T14'!$AD$3:$AD$1500,'T14'!$AO$3:$AO$1500,A10,'T14'!$AA$3:$AA$1500,Q10&amp;"*")</f>
        <v>2100</v>
      </c>
      <c r="O10" s="21" t="s">
        <v>1091</v>
      </c>
      <c r="P10" s="21">
        <v>1</v>
      </c>
      <c r="Q10" s="21" t="s">
        <v>805</v>
      </c>
      <c r="R10" s="21" t="s">
        <v>807</v>
      </c>
      <c r="S10" s="21" t="s">
        <v>1804</v>
      </c>
      <c r="T10" s="25">
        <f>SUMIFS('T14'!$AI$3:$AI$1500,'T14'!$AO$3:$AO$1500,A10,'T14'!$AA$3:$AA$1500,Q10&amp;"*")</f>
        <v>2095</v>
      </c>
      <c r="U10" s="25">
        <f>SUMIFS('T09'!$W$3:$W$1500,'T09'!$A$3:$A$1500,F10,'T09'!$T$3:$T$1500,Q10&amp;"*")</f>
        <v>1560</v>
      </c>
      <c r="V10" s="25">
        <f>T10*U10</f>
        <v>3268200</v>
      </c>
      <c r="W10" s="25">
        <f>V10</f>
        <v>3268200</v>
      </c>
      <c r="X10" s="23">
        <f>_xlfn.XLOOKUP(Q10,'T13'!$A$3:$A$1500,'T13'!$O$3:$O$1500)</f>
        <v>0.18</v>
      </c>
      <c r="Y10" s="25">
        <f>T10*IF(S10="MT",1000,IF(S10="Jumbo bag (1.5 MT)",1500,IF(S10="Bag (40 kg)",40,50)))*3</f>
        <v>314250</v>
      </c>
      <c r="Z10" s="21" t="str">
        <f>_xlfn.XLOOKUP(Q10,'T13'!$A$3:$A$1500,'T13'!$AA$3:$AA$1500)&amp;" / CC-SALES-LHR"</f>
        <v>4101 Sales - Cement bags / CC-SALES-LHR</v>
      </c>
      <c r="AA10" s="33">
        <f>SUMIFS($T$3:$T$1500,$A$3:$A$1500,A10,$S$3:$S$1500,"Bag (50 kg)")*0.05+SUMIFS($T$3:$T$1500,$A$3:$A$1500,A10,$S$3:$S$1500,"Bag (40 kg)")*0.04+SUMIFS($T$3:$T$1500,$A$3:$A$1500,A10,$S$3:$S$1500,"MT")+SUMIFS($T$3:$T$1500,$A$3:$A$1500,A10,$S$3:$S$1500,"Jumbo bag (1.5 MT)")*1.5</f>
        <v>128.75</v>
      </c>
      <c r="AB10" s="25" cm="1">
        <f t="array" ref="AB10">SUMPRODUCT(($A$3:$A$1500=A10)*$W$3:$W$1500*$X$3:$X$1500)</f>
        <v>874476</v>
      </c>
      <c r="AC10" s="25">
        <f>SUMIFS($Y$3:$Y$1500,$A$3:$A$1500,A10)</f>
        <v>386250</v>
      </c>
      <c r="AD10" s="25">
        <f>SUMIFS($W$3:$W$1500,$A$3:$A$1500,A10)+AB10+AC10</f>
        <v>6118926</v>
      </c>
      <c r="AE10" s="21" t="str">
        <f>"PKR "&amp;TEXT(AD10,"#,##0")&amp;" only"</f>
        <v>PKR 6,118,926 only</v>
      </c>
      <c r="AF10" s="21" t="s">
        <v>1087</v>
      </c>
      <c r="AG10" s="29">
        <f>B10+7</f>
        <v>45688</v>
      </c>
      <c r="AH10" s="25">
        <f>SUMIFS('T15'!$BC$3:$BC$1499,'T15'!$AY$3:$AY$1499,A10,'T15'!$C$3:$C$1499,"Advance*")</f>
        <v>0</v>
      </c>
      <c r="AI10" s="25">
        <f>SUMIFS('T15'!$BC$3:$BC$1499,'T15'!$AY$3:$AY$1499,A10)+SUMIFS('T15'!$BD$3:$BD$1499,'T15'!$AY$3:$AY$1499,A10)+SUMIFS('T15'!$BE$3:$BE$1499,'T15'!$AY$3:$AY$1499,A10)</f>
        <v>6118926</v>
      </c>
      <c r="AJ10" s="21" t="str">
        <f ca="1">TEXT(AD10-AI10,"#,##0")&amp;" - "&amp;IF(AD10-AI10&lt;1,"Paid",IF(AI10&gt;0,"Partially paid",IF(AG10&lt;TODAY(),"Overdue","Open")))</f>
        <v>0 - Paid</v>
      </c>
      <c r="AK10" s="21" t="str" cm="1">
        <f t="array" ref="AK10">_xlfn.TEXTJOIN(", ",TRUE,_xlfn._xlws.FILTER('T15'!$A$3:$A$1499,'T15'!$AY$3:$AY$1499=A10,"None"))</f>
        <v>RCP-0010, RCP-0011</v>
      </c>
      <c r="AL10" s="21" t="s">
        <v>753</v>
      </c>
      <c r="AM10" s="21" t="s">
        <v>844</v>
      </c>
      <c r="AN10" s="21" t="s">
        <v>846</v>
      </c>
      <c r="AO10" s="21" t="s">
        <v>3032</v>
      </c>
      <c r="AP10" s="21" t="s">
        <v>844</v>
      </c>
    </row>
    <row r="11" spans="1:42" x14ac:dyDescent="0.3">
      <c r="A11" s="21" t="s">
        <v>2060</v>
      </c>
      <c r="B11" s="29">
        <v>45681</v>
      </c>
      <c r="C11" s="21" t="s">
        <v>3020</v>
      </c>
      <c r="D11" s="21" t="s">
        <v>3021</v>
      </c>
      <c r="E11" s="41" t="s">
        <v>4994</v>
      </c>
      <c r="F11" s="21" t="s">
        <v>1839</v>
      </c>
      <c r="G11" s="21" t="s">
        <v>1823</v>
      </c>
      <c r="H11" s="21" t="s">
        <v>1989</v>
      </c>
      <c r="I11" s="21" t="s">
        <v>1080</v>
      </c>
      <c r="J11" s="21" t="s">
        <v>844</v>
      </c>
      <c r="K11" s="21" t="s">
        <v>848</v>
      </c>
      <c r="L11" s="21" t="s">
        <v>3026</v>
      </c>
      <c r="M11" s="21" t="str" cm="1">
        <f t="array" ref="M11">_xlfn.TEXTJOIN(", ",TRUE,_xlfn.UNIQUE(_xlfn._xlws.FILTER('T14'!$A$3:$A$1500,'T14'!$AO$3:$AO$1500=A11,"")))</f>
        <v>DC-00031, DC-00034, DC-00036, DC-00038, DC-00040</v>
      </c>
      <c r="N11" s="25">
        <f>SUMIFS('T14'!$AD$3:$AD$1500,'T14'!$AO$3:$AO$1500,A11,'T14'!$AA$3:$AA$1500,Q11&amp;"*")</f>
        <v>600</v>
      </c>
      <c r="O11" s="21" t="s">
        <v>1091</v>
      </c>
      <c r="P11" s="21">
        <v>2</v>
      </c>
      <c r="Q11" s="21" t="s">
        <v>812</v>
      </c>
      <c r="R11" s="21" t="s">
        <v>814</v>
      </c>
      <c r="S11" s="21" t="s">
        <v>1841</v>
      </c>
      <c r="T11" s="25">
        <f>SUMIFS('T14'!$AI$3:$AI$1500,'T14'!$AO$3:$AO$1500,A11,'T14'!$AA$3:$AA$1500,Q11&amp;"*")</f>
        <v>600</v>
      </c>
      <c r="U11" s="25">
        <f>SUMIFS('T09'!$W$3:$W$1500,'T09'!$A$3:$A$1500,F11,'T09'!$T$3:$T$1500,Q11&amp;"*")</f>
        <v>2650</v>
      </c>
      <c r="V11" s="25">
        <f>T11*U11</f>
        <v>1590000</v>
      </c>
      <c r="W11" s="25">
        <f>V11</f>
        <v>1590000</v>
      </c>
      <c r="X11" s="23">
        <f>_xlfn.XLOOKUP(Q11,'T13'!$A$3:$A$1500,'T13'!$O$3:$O$1500)</f>
        <v>0.18</v>
      </c>
      <c r="Y11" s="25">
        <f>T11*IF(S11="MT",1000,IF(S11="Jumbo bag (1.5 MT)",1500,IF(S11="Bag (40 kg)",40,50)))*3</f>
        <v>72000</v>
      </c>
      <c r="Z11" s="21" t="str">
        <f>_xlfn.XLOOKUP(Q11,'T13'!$A$3:$A$1500,'T13'!$AA$3:$AA$1500)&amp;" / CC-SALES-LHR"</f>
        <v>4101 Sales - Cement bags / CC-SALES-LHR</v>
      </c>
      <c r="AA11" s="33">
        <f>SUMIFS($T$3:$T$1500,$A$3:$A$1500,A11,$S$3:$S$1500,"Bag (50 kg)")*0.05+SUMIFS($T$3:$T$1500,$A$3:$A$1500,A11,$S$3:$S$1500,"Bag (40 kg)")*0.04+SUMIFS($T$3:$T$1500,$A$3:$A$1500,A11,$S$3:$S$1500,"MT")+SUMIFS($T$3:$T$1500,$A$3:$A$1500,A11,$S$3:$S$1500,"Jumbo bag (1.5 MT)")*1.5</f>
        <v>128.75</v>
      </c>
      <c r="AB11" s="25" cm="1">
        <f t="array" ref="AB11">SUMPRODUCT(($A$3:$A$1500=A11)*$W$3:$W$1500*$X$3:$X$1500)</f>
        <v>874476</v>
      </c>
      <c r="AC11" s="25">
        <f>SUMIFS($Y$3:$Y$1500,$A$3:$A$1500,A11)</f>
        <v>386250</v>
      </c>
      <c r="AD11" s="25">
        <f>SUMIFS($W$3:$W$1500,$A$3:$A$1500,A11)+AB11+AC11</f>
        <v>6118926</v>
      </c>
      <c r="AE11" s="21" t="str">
        <f>"PKR "&amp;TEXT(AD11,"#,##0")&amp;" only"</f>
        <v>PKR 6,118,926 only</v>
      </c>
      <c r="AF11" s="21" t="s">
        <v>1087</v>
      </c>
      <c r="AG11" s="29">
        <f>B11+7</f>
        <v>45688</v>
      </c>
      <c r="AH11" s="25">
        <f>SUMIFS('T15'!$BC$3:$BC$1499,'T15'!$AY$3:$AY$1499,A11,'T15'!$C$3:$C$1499,"Advance*")</f>
        <v>0</v>
      </c>
      <c r="AI11" s="25">
        <f>SUMIFS('T15'!$BC$3:$BC$1499,'T15'!$AY$3:$AY$1499,A11)+SUMIFS('T15'!$BD$3:$BD$1499,'T15'!$AY$3:$AY$1499,A11)+SUMIFS('T15'!$BE$3:$BE$1499,'T15'!$AY$3:$AY$1499,A11)</f>
        <v>6118926</v>
      </c>
      <c r="AJ11" s="21" t="str">
        <f ca="1">TEXT(AD11-AI11,"#,##0")&amp;" - "&amp;IF(AD11-AI11&lt;1,"Paid",IF(AI11&gt;0,"Partially paid",IF(AG11&lt;TODAY(),"Overdue","Open")))</f>
        <v>0 - Paid</v>
      </c>
      <c r="AK11" s="21" t="str" cm="1">
        <f t="array" ref="AK11">_xlfn.TEXTJOIN(", ",TRUE,_xlfn._xlws.FILTER('T15'!$A$3:$A$1499,'T15'!$AY$3:$AY$1499=A11,"None"))</f>
        <v>RCP-0010, RCP-0011</v>
      </c>
      <c r="AL11" s="21" t="s">
        <v>753</v>
      </c>
      <c r="AM11" s="21" t="s">
        <v>844</v>
      </c>
      <c r="AN11" s="21" t="s">
        <v>846</v>
      </c>
      <c r="AO11" s="21" t="s">
        <v>3032</v>
      </c>
      <c r="AP11" s="21" t="s">
        <v>844</v>
      </c>
    </row>
    <row r="12" spans="1:42" x14ac:dyDescent="0.3">
      <c r="A12" s="21" t="s">
        <v>2068</v>
      </c>
      <c r="B12" s="29">
        <v>45685</v>
      </c>
      <c r="C12" s="21" t="s">
        <v>3020</v>
      </c>
      <c r="D12" s="21" t="s">
        <v>3021</v>
      </c>
      <c r="E12" s="41" t="s">
        <v>4994</v>
      </c>
      <c r="F12" s="21" t="s">
        <v>1843</v>
      </c>
      <c r="G12" s="21" t="s">
        <v>1844</v>
      </c>
      <c r="H12" s="21" t="s">
        <v>2064</v>
      </c>
      <c r="I12" s="21" t="s">
        <v>3033</v>
      </c>
      <c r="J12" s="21" t="s">
        <v>3034</v>
      </c>
      <c r="K12" s="21" t="s">
        <v>848</v>
      </c>
      <c r="L12" s="21" t="s">
        <v>3035</v>
      </c>
      <c r="M12" s="21" t="str" cm="1">
        <f t="array" ref="M12">_xlfn.TEXTJOIN(", ",TRUE,_xlfn.UNIQUE(_xlfn._xlws.FILTER('T14'!$A$3:$A$1500,'T14'!$AO$3:$AO$1500=A12,"")))</f>
        <v>DC-00032, DC-00033, DC-00035, DC-00037, DC-00039, DC-00041</v>
      </c>
      <c r="N12" s="25">
        <f>SUMIFS('T14'!$AD$3:$AD$1500,'T14'!$AO$3:$AO$1500,A12,'T14'!$AA$3:$AA$1500,Q12&amp;"*")</f>
        <v>3000</v>
      </c>
      <c r="O12" s="21" t="s">
        <v>1091</v>
      </c>
      <c r="P12" s="21">
        <v>1</v>
      </c>
      <c r="Q12" s="21" t="s">
        <v>805</v>
      </c>
      <c r="R12" s="21" t="s">
        <v>807</v>
      </c>
      <c r="S12" s="21" t="s">
        <v>1804</v>
      </c>
      <c r="T12" s="25">
        <f>SUMIFS('T14'!$AI$3:$AI$1500,'T14'!$AO$3:$AO$1500,A12,'T14'!$AA$3:$AA$1500,Q12&amp;"*")</f>
        <v>2998</v>
      </c>
      <c r="U12" s="25">
        <f>SUMIFS('T09'!$W$3:$W$1500,'T09'!$A$3:$A$1500,F12,'T09'!$T$3:$T$1500,Q12&amp;"*")</f>
        <v>1560</v>
      </c>
      <c r="V12" s="25">
        <f>T12*U12</f>
        <v>4676880</v>
      </c>
      <c r="W12" s="25">
        <f>V12</f>
        <v>4676880</v>
      </c>
      <c r="X12" s="23">
        <f>_xlfn.XLOOKUP(Q12,'T13'!$A$3:$A$1500,'T13'!$O$3:$O$1500)</f>
        <v>0.18</v>
      </c>
      <c r="Y12" s="25">
        <f>T12*IF(S12="MT",1000,IF(S12="Jumbo bag (1.5 MT)",1500,IF(S12="Bag (40 kg)",40,50)))*3</f>
        <v>449700</v>
      </c>
      <c r="Z12" s="21" t="str">
        <f>_xlfn.XLOOKUP(Q12,'T13'!$A$3:$A$1500,'T13'!$AA$3:$AA$1500)&amp;" / CC-SALES-LHR"</f>
        <v>4101 Sales - Cement bags / CC-SALES-LHR</v>
      </c>
      <c r="AA12" s="33">
        <f>SUMIFS($T$3:$T$1500,$A$3:$A$1500,A12,$S$3:$S$1500,"Bag (50 kg)")*0.05+SUMIFS($T$3:$T$1500,$A$3:$A$1500,A12,$S$3:$S$1500,"Bag (40 kg)")*0.04+SUMIFS($T$3:$T$1500,$A$3:$A$1500,A12,$S$3:$S$1500,"MT")+SUMIFS($T$3:$T$1500,$A$3:$A$1500,A12,$S$3:$S$1500,"Jumbo bag (1.5 MT)")*1.5</f>
        <v>149.9</v>
      </c>
      <c r="AB12" s="25" cm="1">
        <f t="array" ref="AB12">SUMPRODUCT(($A$3:$A$1500=A12)*$W$3:$W$1500*$X$3:$X$1500)</f>
        <v>841838.4</v>
      </c>
      <c r="AC12" s="25">
        <f>SUMIFS($Y$3:$Y$1500,$A$3:$A$1500,A12)</f>
        <v>449700</v>
      </c>
      <c r="AD12" s="25">
        <f>SUMIFS($W$3:$W$1500,$A$3:$A$1500,A12)+AB12+AC12</f>
        <v>5968418.4000000004</v>
      </c>
      <c r="AE12" s="21" t="str">
        <f>"PKR "&amp;TEXT(AD12,"#,##0")&amp;" only"</f>
        <v>PKR 5,968,418 only</v>
      </c>
      <c r="AF12" s="21" t="s">
        <v>1071</v>
      </c>
      <c r="AG12" s="29">
        <f>B12+0</f>
        <v>45685</v>
      </c>
      <c r="AH12" s="25">
        <f>SUMIFS('T15'!$BC$3:$BC$1499,'T15'!$AY$3:$AY$1499,A12,'T15'!$C$3:$C$1499,"Advance*")</f>
        <v>5968418</v>
      </c>
      <c r="AI12" s="25">
        <f>SUMIFS('T15'!$BC$3:$BC$1499,'T15'!$AY$3:$AY$1499,A12)+SUMIFS('T15'!$BD$3:$BD$1499,'T15'!$AY$3:$AY$1499,A12)+SUMIFS('T15'!$BE$3:$BE$1499,'T15'!$AY$3:$AY$1499,A12)</f>
        <v>5968418.4000000004</v>
      </c>
      <c r="AJ12" s="21" t="str">
        <f ca="1">TEXT(AD12-AI12,"#,##0")&amp;" - "&amp;IF(AD12-AI12&lt;1,"Paid",IF(AI12&gt;0,"Partially paid",IF(AG12&lt;TODAY(),"Overdue","Open")))</f>
        <v>0 - Paid</v>
      </c>
      <c r="AK12" s="21" t="str" cm="1">
        <f t="array" ref="AK12">_xlfn.TEXTJOIN(", ",TRUE,_xlfn._xlws.FILTER('T15'!$A$3:$A$1499,'T15'!$AY$3:$AY$1499=A12,"None"))</f>
        <v>RCP-0007</v>
      </c>
      <c r="AL12" s="21" t="s">
        <v>753</v>
      </c>
      <c r="AM12" s="21" t="s">
        <v>844</v>
      </c>
      <c r="AN12" s="21" t="s">
        <v>846</v>
      </c>
      <c r="AO12" s="21" t="s">
        <v>3036</v>
      </c>
      <c r="AP12" s="21" t="s">
        <v>844</v>
      </c>
    </row>
    <row r="13" spans="1:42" x14ac:dyDescent="0.3">
      <c r="A13" s="21" t="s">
        <v>2112</v>
      </c>
      <c r="B13" s="29">
        <v>45712</v>
      </c>
      <c r="C13" s="21" t="s">
        <v>3020</v>
      </c>
      <c r="D13" s="21" t="s">
        <v>3021</v>
      </c>
      <c r="E13" s="41" t="s">
        <v>4994</v>
      </c>
      <c r="F13" s="21" t="s">
        <v>1852</v>
      </c>
      <c r="G13" s="21" t="s">
        <v>1800</v>
      </c>
      <c r="H13" s="21" t="s">
        <v>1928</v>
      </c>
      <c r="I13" s="21" t="s">
        <v>1073</v>
      </c>
      <c r="J13" s="21" t="s">
        <v>844</v>
      </c>
      <c r="K13" s="21" t="s">
        <v>848</v>
      </c>
      <c r="L13" s="21" t="s">
        <v>3024</v>
      </c>
      <c r="M13" s="21" t="str" cm="1">
        <f t="array" ref="M13">_xlfn.TEXTJOIN(", ",TRUE,_xlfn.UNIQUE(_xlfn._xlws.FILTER('T14'!$A$3:$A$1500,'T14'!$AO$3:$AO$1500=A13,"")))</f>
        <v>DC-00042, DC-00045, DC-00046, DC-00048, DC-00050, DC-00052</v>
      </c>
      <c r="N13" s="25">
        <f>SUMIFS('T14'!$AD$3:$AD$1500,'T14'!$AO$3:$AO$1500,A13,'T14'!$AA$3:$AA$1500,Q13&amp;"*")</f>
        <v>2450</v>
      </c>
      <c r="O13" s="21" t="s">
        <v>1091</v>
      </c>
      <c r="P13" s="21">
        <v>1</v>
      </c>
      <c r="Q13" s="21" t="s">
        <v>763</v>
      </c>
      <c r="R13" s="21" t="s">
        <v>766</v>
      </c>
      <c r="S13" s="21" t="s">
        <v>1804</v>
      </c>
      <c r="T13" s="25">
        <f>SUMIFS('T14'!$AI$3:$AI$1500,'T14'!$AO$3:$AO$1500,A13,'T14'!$AA$3:$AA$1500,Q13&amp;"*")</f>
        <v>2444</v>
      </c>
      <c r="U13" s="25">
        <f>SUMIFS('T09'!$W$3:$W$1500,'T09'!$A$3:$A$1500,F13,'T09'!$T$3:$T$1500,Q13&amp;"*")</f>
        <v>1440</v>
      </c>
      <c r="V13" s="25">
        <f>T13*U13</f>
        <v>3519360</v>
      </c>
      <c r="W13" s="25">
        <f>V13</f>
        <v>3519360</v>
      </c>
      <c r="X13" s="23">
        <f>_xlfn.XLOOKUP(Q13,'T13'!$A$3:$A$1500,'T13'!$O$3:$O$1500)</f>
        <v>0.18</v>
      </c>
      <c r="Y13" s="25">
        <f>T13*IF(S13="MT",1000,IF(S13="Jumbo bag (1.5 MT)",1500,IF(S13="Bag (40 kg)",40,50)))*3</f>
        <v>366600</v>
      </c>
      <c r="Z13" s="21" t="str">
        <f>_xlfn.XLOOKUP(Q13,'T13'!$A$3:$A$1500,'T13'!$AA$3:$AA$1500)&amp;" / CC-SALES-LHR"</f>
        <v>4101 Sales - Cement bags / CC-SALES-LHR</v>
      </c>
      <c r="AA13" s="33">
        <f>SUMIFS($T$3:$T$1500,$A$3:$A$1500,A13,$S$3:$S$1500,"Bag (50 kg)")*0.05+SUMIFS($T$3:$T$1500,$A$3:$A$1500,A13,$S$3:$S$1500,"Bag (40 kg)")*0.04+SUMIFS($T$3:$T$1500,$A$3:$A$1500,A13,$S$3:$S$1500,"MT")+SUMIFS($T$3:$T$1500,$A$3:$A$1500,A13,$S$3:$S$1500,"Jumbo bag (1.5 MT)")*1.5</f>
        <v>184.70000000000002</v>
      </c>
      <c r="AB13" s="25" cm="1">
        <f t="array" ref="AB13">SUMPRODUCT(($A$3:$A$1500=A13)*$W$3:$W$1500*$X$3:$X$1500)</f>
        <v>946234.79999999993</v>
      </c>
      <c r="AC13" s="25">
        <f>SUMIFS($Y$3:$Y$1500,$A$3:$A$1500,A13)</f>
        <v>554100</v>
      </c>
      <c r="AD13" s="25">
        <f>SUMIFS($W$3:$W$1500,$A$3:$A$1500,A13)+AB13+AC13</f>
        <v>6757194.7999999998</v>
      </c>
      <c r="AE13" s="21" t="str">
        <f>"PKR "&amp;TEXT(AD13,"#,##0")&amp;" only"</f>
        <v>PKR 6,757,195 only</v>
      </c>
      <c r="AF13" s="21" t="s">
        <v>1051</v>
      </c>
      <c r="AG13" s="29">
        <f>B13+30</f>
        <v>45742</v>
      </c>
      <c r="AH13" s="25">
        <f>SUMIFS('T15'!$BC$3:$BC$1499,'T15'!$AY$3:$AY$1499,A13,'T15'!$C$3:$C$1499,"Advance*")</f>
        <v>0</v>
      </c>
      <c r="AI13" s="25">
        <f>SUMIFS('T15'!$BC$3:$BC$1499,'T15'!$AY$3:$AY$1499,A13)+SUMIFS('T15'!$BD$3:$BD$1499,'T15'!$AY$3:$AY$1499,A13)+SUMIFS('T15'!$BE$3:$BE$1499,'T15'!$AY$3:$AY$1499,A13)</f>
        <v>6757194.7999999998</v>
      </c>
      <c r="AJ13" s="21" t="str">
        <f ca="1">TEXT(AD13-AI13,"#,##0")&amp;" - "&amp;IF(AD13-AI13&lt;1,"Paid",IF(AI13&gt;0,"Partially paid",IF(AG13&lt;TODAY(),"Overdue","Open")))</f>
        <v>0 - Paid</v>
      </c>
      <c r="AK13" s="21" t="str" cm="1">
        <f t="array" ref="AK13">_xlfn.TEXTJOIN(", ",TRUE,_xlfn._xlws.FILTER('T15'!$A$3:$A$1499,'T15'!$AY$3:$AY$1499=A13,"None"))</f>
        <v>RCP-0012, RCP-0014</v>
      </c>
      <c r="AL13" s="21" t="s">
        <v>753</v>
      </c>
      <c r="AM13" s="21" t="s">
        <v>844</v>
      </c>
      <c r="AN13" s="21" t="s">
        <v>846</v>
      </c>
      <c r="AO13" s="21" t="s">
        <v>3037</v>
      </c>
      <c r="AP13" s="21" t="s">
        <v>844</v>
      </c>
    </row>
    <row r="14" spans="1:42" x14ac:dyDescent="0.3">
      <c r="A14" s="21" t="s">
        <v>2112</v>
      </c>
      <c r="B14" s="29">
        <v>45712</v>
      </c>
      <c r="C14" s="21" t="s">
        <v>3020</v>
      </c>
      <c r="D14" s="21" t="s">
        <v>3021</v>
      </c>
      <c r="E14" s="41" t="s">
        <v>4994</v>
      </c>
      <c r="F14" s="21" t="s">
        <v>1852</v>
      </c>
      <c r="G14" s="21" t="s">
        <v>1800</v>
      </c>
      <c r="H14" s="21" t="s">
        <v>1928</v>
      </c>
      <c r="I14" s="21" t="s">
        <v>1073</v>
      </c>
      <c r="J14" s="21" t="s">
        <v>844</v>
      </c>
      <c r="K14" s="21" t="s">
        <v>848</v>
      </c>
      <c r="L14" s="21" t="s">
        <v>3024</v>
      </c>
      <c r="M14" s="21" t="str" cm="1">
        <f t="array" ref="M14">_xlfn.TEXTJOIN(", ",TRUE,_xlfn.UNIQUE(_xlfn._xlws.FILTER('T14'!$A$3:$A$1500,'T14'!$AO$3:$AO$1500=A14,"")))</f>
        <v>DC-00042, DC-00045, DC-00046, DC-00048, DC-00050, DC-00052</v>
      </c>
      <c r="N14" s="25">
        <f>SUMIFS('T14'!$AD$3:$AD$1500,'T14'!$AO$3:$AO$1500,A14,'T14'!$AA$3:$AA$1500,Q14&amp;"*")</f>
        <v>1250</v>
      </c>
      <c r="O14" s="21" t="s">
        <v>1091</v>
      </c>
      <c r="P14" s="21">
        <v>2</v>
      </c>
      <c r="Q14" s="21" t="s">
        <v>799</v>
      </c>
      <c r="R14" s="21" t="s">
        <v>801</v>
      </c>
      <c r="S14" s="21" t="s">
        <v>1804</v>
      </c>
      <c r="T14" s="25">
        <f>SUMIFS('T14'!$AI$3:$AI$1500,'T14'!$AO$3:$AO$1500,A14,'T14'!$AA$3:$AA$1500,Q14&amp;"*")</f>
        <v>1250</v>
      </c>
      <c r="U14" s="25">
        <f>SUMIFS('T09'!$W$3:$W$1500,'T09'!$A$3:$A$1500,F14,'T09'!$T$3:$T$1500,Q14&amp;"*")</f>
        <v>1390</v>
      </c>
      <c r="V14" s="25">
        <f>T14*U14</f>
        <v>1737500</v>
      </c>
      <c r="W14" s="25">
        <f>V14</f>
        <v>1737500</v>
      </c>
      <c r="X14" s="23">
        <f>_xlfn.XLOOKUP(Q14,'T13'!$A$3:$A$1500,'T13'!$O$3:$O$1500)</f>
        <v>0.18</v>
      </c>
      <c r="Y14" s="25">
        <f>T14*IF(S14="MT",1000,IF(S14="Jumbo bag (1.5 MT)",1500,IF(S14="Bag (40 kg)",40,50)))*3</f>
        <v>187500</v>
      </c>
      <c r="Z14" s="21" t="str">
        <f>_xlfn.XLOOKUP(Q14,'T13'!$A$3:$A$1500,'T13'!$AA$3:$AA$1500)&amp;" / CC-SALES-LHR"</f>
        <v>4101 Sales - Cement bags / CC-SALES-LHR</v>
      </c>
      <c r="AA14" s="33">
        <f>SUMIFS($T$3:$T$1500,$A$3:$A$1500,A14,$S$3:$S$1500,"Bag (50 kg)")*0.05+SUMIFS($T$3:$T$1500,$A$3:$A$1500,A14,$S$3:$S$1500,"Bag (40 kg)")*0.04+SUMIFS($T$3:$T$1500,$A$3:$A$1500,A14,$S$3:$S$1500,"MT")+SUMIFS($T$3:$T$1500,$A$3:$A$1500,A14,$S$3:$S$1500,"Jumbo bag (1.5 MT)")*1.5</f>
        <v>184.70000000000002</v>
      </c>
      <c r="AB14" s="25" cm="1">
        <f t="array" ref="AB14">SUMPRODUCT(($A$3:$A$1500=A14)*$W$3:$W$1500*$X$3:$X$1500)</f>
        <v>946234.79999999993</v>
      </c>
      <c r="AC14" s="25">
        <f>SUMIFS($Y$3:$Y$1500,$A$3:$A$1500,A14)</f>
        <v>554100</v>
      </c>
      <c r="AD14" s="25">
        <f>SUMIFS($W$3:$W$1500,$A$3:$A$1500,A14)+AB14+AC14</f>
        <v>6757194.7999999998</v>
      </c>
      <c r="AE14" s="21" t="str">
        <f>"PKR "&amp;TEXT(AD14,"#,##0")&amp;" only"</f>
        <v>PKR 6,757,195 only</v>
      </c>
      <c r="AF14" s="21" t="s">
        <v>1051</v>
      </c>
      <c r="AG14" s="29">
        <f>B14+30</f>
        <v>45742</v>
      </c>
      <c r="AH14" s="25">
        <f>SUMIFS('T15'!$BC$3:$BC$1499,'T15'!$AY$3:$AY$1499,A14,'T15'!$C$3:$C$1499,"Advance*")</f>
        <v>0</v>
      </c>
      <c r="AI14" s="25">
        <f>SUMIFS('T15'!$BC$3:$BC$1499,'T15'!$AY$3:$AY$1499,A14)+SUMIFS('T15'!$BD$3:$BD$1499,'T15'!$AY$3:$AY$1499,A14)+SUMIFS('T15'!$BE$3:$BE$1499,'T15'!$AY$3:$AY$1499,A14)</f>
        <v>6757194.7999999998</v>
      </c>
      <c r="AJ14" s="21" t="str">
        <f ca="1">TEXT(AD14-AI14,"#,##0")&amp;" - "&amp;IF(AD14-AI14&lt;1,"Paid",IF(AI14&gt;0,"Partially paid",IF(AG14&lt;TODAY(),"Overdue","Open")))</f>
        <v>0 - Paid</v>
      </c>
      <c r="AK14" s="21" t="str" cm="1">
        <f t="array" ref="AK14">_xlfn.TEXTJOIN(", ",TRUE,_xlfn._xlws.FILTER('T15'!$A$3:$A$1499,'T15'!$AY$3:$AY$1499=A14,"None"))</f>
        <v>RCP-0012, RCP-0014</v>
      </c>
      <c r="AL14" s="21" t="s">
        <v>753</v>
      </c>
      <c r="AM14" s="21" t="s">
        <v>844</v>
      </c>
      <c r="AN14" s="21" t="s">
        <v>846</v>
      </c>
      <c r="AO14" s="21" t="s">
        <v>3037</v>
      </c>
      <c r="AP14" s="21" t="s">
        <v>844</v>
      </c>
    </row>
    <row r="15" spans="1:42" x14ac:dyDescent="0.3">
      <c r="A15" s="21" t="s">
        <v>2120</v>
      </c>
      <c r="B15" s="29">
        <v>45715</v>
      </c>
      <c r="C15" s="21" t="s">
        <v>3020</v>
      </c>
      <c r="D15" s="21" t="s">
        <v>3021</v>
      </c>
      <c r="E15" s="41" t="s">
        <v>4994</v>
      </c>
      <c r="F15" s="21" t="s">
        <v>1848</v>
      </c>
      <c r="G15" s="21" t="s">
        <v>1849</v>
      </c>
      <c r="H15" s="21" t="s">
        <v>2117</v>
      </c>
      <c r="I15" s="21" t="s">
        <v>3033</v>
      </c>
      <c r="J15" s="21" t="s">
        <v>3038</v>
      </c>
      <c r="K15" s="21" t="s">
        <v>848</v>
      </c>
      <c r="L15" s="21" t="s">
        <v>3039</v>
      </c>
      <c r="M15" s="21" t="str" cm="1">
        <f t="array" ref="M15">_xlfn.TEXTJOIN(", ",TRUE,_xlfn.UNIQUE(_xlfn._xlws.FILTER('T14'!$A$3:$A$1500,'T14'!$AO$3:$AO$1500=A15,"")))</f>
        <v>DC-00043, DC-00044, DC-00047, DC-00049, DC-00051, DC-00053</v>
      </c>
      <c r="N15" s="25">
        <f>SUMIFS('T14'!$AD$3:$AD$1500,'T14'!$AO$3:$AO$1500,A15,'T14'!$AA$3:$AA$1500,Q15&amp;"*")</f>
        <v>1350</v>
      </c>
      <c r="O15" s="21" t="s">
        <v>1091</v>
      </c>
      <c r="P15" s="21">
        <v>1</v>
      </c>
      <c r="Q15" s="21" t="s">
        <v>763</v>
      </c>
      <c r="R15" s="21" t="s">
        <v>766</v>
      </c>
      <c r="S15" s="21" t="s">
        <v>1804</v>
      </c>
      <c r="T15" s="25">
        <f>SUMIFS('T14'!$AI$3:$AI$1500,'T14'!$AO$3:$AO$1500,A15,'T14'!$AA$3:$AA$1500,Q15&amp;"*")</f>
        <v>1350</v>
      </c>
      <c r="U15" s="25">
        <f>SUMIFS('T09'!$W$3:$W$1500,'T09'!$A$3:$A$1500,F15,'T09'!$T$3:$T$1500,Q15&amp;"*")</f>
        <v>1440</v>
      </c>
      <c r="V15" s="25">
        <f>T15*U15</f>
        <v>1944000</v>
      </c>
      <c r="W15" s="25">
        <f>V15</f>
        <v>1944000</v>
      </c>
      <c r="X15" s="23">
        <f>_xlfn.XLOOKUP(Q15,'T13'!$A$3:$A$1500,'T13'!$O$3:$O$1500)</f>
        <v>0.18</v>
      </c>
      <c r="Y15" s="25">
        <f>T15*IF(S15="MT",1000,IF(S15="Jumbo bag (1.5 MT)",1500,IF(S15="Bag (40 kg)",40,50)))*3</f>
        <v>202500</v>
      </c>
      <c r="Z15" s="21" t="str">
        <f>_xlfn.XLOOKUP(Q15,'T13'!$A$3:$A$1500,'T13'!$AA$3:$AA$1500)&amp;" / CC-SALES-LHR"</f>
        <v>4101 Sales - Cement bags / CC-SALES-LHR</v>
      </c>
      <c r="AA15" s="33">
        <f>SUMIFS($T$3:$T$1500,$A$3:$A$1500,A15,$S$3:$S$1500,"Bag (50 kg)")*0.05+SUMIFS($T$3:$T$1500,$A$3:$A$1500,A15,$S$3:$S$1500,"Bag (40 kg)")*0.04+SUMIFS($T$3:$T$1500,$A$3:$A$1500,A15,$S$3:$S$1500,"MT")+SUMIFS($T$3:$T$1500,$A$3:$A$1500,A15,$S$3:$S$1500,"Jumbo bag (1.5 MT)")*1.5</f>
        <v>145</v>
      </c>
      <c r="AB15" s="25" cm="1">
        <f t="array" ref="AB15">SUMPRODUCT(($A$3:$A$1500=A15)*$W$3:$W$1500*$X$3:$X$1500)</f>
        <v>772605</v>
      </c>
      <c r="AC15" s="25">
        <f>SUMIFS($Y$3:$Y$1500,$A$3:$A$1500,A15)</f>
        <v>435000</v>
      </c>
      <c r="AD15" s="25">
        <f>SUMIFS($W$3:$W$1500,$A$3:$A$1500,A15)+AB15+AC15</f>
        <v>5499855</v>
      </c>
      <c r="AE15" s="21" t="str">
        <f>"PKR "&amp;TEXT(AD15,"#,##0")&amp;" only"</f>
        <v>PKR 5,499,855 only</v>
      </c>
      <c r="AF15" s="21" t="s">
        <v>1062</v>
      </c>
      <c r="AG15" s="29">
        <f>B15+15</f>
        <v>45730</v>
      </c>
      <c r="AH15" s="25">
        <f>SUMIFS('T15'!$BC$3:$BC$1499,'T15'!$AY$3:$AY$1499,A15,'T15'!$C$3:$C$1499,"Advance*")</f>
        <v>0</v>
      </c>
      <c r="AI15" s="25">
        <f>SUMIFS('T15'!$BC$3:$BC$1499,'T15'!$AY$3:$AY$1499,A15)+SUMIFS('T15'!$BD$3:$BD$1499,'T15'!$AY$3:$AY$1499,A15)+SUMIFS('T15'!$BE$3:$BE$1499,'T15'!$AY$3:$AY$1499,A15)</f>
        <v>5499855</v>
      </c>
      <c r="AJ15" s="21" t="str">
        <f ca="1">TEXT(AD15-AI15,"#,##0")&amp;" - "&amp;IF(AD15-AI15&lt;1,"Paid",IF(AI15&gt;0,"Partially paid",IF(AG15&lt;TODAY(),"Overdue","Open")))</f>
        <v>0 - Paid</v>
      </c>
      <c r="AK15" s="21" t="str" cm="1">
        <f t="array" ref="AK15">_xlfn.TEXTJOIN(", ",TRUE,_xlfn._xlws.FILTER('T15'!$A$3:$A$1499,'T15'!$AY$3:$AY$1499=A15,"None"))</f>
        <v>RCP-0013</v>
      </c>
      <c r="AL15" s="21" t="s">
        <v>753</v>
      </c>
      <c r="AM15" s="21" t="s">
        <v>844</v>
      </c>
      <c r="AN15" s="21" t="s">
        <v>753</v>
      </c>
      <c r="AO15" s="21" t="s">
        <v>3040</v>
      </c>
      <c r="AP15" s="21" t="s">
        <v>844</v>
      </c>
    </row>
    <row r="16" spans="1:42" x14ac:dyDescent="0.3">
      <c r="A16" s="21" t="s">
        <v>2120</v>
      </c>
      <c r="B16" s="29">
        <v>45715</v>
      </c>
      <c r="C16" s="21" t="s">
        <v>3020</v>
      </c>
      <c r="D16" s="21" t="s">
        <v>3021</v>
      </c>
      <c r="E16" s="41" t="s">
        <v>4994</v>
      </c>
      <c r="F16" s="21" t="s">
        <v>1848</v>
      </c>
      <c r="G16" s="21" t="s">
        <v>1849</v>
      </c>
      <c r="H16" s="21" t="s">
        <v>2117</v>
      </c>
      <c r="I16" s="21" t="s">
        <v>3033</v>
      </c>
      <c r="J16" s="21" t="s">
        <v>3038</v>
      </c>
      <c r="K16" s="21" t="s">
        <v>848</v>
      </c>
      <c r="L16" s="21" t="s">
        <v>3039</v>
      </c>
      <c r="M16" s="21" t="str" cm="1">
        <f t="array" ref="M16">_xlfn.TEXTJOIN(", ",TRUE,_xlfn.UNIQUE(_xlfn._xlws.FILTER('T14'!$A$3:$A$1500,'T14'!$AO$3:$AO$1500=A16,"")))</f>
        <v>DC-00043, DC-00044, DC-00047, DC-00049, DC-00051, DC-00053</v>
      </c>
      <c r="N16" s="25">
        <f>SUMIFS('T14'!$AD$3:$AD$1500,'T14'!$AO$3:$AO$1500,A16,'T14'!$AA$3:$AA$1500,Q16&amp;"*")</f>
        <v>1550</v>
      </c>
      <c r="O16" s="21" t="s">
        <v>1091</v>
      </c>
      <c r="P16" s="21">
        <v>2</v>
      </c>
      <c r="Q16" s="21" t="s">
        <v>788</v>
      </c>
      <c r="R16" s="21" t="s">
        <v>790</v>
      </c>
      <c r="S16" s="21" t="s">
        <v>1804</v>
      </c>
      <c r="T16" s="25">
        <f>SUMIFS('T14'!$AI$3:$AI$1500,'T14'!$AO$3:$AO$1500,A16,'T14'!$AA$3:$AA$1500,Q16&amp;"*")</f>
        <v>1550</v>
      </c>
      <c r="U16" s="25">
        <f>SUMIFS('T09'!$W$3:$W$1500,'T09'!$A$3:$A$1500,F16,'T09'!$T$3:$T$1500,Q16&amp;"*")</f>
        <v>1515</v>
      </c>
      <c r="V16" s="25">
        <f>T16*U16</f>
        <v>2348250</v>
      </c>
      <c r="W16" s="25">
        <f>V16</f>
        <v>2348250</v>
      </c>
      <c r="X16" s="23">
        <f>_xlfn.XLOOKUP(Q16,'T13'!$A$3:$A$1500,'T13'!$O$3:$O$1500)</f>
        <v>0.18</v>
      </c>
      <c r="Y16" s="25">
        <f>T16*IF(S16="MT",1000,IF(S16="Jumbo bag (1.5 MT)",1500,IF(S16="Bag (40 kg)",40,50)))*3</f>
        <v>232500</v>
      </c>
      <c r="Z16" s="21" t="str">
        <f>_xlfn.XLOOKUP(Q16,'T13'!$A$3:$A$1500,'T13'!$AA$3:$AA$1500)&amp;" / CC-SALES-LHR"</f>
        <v>4101 Sales - Cement bags / CC-SALES-LHR</v>
      </c>
      <c r="AA16" s="33">
        <f>SUMIFS($T$3:$T$1500,$A$3:$A$1500,A16,$S$3:$S$1500,"Bag (50 kg)")*0.05+SUMIFS($T$3:$T$1500,$A$3:$A$1500,A16,$S$3:$S$1500,"Bag (40 kg)")*0.04+SUMIFS($T$3:$T$1500,$A$3:$A$1500,A16,$S$3:$S$1500,"MT")+SUMIFS($T$3:$T$1500,$A$3:$A$1500,A16,$S$3:$S$1500,"Jumbo bag (1.5 MT)")*1.5</f>
        <v>145</v>
      </c>
      <c r="AB16" s="25" cm="1">
        <f t="array" ref="AB16">SUMPRODUCT(($A$3:$A$1500=A16)*$W$3:$W$1500*$X$3:$X$1500)</f>
        <v>772605</v>
      </c>
      <c r="AC16" s="25">
        <f>SUMIFS($Y$3:$Y$1500,$A$3:$A$1500,A16)</f>
        <v>435000</v>
      </c>
      <c r="AD16" s="25">
        <f>SUMIFS($W$3:$W$1500,$A$3:$A$1500,A16)+AB16+AC16</f>
        <v>5499855</v>
      </c>
      <c r="AE16" s="21" t="str">
        <f>"PKR "&amp;TEXT(AD16,"#,##0")&amp;" only"</f>
        <v>PKR 5,499,855 only</v>
      </c>
      <c r="AF16" s="21" t="s">
        <v>1062</v>
      </c>
      <c r="AG16" s="29">
        <f>B16+15</f>
        <v>45730</v>
      </c>
      <c r="AH16" s="25">
        <f>SUMIFS('T15'!$BC$3:$BC$1499,'T15'!$AY$3:$AY$1499,A16,'T15'!$C$3:$C$1499,"Advance*")</f>
        <v>0</v>
      </c>
      <c r="AI16" s="25">
        <f>SUMIFS('T15'!$BC$3:$BC$1499,'T15'!$AY$3:$AY$1499,A16)+SUMIFS('T15'!$BD$3:$BD$1499,'T15'!$AY$3:$AY$1499,A16)+SUMIFS('T15'!$BE$3:$BE$1499,'T15'!$AY$3:$AY$1499,A16)</f>
        <v>5499855</v>
      </c>
      <c r="AJ16" s="21" t="str">
        <f ca="1">TEXT(AD16-AI16,"#,##0")&amp;" - "&amp;IF(AD16-AI16&lt;1,"Paid",IF(AI16&gt;0,"Partially paid",IF(AG16&lt;TODAY(),"Overdue","Open")))</f>
        <v>0 - Paid</v>
      </c>
      <c r="AK16" s="21" t="str" cm="1">
        <f t="array" ref="AK16">_xlfn.TEXTJOIN(", ",TRUE,_xlfn._xlws.FILTER('T15'!$A$3:$A$1499,'T15'!$AY$3:$AY$1499=A16,"None"))</f>
        <v>RCP-0013</v>
      </c>
      <c r="AL16" s="21" t="s">
        <v>753</v>
      </c>
      <c r="AM16" s="21" t="s">
        <v>844</v>
      </c>
      <c r="AN16" s="21" t="s">
        <v>753</v>
      </c>
      <c r="AO16" s="21" t="s">
        <v>3040</v>
      </c>
      <c r="AP16" s="21" t="s">
        <v>844</v>
      </c>
    </row>
    <row r="17" spans="1:42" x14ac:dyDescent="0.3">
      <c r="A17" s="21" t="s">
        <v>2165</v>
      </c>
      <c r="B17" s="29">
        <v>45744</v>
      </c>
      <c r="C17" s="21" t="s">
        <v>3020</v>
      </c>
      <c r="D17" s="21" t="s">
        <v>3021</v>
      </c>
      <c r="E17" s="41" t="s">
        <v>4994</v>
      </c>
      <c r="F17" s="21" t="s">
        <v>1853</v>
      </c>
      <c r="G17" s="21" t="s">
        <v>1813</v>
      </c>
      <c r="H17" s="21" t="s">
        <v>2161</v>
      </c>
      <c r="I17" s="21" t="s">
        <v>1089</v>
      </c>
      <c r="J17" s="21" t="s">
        <v>844</v>
      </c>
      <c r="K17" s="21" t="s">
        <v>848</v>
      </c>
      <c r="L17" s="21" t="s">
        <v>3041</v>
      </c>
      <c r="M17" s="21" t="str" cm="1">
        <f t="array" ref="M17">_xlfn.TEXTJOIN(", ",TRUE,_xlfn.UNIQUE(_xlfn._xlws.FILTER('T14'!$A$3:$A$1500,'T14'!$AO$3:$AO$1500=A17,"")))</f>
        <v>DC-00054, DC-00055, DC-00056, DC-00057, DC-00058, DC-00059</v>
      </c>
      <c r="N17" s="25">
        <f>SUMIFS('T14'!$AD$3:$AD$1500,'T14'!$AO$3:$AO$1500,A17,'T14'!$AA$3:$AA$1500,Q17&amp;"*")</f>
        <v>1100</v>
      </c>
      <c r="O17" s="21" t="s">
        <v>1091</v>
      </c>
      <c r="P17" s="21">
        <v>1</v>
      </c>
      <c r="Q17" s="21" t="s">
        <v>763</v>
      </c>
      <c r="R17" s="21" t="s">
        <v>766</v>
      </c>
      <c r="S17" s="21" t="s">
        <v>1804</v>
      </c>
      <c r="T17" s="25">
        <f>SUMIFS('T14'!$AI$3:$AI$1500,'T14'!$AO$3:$AO$1500,A17,'T14'!$AA$3:$AA$1500,Q17&amp;"*")</f>
        <v>1100</v>
      </c>
      <c r="U17" s="25">
        <f>SUMIFS('T09'!$W$3:$W$1500,'T09'!$A$3:$A$1500,F17,'T09'!$T$3:$T$1500,Q17&amp;"*")</f>
        <v>1450</v>
      </c>
      <c r="V17" s="25">
        <f>T17*U17</f>
        <v>1595000</v>
      </c>
      <c r="W17" s="25">
        <f>V17</f>
        <v>1595000</v>
      </c>
      <c r="X17" s="23">
        <f>_xlfn.XLOOKUP(Q17,'T13'!$A$3:$A$1500,'T13'!$O$3:$O$1500)</f>
        <v>0.18</v>
      </c>
      <c r="Y17" s="25">
        <f>T17*IF(S17="MT",1000,IF(S17="Jumbo bag (1.5 MT)",1500,IF(S17="Bag (40 kg)",40,50)))*3</f>
        <v>165000</v>
      </c>
      <c r="Z17" s="21" t="str">
        <f>_xlfn.XLOOKUP(Q17,'T13'!$A$3:$A$1500,'T13'!$AA$3:$AA$1500)&amp;" / CC-SALES-LHR"</f>
        <v>4101 Sales - Cement bags / CC-SALES-LHR</v>
      </c>
      <c r="AA17" s="33">
        <f>SUMIFS($T$3:$T$1500,$A$3:$A$1500,A17,$S$3:$S$1500,"Bag (50 kg)")*0.05+SUMIFS($T$3:$T$1500,$A$3:$A$1500,A17,$S$3:$S$1500,"Bag (40 kg)")*0.04+SUMIFS($T$3:$T$1500,$A$3:$A$1500,A17,$S$3:$S$1500,"MT")+SUMIFS($T$3:$T$1500,$A$3:$A$1500,A17,$S$3:$S$1500,"Jumbo bag (1.5 MT)")*1.5</f>
        <v>159.70000000000002</v>
      </c>
      <c r="AB17" s="25" cm="1">
        <f t="array" ref="AB17">SUMPRODUCT(($A$3:$A$1500=A17)*$W$3:$W$1500*$X$3:$X$1500)</f>
        <v>812543.39999999991</v>
      </c>
      <c r="AC17" s="25">
        <f>SUMIFS($Y$3:$Y$1500,$A$3:$A$1500,A17)</f>
        <v>479100</v>
      </c>
      <c r="AD17" s="25">
        <f>SUMIFS($W$3:$W$1500,$A$3:$A$1500,A17)+AB17+AC17</f>
        <v>5805773.4000000004</v>
      </c>
      <c r="AE17" s="21" t="str">
        <f>"PKR "&amp;TEXT(AD17,"#,##0")&amp;" only"</f>
        <v>PKR 5,805,773 only</v>
      </c>
      <c r="AF17" s="21" t="s">
        <v>1051</v>
      </c>
      <c r="AG17" s="29">
        <f>B17+30</f>
        <v>45774</v>
      </c>
      <c r="AH17" s="25">
        <f>SUMIFS('T15'!$BC$3:$BC$1499,'T15'!$AY$3:$AY$1499,A17,'T15'!$C$3:$C$1499,"Advance*")</f>
        <v>0</v>
      </c>
      <c r="AI17" s="25">
        <f>SUMIFS('T15'!$BC$3:$BC$1499,'T15'!$AY$3:$AY$1499,A17)+SUMIFS('T15'!$BD$3:$BD$1499,'T15'!$AY$3:$AY$1499,A17)+SUMIFS('T15'!$BE$3:$BE$1499,'T15'!$AY$3:$AY$1499,A17)</f>
        <v>5805773.4000000004</v>
      </c>
      <c r="AJ17" s="21" t="str">
        <f ca="1">TEXT(AD17-AI17,"#,##0")&amp;" - "&amp;IF(AD17-AI17&lt;1,"Paid",IF(AI17&gt;0,"Partially paid",IF(AG17&lt;TODAY(),"Overdue","Open")))</f>
        <v>0 - Paid</v>
      </c>
      <c r="AK17" s="21" t="str" cm="1">
        <f t="array" ref="AK17">_xlfn.TEXTJOIN(", ",TRUE,_xlfn._xlws.FILTER('T15'!$A$3:$A$1499,'T15'!$AY$3:$AY$1499=A17,"None"))</f>
        <v>RCP-0015, RCP-0016</v>
      </c>
      <c r="AL17" s="21" t="s">
        <v>753</v>
      </c>
      <c r="AM17" s="21" t="s">
        <v>844</v>
      </c>
      <c r="AN17" s="21" t="s">
        <v>753</v>
      </c>
      <c r="AO17" s="21" t="s">
        <v>3042</v>
      </c>
      <c r="AP17" s="21" t="s">
        <v>844</v>
      </c>
    </row>
    <row r="18" spans="1:42" x14ac:dyDescent="0.3">
      <c r="A18" s="21" t="s">
        <v>2165</v>
      </c>
      <c r="B18" s="29">
        <v>45744</v>
      </c>
      <c r="C18" s="21" t="s">
        <v>3020</v>
      </c>
      <c r="D18" s="21" t="s">
        <v>3021</v>
      </c>
      <c r="E18" s="41" t="s">
        <v>4994</v>
      </c>
      <c r="F18" s="21" t="s">
        <v>1853</v>
      </c>
      <c r="G18" s="21" t="s">
        <v>1813</v>
      </c>
      <c r="H18" s="21" t="s">
        <v>2161</v>
      </c>
      <c r="I18" s="21" t="s">
        <v>1089</v>
      </c>
      <c r="J18" s="21" t="s">
        <v>844</v>
      </c>
      <c r="K18" s="21" t="s">
        <v>848</v>
      </c>
      <c r="L18" s="21" t="s">
        <v>3041</v>
      </c>
      <c r="M18" s="21" t="str" cm="1">
        <f t="array" ref="M18">_xlfn.TEXTJOIN(", ",TRUE,_xlfn.UNIQUE(_xlfn._xlws.FILTER('T14'!$A$3:$A$1500,'T14'!$AO$3:$AO$1500=A18,"")))</f>
        <v>DC-00054, DC-00055, DC-00056, DC-00057, DC-00058, DC-00059</v>
      </c>
      <c r="N18" s="25">
        <f>SUMIFS('T14'!$AD$3:$AD$1500,'T14'!$AO$3:$AO$1500,A18,'T14'!$AA$3:$AA$1500,Q18&amp;"*")</f>
        <v>2000</v>
      </c>
      <c r="O18" s="21" t="s">
        <v>1091</v>
      </c>
      <c r="P18" s="21">
        <v>2</v>
      </c>
      <c r="Q18" s="21" t="s">
        <v>799</v>
      </c>
      <c r="R18" s="21" t="s">
        <v>801</v>
      </c>
      <c r="S18" s="21" t="s">
        <v>1804</v>
      </c>
      <c r="T18" s="25">
        <f>SUMIFS('T14'!$AI$3:$AI$1500,'T14'!$AO$3:$AO$1500,A18,'T14'!$AA$3:$AA$1500,Q18&amp;"*")</f>
        <v>1994</v>
      </c>
      <c r="U18" s="25">
        <f>SUMIFS('T09'!$W$3:$W$1500,'T09'!$A$3:$A$1500,F18,'T09'!$T$3:$T$1500,Q18&amp;"*")</f>
        <v>1395</v>
      </c>
      <c r="V18" s="25">
        <f>T18*U18</f>
        <v>2781630</v>
      </c>
      <c r="W18" s="25">
        <f>V18</f>
        <v>2781630</v>
      </c>
      <c r="X18" s="23">
        <f>_xlfn.XLOOKUP(Q18,'T13'!$A$3:$A$1500,'T13'!$O$3:$O$1500)</f>
        <v>0.18</v>
      </c>
      <c r="Y18" s="25">
        <f>T18*IF(S18="MT",1000,IF(S18="Jumbo bag (1.5 MT)",1500,IF(S18="Bag (40 kg)",40,50)))*3</f>
        <v>299100</v>
      </c>
      <c r="Z18" s="21" t="str">
        <f>_xlfn.XLOOKUP(Q18,'T13'!$A$3:$A$1500,'T13'!$AA$3:$AA$1500)&amp;" / CC-SALES-LHR"</f>
        <v>4101 Sales - Cement bags / CC-SALES-LHR</v>
      </c>
      <c r="AA18" s="33">
        <f>SUMIFS($T$3:$T$1500,$A$3:$A$1500,A18,$S$3:$S$1500,"Bag (50 kg)")*0.05+SUMIFS($T$3:$T$1500,$A$3:$A$1500,A18,$S$3:$S$1500,"Bag (40 kg)")*0.04+SUMIFS($T$3:$T$1500,$A$3:$A$1500,A18,$S$3:$S$1500,"MT")+SUMIFS($T$3:$T$1500,$A$3:$A$1500,A18,$S$3:$S$1500,"Jumbo bag (1.5 MT)")*1.5</f>
        <v>159.70000000000002</v>
      </c>
      <c r="AB18" s="25" cm="1">
        <f t="array" ref="AB18">SUMPRODUCT(($A$3:$A$1500=A18)*$W$3:$W$1500*$X$3:$X$1500)</f>
        <v>812543.39999999991</v>
      </c>
      <c r="AC18" s="25">
        <f>SUMIFS($Y$3:$Y$1500,$A$3:$A$1500,A18)</f>
        <v>479100</v>
      </c>
      <c r="AD18" s="25">
        <f>SUMIFS($W$3:$W$1500,$A$3:$A$1500,A18)+AB18+AC18</f>
        <v>5805773.4000000004</v>
      </c>
      <c r="AE18" s="21" t="str">
        <f>"PKR "&amp;TEXT(AD18,"#,##0")&amp;" only"</f>
        <v>PKR 5,805,773 only</v>
      </c>
      <c r="AF18" s="21" t="s">
        <v>1051</v>
      </c>
      <c r="AG18" s="29">
        <f>B18+30</f>
        <v>45774</v>
      </c>
      <c r="AH18" s="25">
        <f>SUMIFS('T15'!$BC$3:$BC$1499,'T15'!$AY$3:$AY$1499,A18,'T15'!$C$3:$C$1499,"Advance*")</f>
        <v>0</v>
      </c>
      <c r="AI18" s="25">
        <f>SUMIFS('T15'!$BC$3:$BC$1499,'T15'!$AY$3:$AY$1499,A18)+SUMIFS('T15'!$BD$3:$BD$1499,'T15'!$AY$3:$AY$1499,A18)+SUMIFS('T15'!$BE$3:$BE$1499,'T15'!$AY$3:$AY$1499,A18)</f>
        <v>5805773.4000000004</v>
      </c>
      <c r="AJ18" s="21" t="str">
        <f ca="1">TEXT(AD18-AI18,"#,##0")&amp;" - "&amp;IF(AD18-AI18&lt;1,"Paid",IF(AI18&gt;0,"Partially paid",IF(AG18&lt;TODAY(),"Overdue","Open")))</f>
        <v>0 - Paid</v>
      </c>
      <c r="AK18" s="21" t="str" cm="1">
        <f t="array" ref="AK18">_xlfn.TEXTJOIN(", ",TRUE,_xlfn._xlws.FILTER('T15'!$A$3:$A$1499,'T15'!$AY$3:$AY$1499=A18,"None"))</f>
        <v>RCP-0015, RCP-0016</v>
      </c>
      <c r="AL18" s="21" t="s">
        <v>753</v>
      </c>
      <c r="AM18" s="21" t="s">
        <v>844</v>
      </c>
      <c r="AN18" s="21" t="s">
        <v>753</v>
      </c>
      <c r="AO18" s="21" t="s">
        <v>3042</v>
      </c>
      <c r="AP18" s="21" t="s">
        <v>844</v>
      </c>
    </row>
    <row r="19" spans="1:42" x14ac:dyDescent="0.3">
      <c r="A19" s="21" t="s">
        <v>2165</v>
      </c>
      <c r="B19" s="29">
        <v>45744</v>
      </c>
      <c r="C19" s="21" t="s">
        <v>3020</v>
      </c>
      <c r="D19" s="21" t="s">
        <v>3021</v>
      </c>
      <c r="E19" s="41" t="s">
        <v>4994</v>
      </c>
      <c r="F19" s="21" t="s">
        <v>1853</v>
      </c>
      <c r="G19" s="21" t="s">
        <v>1813</v>
      </c>
      <c r="H19" s="21" t="s">
        <v>2161</v>
      </c>
      <c r="I19" s="21" t="s">
        <v>1089</v>
      </c>
      <c r="J19" s="21" t="s">
        <v>844</v>
      </c>
      <c r="K19" s="21" t="s">
        <v>848</v>
      </c>
      <c r="L19" s="21" t="s">
        <v>3041</v>
      </c>
      <c r="M19" s="21" t="str" cm="1">
        <f t="array" ref="M19">_xlfn.TEXTJOIN(", ",TRUE,_xlfn.UNIQUE(_xlfn._xlws.FILTER('T14'!$A$3:$A$1500,'T14'!$AO$3:$AO$1500=A19,"")))</f>
        <v>DC-00054, DC-00055, DC-00056, DC-00057, DC-00058, DC-00059</v>
      </c>
      <c r="N19" s="25">
        <f>SUMIFS('T14'!$AD$3:$AD$1500,'T14'!$AO$3:$AO$1500,A19,'T14'!$AA$3:$AA$1500,Q19&amp;"*")</f>
        <v>100</v>
      </c>
      <c r="O19" s="21" t="s">
        <v>1091</v>
      </c>
      <c r="P19" s="21">
        <v>3</v>
      </c>
      <c r="Q19" s="21" t="s">
        <v>820</v>
      </c>
      <c r="R19" s="21" t="s">
        <v>822</v>
      </c>
      <c r="S19" s="21" t="s">
        <v>1804</v>
      </c>
      <c r="T19" s="25">
        <f>SUMIFS('T14'!$AI$3:$AI$1500,'T14'!$AO$3:$AO$1500,A19,'T14'!$AA$3:$AA$1500,Q19&amp;"*")</f>
        <v>100</v>
      </c>
      <c r="U19" s="25">
        <f>SUMIFS('T09'!$W$3:$W$1500,'T09'!$A$3:$A$1500,F19,'T09'!$T$3:$T$1500,Q19&amp;"*")</f>
        <v>1375</v>
      </c>
      <c r="V19" s="25">
        <f>T19*U19</f>
        <v>137500</v>
      </c>
      <c r="W19" s="25">
        <f>V19</f>
        <v>137500</v>
      </c>
      <c r="X19" s="23">
        <f>_xlfn.XLOOKUP(Q19,'T13'!$A$3:$A$1500,'T13'!$O$3:$O$1500)</f>
        <v>0.18</v>
      </c>
      <c r="Y19" s="25">
        <f>T19*IF(S19="MT",1000,IF(S19="Jumbo bag (1.5 MT)",1500,IF(S19="Bag (40 kg)",40,50)))*3</f>
        <v>15000</v>
      </c>
      <c r="Z19" s="21" t="str">
        <f>_xlfn.XLOOKUP(Q19,'T13'!$A$3:$A$1500,'T13'!$AA$3:$AA$1500)&amp;" / CC-SALES-LHR"</f>
        <v>4101 Sales - Cement bags / CC-SALES-LHR</v>
      </c>
      <c r="AA19" s="33">
        <f>SUMIFS($T$3:$T$1500,$A$3:$A$1500,A19,$S$3:$S$1500,"Bag (50 kg)")*0.05+SUMIFS($T$3:$T$1500,$A$3:$A$1500,A19,$S$3:$S$1500,"Bag (40 kg)")*0.04+SUMIFS($T$3:$T$1500,$A$3:$A$1500,A19,$S$3:$S$1500,"MT")+SUMIFS($T$3:$T$1500,$A$3:$A$1500,A19,$S$3:$S$1500,"Jumbo bag (1.5 MT)")*1.5</f>
        <v>159.70000000000002</v>
      </c>
      <c r="AB19" s="25" cm="1">
        <f t="array" ref="AB19">SUMPRODUCT(($A$3:$A$1500=A19)*$W$3:$W$1500*$X$3:$X$1500)</f>
        <v>812543.39999999991</v>
      </c>
      <c r="AC19" s="25">
        <f>SUMIFS($Y$3:$Y$1500,$A$3:$A$1500,A19)</f>
        <v>479100</v>
      </c>
      <c r="AD19" s="25">
        <f>SUMIFS($W$3:$W$1500,$A$3:$A$1500,A19)+AB19+AC19</f>
        <v>5805773.4000000004</v>
      </c>
      <c r="AE19" s="21" t="str">
        <f>"PKR "&amp;TEXT(AD19,"#,##0")&amp;" only"</f>
        <v>PKR 5,805,773 only</v>
      </c>
      <c r="AF19" s="21" t="s">
        <v>1051</v>
      </c>
      <c r="AG19" s="29">
        <f>B19+30</f>
        <v>45774</v>
      </c>
      <c r="AH19" s="25">
        <f>SUMIFS('T15'!$BC$3:$BC$1499,'T15'!$AY$3:$AY$1499,A19,'T15'!$C$3:$C$1499,"Advance*")</f>
        <v>0</v>
      </c>
      <c r="AI19" s="25">
        <f>SUMIFS('T15'!$BC$3:$BC$1499,'T15'!$AY$3:$AY$1499,A19)+SUMIFS('T15'!$BD$3:$BD$1499,'T15'!$AY$3:$AY$1499,A19)+SUMIFS('T15'!$BE$3:$BE$1499,'T15'!$AY$3:$AY$1499,A19)</f>
        <v>5805773.4000000004</v>
      </c>
      <c r="AJ19" s="21" t="str">
        <f ca="1">TEXT(AD19-AI19,"#,##0")&amp;" - "&amp;IF(AD19-AI19&lt;1,"Paid",IF(AI19&gt;0,"Partially paid",IF(AG19&lt;TODAY(),"Overdue","Open")))</f>
        <v>0 - Paid</v>
      </c>
      <c r="AK19" s="21" t="str" cm="1">
        <f t="array" ref="AK19">_xlfn.TEXTJOIN(", ",TRUE,_xlfn._xlws.FILTER('T15'!$A$3:$A$1499,'T15'!$AY$3:$AY$1499=A19,"None"))</f>
        <v>RCP-0015, RCP-0016</v>
      </c>
      <c r="AL19" s="21" t="s">
        <v>753</v>
      </c>
      <c r="AM19" s="21" t="s">
        <v>844</v>
      </c>
      <c r="AN19" s="21" t="s">
        <v>753</v>
      </c>
      <c r="AO19" s="21" t="s">
        <v>3042</v>
      </c>
      <c r="AP19" s="21" t="s">
        <v>844</v>
      </c>
    </row>
    <row r="20" spans="1:42" x14ac:dyDescent="0.3">
      <c r="A20" s="21" t="s">
        <v>2208</v>
      </c>
      <c r="B20" s="29">
        <v>45772</v>
      </c>
      <c r="C20" s="21" t="s">
        <v>3020</v>
      </c>
      <c r="D20" s="21" t="s">
        <v>3021</v>
      </c>
      <c r="E20" s="41" t="s">
        <v>4994</v>
      </c>
      <c r="F20" s="21" t="s">
        <v>1863</v>
      </c>
      <c r="G20" s="21" t="s">
        <v>1835</v>
      </c>
      <c r="H20" s="21" t="s">
        <v>2204</v>
      </c>
      <c r="I20" s="21" t="s">
        <v>1055</v>
      </c>
      <c r="J20" s="21" t="s">
        <v>844</v>
      </c>
      <c r="K20" s="21" t="s">
        <v>848</v>
      </c>
      <c r="L20" s="21" t="s">
        <v>3043</v>
      </c>
      <c r="M20" s="21" t="str" cm="1">
        <f t="array" ref="M20">_xlfn.TEXTJOIN(", ",TRUE,_xlfn.UNIQUE(_xlfn._xlws.FILTER('T14'!$A$3:$A$1500,'T14'!$AO$3:$AO$1500=A20,"")))</f>
        <v>DC-00061, DC-00062, DC-00064, DC-00066, DC-00068, DC-00069</v>
      </c>
      <c r="N20" s="25">
        <f>SUMIFS('T14'!$AD$3:$AD$1500,'T14'!$AO$3:$AO$1500,A20,'T14'!$AA$3:$AA$1500,Q20&amp;"*")</f>
        <v>250</v>
      </c>
      <c r="O20" s="21" t="s">
        <v>1091</v>
      </c>
      <c r="P20" s="21">
        <v>1</v>
      </c>
      <c r="Q20" s="21" t="s">
        <v>788</v>
      </c>
      <c r="R20" s="21" t="s">
        <v>790</v>
      </c>
      <c r="S20" s="21" t="s">
        <v>1804</v>
      </c>
      <c r="T20" s="25">
        <f>SUMIFS('T14'!$AI$3:$AI$1500,'T14'!$AO$3:$AO$1500,A20,'T14'!$AA$3:$AA$1500,Q20&amp;"*")</f>
        <v>244</v>
      </c>
      <c r="U20" s="25">
        <f>SUMIFS('T09'!$W$3:$W$1500,'T09'!$A$3:$A$1500,F20,'T09'!$T$3:$T$1500,Q20&amp;"*")</f>
        <v>1530</v>
      </c>
      <c r="V20" s="25">
        <f>T20*U20</f>
        <v>373320</v>
      </c>
      <c r="W20" s="25">
        <f>V20</f>
        <v>373320</v>
      </c>
      <c r="X20" s="23">
        <f>_xlfn.XLOOKUP(Q20,'T13'!$A$3:$A$1500,'T13'!$O$3:$O$1500)</f>
        <v>0.18</v>
      </c>
      <c r="Y20" s="25">
        <f>T20*IF(S20="MT",1000,IF(S20="Jumbo bag (1.5 MT)",1500,IF(S20="Bag (40 kg)",40,50)))*3</f>
        <v>36600</v>
      </c>
      <c r="Z20" s="21" t="str">
        <f>_xlfn.XLOOKUP(Q20,'T13'!$A$3:$A$1500,'T13'!$AA$3:$AA$1500)&amp;" / CC-SALES-LHR"</f>
        <v>4101 Sales - Cement bags / CC-SALES-LHR</v>
      </c>
      <c r="AA20" s="33">
        <f>SUMIFS($T$3:$T$1500,$A$3:$A$1500,A20,$S$3:$S$1500,"Bag (50 kg)")*0.05+SUMIFS($T$3:$T$1500,$A$3:$A$1500,A20,$S$3:$S$1500,"Bag (40 kg)")*0.04+SUMIFS($T$3:$T$1500,$A$3:$A$1500,A20,$S$3:$S$1500,"MT")+SUMIFS($T$3:$T$1500,$A$3:$A$1500,A20,$S$3:$S$1500,"Jumbo bag (1.5 MT)")*1.5</f>
        <v>58</v>
      </c>
      <c r="AB20" s="25" cm="1">
        <f t="array" ref="AB20">SUMPRODUCT(($A$3:$A$1500=A20)*$W$3:$W$1500*$X$3:$X$1500)</f>
        <v>307796.40000000002</v>
      </c>
      <c r="AC20" s="25">
        <f>SUMIFS($Y$3:$Y$1500,$A$3:$A$1500,A20)</f>
        <v>174000</v>
      </c>
      <c r="AD20" s="25">
        <f>SUMIFS($W$3:$W$1500,$A$3:$A$1500,A20)+AB20+AC20</f>
        <v>2191776.4</v>
      </c>
      <c r="AE20" s="21" t="str">
        <f>"PKR "&amp;TEXT(AD20,"#,##0")&amp;" only"</f>
        <v>PKR 2,191,776 only</v>
      </c>
      <c r="AF20" s="21" t="s">
        <v>1062</v>
      </c>
      <c r="AG20" s="29">
        <f>B20+15</f>
        <v>45787</v>
      </c>
      <c r="AH20" s="25">
        <f>SUMIFS('T15'!$BC$3:$BC$1499,'T15'!$AY$3:$AY$1499,A20,'T15'!$C$3:$C$1499,"Advance*")</f>
        <v>0</v>
      </c>
      <c r="AI20" s="25">
        <f>SUMIFS('T15'!$BC$3:$BC$1499,'T15'!$AY$3:$AY$1499,A20)+SUMIFS('T15'!$BD$3:$BD$1499,'T15'!$AY$3:$AY$1499,A20)+SUMIFS('T15'!$BE$3:$BE$1499,'T15'!$AY$3:$AY$1499,A20)</f>
        <v>2191776.4</v>
      </c>
      <c r="AJ20" s="21" t="str">
        <f ca="1">TEXT(AD20-AI20,"#,##0")&amp;" - "&amp;IF(AD20-AI20&lt;1,"Paid",IF(AI20&gt;0,"Partially paid",IF(AG20&lt;TODAY(),"Overdue","Open")))</f>
        <v>0 - Paid</v>
      </c>
      <c r="AK20" s="21" t="str" cm="1">
        <f t="array" ref="AK20">_xlfn.TEXTJOIN(", ",TRUE,_xlfn._xlws.FILTER('T15'!$A$3:$A$1499,'T15'!$AY$3:$AY$1499=A20,"None"))</f>
        <v>RCP-0017, RCP-0019</v>
      </c>
      <c r="AL20" s="21" t="s">
        <v>753</v>
      </c>
      <c r="AM20" s="21" t="s">
        <v>844</v>
      </c>
      <c r="AN20" s="21" t="s">
        <v>846</v>
      </c>
      <c r="AO20" s="21" t="s">
        <v>3044</v>
      </c>
      <c r="AP20" s="21" t="s">
        <v>844</v>
      </c>
    </row>
    <row r="21" spans="1:42" x14ac:dyDescent="0.3">
      <c r="A21" s="21" t="s">
        <v>2208</v>
      </c>
      <c r="B21" s="29">
        <v>45772</v>
      </c>
      <c r="C21" s="21" t="s">
        <v>3020</v>
      </c>
      <c r="D21" s="21" t="s">
        <v>3021</v>
      </c>
      <c r="E21" s="41" t="s">
        <v>4994</v>
      </c>
      <c r="F21" s="21" t="s">
        <v>1863</v>
      </c>
      <c r="G21" s="21" t="s">
        <v>1835</v>
      </c>
      <c r="H21" s="21" t="s">
        <v>2204</v>
      </c>
      <c r="I21" s="21" t="s">
        <v>1055</v>
      </c>
      <c r="J21" s="21" t="s">
        <v>844</v>
      </c>
      <c r="K21" s="21" t="s">
        <v>848</v>
      </c>
      <c r="L21" s="21" t="s">
        <v>3043</v>
      </c>
      <c r="M21" s="21" t="str" cm="1">
        <f t="array" ref="M21">_xlfn.TEXTJOIN(", ",TRUE,_xlfn.UNIQUE(_xlfn._xlws.FILTER('T14'!$A$3:$A$1500,'T14'!$AO$3:$AO$1500=A21,"")))</f>
        <v>DC-00061, DC-00062, DC-00064, DC-00066, DC-00068, DC-00069</v>
      </c>
      <c r="N21" s="25">
        <f>SUMIFS('T14'!$AD$3:$AD$1500,'T14'!$AO$3:$AO$1500,A21,'T14'!$AA$3:$AA$1500,Q21&amp;"*")</f>
        <v>200</v>
      </c>
      <c r="O21" s="21" t="s">
        <v>1091</v>
      </c>
      <c r="P21" s="21">
        <v>2</v>
      </c>
      <c r="Q21" s="21" t="s">
        <v>805</v>
      </c>
      <c r="R21" s="21" t="s">
        <v>807</v>
      </c>
      <c r="S21" s="21" t="s">
        <v>1804</v>
      </c>
      <c r="T21" s="25">
        <f>SUMIFS('T14'!$AI$3:$AI$1500,'T14'!$AO$3:$AO$1500,A21,'T14'!$AA$3:$AA$1500,Q21&amp;"*")</f>
        <v>196</v>
      </c>
      <c r="U21" s="25">
        <f>SUMIFS('T09'!$W$3:$W$1500,'T09'!$A$3:$A$1500,F21,'T09'!$T$3:$T$1500,Q21&amp;"*")</f>
        <v>1585</v>
      </c>
      <c r="V21" s="25">
        <f>T21*U21</f>
        <v>310660</v>
      </c>
      <c r="W21" s="25">
        <f>V21</f>
        <v>310660</v>
      </c>
      <c r="X21" s="23">
        <f>_xlfn.XLOOKUP(Q21,'T13'!$A$3:$A$1500,'T13'!$O$3:$O$1500)</f>
        <v>0.18</v>
      </c>
      <c r="Y21" s="25">
        <f>T21*IF(S21="MT",1000,IF(S21="Jumbo bag (1.5 MT)",1500,IF(S21="Bag (40 kg)",40,50)))*3</f>
        <v>29400</v>
      </c>
      <c r="Z21" s="21" t="str">
        <f>_xlfn.XLOOKUP(Q21,'T13'!$A$3:$A$1500,'T13'!$AA$3:$AA$1500)&amp;" / CC-SALES-LHR"</f>
        <v>4101 Sales - Cement bags / CC-SALES-LHR</v>
      </c>
      <c r="AA21" s="33">
        <f>SUMIFS($T$3:$T$1500,$A$3:$A$1500,A21,$S$3:$S$1500,"Bag (50 kg)")*0.05+SUMIFS($T$3:$T$1500,$A$3:$A$1500,A21,$S$3:$S$1500,"Bag (40 kg)")*0.04+SUMIFS($T$3:$T$1500,$A$3:$A$1500,A21,$S$3:$S$1500,"MT")+SUMIFS($T$3:$T$1500,$A$3:$A$1500,A21,$S$3:$S$1500,"Jumbo bag (1.5 MT)")*1.5</f>
        <v>58</v>
      </c>
      <c r="AB21" s="25" cm="1">
        <f t="array" ref="AB21">SUMPRODUCT(($A$3:$A$1500=A21)*$W$3:$W$1500*$X$3:$X$1500)</f>
        <v>307796.40000000002</v>
      </c>
      <c r="AC21" s="25">
        <f>SUMIFS($Y$3:$Y$1500,$A$3:$A$1500,A21)</f>
        <v>174000</v>
      </c>
      <c r="AD21" s="25">
        <f>SUMIFS($W$3:$W$1500,$A$3:$A$1500,A21)+AB21+AC21</f>
        <v>2191776.4</v>
      </c>
      <c r="AE21" s="21" t="str">
        <f>"PKR "&amp;TEXT(AD21,"#,##0")&amp;" only"</f>
        <v>PKR 2,191,776 only</v>
      </c>
      <c r="AF21" s="21" t="s">
        <v>1062</v>
      </c>
      <c r="AG21" s="29">
        <f>B21+15</f>
        <v>45787</v>
      </c>
      <c r="AH21" s="25">
        <f>SUMIFS('T15'!$BC$3:$BC$1499,'T15'!$AY$3:$AY$1499,A21,'T15'!$C$3:$C$1499,"Advance*")</f>
        <v>0</v>
      </c>
      <c r="AI21" s="25">
        <f>SUMIFS('T15'!$BC$3:$BC$1499,'T15'!$AY$3:$AY$1499,A21)+SUMIFS('T15'!$BD$3:$BD$1499,'T15'!$AY$3:$AY$1499,A21)+SUMIFS('T15'!$BE$3:$BE$1499,'T15'!$AY$3:$AY$1499,A21)</f>
        <v>2191776.4</v>
      </c>
      <c r="AJ21" s="21" t="str">
        <f ca="1">TEXT(AD21-AI21,"#,##0")&amp;" - "&amp;IF(AD21-AI21&lt;1,"Paid",IF(AI21&gt;0,"Partially paid",IF(AG21&lt;TODAY(),"Overdue","Open")))</f>
        <v>0 - Paid</v>
      </c>
      <c r="AK21" s="21" t="str" cm="1">
        <f t="array" ref="AK21">_xlfn.TEXTJOIN(", ",TRUE,_xlfn._xlws.FILTER('T15'!$A$3:$A$1499,'T15'!$AY$3:$AY$1499=A21,"None"))</f>
        <v>RCP-0017, RCP-0019</v>
      </c>
      <c r="AL21" s="21" t="s">
        <v>753</v>
      </c>
      <c r="AM21" s="21" t="s">
        <v>844</v>
      </c>
      <c r="AN21" s="21" t="s">
        <v>846</v>
      </c>
      <c r="AO21" s="21" t="s">
        <v>3044</v>
      </c>
      <c r="AP21" s="21" t="s">
        <v>844</v>
      </c>
    </row>
    <row r="22" spans="1:42" x14ac:dyDescent="0.3">
      <c r="A22" s="21" t="s">
        <v>2208</v>
      </c>
      <c r="B22" s="29">
        <v>45772</v>
      </c>
      <c r="C22" s="21" t="s">
        <v>3020</v>
      </c>
      <c r="D22" s="21" t="s">
        <v>3021</v>
      </c>
      <c r="E22" s="41" t="s">
        <v>4994</v>
      </c>
      <c r="F22" s="21" t="s">
        <v>1863</v>
      </c>
      <c r="G22" s="21" t="s">
        <v>1835</v>
      </c>
      <c r="H22" s="21" t="s">
        <v>2204</v>
      </c>
      <c r="I22" s="21" t="s">
        <v>1055</v>
      </c>
      <c r="J22" s="21" t="s">
        <v>844</v>
      </c>
      <c r="K22" s="21" t="s">
        <v>848</v>
      </c>
      <c r="L22" s="21" t="s">
        <v>3043</v>
      </c>
      <c r="M22" s="21" t="str" cm="1">
        <f t="array" ref="M22">_xlfn.TEXTJOIN(", ",TRUE,_xlfn.UNIQUE(_xlfn._xlws.FILTER('T14'!$A$3:$A$1500,'T14'!$AO$3:$AO$1500=A22,"")))</f>
        <v>DC-00061, DC-00062, DC-00064, DC-00066, DC-00068, DC-00069</v>
      </c>
      <c r="N22" s="25">
        <f>SUMIFS('T14'!$AD$3:$AD$1500,'T14'!$AO$3:$AO$1500,A22,'T14'!$AA$3:$AA$1500,Q22&amp;"*")</f>
        <v>24</v>
      </c>
      <c r="O22" s="21" t="s">
        <v>1091</v>
      </c>
      <c r="P22" s="21">
        <v>3</v>
      </c>
      <c r="Q22" s="21" t="s">
        <v>826</v>
      </c>
      <c r="R22" s="21" t="s">
        <v>827</v>
      </c>
      <c r="S22" s="21" t="s">
        <v>1860</v>
      </c>
      <c r="T22" s="25">
        <f>SUMIFS('T14'!$AI$3:$AI$1500,'T14'!$AO$3:$AO$1500,A22,'T14'!$AA$3:$AA$1500,Q22&amp;"*")</f>
        <v>24</v>
      </c>
      <c r="U22" s="25">
        <f>SUMIFS('T09'!$W$3:$W$1500,'T09'!$A$3:$A$1500,F22,'T09'!$T$3:$T$1500,Q22&amp;"*")</f>
        <v>42750</v>
      </c>
      <c r="V22" s="25">
        <f>T22*U22</f>
        <v>1026000</v>
      </c>
      <c r="W22" s="25">
        <f>V22</f>
        <v>1026000</v>
      </c>
      <c r="X22" s="23">
        <f>_xlfn.XLOOKUP(Q22,'T13'!$A$3:$A$1500,'T13'!$O$3:$O$1500)</f>
        <v>0.18</v>
      </c>
      <c r="Y22" s="25">
        <f>T22*IF(S22="MT",1000,IF(S22="Jumbo bag (1.5 MT)",1500,IF(S22="Bag (40 kg)",40,50)))*3</f>
        <v>108000</v>
      </c>
      <c r="Z22" s="21" t="str">
        <f>_xlfn.XLOOKUP(Q22,'T13'!$A$3:$A$1500,'T13'!$AA$3:$AA$1500)&amp;" / CC-SALES-LHR"</f>
        <v>4102 Sales - Cement bulk / CC-SALES-LHR</v>
      </c>
      <c r="AA22" s="33">
        <f>SUMIFS($T$3:$T$1500,$A$3:$A$1500,A22,$S$3:$S$1500,"Bag (50 kg)")*0.05+SUMIFS($T$3:$T$1500,$A$3:$A$1500,A22,$S$3:$S$1500,"Bag (40 kg)")*0.04+SUMIFS($T$3:$T$1500,$A$3:$A$1500,A22,$S$3:$S$1500,"MT")+SUMIFS($T$3:$T$1500,$A$3:$A$1500,A22,$S$3:$S$1500,"Jumbo bag (1.5 MT)")*1.5</f>
        <v>58</v>
      </c>
      <c r="AB22" s="25" cm="1">
        <f t="array" ref="AB22">SUMPRODUCT(($A$3:$A$1500=A22)*$W$3:$W$1500*$X$3:$X$1500)</f>
        <v>307796.40000000002</v>
      </c>
      <c r="AC22" s="25">
        <f>SUMIFS($Y$3:$Y$1500,$A$3:$A$1500,A22)</f>
        <v>174000</v>
      </c>
      <c r="AD22" s="25">
        <f>SUMIFS($W$3:$W$1500,$A$3:$A$1500,A22)+AB22+AC22</f>
        <v>2191776.4</v>
      </c>
      <c r="AE22" s="21" t="str">
        <f>"PKR "&amp;TEXT(AD22,"#,##0")&amp;" only"</f>
        <v>PKR 2,191,776 only</v>
      </c>
      <c r="AF22" s="21" t="s">
        <v>1062</v>
      </c>
      <c r="AG22" s="29">
        <f>B22+15</f>
        <v>45787</v>
      </c>
      <c r="AH22" s="25">
        <f>SUMIFS('T15'!$BC$3:$BC$1499,'T15'!$AY$3:$AY$1499,A22,'T15'!$C$3:$C$1499,"Advance*")</f>
        <v>0</v>
      </c>
      <c r="AI22" s="25">
        <f>SUMIFS('T15'!$BC$3:$BC$1499,'T15'!$AY$3:$AY$1499,A22)+SUMIFS('T15'!$BD$3:$BD$1499,'T15'!$AY$3:$AY$1499,A22)+SUMIFS('T15'!$BE$3:$BE$1499,'T15'!$AY$3:$AY$1499,A22)</f>
        <v>2191776.4</v>
      </c>
      <c r="AJ22" s="21" t="str">
        <f ca="1">TEXT(AD22-AI22,"#,##0")&amp;" - "&amp;IF(AD22-AI22&lt;1,"Paid",IF(AI22&gt;0,"Partially paid",IF(AG22&lt;TODAY(),"Overdue","Open")))</f>
        <v>0 - Paid</v>
      </c>
      <c r="AK22" s="21" t="str" cm="1">
        <f t="array" ref="AK22">_xlfn.TEXTJOIN(", ",TRUE,_xlfn._xlws.FILTER('T15'!$A$3:$A$1499,'T15'!$AY$3:$AY$1499=A22,"None"))</f>
        <v>RCP-0017, RCP-0019</v>
      </c>
      <c r="AL22" s="21" t="s">
        <v>753</v>
      </c>
      <c r="AM22" s="21" t="s">
        <v>844</v>
      </c>
      <c r="AN22" s="21" t="s">
        <v>846</v>
      </c>
      <c r="AO22" s="21" t="s">
        <v>3044</v>
      </c>
      <c r="AP22" s="21" t="s">
        <v>844</v>
      </c>
    </row>
    <row r="23" spans="1:42" x14ac:dyDescent="0.3">
      <c r="A23" s="21" t="s">
        <v>2199</v>
      </c>
      <c r="B23" s="29">
        <v>45773</v>
      </c>
      <c r="C23" s="21" t="s">
        <v>3020</v>
      </c>
      <c r="D23" s="21" t="s">
        <v>3021</v>
      </c>
      <c r="E23" s="41" t="s">
        <v>4994</v>
      </c>
      <c r="F23" s="21" t="s">
        <v>1856</v>
      </c>
      <c r="G23" s="21" t="s">
        <v>1857</v>
      </c>
      <c r="H23" s="21" t="s">
        <v>2189</v>
      </c>
      <c r="I23" s="21" t="s">
        <v>1115</v>
      </c>
      <c r="J23" s="21" t="s">
        <v>844</v>
      </c>
      <c r="K23" s="21" t="s">
        <v>848</v>
      </c>
      <c r="L23" s="21" t="s">
        <v>3045</v>
      </c>
      <c r="M23" s="21" t="str" cm="1">
        <f t="array" ref="M23">_xlfn.TEXTJOIN(", ",TRUE,_xlfn.UNIQUE(_xlfn._xlws.FILTER('T14'!$A$3:$A$1500,'T14'!$AO$3:$AO$1500=A23,"")))</f>
        <v>DC-00060, DC-00063, DC-00065, DC-00067, DC-00070</v>
      </c>
      <c r="N23" s="25">
        <f>SUMIFS('T14'!$AD$3:$AD$1500,'T14'!$AO$3:$AO$1500,A23,'T14'!$AA$3:$AA$1500,Q23&amp;"*")</f>
        <v>200</v>
      </c>
      <c r="O23" s="21" t="s">
        <v>1117</v>
      </c>
      <c r="P23" s="21">
        <v>1</v>
      </c>
      <c r="Q23" s="21" t="s">
        <v>763</v>
      </c>
      <c r="R23" s="21" t="s">
        <v>766</v>
      </c>
      <c r="S23" s="21" t="s">
        <v>1804</v>
      </c>
      <c r="T23" s="25">
        <f>SUMIFS('T14'!$AI$3:$AI$1500,'T14'!$AO$3:$AO$1500,A23,'T14'!$AA$3:$AA$1500,Q23&amp;"*")</f>
        <v>200</v>
      </c>
      <c r="U23" s="25">
        <f>SUMIFS('T09'!$W$3:$W$1500,'T09'!$A$3:$A$1500,F23,'T09'!$T$3:$T$1500,Q23&amp;"*")</f>
        <v>1455</v>
      </c>
      <c r="V23" s="25">
        <f>T23*U23</f>
        <v>291000</v>
      </c>
      <c r="W23" s="25">
        <f>V23</f>
        <v>291000</v>
      </c>
      <c r="X23" s="23">
        <f>_xlfn.XLOOKUP(Q23,'T13'!$A$3:$A$1500,'T13'!$O$3:$O$1500)</f>
        <v>0.18</v>
      </c>
      <c r="Y23" s="25">
        <f>T23*IF(S23="MT",1000,IF(S23="Jumbo bag (1.5 MT)",1500,IF(S23="Bag (40 kg)",40,50)))*3</f>
        <v>30000</v>
      </c>
      <c r="Z23" s="21" t="str">
        <f>_xlfn.XLOOKUP(Q23,'T13'!$A$3:$A$1500,'T13'!$AA$3:$AA$1500)&amp;" / CC-SALES-LHR"</f>
        <v>4101 Sales - Cement bags / CC-SALES-LHR</v>
      </c>
      <c r="AA23" s="33">
        <f>SUMIFS($T$3:$T$1500,$A$3:$A$1500,A23,$S$3:$S$1500,"Bag (50 kg)")*0.05+SUMIFS($T$3:$T$1500,$A$3:$A$1500,A23,$S$3:$S$1500,"Bag (40 kg)")*0.04+SUMIFS($T$3:$T$1500,$A$3:$A$1500,A23,$S$3:$S$1500,"MT")+SUMIFS($T$3:$T$1500,$A$3:$A$1500,A23,$S$3:$S$1500,"Jumbo bag (1.5 MT)")*1.5</f>
        <v>59.95</v>
      </c>
      <c r="AB23" s="25" cm="1">
        <f t="array" ref="AB23">SUMPRODUCT(($A$3:$A$1500=A23)*$W$3:$W$1500*$X$3:$X$1500)</f>
        <v>314066.7</v>
      </c>
      <c r="AC23" s="25">
        <f>SUMIFS($Y$3:$Y$1500,$A$3:$A$1500,A23)</f>
        <v>179850</v>
      </c>
      <c r="AD23" s="25">
        <f>SUMIFS($W$3:$W$1500,$A$3:$A$1500,A23)+AB23+AC23</f>
        <v>2238731.7000000002</v>
      </c>
      <c r="AE23" s="21" t="str">
        <f>"PKR "&amp;TEXT(AD23,"#,##0")&amp;" only"</f>
        <v>PKR 2,238,732 only</v>
      </c>
      <c r="AF23" s="21" t="s">
        <v>1062</v>
      </c>
      <c r="AG23" s="29">
        <f>B23+15</f>
        <v>45788</v>
      </c>
      <c r="AH23" s="25">
        <f>SUMIFS('T15'!$BC$3:$BC$1499,'T15'!$AY$3:$AY$1499,A23,'T15'!$C$3:$C$1499,"Advance*")</f>
        <v>0</v>
      </c>
      <c r="AI23" s="25">
        <f>SUMIFS('T15'!$BC$3:$BC$1499,'T15'!$AY$3:$AY$1499,A23)+SUMIFS('T15'!$BD$3:$BD$1499,'T15'!$AY$3:$AY$1499,A23)+SUMIFS('T15'!$BE$3:$BE$1499,'T15'!$AY$3:$AY$1499,A23)</f>
        <v>2238731.7000000002</v>
      </c>
      <c r="AJ23" s="21" t="str">
        <f ca="1">TEXT(AD23-AI23,"#,##0")&amp;" - "&amp;IF(AD23-AI23&lt;1,"Paid",IF(AI23&gt;0,"Partially paid",IF(AG23&lt;TODAY(),"Overdue","Open")))</f>
        <v>0 - Paid</v>
      </c>
      <c r="AK23" s="21" t="str" cm="1">
        <f t="array" ref="AK23">_xlfn.TEXTJOIN(", ",TRUE,_xlfn._xlws.FILTER('T15'!$A$3:$A$1499,'T15'!$AY$3:$AY$1499=A23,"None"))</f>
        <v>RCP-0018, RCP-0020</v>
      </c>
      <c r="AL23" s="21" t="s">
        <v>753</v>
      </c>
      <c r="AM23" s="21" t="s">
        <v>844</v>
      </c>
      <c r="AN23" s="21" t="s">
        <v>753</v>
      </c>
      <c r="AO23" s="21" t="s">
        <v>3046</v>
      </c>
      <c r="AP23" s="21" t="s">
        <v>844</v>
      </c>
    </row>
    <row r="24" spans="1:42" x14ac:dyDescent="0.3">
      <c r="A24" s="21" t="s">
        <v>2199</v>
      </c>
      <c r="B24" s="29">
        <v>45773</v>
      </c>
      <c r="C24" s="21" t="s">
        <v>3020</v>
      </c>
      <c r="D24" s="21" t="s">
        <v>3021</v>
      </c>
      <c r="E24" s="41" t="s">
        <v>4994</v>
      </c>
      <c r="F24" s="21" t="s">
        <v>1856</v>
      </c>
      <c r="G24" s="21" t="s">
        <v>1857</v>
      </c>
      <c r="H24" s="21" t="s">
        <v>2189</v>
      </c>
      <c r="I24" s="21" t="s">
        <v>1115</v>
      </c>
      <c r="J24" s="21" t="s">
        <v>844</v>
      </c>
      <c r="K24" s="21" t="s">
        <v>848</v>
      </c>
      <c r="L24" s="21" t="s">
        <v>3045</v>
      </c>
      <c r="M24" s="21" t="str" cm="1">
        <f t="array" ref="M24">_xlfn.TEXTJOIN(", ",TRUE,_xlfn.UNIQUE(_xlfn._xlws.FILTER('T14'!$A$3:$A$1500,'T14'!$AO$3:$AO$1500=A24,"")))</f>
        <v>DC-00060, DC-00063, DC-00065, DC-00067, DC-00070</v>
      </c>
      <c r="N24" s="25">
        <f>SUMIFS('T14'!$AD$3:$AD$1500,'T14'!$AO$3:$AO$1500,A24,'T14'!$AA$3:$AA$1500,Q24&amp;"*")</f>
        <v>200</v>
      </c>
      <c r="O24" s="21" t="s">
        <v>1117</v>
      </c>
      <c r="P24" s="21">
        <v>2</v>
      </c>
      <c r="Q24" s="21" t="s">
        <v>805</v>
      </c>
      <c r="R24" s="21" t="s">
        <v>807</v>
      </c>
      <c r="S24" s="21" t="s">
        <v>1804</v>
      </c>
      <c r="T24" s="25">
        <f>SUMIFS('T14'!$AI$3:$AI$1500,'T14'!$AO$3:$AO$1500,A24,'T14'!$AA$3:$AA$1500,Q24&amp;"*")</f>
        <v>189</v>
      </c>
      <c r="U24" s="25">
        <f>SUMIFS('T09'!$W$3:$W$1500,'T09'!$A$3:$A$1500,F24,'T09'!$T$3:$T$1500,Q24&amp;"*")</f>
        <v>1585</v>
      </c>
      <c r="V24" s="25">
        <f>T24*U24</f>
        <v>299565</v>
      </c>
      <c r="W24" s="25">
        <f>V24</f>
        <v>299565</v>
      </c>
      <c r="X24" s="23">
        <f>_xlfn.XLOOKUP(Q24,'T13'!$A$3:$A$1500,'T13'!$O$3:$O$1500)</f>
        <v>0.18</v>
      </c>
      <c r="Y24" s="25">
        <f>T24*IF(S24="MT",1000,IF(S24="Jumbo bag (1.5 MT)",1500,IF(S24="Bag (40 kg)",40,50)))*3</f>
        <v>28350</v>
      </c>
      <c r="Z24" s="21" t="str">
        <f>_xlfn.XLOOKUP(Q24,'T13'!$A$3:$A$1500,'T13'!$AA$3:$AA$1500)&amp;" / CC-SALES-LHR"</f>
        <v>4101 Sales - Cement bags / CC-SALES-LHR</v>
      </c>
      <c r="AA24" s="33">
        <f>SUMIFS($T$3:$T$1500,$A$3:$A$1500,A24,$S$3:$S$1500,"Bag (50 kg)")*0.05+SUMIFS($T$3:$T$1500,$A$3:$A$1500,A24,$S$3:$S$1500,"Bag (40 kg)")*0.04+SUMIFS($T$3:$T$1500,$A$3:$A$1500,A24,$S$3:$S$1500,"MT")+SUMIFS($T$3:$T$1500,$A$3:$A$1500,A24,$S$3:$S$1500,"Jumbo bag (1.5 MT)")*1.5</f>
        <v>59.95</v>
      </c>
      <c r="AB24" s="25" cm="1">
        <f t="array" ref="AB24">SUMPRODUCT(($A$3:$A$1500=A24)*$W$3:$W$1500*$X$3:$X$1500)</f>
        <v>314066.7</v>
      </c>
      <c r="AC24" s="25">
        <f>SUMIFS($Y$3:$Y$1500,$A$3:$A$1500,A24)</f>
        <v>179850</v>
      </c>
      <c r="AD24" s="25">
        <f>SUMIFS($W$3:$W$1500,$A$3:$A$1500,A24)+AB24+AC24</f>
        <v>2238731.7000000002</v>
      </c>
      <c r="AE24" s="21" t="str">
        <f>"PKR "&amp;TEXT(AD24,"#,##0")&amp;" only"</f>
        <v>PKR 2,238,732 only</v>
      </c>
      <c r="AF24" s="21" t="s">
        <v>1062</v>
      </c>
      <c r="AG24" s="29">
        <f>B24+15</f>
        <v>45788</v>
      </c>
      <c r="AH24" s="25">
        <f>SUMIFS('T15'!$BC$3:$BC$1499,'T15'!$AY$3:$AY$1499,A24,'T15'!$C$3:$C$1499,"Advance*")</f>
        <v>0</v>
      </c>
      <c r="AI24" s="25">
        <f>SUMIFS('T15'!$BC$3:$BC$1499,'T15'!$AY$3:$AY$1499,A24)+SUMIFS('T15'!$BD$3:$BD$1499,'T15'!$AY$3:$AY$1499,A24)+SUMIFS('T15'!$BE$3:$BE$1499,'T15'!$AY$3:$AY$1499,A24)</f>
        <v>2238731.7000000002</v>
      </c>
      <c r="AJ24" s="21" t="str">
        <f ca="1">TEXT(AD24-AI24,"#,##0")&amp;" - "&amp;IF(AD24-AI24&lt;1,"Paid",IF(AI24&gt;0,"Partially paid",IF(AG24&lt;TODAY(),"Overdue","Open")))</f>
        <v>0 - Paid</v>
      </c>
      <c r="AK24" s="21" t="str" cm="1">
        <f t="array" ref="AK24">_xlfn.TEXTJOIN(", ",TRUE,_xlfn._xlws.FILTER('T15'!$A$3:$A$1499,'T15'!$AY$3:$AY$1499=A24,"None"))</f>
        <v>RCP-0018, RCP-0020</v>
      </c>
      <c r="AL24" s="21" t="s">
        <v>753</v>
      </c>
      <c r="AM24" s="21" t="s">
        <v>844</v>
      </c>
      <c r="AN24" s="21" t="s">
        <v>753</v>
      </c>
      <c r="AO24" s="21" t="s">
        <v>3046</v>
      </c>
      <c r="AP24" s="21" t="s">
        <v>844</v>
      </c>
    </row>
    <row r="25" spans="1:42" x14ac:dyDescent="0.3">
      <c r="A25" s="21" t="s">
        <v>2199</v>
      </c>
      <c r="B25" s="29">
        <v>45773</v>
      </c>
      <c r="C25" s="21" t="s">
        <v>3020</v>
      </c>
      <c r="D25" s="21" t="s">
        <v>3021</v>
      </c>
      <c r="E25" s="41" t="s">
        <v>4994</v>
      </c>
      <c r="F25" s="21" t="s">
        <v>1856</v>
      </c>
      <c r="G25" s="21" t="s">
        <v>1857</v>
      </c>
      <c r="H25" s="21" t="s">
        <v>2189</v>
      </c>
      <c r="I25" s="21" t="s">
        <v>1115</v>
      </c>
      <c r="J25" s="21" t="s">
        <v>844</v>
      </c>
      <c r="K25" s="21" t="s">
        <v>848</v>
      </c>
      <c r="L25" s="21" t="s">
        <v>3045</v>
      </c>
      <c r="M25" s="21" t="str" cm="1">
        <f t="array" ref="M25">_xlfn.TEXTJOIN(", ",TRUE,_xlfn.UNIQUE(_xlfn._xlws.FILTER('T14'!$A$3:$A$1500,'T14'!$AO$3:$AO$1500=A25,"")))</f>
        <v>DC-00060, DC-00063, DC-00065, DC-00067, DC-00070</v>
      </c>
      <c r="N25" s="25">
        <f>SUMIFS('T14'!$AD$3:$AD$1500,'T14'!$AO$3:$AO$1500,A25,'T14'!$AA$3:$AA$1500,Q25&amp;"*")</f>
        <v>27</v>
      </c>
      <c r="O25" s="21" t="s">
        <v>1117</v>
      </c>
      <c r="P25" s="21">
        <v>3</v>
      </c>
      <c r="Q25" s="21" t="s">
        <v>826</v>
      </c>
      <c r="R25" s="21" t="s">
        <v>827</v>
      </c>
      <c r="S25" s="21" t="s">
        <v>1860</v>
      </c>
      <c r="T25" s="25">
        <f>SUMIFS('T14'!$AI$3:$AI$1500,'T14'!$AO$3:$AO$1500,A25,'T14'!$AA$3:$AA$1500,Q25&amp;"*")</f>
        <v>27</v>
      </c>
      <c r="U25" s="25">
        <f>SUMIFS('T09'!$W$3:$W$1500,'T09'!$A$3:$A$1500,F25,'T09'!$T$3:$T$1500,Q25&amp;"*")</f>
        <v>42750</v>
      </c>
      <c r="V25" s="25">
        <f>T25*U25</f>
        <v>1154250</v>
      </c>
      <c r="W25" s="25">
        <f>V25</f>
        <v>1154250</v>
      </c>
      <c r="X25" s="23">
        <f>_xlfn.XLOOKUP(Q25,'T13'!$A$3:$A$1500,'T13'!$O$3:$O$1500)</f>
        <v>0.18</v>
      </c>
      <c r="Y25" s="25">
        <f>T25*IF(S25="MT",1000,IF(S25="Jumbo bag (1.5 MT)",1500,IF(S25="Bag (40 kg)",40,50)))*3</f>
        <v>121500</v>
      </c>
      <c r="Z25" s="21" t="str">
        <f>_xlfn.XLOOKUP(Q25,'T13'!$A$3:$A$1500,'T13'!$AA$3:$AA$1500)&amp;" / CC-SALES-LHR"</f>
        <v>4102 Sales - Cement bulk / CC-SALES-LHR</v>
      </c>
      <c r="AA25" s="33">
        <f>SUMIFS($T$3:$T$1500,$A$3:$A$1500,A25,$S$3:$S$1500,"Bag (50 kg)")*0.05+SUMIFS($T$3:$T$1500,$A$3:$A$1500,A25,$S$3:$S$1500,"Bag (40 kg)")*0.04+SUMIFS($T$3:$T$1500,$A$3:$A$1500,A25,$S$3:$S$1500,"MT")+SUMIFS($T$3:$T$1500,$A$3:$A$1500,A25,$S$3:$S$1500,"Jumbo bag (1.5 MT)")*1.5</f>
        <v>59.95</v>
      </c>
      <c r="AB25" s="25" cm="1">
        <f t="array" ref="AB25">SUMPRODUCT(($A$3:$A$1500=A25)*$W$3:$W$1500*$X$3:$X$1500)</f>
        <v>314066.7</v>
      </c>
      <c r="AC25" s="25">
        <f>SUMIFS($Y$3:$Y$1500,$A$3:$A$1500,A25)</f>
        <v>179850</v>
      </c>
      <c r="AD25" s="25">
        <f>SUMIFS($W$3:$W$1500,$A$3:$A$1500,A25)+AB25+AC25</f>
        <v>2238731.7000000002</v>
      </c>
      <c r="AE25" s="21" t="str">
        <f>"PKR "&amp;TEXT(AD25,"#,##0")&amp;" only"</f>
        <v>PKR 2,238,732 only</v>
      </c>
      <c r="AF25" s="21" t="s">
        <v>1062</v>
      </c>
      <c r="AG25" s="29">
        <f>B25+15</f>
        <v>45788</v>
      </c>
      <c r="AH25" s="25">
        <f>SUMIFS('T15'!$BC$3:$BC$1499,'T15'!$AY$3:$AY$1499,A25,'T15'!$C$3:$C$1499,"Advance*")</f>
        <v>0</v>
      </c>
      <c r="AI25" s="25">
        <f>SUMIFS('T15'!$BC$3:$BC$1499,'T15'!$AY$3:$AY$1499,A25)+SUMIFS('T15'!$BD$3:$BD$1499,'T15'!$AY$3:$AY$1499,A25)+SUMIFS('T15'!$BE$3:$BE$1499,'T15'!$AY$3:$AY$1499,A25)</f>
        <v>2238731.7000000002</v>
      </c>
      <c r="AJ25" s="21" t="str">
        <f ca="1">TEXT(AD25-AI25,"#,##0")&amp;" - "&amp;IF(AD25-AI25&lt;1,"Paid",IF(AI25&gt;0,"Partially paid",IF(AG25&lt;TODAY(),"Overdue","Open")))</f>
        <v>0 - Paid</v>
      </c>
      <c r="AK25" s="21" t="str" cm="1">
        <f t="array" ref="AK25">_xlfn.TEXTJOIN(", ",TRUE,_xlfn._xlws.FILTER('T15'!$A$3:$A$1499,'T15'!$AY$3:$AY$1499=A25,"None"))</f>
        <v>RCP-0018, RCP-0020</v>
      </c>
      <c r="AL25" s="21" t="s">
        <v>753</v>
      </c>
      <c r="AM25" s="21" t="s">
        <v>844</v>
      </c>
      <c r="AN25" s="21" t="s">
        <v>753</v>
      </c>
      <c r="AO25" s="21" t="s">
        <v>3046</v>
      </c>
      <c r="AP25" s="21" t="s">
        <v>844</v>
      </c>
    </row>
    <row r="26" spans="1:42" x14ac:dyDescent="0.3">
      <c r="A26" s="21" t="s">
        <v>2269</v>
      </c>
      <c r="B26" s="29">
        <v>45802</v>
      </c>
      <c r="C26" s="21" t="s">
        <v>3020</v>
      </c>
      <c r="D26" s="21" t="s">
        <v>3021</v>
      </c>
      <c r="E26" s="41" t="s">
        <v>4994</v>
      </c>
      <c r="F26" s="21" t="s">
        <v>1866</v>
      </c>
      <c r="G26" s="21" t="s">
        <v>1813</v>
      </c>
      <c r="H26" s="21" t="s">
        <v>1106</v>
      </c>
      <c r="I26" s="21" t="s">
        <v>1089</v>
      </c>
      <c r="J26" s="21" t="s">
        <v>844</v>
      </c>
      <c r="K26" s="21" t="s">
        <v>848</v>
      </c>
      <c r="L26" s="21" t="s">
        <v>3022</v>
      </c>
      <c r="M26" s="21" t="str" cm="1">
        <f t="array" ref="M26">_xlfn.TEXTJOIN(", ",TRUE,_xlfn.UNIQUE(_xlfn._xlws.FILTER('T14'!$A$3:$A$1500,'T14'!$AO$3:$AO$1500=A26,"")))</f>
        <v>DC-00071, DC-00073, DC-00076, DC-00077, DC-00079, DC-00081, DC-00082</v>
      </c>
      <c r="N26" s="25">
        <f>SUMIFS('T14'!$AD$3:$AD$1500,'T14'!$AO$3:$AO$1500,A26,'T14'!$AA$3:$AA$1500,Q26&amp;"*")</f>
        <v>239</v>
      </c>
      <c r="O26" s="21" t="s">
        <v>1091</v>
      </c>
      <c r="P26" s="21">
        <v>1</v>
      </c>
      <c r="Q26" s="21" t="s">
        <v>781</v>
      </c>
      <c r="R26" s="21" t="s">
        <v>782</v>
      </c>
      <c r="S26" s="21" t="s">
        <v>783</v>
      </c>
      <c r="T26" s="25">
        <f>SUMIFS('T14'!$AI$3:$AI$1500,'T14'!$AO$3:$AO$1500,A26,'T14'!$AA$3:$AA$1500,Q26&amp;"*")</f>
        <v>239</v>
      </c>
      <c r="U26" s="25">
        <f>SUMIFS('T09'!$W$3:$W$1500,'T09'!$A$3:$A$1500,F26,'T09'!$T$3:$T$1500,Q26&amp;"*")</f>
        <v>28100</v>
      </c>
      <c r="V26" s="25">
        <f>T26*U26</f>
        <v>6715900</v>
      </c>
      <c r="W26" s="25">
        <f>V26</f>
        <v>6715900</v>
      </c>
      <c r="X26" s="23">
        <f>_xlfn.XLOOKUP(Q26,'T13'!$A$3:$A$1500,'T13'!$O$3:$O$1500)</f>
        <v>0.18</v>
      </c>
      <c r="Y26" s="25">
        <f>T26*IF(S26="MT",1000,IF(S26="Jumbo bag (1.5 MT)",1500,IF(S26="Bag (40 kg)",40,50)))*3</f>
        <v>717000</v>
      </c>
      <c r="Z26" s="21" t="str">
        <f>_xlfn.XLOOKUP(Q26,'T13'!$A$3:$A$1500,'T13'!$AA$3:$AA$1500)&amp;" / CC-SALES-LHR"</f>
        <v>4102 Sales - Cement bulk / CC-SALES-LHR</v>
      </c>
      <c r="AA26" s="33">
        <f>SUMIFS($T$3:$T$1500,$A$3:$A$1500,A26,$S$3:$S$1500,"Bag (50 kg)")*0.05+SUMIFS($T$3:$T$1500,$A$3:$A$1500,A26,$S$3:$S$1500,"Bag (40 kg)")*0.04+SUMIFS($T$3:$T$1500,$A$3:$A$1500,A26,$S$3:$S$1500,"MT")+SUMIFS($T$3:$T$1500,$A$3:$A$1500,A26,$S$3:$S$1500,"Jumbo bag (1.5 MT)")*1.5</f>
        <v>239</v>
      </c>
      <c r="AB26" s="25" cm="1">
        <f t="array" ref="AB26">SUMPRODUCT(($A$3:$A$1500=A26)*$W$3:$W$1500*$X$3:$X$1500)</f>
        <v>1208862</v>
      </c>
      <c r="AC26" s="25">
        <f>SUMIFS($Y$3:$Y$1500,$A$3:$A$1500,A26)</f>
        <v>717000</v>
      </c>
      <c r="AD26" s="25">
        <f>SUMIFS($W$3:$W$1500,$A$3:$A$1500,A26)+AB26+AC26</f>
        <v>8641762</v>
      </c>
      <c r="AE26" s="21" t="str">
        <f>"PKR "&amp;TEXT(AD26,"#,##0")&amp;" only"</f>
        <v>PKR 8,641,762 only</v>
      </c>
      <c r="AF26" s="21" t="s">
        <v>1051</v>
      </c>
      <c r="AG26" s="29">
        <f>B26+30</f>
        <v>45832</v>
      </c>
      <c r="AH26" s="25">
        <f>SUMIFS('T15'!$BC$3:$BC$1499,'T15'!$AY$3:$AY$1499,A26,'T15'!$C$3:$C$1499,"Advance*")</f>
        <v>0</v>
      </c>
      <c r="AI26" s="25">
        <f>SUMIFS('T15'!$BC$3:$BC$1499,'T15'!$AY$3:$AY$1499,A26)+SUMIFS('T15'!$BD$3:$BD$1499,'T15'!$AY$3:$AY$1499,A26)+SUMIFS('T15'!$BE$3:$BE$1499,'T15'!$AY$3:$AY$1499,A26)</f>
        <v>8641762</v>
      </c>
      <c r="AJ26" s="21" t="str">
        <f ca="1">TEXT(AD26-AI26,"#,##0")&amp;" - "&amp;IF(AD26-AI26&lt;1,"Paid",IF(AI26&gt;0,"Partially paid",IF(AG26&lt;TODAY(),"Overdue","Open")))</f>
        <v>0 - Paid</v>
      </c>
      <c r="AK26" s="21" t="str" cm="1">
        <f t="array" ref="AK26">_xlfn.TEXTJOIN(", ",TRUE,_xlfn._xlws.FILTER('T15'!$A$3:$A$1499,'T15'!$AY$3:$AY$1499=A26,"None"))</f>
        <v>RCP-0023</v>
      </c>
      <c r="AL26" s="21" t="s">
        <v>753</v>
      </c>
      <c r="AM26" s="21" t="s">
        <v>753</v>
      </c>
      <c r="AN26" s="21" t="s">
        <v>753</v>
      </c>
      <c r="AO26" s="21" t="s">
        <v>3047</v>
      </c>
      <c r="AP26" s="21" t="s">
        <v>844</v>
      </c>
    </row>
    <row r="27" spans="1:42" x14ac:dyDescent="0.3">
      <c r="A27" s="21" t="s">
        <v>2276</v>
      </c>
      <c r="B27" s="29">
        <v>45804</v>
      </c>
      <c r="C27" s="21" t="s">
        <v>3020</v>
      </c>
      <c r="D27" s="21" t="s">
        <v>3021</v>
      </c>
      <c r="E27" s="41" t="s">
        <v>4994</v>
      </c>
      <c r="F27" s="21" t="s">
        <v>1864</v>
      </c>
      <c r="G27" s="21" t="s">
        <v>1857</v>
      </c>
      <c r="H27" s="21" t="s">
        <v>2189</v>
      </c>
      <c r="I27" s="21" t="s">
        <v>1115</v>
      </c>
      <c r="J27" s="21" t="s">
        <v>844</v>
      </c>
      <c r="K27" s="21" t="s">
        <v>848</v>
      </c>
      <c r="L27" s="21" t="s">
        <v>3045</v>
      </c>
      <c r="M27" s="21" t="str" cm="1">
        <f t="array" ref="M27">_xlfn.TEXTJOIN(", ",TRUE,_xlfn.UNIQUE(_xlfn._xlws.FILTER('T14'!$A$3:$A$1500,'T14'!$AO$3:$AO$1500=A27,"")))</f>
        <v>DC-00072, DC-00074, DC-00075, DC-00078, DC-00080, DC-00083</v>
      </c>
      <c r="N27" s="25">
        <f>SUMIFS('T14'!$AD$3:$AD$1500,'T14'!$AO$3:$AO$1500,A27,'T14'!$AA$3:$AA$1500,Q27&amp;"*")</f>
        <v>1850</v>
      </c>
      <c r="O27" s="21" t="s">
        <v>1117</v>
      </c>
      <c r="P27" s="21">
        <v>1</v>
      </c>
      <c r="Q27" s="21" t="s">
        <v>805</v>
      </c>
      <c r="R27" s="21" t="s">
        <v>807</v>
      </c>
      <c r="S27" s="21" t="s">
        <v>1804</v>
      </c>
      <c r="T27" s="25">
        <f>SUMIFS('T14'!$AI$3:$AI$1500,'T14'!$AO$3:$AO$1500,A27,'T14'!$AA$3:$AA$1500,Q27&amp;"*")</f>
        <v>1848</v>
      </c>
      <c r="U27" s="25">
        <f>SUMIFS('T09'!$W$3:$W$1500,'T09'!$A$3:$A$1500,F27,'T09'!$T$3:$T$1500,Q27&amp;"*")</f>
        <v>1590</v>
      </c>
      <c r="V27" s="25">
        <f>T27*U27</f>
        <v>2938320</v>
      </c>
      <c r="W27" s="25">
        <f>V27</f>
        <v>2938320</v>
      </c>
      <c r="X27" s="23">
        <f>_xlfn.XLOOKUP(Q27,'T13'!$A$3:$A$1500,'T13'!$O$3:$O$1500)</f>
        <v>0.18</v>
      </c>
      <c r="Y27" s="25">
        <f>T27*IF(S27="MT",1000,IF(S27="Jumbo bag (1.5 MT)",1500,IF(S27="Bag (40 kg)",40,50)))*3</f>
        <v>277200</v>
      </c>
      <c r="Z27" s="21" t="str">
        <f>_xlfn.XLOOKUP(Q27,'T13'!$A$3:$A$1500,'T13'!$AA$3:$AA$1500)&amp;" / CC-SALES-LHR"</f>
        <v>4101 Sales - Cement bags / CC-SALES-LHR</v>
      </c>
      <c r="AA27" s="33">
        <f>SUMIFS($T$3:$T$1500,$A$3:$A$1500,A27,$S$3:$S$1500,"Bag (50 kg)")*0.05+SUMIFS($T$3:$T$1500,$A$3:$A$1500,A27,$S$3:$S$1500,"Bag (40 kg)")*0.04+SUMIFS($T$3:$T$1500,$A$3:$A$1500,A27,$S$3:$S$1500,"MT")+SUMIFS($T$3:$T$1500,$A$3:$A$1500,A27,$S$3:$S$1500,"Jumbo bag (1.5 MT)")*1.5</f>
        <v>159.80000000000001</v>
      </c>
      <c r="AB27" s="25" cm="1">
        <f t="array" ref="AB27">SUMPRODUCT(($A$3:$A$1500=A27)*$W$3:$W$1500*$X$3:$X$1500)</f>
        <v>919548</v>
      </c>
      <c r="AC27" s="25">
        <f>SUMIFS($Y$3:$Y$1500,$A$3:$A$1500,A27)</f>
        <v>479400</v>
      </c>
      <c r="AD27" s="25">
        <f>SUMIFS($W$3:$W$1500,$A$3:$A$1500,A27)+AB27+AC27</f>
        <v>6507548</v>
      </c>
      <c r="AE27" s="21" t="str">
        <f>"PKR "&amp;TEXT(AD27,"#,##0")&amp;" only"</f>
        <v>PKR 6,507,548 only</v>
      </c>
      <c r="AF27" s="21" t="s">
        <v>1062</v>
      </c>
      <c r="AG27" s="29">
        <f>B27+15</f>
        <v>45819</v>
      </c>
      <c r="AH27" s="25">
        <f>SUMIFS('T15'!$BC$3:$BC$1499,'T15'!$AY$3:$AY$1499,A27,'T15'!$C$3:$C$1499,"Advance*")</f>
        <v>0</v>
      </c>
      <c r="AI27" s="25">
        <f>SUMIFS('T15'!$BC$3:$BC$1499,'T15'!$AY$3:$AY$1499,A27)+SUMIFS('T15'!$BD$3:$BD$1499,'T15'!$AY$3:$AY$1499,A27)+SUMIFS('T15'!$BE$3:$BE$1499,'T15'!$AY$3:$AY$1499,A27)</f>
        <v>6507548</v>
      </c>
      <c r="AJ27" s="21" t="str">
        <f ca="1">TEXT(AD27-AI27,"#,##0")&amp;" - "&amp;IF(AD27-AI27&lt;1,"Paid",IF(AI27&gt;0,"Partially paid",IF(AG27&lt;TODAY(),"Overdue","Open")))</f>
        <v>0 - Paid</v>
      </c>
      <c r="AK27" s="21" t="str" cm="1">
        <f t="array" ref="AK27">_xlfn.TEXTJOIN(", ",TRUE,_xlfn._xlws.FILTER('T15'!$A$3:$A$1499,'T15'!$AY$3:$AY$1499=A27,"None"))</f>
        <v>RCP-0021, RCP-0022</v>
      </c>
      <c r="AL27" s="21" t="s">
        <v>753</v>
      </c>
      <c r="AM27" s="21" t="s">
        <v>844</v>
      </c>
      <c r="AN27" s="21" t="s">
        <v>753</v>
      </c>
      <c r="AO27" s="21" t="s">
        <v>3048</v>
      </c>
      <c r="AP27" s="21" t="s">
        <v>844</v>
      </c>
    </row>
    <row r="28" spans="1:42" x14ac:dyDescent="0.3">
      <c r="A28" s="21" t="s">
        <v>2276</v>
      </c>
      <c r="B28" s="29">
        <v>45804</v>
      </c>
      <c r="C28" s="21" t="s">
        <v>3020</v>
      </c>
      <c r="D28" s="21" t="s">
        <v>3021</v>
      </c>
      <c r="E28" s="41" t="s">
        <v>4994</v>
      </c>
      <c r="F28" s="21" t="s">
        <v>1864</v>
      </c>
      <c r="G28" s="21" t="s">
        <v>1857</v>
      </c>
      <c r="H28" s="21" t="s">
        <v>2189</v>
      </c>
      <c r="I28" s="21" t="s">
        <v>1115</v>
      </c>
      <c r="J28" s="21" t="s">
        <v>844</v>
      </c>
      <c r="K28" s="21" t="s">
        <v>848</v>
      </c>
      <c r="L28" s="21" t="s">
        <v>3045</v>
      </c>
      <c r="M28" s="21" t="str" cm="1">
        <f t="array" ref="M28">_xlfn.TEXTJOIN(", ",TRUE,_xlfn.UNIQUE(_xlfn._xlws.FILTER('T14'!$A$3:$A$1500,'T14'!$AO$3:$AO$1500=A28,"")))</f>
        <v>DC-00072, DC-00074, DC-00075, DC-00078, DC-00080, DC-00083</v>
      </c>
      <c r="N28" s="25">
        <f>SUMIFS('T14'!$AD$3:$AD$1500,'T14'!$AO$3:$AO$1500,A28,'T14'!$AA$3:$AA$1500,Q28&amp;"*")</f>
        <v>1350</v>
      </c>
      <c r="O28" s="21" t="s">
        <v>1117</v>
      </c>
      <c r="P28" s="21">
        <v>2</v>
      </c>
      <c r="Q28" s="21" t="s">
        <v>831</v>
      </c>
      <c r="R28" s="21" t="s">
        <v>833</v>
      </c>
      <c r="S28" s="21" t="s">
        <v>1804</v>
      </c>
      <c r="T28" s="25">
        <f>SUMIFS('T14'!$AI$3:$AI$1500,'T14'!$AO$3:$AO$1500,A28,'T14'!$AA$3:$AA$1500,Q28&amp;"*")</f>
        <v>1348</v>
      </c>
      <c r="U28" s="25">
        <f>SUMIFS('T09'!$W$3:$W$1500,'T09'!$A$3:$A$1500,F28,'T09'!$T$3:$T$1500,Q28&amp;"*")</f>
        <v>1610</v>
      </c>
      <c r="V28" s="25">
        <f>T28*U28</f>
        <v>2170280</v>
      </c>
      <c r="W28" s="25">
        <f>V28</f>
        <v>2170280</v>
      </c>
      <c r="X28" s="23">
        <f>_xlfn.XLOOKUP(Q28,'T13'!$A$3:$A$1500,'T13'!$O$3:$O$1500)</f>
        <v>0.18</v>
      </c>
      <c r="Y28" s="25">
        <f>T28*IF(S28="MT",1000,IF(S28="Jumbo bag (1.5 MT)",1500,IF(S28="Bag (40 kg)",40,50)))*3</f>
        <v>202200</v>
      </c>
      <c r="Z28" s="21" t="str">
        <f>_xlfn.XLOOKUP(Q28,'T13'!$A$3:$A$1500,'T13'!$AA$3:$AA$1500)&amp;" / CC-SALES-LHR"</f>
        <v>4101 Sales - Cement bags / CC-SALES-LHR</v>
      </c>
      <c r="AA28" s="33">
        <f>SUMIFS($T$3:$T$1500,$A$3:$A$1500,A28,$S$3:$S$1500,"Bag (50 kg)")*0.05+SUMIFS($T$3:$T$1500,$A$3:$A$1500,A28,$S$3:$S$1500,"Bag (40 kg)")*0.04+SUMIFS($T$3:$T$1500,$A$3:$A$1500,A28,$S$3:$S$1500,"MT")+SUMIFS($T$3:$T$1500,$A$3:$A$1500,A28,$S$3:$S$1500,"Jumbo bag (1.5 MT)")*1.5</f>
        <v>159.80000000000001</v>
      </c>
      <c r="AB28" s="25" cm="1">
        <f t="array" ref="AB28">SUMPRODUCT(($A$3:$A$1500=A28)*$W$3:$W$1500*$X$3:$X$1500)</f>
        <v>919548</v>
      </c>
      <c r="AC28" s="25">
        <f>SUMIFS($Y$3:$Y$1500,$A$3:$A$1500,A28)</f>
        <v>479400</v>
      </c>
      <c r="AD28" s="25">
        <f>SUMIFS($W$3:$W$1500,$A$3:$A$1500,A28)+AB28+AC28</f>
        <v>6507548</v>
      </c>
      <c r="AE28" s="21" t="str">
        <f>"PKR "&amp;TEXT(AD28,"#,##0")&amp;" only"</f>
        <v>PKR 6,507,548 only</v>
      </c>
      <c r="AF28" s="21" t="s">
        <v>1062</v>
      </c>
      <c r="AG28" s="29">
        <f>B28+15</f>
        <v>45819</v>
      </c>
      <c r="AH28" s="25">
        <f>SUMIFS('T15'!$BC$3:$BC$1499,'T15'!$AY$3:$AY$1499,A28,'T15'!$C$3:$C$1499,"Advance*")</f>
        <v>0</v>
      </c>
      <c r="AI28" s="25">
        <f>SUMIFS('T15'!$BC$3:$BC$1499,'T15'!$AY$3:$AY$1499,A28)+SUMIFS('T15'!$BD$3:$BD$1499,'T15'!$AY$3:$AY$1499,A28)+SUMIFS('T15'!$BE$3:$BE$1499,'T15'!$AY$3:$AY$1499,A28)</f>
        <v>6507548</v>
      </c>
      <c r="AJ28" s="21" t="str">
        <f ca="1">TEXT(AD28-AI28,"#,##0")&amp;" - "&amp;IF(AD28-AI28&lt;1,"Paid",IF(AI28&gt;0,"Partially paid",IF(AG28&lt;TODAY(),"Overdue","Open")))</f>
        <v>0 - Paid</v>
      </c>
      <c r="AK28" s="21" t="str" cm="1">
        <f t="array" ref="AK28">_xlfn.TEXTJOIN(", ",TRUE,_xlfn._xlws.FILTER('T15'!$A$3:$A$1499,'T15'!$AY$3:$AY$1499=A28,"None"))</f>
        <v>RCP-0021, RCP-0022</v>
      </c>
      <c r="AL28" s="21" t="s">
        <v>753</v>
      </c>
      <c r="AM28" s="21" t="s">
        <v>844</v>
      </c>
      <c r="AN28" s="21" t="s">
        <v>753</v>
      </c>
      <c r="AO28" s="21" t="s">
        <v>3048</v>
      </c>
      <c r="AP28" s="21" t="s">
        <v>844</v>
      </c>
    </row>
    <row r="29" spans="1:42" x14ac:dyDescent="0.3">
      <c r="A29" s="21" t="s">
        <v>2327</v>
      </c>
      <c r="B29" s="29">
        <v>45833</v>
      </c>
      <c r="C29" s="21" t="s">
        <v>3020</v>
      </c>
      <c r="D29" s="21" t="s">
        <v>3021</v>
      </c>
      <c r="E29" s="41" t="s">
        <v>4994</v>
      </c>
      <c r="F29" s="21" t="s">
        <v>1867</v>
      </c>
      <c r="G29" s="21" t="s">
        <v>1823</v>
      </c>
      <c r="H29" s="21" t="s">
        <v>1989</v>
      </c>
      <c r="I29" s="21" t="s">
        <v>1080</v>
      </c>
      <c r="J29" s="21" t="s">
        <v>844</v>
      </c>
      <c r="K29" s="21" t="s">
        <v>848</v>
      </c>
      <c r="L29" s="21" t="s">
        <v>3026</v>
      </c>
      <c r="M29" s="21" t="str" cm="1">
        <f t="array" ref="M29">_xlfn.TEXTJOIN(", ",TRUE,_xlfn.UNIQUE(_xlfn._xlws.FILTER('T14'!$A$3:$A$1500,'T14'!$AO$3:$AO$1500=A29,"")))</f>
        <v>DC-00084, DC-00085, DC-00086, DC-00087, DC-00088</v>
      </c>
      <c r="N29" s="25">
        <f>SUMIFS('T14'!$AD$3:$AD$1500,'T14'!$AO$3:$AO$1500,A29,'T14'!$AA$3:$AA$1500,Q29&amp;"*")</f>
        <v>1750</v>
      </c>
      <c r="O29" s="21" t="s">
        <v>1091</v>
      </c>
      <c r="P29" s="21">
        <v>1</v>
      </c>
      <c r="Q29" s="21" t="s">
        <v>805</v>
      </c>
      <c r="R29" s="21" t="s">
        <v>807</v>
      </c>
      <c r="S29" s="21" t="s">
        <v>1804</v>
      </c>
      <c r="T29" s="25">
        <f>SUMIFS('T14'!$AI$3:$AI$1500,'T14'!$AO$3:$AO$1500,A29,'T14'!$AA$3:$AA$1500,Q29&amp;"*")</f>
        <v>1750</v>
      </c>
      <c r="U29" s="25">
        <f>SUMIFS('T09'!$W$3:$W$1500,'T09'!$A$3:$A$1500,F29,'T09'!$T$3:$T$1500,Q29&amp;"*")</f>
        <v>1600</v>
      </c>
      <c r="V29" s="25">
        <f>T29*U29</f>
        <v>2800000</v>
      </c>
      <c r="W29" s="25">
        <f>V29</f>
        <v>2800000</v>
      </c>
      <c r="X29" s="23">
        <f>_xlfn.XLOOKUP(Q29,'T13'!$A$3:$A$1500,'T13'!$O$3:$O$1500)</f>
        <v>0.18</v>
      </c>
      <c r="Y29" s="25">
        <f>T29*IF(S29="MT",1000,IF(S29="Jumbo bag (1.5 MT)",1500,IF(S29="Bag (40 kg)",40,50)))*3</f>
        <v>262500</v>
      </c>
      <c r="Z29" s="21" t="str">
        <f>_xlfn.XLOOKUP(Q29,'T13'!$A$3:$A$1500,'T13'!$AA$3:$AA$1500)&amp;" / CC-SALES-LHR"</f>
        <v>4101 Sales - Cement bags / CC-SALES-LHR</v>
      </c>
      <c r="AA29" s="33">
        <f>SUMIFS($T$3:$T$1500,$A$3:$A$1500,A29,$S$3:$S$1500,"Bag (50 kg)")*0.05+SUMIFS($T$3:$T$1500,$A$3:$A$1500,A29,$S$3:$S$1500,"Bag (40 kg)")*0.04+SUMIFS($T$3:$T$1500,$A$3:$A$1500,A29,$S$3:$S$1500,"MT")+SUMIFS($T$3:$T$1500,$A$3:$A$1500,A29,$S$3:$S$1500,"Jumbo bag (1.5 MT)")*1.5</f>
        <v>157.30000000000001</v>
      </c>
      <c r="AB29" s="25" cm="1">
        <f t="array" ref="AB29">SUMPRODUCT(($A$3:$A$1500=A29)*$W$3:$W$1500*$X$3:$X$1500)</f>
        <v>1356781.5</v>
      </c>
      <c r="AC29" s="25">
        <f>SUMIFS($Y$3:$Y$1500,$A$3:$A$1500,A29)</f>
        <v>471900</v>
      </c>
      <c r="AD29" s="25">
        <f>SUMIFS($W$3:$W$1500,$A$3:$A$1500,A29)+AB29+AC29</f>
        <v>9366356.5</v>
      </c>
      <c r="AE29" s="21" t="str">
        <f>"PKR "&amp;TEXT(AD29,"#,##0")&amp;" only"</f>
        <v>PKR 9,366,357 only</v>
      </c>
      <c r="AF29" s="21" t="s">
        <v>1087</v>
      </c>
      <c r="AG29" s="29">
        <f>B29+7</f>
        <v>45840</v>
      </c>
      <c r="AH29" s="25">
        <f>SUMIFS('T15'!$BC$3:$BC$1499,'T15'!$AY$3:$AY$1499,A29,'T15'!$C$3:$C$1499,"Advance*")</f>
        <v>0</v>
      </c>
      <c r="AI29" s="25">
        <f>SUMIFS('T15'!$BC$3:$BC$1499,'T15'!$AY$3:$AY$1499,A29)+SUMIFS('T15'!$BD$3:$BD$1499,'T15'!$AY$3:$AY$1499,A29)+SUMIFS('T15'!$BE$3:$BE$1499,'T15'!$AY$3:$AY$1499,A29)</f>
        <v>9366356.5</v>
      </c>
      <c r="AJ29" s="21" t="str">
        <f ca="1">TEXT(AD29-AI29,"#,##0")&amp;" - "&amp;IF(AD29-AI29&lt;1,"Paid",IF(AI29&gt;0,"Partially paid",IF(AG29&lt;TODAY(),"Overdue","Open")))</f>
        <v>0 - Paid</v>
      </c>
      <c r="AK29" s="21" t="str" cm="1">
        <f t="array" ref="AK29">_xlfn.TEXTJOIN(", ",TRUE,_xlfn._xlws.FILTER('T15'!$A$3:$A$1499,'T15'!$AY$3:$AY$1499=A29,"None"))</f>
        <v>RCP-0024, RCP-0025</v>
      </c>
      <c r="AL29" s="21" t="s">
        <v>753</v>
      </c>
      <c r="AM29" s="21" t="s">
        <v>844</v>
      </c>
      <c r="AN29" s="21" t="s">
        <v>846</v>
      </c>
      <c r="AO29" s="21" t="s">
        <v>3049</v>
      </c>
      <c r="AP29" s="21" t="s">
        <v>844</v>
      </c>
    </row>
    <row r="30" spans="1:42" x14ac:dyDescent="0.3">
      <c r="A30" s="21" t="s">
        <v>2327</v>
      </c>
      <c r="B30" s="29">
        <v>45833</v>
      </c>
      <c r="C30" s="21" t="s">
        <v>3020</v>
      </c>
      <c r="D30" s="21" t="s">
        <v>3021</v>
      </c>
      <c r="E30" s="41" t="s">
        <v>4994</v>
      </c>
      <c r="F30" s="21" t="s">
        <v>1867</v>
      </c>
      <c r="G30" s="21" t="s">
        <v>1823</v>
      </c>
      <c r="H30" s="21" t="s">
        <v>1989</v>
      </c>
      <c r="I30" s="21" t="s">
        <v>1080</v>
      </c>
      <c r="J30" s="21" t="s">
        <v>844</v>
      </c>
      <c r="K30" s="21" t="s">
        <v>848</v>
      </c>
      <c r="L30" s="21" t="s">
        <v>3026</v>
      </c>
      <c r="M30" s="21" t="str" cm="1">
        <f t="array" ref="M30">_xlfn.TEXTJOIN(", ",TRUE,_xlfn.UNIQUE(_xlfn._xlws.FILTER('T14'!$A$3:$A$1500,'T14'!$AO$3:$AO$1500=A30,"")))</f>
        <v>DC-00084, DC-00085, DC-00086, DC-00087, DC-00088</v>
      </c>
      <c r="N30" s="25">
        <f>SUMIFS('T14'!$AD$3:$AD$1500,'T14'!$AO$3:$AO$1500,A30,'T14'!$AA$3:$AA$1500,Q30&amp;"*")</f>
        <v>1750</v>
      </c>
      <c r="O30" s="21" t="s">
        <v>1091</v>
      </c>
      <c r="P30" s="21">
        <v>2</v>
      </c>
      <c r="Q30" s="21" t="s">
        <v>812</v>
      </c>
      <c r="R30" s="21" t="s">
        <v>814</v>
      </c>
      <c r="S30" s="21" t="s">
        <v>1841</v>
      </c>
      <c r="T30" s="25">
        <f>SUMIFS('T14'!$AI$3:$AI$1500,'T14'!$AO$3:$AO$1500,A30,'T14'!$AA$3:$AA$1500,Q30&amp;"*")</f>
        <v>1745</v>
      </c>
      <c r="U30" s="25">
        <f>SUMIFS('T09'!$W$3:$W$1500,'T09'!$A$3:$A$1500,F30,'T09'!$T$3:$T$1500,Q30&amp;"*")</f>
        <v>2715</v>
      </c>
      <c r="V30" s="25">
        <f>T30*U30</f>
        <v>4737675</v>
      </c>
      <c r="W30" s="25">
        <f>V30</f>
        <v>4737675</v>
      </c>
      <c r="X30" s="23">
        <f>_xlfn.XLOOKUP(Q30,'T13'!$A$3:$A$1500,'T13'!$O$3:$O$1500)</f>
        <v>0.18</v>
      </c>
      <c r="Y30" s="25">
        <f>T30*IF(S30="MT",1000,IF(S30="Jumbo bag (1.5 MT)",1500,IF(S30="Bag (40 kg)",40,50)))*3</f>
        <v>209400</v>
      </c>
      <c r="Z30" s="21" t="str">
        <f>_xlfn.XLOOKUP(Q30,'T13'!$A$3:$A$1500,'T13'!$AA$3:$AA$1500)&amp;" / CC-SALES-LHR"</f>
        <v>4101 Sales - Cement bags / CC-SALES-LHR</v>
      </c>
      <c r="AA30" s="33">
        <f>SUMIFS($T$3:$T$1500,$A$3:$A$1500,A30,$S$3:$S$1500,"Bag (50 kg)")*0.05+SUMIFS($T$3:$T$1500,$A$3:$A$1500,A30,$S$3:$S$1500,"Bag (40 kg)")*0.04+SUMIFS($T$3:$T$1500,$A$3:$A$1500,A30,$S$3:$S$1500,"MT")+SUMIFS($T$3:$T$1500,$A$3:$A$1500,A30,$S$3:$S$1500,"Jumbo bag (1.5 MT)")*1.5</f>
        <v>157.30000000000001</v>
      </c>
      <c r="AB30" s="25" cm="1">
        <f t="array" ref="AB30">SUMPRODUCT(($A$3:$A$1500=A30)*$W$3:$W$1500*$X$3:$X$1500)</f>
        <v>1356781.5</v>
      </c>
      <c r="AC30" s="25">
        <f>SUMIFS($Y$3:$Y$1500,$A$3:$A$1500,A30)</f>
        <v>471900</v>
      </c>
      <c r="AD30" s="25">
        <f>SUMIFS($W$3:$W$1500,$A$3:$A$1500,A30)+AB30+AC30</f>
        <v>9366356.5</v>
      </c>
      <c r="AE30" s="21" t="str">
        <f>"PKR "&amp;TEXT(AD30,"#,##0")&amp;" only"</f>
        <v>PKR 9,366,357 only</v>
      </c>
      <c r="AF30" s="21" t="s">
        <v>1087</v>
      </c>
      <c r="AG30" s="29">
        <f>B30+7</f>
        <v>45840</v>
      </c>
      <c r="AH30" s="25">
        <f>SUMIFS('T15'!$BC$3:$BC$1499,'T15'!$AY$3:$AY$1499,A30,'T15'!$C$3:$C$1499,"Advance*")</f>
        <v>0</v>
      </c>
      <c r="AI30" s="25">
        <f>SUMIFS('T15'!$BC$3:$BC$1499,'T15'!$AY$3:$AY$1499,A30)+SUMIFS('T15'!$BD$3:$BD$1499,'T15'!$AY$3:$AY$1499,A30)+SUMIFS('T15'!$BE$3:$BE$1499,'T15'!$AY$3:$AY$1499,A30)</f>
        <v>9366356.5</v>
      </c>
      <c r="AJ30" s="21" t="str">
        <f ca="1">TEXT(AD30-AI30,"#,##0")&amp;" - "&amp;IF(AD30-AI30&lt;1,"Paid",IF(AI30&gt;0,"Partially paid",IF(AG30&lt;TODAY(),"Overdue","Open")))</f>
        <v>0 - Paid</v>
      </c>
      <c r="AK30" s="21" t="str" cm="1">
        <f t="array" ref="AK30">_xlfn.TEXTJOIN(", ",TRUE,_xlfn._xlws.FILTER('T15'!$A$3:$A$1499,'T15'!$AY$3:$AY$1499=A30,"None"))</f>
        <v>RCP-0024, RCP-0025</v>
      </c>
      <c r="AL30" s="21" t="s">
        <v>753</v>
      </c>
      <c r="AM30" s="21" t="s">
        <v>844</v>
      </c>
      <c r="AN30" s="21" t="s">
        <v>846</v>
      </c>
      <c r="AO30" s="21" t="s">
        <v>3049</v>
      </c>
      <c r="AP30" s="21" t="s">
        <v>844</v>
      </c>
    </row>
    <row r="31" spans="1:42" x14ac:dyDescent="0.3">
      <c r="A31" s="21" t="s">
        <v>2350</v>
      </c>
      <c r="B31" s="29">
        <v>45862</v>
      </c>
      <c r="C31" s="21" t="s">
        <v>3020</v>
      </c>
      <c r="D31" s="21" t="s">
        <v>3021</v>
      </c>
      <c r="E31" s="41" t="s">
        <v>4994</v>
      </c>
      <c r="F31" s="21" t="s">
        <v>1868</v>
      </c>
      <c r="G31" s="21" t="s">
        <v>1835</v>
      </c>
      <c r="H31" s="21" t="s">
        <v>2204</v>
      </c>
      <c r="I31" s="21" t="s">
        <v>1055</v>
      </c>
      <c r="J31" s="21" t="s">
        <v>844</v>
      </c>
      <c r="K31" s="21" t="s">
        <v>848</v>
      </c>
      <c r="L31" s="21" t="s">
        <v>3043</v>
      </c>
      <c r="M31" s="21" t="str" cm="1">
        <f t="array" ref="M31">_xlfn.TEXTJOIN(", ",TRUE,_xlfn.UNIQUE(_xlfn._xlws.FILTER('T14'!$A$3:$A$1500,'T14'!$AO$3:$AO$1500=A31,"")))</f>
        <v>DC-00089, DC-00092, DC-00094, DC-00095, DC-00097, DC-00099</v>
      </c>
      <c r="N31" s="25">
        <f>SUMIFS('T14'!$AD$3:$AD$1500,'T14'!$AO$3:$AO$1500,A31,'T14'!$AA$3:$AA$1500,Q31&amp;"*")</f>
        <v>250</v>
      </c>
      <c r="O31" s="21" t="s">
        <v>1091</v>
      </c>
      <c r="P31" s="21">
        <v>1</v>
      </c>
      <c r="Q31" s="21" t="s">
        <v>820</v>
      </c>
      <c r="R31" s="21" t="s">
        <v>822</v>
      </c>
      <c r="S31" s="21" t="s">
        <v>1804</v>
      </c>
      <c r="T31" s="25">
        <f>SUMIFS('T14'!$AI$3:$AI$1500,'T14'!$AO$3:$AO$1500,A31,'T14'!$AA$3:$AA$1500,Q31&amp;"*")</f>
        <v>250</v>
      </c>
      <c r="U31" s="25">
        <f>SUMIFS('T09'!$W$3:$W$1500,'T09'!$A$3:$A$1500,F31,'T09'!$T$3:$T$1500,Q31&amp;"*")</f>
        <v>1400</v>
      </c>
      <c r="V31" s="25">
        <f>T31*U31</f>
        <v>350000</v>
      </c>
      <c r="W31" s="25">
        <f>V31</f>
        <v>350000</v>
      </c>
      <c r="X31" s="23">
        <f>_xlfn.XLOOKUP(Q31,'T13'!$A$3:$A$1500,'T13'!$O$3:$O$1500)</f>
        <v>0.18</v>
      </c>
      <c r="Y31" s="25">
        <f>T31*IF(S31="MT",1000,IF(S31="Jumbo bag (1.5 MT)",1500,IF(S31="Bag (40 kg)",40,50)))*3</f>
        <v>37500</v>
      </c>
      <c r="Z31" s="21" t="str">
        <f>_xlfn.XLOOKUP(Q31,'T13'!$A$3:$A$1500,'T13'!$AA$3:$AA$1500)&amp;" / CC-SALES-LHR"</f>
        <v>4101 Sales - Cement bags / CC-SALES-LHR</v>
      </c>
      <c r="AA31" s="33">
        <f>SUMIFS($T$3:$T$1500,$A$3:$A$1500,A31,$S$3:$S$1500,"Bag (50 kg)")*0.05+SUMIFS($T$3:$T$1500,$A$3:$A$1500,A31,$S$3:$S$1500,"Bag (40 kg)")*0.04+SUMIFS($T$3:$T$1500,$A$3:$A$1500,A31,$S$3:$S$1500,"MT")+SUMIFS($T$3:$T$1500,$A$3:$A$1500,A31,$S$3:$S$1500,"Jumbo bag (1.5 MT)")*1.5</f>
        <v>77</v>
      </c>
      <c r="AB31" s="25" cm="1">
        <f t="array" ref="AB31">SUMPRODUCT(($A$3:$A$1500=A31)*$W$3:$W$1500*$X$3:$X$1500)</f>
        <v>398529</v>
      </c>
      <c r="AC31" s="25">
        <f>SUMIFS($Y$3:$Y$1500,$A$3:$A$1500,A31)</f>
        <v>231000</v>
      </c>
      <c r="AD31" s="25">
        <f>SUMIFS($W$3:$W$1500,$A$3:$A$1500,A31)+AB31+AC31</f>
        <v>2843579</v>
      </c>
      <c r="AE31" s="21" t="str">
        <f>"PKR "&amp;TEXT(AD31,"#,##0")&amp;" only"</f>
        <v>PKR 2,843,579 only</v>
      </c>
      <c r="AF31" s="21" t="s">
        <v>1062</v>
      </c>
      <c r="AG31" s="29">
        <f>B31+15</f>
        <v>45877</v>
      </c>
      <c r="AH31" s="25">
        <f>SUMIFS('T15'!$BC$3:$BC$1499,'T15'!$AY$3:$AY$1499,A31,'T15'!$C$3:$C$1499,"Advance*")</f>
        <v>0</v>
      </c>
      <c r="AI31" s="25">
        <f>SUMIFS('T15'!$BC$3:$BC$1499,'T15'!$AY$3:$AY$1499,A31)+SUMIFS('T15'!$BD$3:$BD$1499,'T15'!$AY$3:$AY$1499,A31)+SUMIFS('T15'!$BE$3:$BE$1499,'T15'!$AY$3:$AY$1499,A31)</f>
        <v>2843579</v>
      </c>
      <c r="AJ31" s="21" t="str">
        <f ca="1">TEXT(AD31-AI31,"#,##0")&amp;" - "&amp;IF(AD31-AI31&lt;1,"Paid",IF(AI31&gt;0,"Partially paid",IF(AG31&lt;TODAY(),"Overdue","Open")))</f>
        <v>0 - Paid</v>
      </c>
      <c r="AK31" s="21" t="str" cm="1">
        <f t="array" ref="AK31">_xlfn.TEXTJOIN(", ",TRUE,_xlfn._xlws.FILTER('T15'!$A$3:$A$1499,'T15'!$AY$3:$AY$1499=A31,"None"))</f>
        <v>RCP-0026, RCP-0027</v>
      </c>
      <c r="AL31" s="21" t="s">
        <v>753</v>
      </c>
      <c r="AM31" s="21" t="s">
        <v>844</v>
      </c>
      <c r="AN31" s="21" t="s">
        <v>846</v>
      </c>
      <c r="AO31" s="21" t="s">
        <v>3050</v>
      </c>
      <c r="AP31" s="21" t="s">
        <v>844</v>
      </c>
    </row>
    <row r="32" spans="1:42" x14ac:dyDescent="0.3">
      <c r="A32" s="21" t="s">
        <v>2350</v>
      </c>
      <c r="B32" s="29">
        <v>45862</v>
      </c>
      <c r="C32" s="21" t="s">
        <v>3020</v>
      </c>
      <c r="D32" s="21" t="s">
        <v>3021</v>
      </c>
      <c r="E32" s="41" t="s">
        <v>4994</v>
      </c>
      <c r="F32" s="21" t="s">
        <v>1868</v>
      </c>
      <c r="G32" s="21" t="s">
        <v>1835</v>
      </c>
      <c r="H32" s="21" t="s">
        <v>2204</v>
      </c>
      <c r="I32" s="21" t="s">
        <v>1055</v>
      </c>
      <c r="J32" s="21" t="s">
        <v>844</v>
      </c>
      <c r="K32" s="21" t="s">
        <v>848</v>
      </c>
      <c r="L32" s="21" t="s">
        <v>3043</v>
      </c>
      <c r="M32" s="21" t="str" cm="1">
        <f t="array" ref="M32">_xlfn.TEXTJOIN(", ",TRUE,_xlfn.UNIQUE(_xlfn._xlws.FILTER('T14'!$A$3:$A$1500,'T14'!$AO$3:$AO$1500=A32,"")))</f>
        <v>DC-00089, DC-00092, DC-00094, DC-00095, DC-00097, DC-00099</v>
      </c>
      <c r="N32" s="25">
        <f>SUMIFS('T14'!$AD$3:$AD$1500,'T14'!$AO$3:$AO$1500,A32,'T14'!$AA$3:$AA$1500,Q32&amp;"*")</f>
        <v>43</v>
      </c>
      <c r="O32" s="21" t="s">
        <v>1091</v>
      </c>
      <c r="P32" s="21">
        <v>2</v>
      </c>
      <c r="Q32" s="21" t="s">
        <v>826</v>
      </c>
      <c r="R32" s="21" t="s">
        <v>827</v>
      </c>
      <c r="S32" s="21" t="s">
        <v>1860</v>
      </c>
      <c r="T32" s="25">
        <f>SUMIFS('T14'!$AI$3:$AI$1500,'T14'!$AO$3:$AO$1500,A32,'T14'!$AA$3:$AA$1500,Q32&amp;"*")</f>
        <v>43</v>
      </c>
      <c r="U32" s="25">
        <f>SUMIFS('T09'!$W$3:$W$1500,'T09'!$A$3:$A$1500,F32,'T09'!$T$3:$T$1500,Q32&amp;"*")</f>
        <v>43350</v>
      </c>
      <c r="V32" s="25">
        <f>T32*U32</f>
        <v>1864050</v>
      </c>
      <c r="W32" s="25">
        <f>V32</f>
        <v>1864050</v>
      </c>
      <c r="X32" s="23">
        <f>_xlfn.XLOOKUP(Q32,'T13'!$A$3:$A$1500,'T13'!$O$3:$O$1500)</f>
        <v>0.18</v>
      </c>
      <c r="Y32" s="25">
        <f>T32*IF(S32="MT",1000,IF(S32="Jumbo bag (1.5 MT)",1500,IF(S32="Bag (40 kg)",40,50)))*3</f>
        <v>193500</v>
      </c>
      <c r="Z32" s="21" t="str">
        <f>_xlfn.XLOOKUP(Q32,'T13'!$A$3:$A$1500,'T13'!$AA$3:$AA$1500)&amp;" / CC-SALES-LHR"</f>
        <v>4102 Sales - Cement bulk / CC-SALES-LHR</v>
      </c>
      <c r="AA32" s="33">
        <f>SUMIFS($T$3:$T$1500,$A$3:$A$1500,A32,$S$3:$S$1500,"Bag (50 kg)")*0.05+SUMIFS($T$3:$T$1500,$A$3:$A$1500,A32,$S$3:$S$1500,"Bag (40 kg)")*0.04+SUMIFS($T$3:$T$1500,$A$3:$A$1500,A32,$S$3:$S$1500,"MT")+SUMIFS($T$3:$T$1500,$A$3:$A$1500,A32,$S$3:$S$1500,"Jumbo bag (1.5 MT)")*1.5</f>
        <v>77</v>
      </c>
      <c r="AB32" s="25" cm="1">
        <f t="array" ref="AB32">SUMPRODUCT(($A$3:$A$1500=A32)*$W$3:$W$1500*$X$3:$X$1500)</f>
        <v>398529</v>
      </c>
      <c r="AC32" s="25">
        <f>SUMIFS($Y$3:$Y$1500,$A$3:$A$1500,A32)</f>
        <v>231000</v>
      </c>
      <c r="AD32" s="25">
        <f>SUMIFS($W$3:$W$1500,$A$3:$A$1500,A32)+AB32+AC32</f>
        <v>2843579</v>
      </c>
      <c r="AE32" s="21" t="str">
        <f>"PKR "&amp;TEXT(AD32,"#,##0")&amp;" only"</f>
        <v>PKR 2,843,579 only</v>
      </c>
      <c r="AF32" s="21" t="s">
        <v>1062</v>
      </c>
      <c r="AG32" s="29">
        <f>B32+15</f>
        <v>45877</v>
      </c>
      <c r="AH32" s="25">
        <f>SUMIFS('T15'!$BC$3:$BC$1499,'T15'!$AY$3:$AY$1499,A32,'T15'!$C$3:$C$1499,"Advance*")</f>
        <v>0</v>
      </c>
      <c r="AI32" s="25">
        <f>SUMIFS('T15'!$BC$3:$BC$1499,'T15'!$AY$3:$AY$1499,A32)+SUMIFS('T15'!$BD$3:$BD$1499,'T15'!$AY$3:$AY$1499,A32)+SUMIFS('T15'!$BE$3:$BE$1499,'T15'!$AY$3:$AY$1499,A32)</f>
        <v>2843579</v>
      </c>
      <c r="AJ32" s="21" t="str">
        <f ca="1">TEXT(AD32-AI32,"#,##0")&amp;" - "&amp;IF(AD32-AI32&lt;1,"Paid",IF(AI32&gt;0,"Partially paid",IF(AG32&lt;TODAY(),"Overdue","Open")))</f>
        <v>0 - Paid</v>
      </c>
      <c r="AK32" s="21" t="str" cm="1">
        <f t="array" ref="AK32">_xlfn.TEXTJOIN(", ",TRUE,_xlfn._xlws.FILTER('T15'!$A$3:$A$1499,'T15'!$AY$3:$AY$1499=A32,"None"))</f>
        <v>RCP-0026, RCP-0027</v>
      </c>
      <c r="AL32" s="21" t="s">
        <v>753</v>
      </c>
      <c r="AM32" s="21" t="s">
        <v>844</v>
      </c>
      <c r="AN32" s="21" t="s">
        <v>846</v>
      </c>
      <c r="AO32" s="21" t="s">
        <v>3050</v>
      </c>
      <c r="AP32" s="21" t="s">
        <v>844</v>
      </c>
    </row>
    <row r="33" spans="1:42" x14ac:dyDescent="0.3">
      <c r="A33" s="21" t="s">
        <v>2360</v>
      </c>
      <c r="B33" s="29">
        <v>45865</v>
      </c>
      <c r="C33" s="21" t="s">
        <v>3020</v>
      </c>
      <c r="D33" s="21" t="s">
        <v>3021</v>
      </c>
      <c r="E33" s="41" t="s">
        <v>4994</v>
      </c>
      <c r="F33" s="21" t="s">
        <v>1869</v>
      </c>
      <c r="G33" s="21" t="s">
        <v>1870</v>
      </c>
      <c r="H33" s="21" t="s">
        <v>2354</v>
      </c>
      <c r="I33" s="21" t="s">
        <v>3033</v>
      </c>
      <c r="J33" s="21" t="s">
        <v>3051</v>
      </c>
      <c r="K33" s="21" t="s">
        <v>848</v>
      </c>
      <c r="L33" s="21" t="s">
        <v>3052</v>
      </c>
      <c r="M33" s="21" t="str" cm="1">
        <f t="array" ref="M33">_xlfn.TEXTJOIN(", ",TRUE,_xlfn.UNIQUE(_xlfn._xlws.FILTER('T14'!$A$3:$A$1500,'T14'!$AO$3:$AO$1500=A33,"")))</f>
        <v>DC-00090, DC-00091, DC-00093, DC-00096, DC-00098, DC-00100</v>
      </c>
      <c r="N33" s="25">
        <f>SUMIFS('T14'!$AD$3:$AD$1500,'T14'!$AO$3:$AO$1500,A33,'T14'!$AA$3:$AA$1500,Q33&amp;"*")</f>
        <v>150</v>
      </c>
      <c r="O33" s="21" t="s">
        <v>1091</v>
      </c>
      <c r="P33" s="21">
        <v>1</v>
      </c>
      <c r="Q33" s="21" t="s">
        <v>799</v>
      </c>
      <c r="R33" s="21" t="s">
        <v>801</v>
      </c>
      <c r="S33" s="21" t="s">
        <v>1804</v>
      </c>
      <c r="T33" s="25">
        <f>SUMIFS('T14'!$AI$3:$AI$1500,'T14'!$AO$3:$AO$1500,A33,'T14'!$AA$3:$AA$1500,Q33&amp;"*")</f>
        <v>150</v>
      </c>
      <c r="U33" s="25">
        <f>SUMIFS('T09'!$W$3:$W$1500,'T09'!$A$3:$A$1500,F33,'T09'!$T$3:$T$1500,Q33&amp;"*")</f>
        <v>1425</v>
      </c>
      <c r="V33" s="25">
        <f>T33*U33</f>
        <v>213750</v>
      </c>
      <c r="W33" s="25">
        <f>V33</f>
        <v>213750</v>
      </c>
      <c r="X33" s="23">
        <f>_xlfn.XLOOKUP(Q33,'T13'!$A$3:$A$1500,'T13'!$O$3:$O$1500)</f>
        <v>0.18</v>
      </c>
      <c r="Y33" s="25">
        <f>T33*IF(S33="MT",1000,IF(S33="Jumbo bag (1.5 MT)",1500,IF(S33="Bag (40 kg)",40,50)))*3</f>
        <v>22500</v>
      </c>
      <c r="Z33" s="21" t="str">
        <f>_xlfn.XLOOKUP(Q33,'T13'!$A$3:$A$1500,'T13'!$AA$3:$AA$1500)&amp;" / CC-SALES-LHR"</f>
        <v>4101 Sales - Cement bags / CC-SALES-LHR</v>
      </c>
      <c r="AA33" s="33">
        <f>SUMIFS($T$3:$T$1500,$A$3:$A$1500,A33,$S$3:$S$1500,"Bag (50 kg)")*0.05+SUMIFS($T$3:$T$1500,$A$3:$A$1500,A33,$S$3:$S$1500,"Bag (40 kg)")*0.04+SUMIFS($T$3:$T$1500,$A$3:$A$1500,A33,$S$3:$S$1500,"MT")+SUMIFS($T$3:$T$1500,$A$3:$A$1500,A33,$S$3:$S$1500,"Jumbo bag (1.5 MT)")*1.5</f>
        <v>38.06</v>
      </c>
      <c r="AB33" s="25" cm="1">
        <f t="array" ref="AB33">SUMPRODUCT(($A$3:$A$1500=A33)*$W$3:$W$1500*$X$3:$X$1500)</f>
        <v>265161.59999999998</v>
      </c>
      <c r="AC33" s="25">
        <f>SUMIFS($Y$3:$Y$1500,$A$3:$A$1500,A33)</f>
        <v>114180</v>
      </c>
      <c r="AD33" s="25">
        <f>SUMIFS($W$3:$W$1500,$A$3:$A$1500,A33)+AB33+AC33</f>
        <v>1852461.6</v>
      </c>
      <c r="AE33" s="21" t="str">
        <f>"PKR "&amp;TEXT(AD33,"#,##0")&amp;" only"</f>
        <v>PKR 1,852,462 only</v>
      </c>
      <c r="AF33" s="21" t="s">
        <v>1051</v>
      </c>
      <c r="AG33" s="29">
        <f>B33+30</f>
        <v>45895</v>
      </c>
      <c r="AH33" s="25">
        <f>SUMIFS('T15'!$BC$3:$BC$1499,'T15'!$AY$3:$AY$1499,A33,'T15'!$C$3:$C$1499,"Advance*")</f>
        <v>0</v>
      </c>
      <c r="AI33" s="25">
        <f>SUMIFS('T15'!$BC$3:$BC$1499,'T15'!$AY$3:$AY$1499,A33)+SUMIFS('T15'!$BD$3:$BD$1499,'T15'!$AY$3:$AY$1499,A33)+SUMIFS('T15'!$BE$3:$BE$1499,'T15'!$AY$3:$AY$1499,A33)</f>
        <v>1852461.6</v>
      </c>
      <c r="AJ33" s="21" t="str">
        <f ca="1">TEXT(AD33-AI33,"#,##0")&amp;" - "&amp;IF(AD33-AI33&lt;1,"Paid",IF(AI33&gt;0,"Partially paid",IF(AG33&lt;TODAY(),"Overdue","Open")))</f>
        <v>0 - Paid</v>
      </c>
      <c r="AK33" s="21" t="str" cm="1">
        <f t="array" ref="AK33">_xlfn.TEXTJOIN(", ",TRUE,_xlfn._xlws.FILTER('T15'!$A$3:$A$1499,'T15'!$AY$3:$AY$1499=A33,"None"))</f>
        <v>RCP-0028</v>
      </c>
      <c r="AL33" s="21" t="s">
        <v>753</v>
      </c>
      <c r="AM33" s="21" t="s">
        <v>844</v>
      </c>
      <c r="AN33" s="21" t="s">
        <v>846</v>
      </c>
      <c r="AO33" s="21" t="s">
        <v>3053</v>
      </c>
      <c r="AP33" s="21" t="s">
        <v>844</v>
      </c>
    </row>
    <row r="34" spans="1:42" x14ac:dyDescent="0.3">
      <c r="A34" s="21" t="s">
        <v>2360</v>
      </c>
      <c r="B34" s="29">
        <v>45865</v>
      </c>
      <c r="C34" s="21" t="s">
        <v>3020</v>
      </c>
      <c r="D34" s="21" t="s">
        <v>3021</v>
      </c>
      <c r="E34" s="41" t="s">
        <v>4994</v>
      </c>
      <c r="F34" s="21" t="s">
        <v>1869</v>
      </c>
      <c r="G34" s="21" t="s">
        <v>1870</v>
      </c>
      <c r="H34" s="21" t="s">
        <v>2354</v>
      </c>
      <c r="I34" s="21" t="s">
        <v>3033</v>
      </c>
      <c r="J34" s="21" t="s">
        <v>3051</v>
      </c>
      <c r="K34" s="21" t="s">
        <v>848</v>
      </c>
      <c r="L34" s="21" t="s">
        <v>3052</v>
      </c>
      <c r="M34" s="21" t="str" cm="1">
        <f t="array" ref="M34">_xlfn.TEXTJOIN(", ",TRUE,_xlfn.UNIQUE(_xlfn._xlws.FILTER('T14'!$A$3:$A$1500,'T14'!$AO$3:$AO$1500=A34,"")))</f>
        <v>DC-00090, DC-00091, DC-00093, DC-00096, DC-00098, DC-00100</v>
      </c>
      <c r="N34" s="25">
        <f>SUMIFS('T14'!$AD$3:$AD$1500,'T14'!$AO$3:$AO$1500,A34,'T14'!$AA$3:$AA$1500,Q34&amp;"*")</f>
        <v>250</v>
      </c>
      <c r="O34" s="21" t="s">
        <v>1091</v>
      </c>
      <c r="P34" s="21">
        <v>2</v>
      </c>
      <c r="Q34" s="21" t="s">
        <v>812</v>
      </c>
      <c r="R34" s="21" t="s">
        <v>814</v>
      </c>
      <c r="S34" s="21" t="s">
        <v>1841</v>
      </c>
      <c r="T34" s="25">
        <f>SUMIFS('T14'!$AI$3:$AI$1500,'T14'!$AO$3:$AO$1500,A34,'T14'!$AA$3:$AA$1500,Q34&amp;"*")</f>
        <v>239</v>
      </c>
      <c r="U34" s="25">
        <f>SUMIFS('T09'!$W$3:$W$1500,'T09'!$A$3:$A$1500,F34,'T09'!$T$3:$T$1500,Q34&amp;"*")</f>
        <v>2730</v>
      </c>
      <c r="V34" s="25">
        <f>T34*U34</f>
        <v>652470</v>
      </c>
      <c r="W34" s="25">
        <f>V34</f>
        <v>652470</v>
      </c>
      <c r="X34" s="23">
        <f>_xlfn.XLOOKUP(Q34,'T13'!$A$3:$A$1500,'T13'!$O$3:$O$1500)</f>
        <v>0.18</v>
      </c>
      <c r="Y34" s="25">
        <f>T34*IF(S34="MT",1000,IF(S34="Jumbo bag (1.5 MT)",1500,IF(S34="Bag (40 kg)",40,50)))*3</f>
        <v>28680</v>
      </c>
      <c r="Z34" s="21" t="str">
        <f>_xlfn.XLOOKUP(Q34,'T13'!$A$3:$A$1500,'T13'!$AA$3:$AA$1500)&amp;" / CC-SALES-LHR"</f>
        <v>4101 Sales - Cement bags / CC-SALES-LHR</v>
      </c>
      <c r="AA34" s="33">
        <f>SUMIFS($T$3:$T$1500,$A$3:$A$1500,A34,$S$3:$S$1500,"Bag (50 kg)")*0.05+SUMIFS($T$3:$T$1500,$A$3:$A$1500,A34,$S$3:$S$1500,"Bag (40 kg)")*0.04+SUMIFS($T$3:$T$1500,$A$3:$A$1500,A34,$S$3:$S$1500,"MT")+SUMIFS($T$3:$T$1500,$A$3:$A$1500,A34,$S$3:$S$1500,"Jumbo bag (1.5 MT)")*1.5</f>
        <v>38.06</v>
      </c>
      <c r="AB34" s="25" cm="1">
        <f t="array" ref="AB34">SUMPRODUCT(($A$3:$A$1500=A34)*$W$3:$W$1500*$X$3:$X$1500)</f>
        <v>265161.59999999998</v>
      </c>
      <c r="AC34" s="25">
        <f>SUMIFS($Y$3:$Y$1500,$A$3:$A$1500,A34)</f>
        <v>114180</v>
      </c>
      <c r="AD34" s="25">
        <f>SUMIFS($W$3:$W$1500,$A$3:$A$1500,A34)+AB34+AC34</f>
        <v>1852461.6</v>
      </c>
      <c r="AE34" s="21" t="str">
        <f>"PKR "&amp;TEXT(AD34,"#,##0")&amp;" only"</f>
        <v>PKR 1,852,462 only</v>
      </c>
      <c r="AF34" s="21" t="s">
        <v>1051</v>
      </c>
      <c r="AG34" s="29">
        <f>B34+30</f>
        <v>45895</v>
      </c>
      <c r="AH34" s="25">
        <f>SUMIFS('T15'!$BC$3:$BC$1499,'T15'!$AY$3:$AY$1499,A34,'T15'!$C$3:$C$1499,"Advance*")</f>
        <v>0</v>
      </c>
      <c r="AI34" s="25">
        <f>SUMIFS('T15'!$BC$3:$BC$1499,'T15'!$AY$3:$AY$1499,A34)+SUMIFS('T15'!$BD$3:$BD$1499,'T15'!$AY$3:$AY$1499,A34)+SUMIFS('T15'!$BE$3:$BE$1499,'T15'!$AY$3:$AY$1499,A34)</f>
        <v>1852461.6</v>
      </c>
      <c r="AJ34" s="21" t="str">
        <f ca="1">TEXT(AD34-AI34,"#,##0")&amp;" - "&amp;IF(AD34-AI34&lt;1,"Paid",IF(AI34&gt;0,"Partially paid",IF(AG34&lt;TODAY(),"Overdue","Open")))</f>
        <v>0 - Paid</v>
      </c>
      <c r="AK34" s="21" t="str" cm="1">
        <f t="array" ref="AK34">_xlfn.TEXTJOIN(", ",TRUE,_xlfn._xlws.FILTER('T15'!$A$3:$A$1499,'T15'!$AY$3:$AY$1499=A34,"None"))</f>
        <v>RCP-0028</v>
      </c>
      <c r="AL34" s="21" t="s">
        <v>753</v>
      </c>
      <c r="AM34" s="21" t="s">
        <v>844</v>
      </c>
      <c r="AN34" s="21" t="s">
        <v>846</v>
      </c>
      <c r="AO34" s="21" t="s">
        <v>3053</v>
      </c>
      <c r="AP34" s="21" t="s">
        <v>844</v>
      </c>
    </row>
    <row r="35" spans="1:42" x14ac:dyDescent="0.3">
      <c r="A35" s="21" t="s">
        <v>2360</v>
      </c>
      <c r="B35" s="29">
        <v>45865</v>
      </c>
      <c r="C35" s="21" t="s">
        <v>3020</v>
      </c>
      <c r="D35" s="21" t="s">
        <v>3021</v>
      </c>
      <c r="E35" s="41" t="s">
        <v>4994</v>
      </c>
      <c r="F35" s="21" t="s">
        <v>1869</v>
      </c>
      <c r="G35" s="21" t="s">
        <v>1870</v>
      </c>
      <c r="H35" s="21" t="s">
        <v>2354</v>
      </c>
      <c r="I35" s="21" t="s">
        <v>3033</v>
      </c>
      <c r="J35" s="21" t="s">
        <v>3051</v>
      </c>
      <c r="K35" s="21" t="s">
        <v>848</v>
      </c>
      <c r="L35" s="21" t="s">
        <v>3052</v>
      </c>
      <c r="M35" s="21" t="str" cm="1">
        <f t="array" ref="M35">_xlfn.TEXTJOIN(", ",TRUE,_xlfn.UNIQUE(_xlfn._xlws.FILTER('T14'!$A$3:$A$1500,'T14'!$AO$3:$AO$1500=A35,"")))</f>
        <v>DC-00090, DC-00091, DC-00093, DC-00096, DC-00098, DC-00100</v>
      </c>
      <c r="N35" s="25">
        <f>SUMIFS('T14'!$AD$3:$AD$1500,'T14'!$AO$3:$AO$1500,A35,'T14'!$AA$3:$AA$1500,Q35&amp;"*")</f>
        <v>14</v>
      </c>
      <c r="O35" s="21" t="s">
        <v>1091</v>
      </c>
      <c r="P35" s="21">
        <v>3</v>
      </c>
      <c r="Q35" s="21" t="s">
        <v>826</v>
      </c>
      <c r="R35" s="21" t="s">
        <v>827</v>
      </c>
      <c r="S35" s="21" t="s">
        <v>1860</v>
      </c>
      <c r="T35" s="25">
        <f>SUMIFS('T14'!$AI$3:$AI$1500,'T14'!$AO$3:$AO$1500,A35,'T14'!$AA$3:$AA$1500,Q35&amp;"*")</f>
        <v>14</v>
      </c>
      <c r="U35" s="25">
        <f>SUMIFS('T09'!$W$3:$W$1500,'T09'!$A$3:$A$1500,F35,'T09'!$T$3:$T$1500,Q35&amp;"*")</f>
        <v>43350</v>
      </c>
      <c r="V35" s="25">
        <f>T35*U35</f>
        <v>606900</v>
      </c>
      <c r="W35" s="25">
        <f>V35</f>
        <v>606900</v>
      </c>
      <c r="X35" s="23">
        <f>_xlfn.XLOOKUP(Q35,'T13'!$A$3:$A$1500,'T13'!$O$3:$O$1500)</f>
        <v>0.18</v>
      </c>
      <c r="Y35" s="25">
        <f>T35*IF(S35="MT",1000,IF(S35="Jumbo bag (1.5 MT)",1500,IF(S35="Bag (40 kg)",40,50)))*3</f>
        <v>63000</v>
      </c>
      <c r="Z35" s="21" t="str">
        <f>_xlfn.XLOOKUP(Q35,'T13'!$A$3:$A$1500,'T13'!$AA$3:$AA$1500)&amp;" / CC-SALES-LHR"</f>
        <v>4102 Sales - Cement bulk / CC-SALES-LHR</v>
      </c>
      <c r="AA35" s="33">
        <f>SUMIFS($T$3:$T$1500,$A$3:$A$1500,A35,$S$3:$S$1500,"Bag (50 kg)")*0.05+SUMIFS($T$3:$T$1500,$A$3:$A$1500,A35,$S$3:$S$1500,"Bag (40 kg)")*0.04+SUMIFS($T$3:$T$1500,$A$3:$A$1500,A35,$S$3:$S$1500,"MT")+SUMIFS($T$3:$T$1500,$A$3:$A$1500,A35,$S$3:$S$1500,"Jumbo bag (1.5 MT)")*1.5</f>
        <v>38.06</v>
      </c>
      <c r="AB35" s="25" cm="1">
        <f t="array" ref="AB35">SUMPRODUCT(($A$3:$A$1500=A35)*$W$3:$W$1500*$X$3:$X$1500)</f>
        <v>265161.59999999998</v>
      </c>
      <c r="AC35" s="25">
        <f>SUMIFS($Y$3:$Y$1500,$A$3:$A$1500,A35)</f>
        <v>114180</v>
      </c>
      <c r="AD35" s="25">
        <f>SUMIFS($W$3:$W$1500,$A$3:$A$1500,A35)+AB35+AC35</f>
        <v>1852461.6</v>
      </c>
      <c r="AE35" s="21" t="str">
        <f>"PKR "&amp;TEXT(AD35,"#,##0")&amp;" only"</f>
        <v>PKR 1,852,462 only</v>
      </c>
      <c r="AF35" s="21" t="s">
        <v>1051</v>
      </c>
      <c r="AG35" s="29">
        <f>B35+30</f>
        <v>45895</v>
      </c>
      <c r="AH35" s="25">
        <f>SUMIFS('T15'!$BC$3:$BC$1499,'T15'!$AY$3:$AY$1499,A35,'T15'!$C$3:$C$1499,"Advance*")</f>
        <v>0</v>
      </c>
      <c r="AI35" s="25">
        <f>SUMIFS('T15'!$BC$3:$BC$1499,'T15'!$AY$3:$AY$1499,A35)+SUMIFS('T15'!$BD$3:$BD$1499,'T15'!$AY$3:$AY$1499,A35)+SUMIFS('T15'!$BE$3:$BE$1499,'T15'!$AY$3:$AY$1499,A35)</f>
        <v>1852461.6</v>
      </c>
      <c r="AJ35" s="21" t="str">
        <f ca="1">TEXT(AD35-AI35,"#,##0")&amp;" - "&amp;IF(AD35-AI35&lt;1,"Paid",IF(AI35&gt;0,"Partially paid",IF(AG35&lt;TODAY(),"Overdue","Open")))</f>
        <v>0 - Paid</v>
      </c>
      <c r="AK35" s="21" t="str" cm="1">
        <f t="array" ref="AK35">_xlfn.TEXTJOIN(", ",TRUE,_xlfn._xlws.FILTER('T15'!$A$3:$A$1499,'T15'!$AY$3:$AY$1499=A35,"None"))</f>
        <v>RCP-0028</v>
      </c>
      <c r="AL35" s="21" t="s">
        <v>753</v>
      </c>
      <c r="AM35" s="21" t="s">
        <v>844</v>
      </c>
      <c r="AN35" s="21" t="s">
        <v>846</v>
      </c>
      <c r="AO35" s="21" t="s">
        <v>3053</v>
      </c>
      <c r="AP35" s="21" t="s">
        <v>844</v>
      </c>
    </row>
    <row r="36" spans="1:42" x14ac:dyDescent="0.3">
      <c r="A36" s="21" t="s">
        <v>2411</v>
      </c>
      <c r="B36" s="29">
        <v>45893</v>
      </c>
      <c r="C36" s="21" t="s">
        <v>3020</v>
      </c>
      <c r="D36" s="21" t="s">
        <v>3021</v>
      </c>
      <c r="E36" s="41" t="s">
        <v>4994</v>
      </c>
      <c r="F36" s="21" t="s">
        <v>1877</v>
      </c>
      <c r="G36" s="21" t="s">
        <v>1819</v>
      </c>
      <c r="H36" s="21" t="s">
        <v>1980</v>
      </c>
      <c r="I36" s="21" t="s">
        <v>1156</v>
      </c>
      <c r="J36" s="21" t="s">
        <v>844</v>
      </c>
      <c r="K36" s="21" t="s">
        <v>848</v>
      </c>
      <c r="L36" s="21" t="s">
        <v>3028</v>
      </c>
      <c r="M36" s="21" t="str" cm="1">
        <f t="array" ref="M36">_xlfn.TEXTJOIN(", ",TRUE,_xlfn.UNIQUE(_xlfn._xlws.FILTER('T14'!$A$3:$A$1500,'T14'!$AO$3:$AO$1500=A36,"")))</f>
        <v>DC-00102, DC-00104, DC-00105, DC-00107, DC-00109, DC-00110</v>
      </c>
      <c r="N36" s="25">
        <f>SUMIFS('T14'!$AD$3:$AD$1500,'T14'!$AO$3:$AO$1500,A36,'T14'!$AA$3:$AA$1500,Q36&amp;"*")</f>
        <v>50</v>
      </c>
      <c r="O36" s="21" t="s">
        <v>1091</v>
      </c>
      <c r="P36" s="21">
        <v>1</v>
      </c>
      <c r="Q36" s="21" t="s">
        <v>799</v>
      </c>
      <c r="R36" s="21" t="s">
        <v>801</v>
      </c>
      <c r="S36" s="21" t="s">
        <v>1804</v>
      </c>
      <c r="T36" s="25">
        <f>SUMIFS('T14'!$AI$3:$AI$1500,'T14'!$AO$3:$AO$1500,A36,'T14'!$AA$3:$AA$1500,Q36&amp;"*")</f>
        <v>50</v>
      </c>
      <c r="U36" s="25">
        <f>SUMIFS('T09'!$W$3:$W$1500,'T09'!$A$3:$A$1500,F36,'T09'!$T$3:$T$1500,Q36&amp;"*")</f>
        <v>1430</v>
      </c>
      <c r="V36" s="25">
        <f>T36*U36</f>
        <v>71500</v>
      </c>
      <c r="W36" s="25">
        <f>V36</f>
        <v>71500</v>
      </c>
      <c r="X36" s="23">
        <f>_xlfn.XLOOKUP(Q36,'T13'!$A$3:$A$1500,'T13'!$O$3:$O$1500)</f>
        <v>0.18</v>
      </c>
      <c r="Y36" s="25">
        <f>T36*IF(S36="MT",1000,IF(S36="Jumbo bag (1.5 MT)",1500,IF(S36="Bag (40 kg)",40,50)))*3</f>
        <v>7500</v>
      </c>
      <c r="Z36" s="21" t="str">
        <f>_xlfn.XLOOKUP(Q36,'T13'!$A$3:$A$1500,'T13'!$AA$3:$AA$1500)&amp;" / CC-SALES-LHR"</f>
        <v>4101 Sales - Cement bags / CC-SALES-LHR</v>
      </c>
      <c r="AA36" s="33">
        <f>SUMIFS($T$3:$T$1500,$A$3:$A$1500,A36,$S$3:$S$1500,"Bag (50 kg)")*0.05+SUMIFS($T$3:$T$1500,$A$3:$A$1500,A36,$S$3:$S$1500,"Bag (40 kg)")*0.04+SUMIFS($T$3:$T$1500,$A$3:$A$1500,A36,$S$3:$S$1500,"MT")+SUMIFS($T$3:$T$1500,$A$3:$A$1500,A36,$S$3:$S$1500,"Jumbo bag (1.5 MT)")*1.5</f>
        <v>98.5</v>
      </c>
      <c r="AB36" s="25" cm="1">
        <f t="array" ref="AB36">SUMPRODUCT(($A$3:$A$1500=A36)*$W$3:$W$1500*$X$3:$X$1500)</f>
        <v>518976</v>
      </c>
      <c r="AC36" s="25">
        <f>SUMIFS($Y$3:$Y$1500,$A$3:$A$1500,A36)</f>
        <v>295500</v>
      </c>
      <c r="AD36" s="25">
        <f>SUMIFS($W$3:$W$1500,$A$3:$A$1500,A36)+AB36+AC36</f>
        <v>3697676</v>
      </c>
      <c r="AE36" s="21" t="str">
        <f>"PKR "&amp;TEXT(AD36,"#,##0")&amp;" only"</f>
        <v>PKR 3,697,676 only</v>
      </c>
      <c r="AF36" s="21" t="s">
        <v>1051</v>
      </c>
      <c r="AG36" s="29">
        <f>B36+30</f>
        <v>45923</v>
      </c>
      <c r="AH36" s="25">
        <f>SUMIFS('T15'!$BC$3:$BC$1499,'T15'!$AY$3:$AY$1499,A36,'T15'!$C$3:$C$1499,"Advance*")</f>
        <v>0</v>
      </c>
      <c r="AI36" s="25">
        <f>SUMIFS('T15'!$BC$3:$BC$1499,'T15'!$AY$3:$AY$1499,A36)+SUMIFS('T15'!$BD$3:$BD$1499,'T15'!$AY$3:$AY$1499,A36)+SUMIFS('T15'!$BE$3:$BE$1499,'T15'!$AY$3:$AY$1499,A36)</f>
        <v>3697676</v>
      </c>
      <c r="AJ36" s="21" t="str">
        <f ca="1">TEXT(AD36-AI36,"#,##0")&amp;" - "&amp;IF(AD36-AI36&lt;1,"Paid",IF(AI36&gt;0,"Partially paid",IF(AG36&lt;TODAY(),"Overdue","Open")))</f>
        <v>0 - Paid</v>
      </c>
      <c r="AK36" s="21" t="str" cm="1">
        <f t="array" ref="AK36">_xlfn.TEXTJOIN(", ",TRUE,_xlfn._xlws.FILTER('T15'!$A$3:$A$1499,'T15'!$AY$3:$AY$1499=A36,"None"))</f>
        <v>RCP-0031, RCP-0033</v>
      </c>
      <c r="AL36" s="21" t="s">
        <v>753</v>
      </c>
      <c r="AM36" s="21" t="s">
        <v>844</v>
      </c>
      <c r="AN36" s="21" t="s">
        <v>753</v>
      </c>
      <c r="AO36" s="21" t="s">
        <v>3054</v>
      </c>
      <c r="AP36" s="21" t="s">
        <v>844</v>
      </c>
    </row>
    <row r="37" spans="1:42" x14ac:dyDescent="0.3">
      <c r="A37" s="21" t="s">
        <v>2411</v>
      </c>
      <c r="B37" s="29">
        <v>45893</v>
      </c>
      <c r="C37" s="21" t="s">
        <v>3020</v>
      </c>
      <c r="D37" s="21" t="s">
        <v>3021</v>
      </c>
      <c r="E37" s="41" t="s">
        <v>4994</v>
      </c>
      <c r="F37" s="21" t="s">
        <v>1877</v>
      </c>
      <c r="G37" s="21" t="s">
        <v>1819</v>
      </c>
      <c r="H37" s="21" t="s">
        <v>1980</v>
      </c>
      <c r="I37" s="21" t="s">
        <v>1156</v>
      </c>
      <c r="J37" s="21" t="s">
        <v>844</v>
      </c>
      <c r="K37" s="21" t="s">
        <v>848</v>
      </c>
      <c r="L37" s="21" t="s">
        <v>3028</v>
      </c>
      <c r="M37" s="21" t="str" cm="1">
        <f t="array" ref="M37">_xlfn.TEXTJOIN(", ",TRUE,_xlfn.UNIQUE(_xlfn._xlws.FILTER('T14'!$A$3:$A$1500,'T14'!$AO$3:$AO$1500=A37,"")))</f>
        <v>DC-00102, DC-00104, DC-00105, DC-00107, DC-00109, DC-00110</v>
      </c>
      <c r="N37" s="25">
        <f>SUMIFS('T14'!$AD$3:$AD$1500,'T14'!$AO$3:$AO$1500,A37,'T14'!$AA$3:$AA$1500,Q37&amp;"*")</f>
        <v>150</v>
      </c>
      <c r="O37" s="21" t="s">
        <v>1091</v>
      </c>
      <c r="P37" s="21">
        <v>2</v>
      </c>
      <c r="Q37" s="21" t="s">
        <v>805</v>
      </c>
      <c r="R37" s="21" t="s">
        <v>807</v>
      </c>
      <c r="S37" s="21" t="s">
        <v>1804</v>
      </c>
      <c r="T37" s="25">
        <f>SUMIFS('T14'!$AI$3:$AI$1500,'T14'!$AO$3:$AO$1500,A37,'T14'!$AA$3:$AA$1500,Q37&amp;"*")</f>
        <v>150</v>
      </c>
      <c r="U37" s="25">
        <f>SUMIFS('T09'!$W$3:$W$1500,'T09'!$A$3:$A$1500,F37,'T09'!$T$3:$T$1500,Q37&amp;"*")</f>
        <v>1615</v>
      </c>
      <c r="V37" s="25">
        <f>T37*U37</f>
        <v>242250</v>
      </c>
      <c r="W37" s="25">
        <f>V37</f>
        <v>242250</v>
      </c>
      <c r="X37" s="23">
        <f>_xlfn.XLOOKUP(Q37,'T13'!$A$3:$A$1500,'T13'!$O$3:$O$1500)</f>
        <v>0.18</v>
      </c>
      <c r="Y37" s="25">
        <f>T37*IF(S37="MT",1000,IF(S37="Jumbo bag (1.5 MT)",1500,IF(S37="Bag (40 kg)",40,50)))*3</f>
        <v>22500</v>
      </c>
      <c r="Z37" s="21" t="str">
        <f>_xlfn.XLOOKUP(Q37,'T13'!$A$3:$A$1500,'T13'!$AA$3:$AA$1500)&amp;" / CC-SALES-LHR"</f>
        <v>4101 Sales - Cement bags / CC-SALES-LHR</v>
      </c>
      <c r="AA37" s="33">
        <f>SUMIFS($T$3:$T$1500,$A$3:$A$1500,A37,$S$3:$S$1500,"Bag (50 kg)")*0.05+SUMIFS($T$3:$T$1500,$A$3:$A$1500,A37,$S$3:$S$1500,"Bag (40 kg)")*0.04+SUMIFS($T$3:$T$1500,$A$3:$A$1500,A37,$S$3:$S$1500,"MT")+SUMIFS($T$3:$T$1500,$A$3:$A$1500,A37,$S$3:$S$1500,"Jumbo bag (1.5 MT)")*1.5</f>
        <v>98.5</v>
      </c>
      <c r="AB37" s="25" cm="1">
        <f t="array" ref="AB37">SUMPRODUCT(($A$3:$A$1500=A37)*$W$3:$W$1500*$X$3:$X$1500)</f>
        <v>518976</v>
      </c>
      <c r="AC37" s="25">
        <f>SUMIFS($Y$3:$Y$1500,$A$3:$A$1500,A37)</f>
        <v>295500</v>
      </c>
      <c r="AD37" s="25">
        <f>SUMIFS($W$3:$W$1500,$A$3:$A$1500,A37)+AB37+AC37</f>
        <v>3697676</v>
      </c>
      <c r="AE37" s="21" t="str">
        <f>"PKR "&amp;TEXT(AD37,"#,##0")&amp;" only"</f>
        <v>PKR 3,697,676 only</v>
      </c>
      <c r="AF37" s="21" t="s">
        <v>1051</v>
      </c>
      <c r="AG37" s="29">
        <f>B37+30</f>
        <v>45923</v>
      </c>
      <c r="AH37" s="25">
        <f>SUMIFS('T15'!$BC$3:$BC$1499,'T15'!$AY$3:$AY$1499,A37,'T15'!$C$3:$C$1499,"Advance*")</f>
        <v>0</v>
      </c>
      <c r="AI37" s="25">
        <f>SUMIFS('T15'!$BC$3:$BC$1499,'T15'!$AY$3:$AY$1499,A37)+SUMIFS('T15'!$BD$3:$BD$1499,'T15'!$AY$3:$AY$1499,A37)+SUMIFS('T15'!$BE$3:$BE$1499,'T15'!$AY$3:$AY$1499,A37)</f>
        <v>3697676</v>
      </c>
      <c r="AJ37" s="21" t="str">
        <f ca="1">TEXT(AD37-AI37,"#,##0")&amp;" - "&amp;IF(AD37-AI37&lt;1,"Paid",IF(AI37&gt;0,"Partially paid",IF(AG37&lt;TODAY(),"Overdue","Open")))</f>
        <v>0 - Paid</v>
      </c>
      <c r="AK37" s="21" t="str" cm="1">
        <f t="array" ref="AK37">_xlfn.TEXTJOIN(", ",TRUE,_xlfn._xlws.FILTER('T15'!$A$3:$A$1499,'T15'!$AY$3:$AY$1499=A37,"None"))</f>
        <v>RCP-0031, RCP-0033</v>
      </c>
      <c r="AL37" s="21" t="s">
        <v>753</v>
      </c>
      <c r="AM37" s="21" t="s">
        <v>844</v>
      </c>
      <c r="AN37" s="21" t="s">
        <v>753</v>
      </c>
      <c r="AO37" s="21" t="s">
        <v>3054</v>
      </c>
      <c r="AP37" s="21" t="s">
        <v>844</v>
      </c>
    </row>
    <row r="38" spans="1:42" x14ac:dyDescent="0.3">
      <c r="A38" s="21" t="s">
        <v>2411</v>
      </c>
      <c r="B38" s="29">
        <v>45893</v>
      </c>
      <c r="C38" s="21" t="s">
        <v>3020</v>
      </c>
      <c r="D38" s="21" t="s">
        <v>3021</v>
      </c>
      <c r="E38" s="41" t="s">
        <v>4994</v>
      </c>
      <c r="F38" s="21" t="s">
        <v>1877</v>
      </c>
      <c r="G38" s="21" t="s">
        <v>1819</v>
      </c>
      <c r="H38" s="21" t="s">
        <v>1980</v>
      </c>
      <c r="I38" s="21" t="s">
        <v>1156</v>
      </c>
      <c r="J38" s="21" t="s">
        <v>844</v>
      </c>
      <c r="K38" s="21" t="s">
        <v>848</v>
      </c>
      <c r="L38" s="21" t="s">
        <v>3028</v>
      </c>
      <c r="M38" s="21" t="str" cm="1">
        <f t="array" ref="M38">_xlfn.TEXTJOIN(", ",TRUE,_xlfn.UNIQUE(_xlfn._xlws.FILTER('T14'!$A$3:$A$1500,'T14'!$AO$3:$AO$1500=A38,"")))</f>
        <v>DC-00102, DC-00104, DC-00105, DC-00107, DC-00109, DC-00110</v>
      </c>
      <c r="N38" s="25">
        <f>SUMIFS('T14'!$AD$3:$AD$1500,'T14'!$AO$3:$AO$1500,A38,'T14'!$AA$3:$AA$1500,Q38&amp;"*")</f>
        <v>59</v>
      </c>
      <c r="O38" s="21" t="s">
        <v>1091</v>
      </c>
      <c r="P38" s="21">
        <v>3</v>
      </c>
      <c r="Q38" s="21" t="s">
        <v>826</v>
      </c>
      <c r="R38" s="21" t="s">
        <v>827</v>
      </c>
      <c r="S38" s="21" t="s">
        <v>1860</v>
      </c>
      <c r="T38" s="25">
        <f>SUMIFS('T14'!$AI$3:$AI$1500,'T14'!$AO$3:$AO$1500,A38,'T14'!$AA$3:$AA$1500,Q38&amp;"*")</f>
        <v>59</v>
      </c>
      <c r="U38" s="25">
        <f>SUMIFS('T09'!$W$3:$W$1500,'T09'!$A$3:$A$1500,F38,'T09'!$T$3:$T$1500,Q38&amp;"*")</f>
        <v>43550</v>
      </c>
      <c r="V38" s="25">
        <f>T38*U38</f>
        <v>2569450</v>
      </c>
      <c r="W38" s="25">
        <f>V38</f>
        <v>2569450</v>
      </c>
      <c r="X38" s="23">
        <f>_xlfn.XLOOKUP(Q38,'T13'!$A$3:$A$1500,'T13'!$O$3:$O$1500)</f>
        <v>0.18</v>
      </c>
      <c r="Y38" s="25">
        <f>T38*IF(S38="MT",1000,IF(S38="Jumbo bag (1.5 MT)",1500,IF(S38="Bag (40 kg)",40,50)))*3</f>
        <v>265500</v>
      </c>
      <c r="Z38" s="21" t="str">
        <f>_xlfn.XLOOKUP(Q38,'T13'!$A$3:$A$1500,'T13'!$AA$3:$AA$1500)&amp;" / CC-SALES-LHR"</f>
        <v>4102 Sales - Cement bulk / CC-SALES-LHR</v>
      </c>
      <c r="AA38" s="33">
        <f>SUMIFS($T$3:$T$1500,$A$3:$A$1500,A38,$S$3:$S$1500,"Bag (50 kg)")*0.05+SUMIFS($T$3:$T$1500,$A$3:$A$1500,A38,$S$3:$S$1500,"Bag (40 kg)")*0.04+SUMIFS($T$3:$T$1500,$A$3:$A$1500,A38,$S$3:$S$1500,"MT")+SUMIFS($T$3:$T$1500,$A$3:$A$1500,A38,$S$3:$S$1500,"Jumbo bag (1.5 MT)")*1.5</f>
        <v>98.5</v>
      </c>
      <c r="AB38" s="25" cm="1">
        <f t="array" ref="AB38">SUMPRODUCT(($A$3:$A$1500=A38)*$W$3:$W$1500*$X$3:$X$1500)</f>
        <v>518976</v>
      </c>
      <c r="AC38" s="25">
        <f>SUMIFS($Y$3:$Y$1500,$A$3:$A$1500,A38)</f>
        <v>295500</v>
      </c>
      <c r="AD38" s="25">
        <f>SUMIFS($W$3:$W$1500,$A$3:$A$1500,A38)+AB38+AC38</f>
        <v>3697676</v>
      </c>
      <c r="AE38" s="21" t="str">
        <f>"PKR "&amp;TEXT(AD38,"#,##0")&amp;" only"</f>
        <v>PKR 3,697,676 only</v>
      </c>
      <c r="AF38" s="21" t="s">
        <v>1051</v>
      </c>
      <c r="AG38" s="29">
        <f>B38+30</f>
        <v>45923</v>
      </c>
      <c r="AH38" s="25">
        <f>SUMIFS('T15'!$BC$3:$BC$1499,'T15'!$AY$3:$AY$1499,A38,'T15'!$C$3:$C$1499,"Advance*")</f>
        <v>0</v>
      </c>
      <c r="AI38" s="25">
        <f>SUMIFS('T15'!$BC$3:$BC$1499,'T15'!$AY$3:$AY$1499,A38)+SUMIFS('T15'!$BD$3:$BD$1499,'T15'!$AY$3:$AY$1499,A38)+SUMIFS('T15'!$BE$3:$BE$1499,'T15'!$AY$3:$AY$1499,A38)</f>
        <v>3697676</v>
      </c>
      <c r="AJ38" s="21" t="str">
        <f ca="1">TEXT(AD38-AI38,"#,##0")&amp;" - "&amp;IF(AD38-AI38&lt;1,"Paid",IF(AI38&gt;0,"Partially paid",IF(AG38&lt;TODAY(),"Overdue","Open")))</f>
        <v>0 - Paid</v>
      </c>
      <c r="AK38" s="21" t="str" cm="1">
        <f t="array" ref="AK38">_xlfn.TEXTJOIN(", ",TRUE,_xlfn._xlws.FILTER('T15'!$A$3:$A$1499,'T15'!$AY$3:$AY$1499=A38,"None"))</f>
        <v>RCP-0031, RCP-0033</v>
      </c>
      <c r="AL38" s="21" t="s">
        <v>753</v>
      </c>
      <c r="AM38" s="21" t="s">
        <v>844</v>
      </c>
      <c r="AN38" s="21" t="s">
        <v>753</v>
      </c>
      <c r="AO38" s="21" t="s">
        <v>3054</v>
      </c>
      <c r="AP38" s="21" t="s">
        <v>844</v>
      </c>
    </row>
    <row r="39" spans="1:42" x14ac:dyDescent="0.3">
      <c r="A39" s="21" t="s">
        <v>2405</v>
      </c>
      <c r="B39" s="29">
        <v>45895</v>
      </c>
      <c r="C39" s="21" t="s">
        <v>3020</v>
      </c>
      <c r="D39" s="21" t="s">
        <v>3021</v>
      </c>
      <c r="E39" s="41" t="s">
        <v>4994</v>
      </c>
      <c r="F39" s="21" t="s">
        <v>1875</v>
      </c>
      <c r="G39" s="21" t="s">
        <v>1849</v>
      </c>
      <c r="H39" s="21" t="s">
        <v>2117</v>
      </c>
      <c r="I39" s="21" t="s">
        <v>3033</v>
      </c>
      <c r="J39" s="21" t="s">
        <v>3038</v>
      </c>
      <c r="K39" s="21" t="s">
        <v>848</v>
      </c>
      <c r="L39" s="21" t="s">
        <v>3039</v>
      </c>
      <c r="M39" s="21" t="str" cm="1">
        <f t="array" ref="M39">_xlfn.TEXTJOIN(", ",TRUE,_xlfn.UNIQUE(_xlfn._xlws.FILTER('T14'!$A$3:$A$1500,'T14'!$AO$3:$AO$1500=A39,"")))</f>
        <v>DC-00101, DC-00103, DC-00106, DC-00108, DC-00111</v>
      </c>
      <c r="N39" s="25">
        <f>SUMIFS('T14'!$AD$3:$AD$1500,'T14'!$AO$3:$AO$1500,A39,'T14'!$AA$3:$AA$1500,Q39&amp;"*")</f>
        <v>2400</v>
      </c>
      <c r="O39" s="21" t="s">
        <v>1091</v>
      </c>
      <c r="P39" s="21">
        <v>1</v>
      </c>
      <c r="Q39" s="21" t="s">
        <v>812</v>
      </c>
      <c r="R39" s="21" t="s">
        <v>814</v>
      </c>
      <c r="S39" s="21" t="s">
        <v>1841</v>
      </c>
      <c r="T39" s="25">
        <f>SUMIFS('T14'!$AI$3:$AI$1500,'T14'!$AO$3:$AO$1500,A39,'T14'!$AA$3:$AA$1500,Q39&amp;"*")</f>
        <v>2392</v>
      </c>
      <c r="U39" s="25">
        <f>SUMIFS('T09'!$W$3:$W$1500,'T09'!$A$3:$A$1500,F39,'T09'!$T$3:$T$1500,Q39&amp;"*")</f>
        <v>2740</v>
      </c>
      <c r="V39" s="25">
        <f>T39*U39</f>
        <v>6554080</v>
      </c>
      <c r="W39" s="25">
        <f>V39</f>
        <v>6554080</v>
      </c>
      <c r="X39" s="23">
        <f>_xlfn.XLOOKUP(Q39,'T13'!$A$3:$A$1500,'T13'!$O$3:$O$1500)</f>
        <v>0.18</v>
      </c>
      <c r="Y39" s="25">
        <f>T39*IF(S39="MT",1000,IF(S39="Jumbo bag (1.5 MT)",1500,IF(S39="Bag (40 kg)",40,50)))*3</f>
        <v>287040</v>
      </c>
      <c r="Z39" s="21" t="str">
        <f>_xlfn.XLOOKUP(Q39,'T13'!$A$3:$A$1500,'T13'!$AA$3:$AA$1500)&amp;" / CC-SALES-LHR"</f>
        <v>4101 Sales - Cement bags / CC-SALES-LHR</v>
      </c>
      <c r="AA39" s="33">
        <f>SUMIFS($T$3:$T$1500,$A$3:$A$1500,A39,$S$3:$S$1500,"Bag (50 kg)")*0.05+SUMIFS($T$3:$T$1500,$A$3:$A$1500,A39,$S$3:$S$1500,"Bag (40 kg)")*0.04+SUMIFS($T$3:$T$1500,$A$3:$A$1500,A39,$S$3:$S$1500,"MT")+SUMIFS($T$3:$T$1500,$A$3:$A$1500,A39,$S$3:$S$1500,"Jumbo bag (1.5 MT)")*1.5</f>
        <v>95.68</v>
      </c>
      <c r="AB39" s="25" cm="1">
        <f t="array" ref="AB39">SUMPRODUCT(($A$3:$A$1500=A39)*$W$3:$W$1500*$X$3:$X$1500)</f>
        <v>1179734.3999999999</v>
      </c>
      <c r="AC39" s="25">
        <f>SUMIFS($Y$3:$Y$1500,$A$3:$A$1500,A39)</f>
        <v>287040</v>
      </c>
      <c r="AD39" s="25">
        <f>SUMIFS($W$3:$W$1500,$A$3:$A$1500,A39)+AB39+AC39</f>
        <v>8020854.4000000004</v>
      </c>
      <c r="AE39" s="21" t="str">
        <f>"PKR "&amp;TEXT(AD39,"#,##0")&amp;" only"</f>
        <v>PKR 8,020,854 only</v>
      </c>
      <c r="AF39" s="21" t="s">
        <v>1062</v>
      </c>
      <c r="AG39" s="29">
        <f>B39+15</f>
        <v>45910</v>
      </c>
      <c r="AH39" s="25">
        <f>SUMIFS('T15'!$BC$3:$BC$1499,'T15'!$AY$3:$AY$1499,A39,'T15'!$C$3:$C$1499,"Advance*")</f>
        <v>0</v>
      </c>
      <c r="AI39" s="25">
        <f>SUMIFS('T15'!$BC$3:$BC$1499,'T15'!$AY$3:$AY$1499,A39)+SUMIFS('T15'!$BD$3:$BD$1499,'T15'!$AY$3:$AY$1499,A39)+SUMIFS('T15'!$BE$3:$BE$1499,'T15'!$AY$3:$AY$1499,A39)</f>
        <v>8020854.4000000004</v>
      </c>
      <c r="AJ39" s="21" t="str">
        <f ca="1">TEXT(AD39-AI39,"#,##0")&amp;" - "&amp;IF(AD39-AI39&lt;1,"Paid",IF(AI39&gt;0,"Partially paid",IF(AG39&lt;TODAY(),"Overdue","Open")))</f>
        <v>0 - Paid</v>
      </c>
      <c r="AK39" s="21" t="str" cm="1">
        <f t="array" ref="AK39">_xlfn.TEXTJOIN(", ",TRUE,_xlfn._xlws.FILTER('T15'!$A$3:$A$1499,'T15'!$AY$3:$AY$1499=A39,"None"))</f>
        <v>RCP-0030, RCP-0032</v>
      </c>
      <c r="AL39" s="21" t="s">
        <v>753</v>
      </c>
      <c r="AM39" s="21" t="s">
        <v>844</v>
      </c>
      <c r="AN39" s="21" t="s">
        <v>753</v>
      </c>
      <c r="AO39" s="21" t="s">
        <v>3055</v>
      </c>
      <c r="AP39" s="21" t="s">
        <v>844</v>
      </c>
    </row>
    <row r="40" spans="1:42" x14ac:dyDescent="0.3">
      <c r="A40" s="21" t="s">
        <v>2451</v>
      </c>
      <c r="B40" s="29">
        <v>45927</v>
      </c>
      <c r="C40" s="21" t="s">
        <v>3020</v>
      </c>
      <c r="D40" s="21" t="s">
        <v>3021</v>
      </c>
      <c r="E40" s="41" t="s">
        <v>4994</v>
      </c>
      <c r="F40" s="21" t="s">
        <v>1878</v>
      </c>
      <c r="G40" s="21" t="s">
        <v>1844</v>
      </c>
      <c r="H40" s="21" t="s">
        <v>2064</v>
      </c>
      <c r="I40" s="21" t="s">
        <v>3033</v>
      </c>
      <c r="J40" s="21" t="s">
        <v>3034</v>
      </c>
      <c r="K40" s="21" t="s">
        <v>848</v>
      </c>
      <c r="L40" s="21" t="s">
        <v>3035</v>
      </c>
      <c r="M40" s="21" t="str" cm="1">
        <f t="array" ref="M40">_xlfn.TEXTJOIN(", ",TRUE,_xlfn.UNIQUE(_xlfn._xlws.FILTER('T14'!$A$3:$A$1500,'T14'!$AO$3:$AO$1500=A40,"")))</f>
        <v>DC-00112, DC-00113, DC-00114, DC-00115, DC-00116, DC-00117</v>
      </c>
      <c r="N40" s="25">
        <f>SUMIFS('T14'!$AD$3:$AD$1500,'T14'!$AO$3:$AO$1500,A40,'T14'!$AA$3:$AA$1500,Q40&amp;"*")</f>
        <v>2750</v>
      </c>
      <c r="O40" s="21" t="s">
        <v>1091</v>
      </c>
      <c r="P40" s="21">
        <v>1</v>
      </c>
      <c r="Q40" s="21" t="s">
        <v>763</v>
      </c>
      <c r="R40" s="21" t="s">
        <v>766</v>
      </c>
      <c r="S40" s="21" t="s">
        <v>1804</v>
      </c>
      <c r="T40" s="25">
        <f>SUMIFS('T14'!$AI$3:$AI$1500,'T14'!$AO$3:$AO$1500,A40,'T14'!$AA$3:$AA$1500,Q40&amp;"*")</f>
        <v>2750</v>
      </c>
      <c r="U40" s="25">
        <f>SUMIFS('T09'!$W$3:$W$1500,'T09'!$A$3:$A$1500,F40,'T09'!$T$3:$T$1500,Q40&amp;"*")</f>
        <v>1490</v>
      </c>
      <c r="V40" s="25">
        <f>T40*U40</f>
        <v>4097500</v>
      </c>
      <c r="W40" s="25">
        <f>V40</f>
        <v>4097500</v>
      </c>
      <c r="X40" s="23">
        <f>_xlfn.XLOOKUP(Q40,'T13'!$A$3:$A$1500,'T13'!$O$3:$O$1500)</f>
        <v>0.18</v>
      </c>
      <c r="Y40" s="25">
        <f>T40*IF(S40="MT",1000,IF(S40="Jumbo bag (1.5 MT)",1500,IF(S40="Bag (40 kg)",40,50)))*3</f>
        <v>412500</v>
      </c>
      <c r="Z40" s="21" t="str">
        <f>_xlfn.XLOOKUP(Q40,'T13'!$A$3:$A$1500,'T13'!$AA$3:$AA$1500)&amp;" / CC-SALES-LHR"</f>
        <v>4101 Sales - Cement bags / CC-SALES-LHR</v>
      </c>
      <c r="AA40" s="33">
        <f>SUMIFS($T$3:$T$1500,$A$3:$A$1500,A40,$S$3:$S$1500,"Bag (50 kg)")*0.05+SUMIFS($T$3:$T$1500,$A$3:$A$1500,A40,$S$3:$S$1500,"Bag (40 kg)")*0.04+SUMIFS($T$3:$T$1500,$A$3:$A$1500,A40,$S$3:$S$1500,"MT")+SUMIFS($T$3:$T$1500,$A$3:$A$1500,A40,$S$3:$S$1500,"Jumbo bag (1.5 MT)")*1.5</f>
        <v>200</v>
      </c>
      <c r="AB40" s="25" cm="1">
        <f t="array" ref="AB40">SUMPRODUCT(($A$3:$A$1500=A40)*$W$3:$W$1500*$X$3:$X$1500)</f>
        <v>1089675</v>
      </c>
      <c r="AC40" s="25">
        <f>SUMIFS($Y$3:$Y$1500,$A$3:$A$1500,A40)</f>
        <v>600000</v>
      </c>
      <c r="AD40" s="25">
        <f>SUMIFS($W$3:$W$1500,$A$3:$A$1500,A40)+AB40+AC40</f>
        <v>7743425</v>
      </c>
      <c r="AE40" s="21" t="str">
        <f>"PKR "&amp;TEXT(AD40,"#,##0")&amp;" only"</f>
        <v>PKR 7,743,425 only</v>
      </c>
      <c r="AF40" s="21" t="s">
        <v>1071</v>
      </c>
      <c r="AG40" s="29">
        <f>B40+0</f>
        <v>45927</v>
      </c>
      <c r="AH40" s="25">
        <f>SUMIFS('T15'!$BC$3:$BC$1499,'T15'!$AY$3:$AY$1499,A40,'T15'!$C$3:$C$1499,"Advance*")</f>
        <v>7743425</v>
      </c>
      <c r="AI40" s="25">
        <f>SUMIFS('T15'!$BC$3:$BC$1499,'T15'!$AY$3:$AY$1499,A40)+SUMIFS('T15'!$BD$3:$BD$1499,'T15'!$AY$3:$AY$1499,A40)+SUMIFS('T15'!$BE$3:$BE$1499,'T15'!$AY$3:$AY$1499,A40)</f>
        <v>7743425</v>
      </c>
      <c r="AJ40" s="21" t="str">
        <f ca="1">TEXT(AD40-AI40,"#,##0")&amp;" - "&amp;IF(AD40-AI40&lt;1,"Paid",IF(AI40&gt;0,"Partially paid",IF(AG40&lt;TODAY(),"Overdue","Open")))</f>
        <v>0 - Paid</v>
      </c>
      <c r="AK40" s="21" t="str" cm="1">
        <f t="array" ref="AK40">_xlfn.TEXTJOIN(", ",TRUE,_xlfn._xlws.FILTER('T15'!$A$3:$A$1499,'T15'!$AY$3:$AY$1499=A40,"None"))</f>
        <v>RCP-0029</v>
      </c>
      <c r="AL40" s="21" t="s">
        <v>753</v>
      </c>
      <c r="AM40" s="21" t="s">
        <v>844</v>
      </c>
      <c r="AN40" s="21" t="s">
        <v>846</v>
      </c>
      <c r="AO40" s="21" t="s">
        <v>3056</v>
      </c>
      <c r="AP40" s="21" t="s">
        <v>844</v>
      </c>
    </row>
    <row r="41" spans="1:42" x14ac:dyDescent="0.3">
      <c r="A41" s="21" t="s">
        <v>2451</v>
      </c>
      <c r="B41" s="29">
        <v>45927</v>
      </c>
      <c r="C41" s="21" t="s">
        <v>3020</v>
      </c>
      <c r="D41" s="21" t="s">
        <v>3021</v>
      </c>
      <c r="E41" s="41" t="s">
        <v>4994</v>
      </c>
      <c r="F41" s="21" t="s">
        <v>1878</v>
      </c>
      <c r="G41" s="21" t="s">
        <v>1844</v>
      </c>
      <c r="H41" s="21" t="s">
        <v>2064</v>
      </c>
      <c r="I41" s="21" t="s">
        <v>3033</v>
      </c>
      <c r="J41" s="21" t="s">
        <v>3034</v>
      </c>
      <c r="K41" s="21" t="s">
        <v>848</v>
      </c>
      <c r="L41" s="21" t="s">
        <v>3035</v>
      </c>
      <c r="M41" s="21" t="str" cm="1">
        <f t="array" ref="M41">_xlfn.TEXTJOIN(", ",TRUE,_xlfn.UNIQUE(_xlfn._xlws.FILTER('T14'!$A$3:$A$1500,'T14'!$AO$3:$AO$1500=A41,"")))</f>
        <v>DC-00112, DC-00113, DC-00114, DC-00115, DC-00116, DC-00117</v>
      </c>
      <c r="N41" s="25">
        <f>SUMIFS('T14'!$AD$3:$AD$1500,'T14'!$AO$3:$AO$1500,A41,'T14'!$AA$3:$AA$1500,Q41&amp;"*")</f>
        <v>1250</v>
      </c>
      <c r="O41" s="21" t="s">
        <v>1091</v>
      </c>
      <c r="P41" s="21">
        <v>2</v>
      </c>
      <c r="Q41" s="21" t="s">
        <v>788</v>
      </c>
      <c r="R41" s="21" t="s">
        <v>790</v>
      </c>
      <c r="S41" s="21" t="s">
        <v>1804</v>
      </c>
      <c r="T41" s="25">
        <f>SUMIFS('T14'!$AI$3:$AI$1500,'T14'!$AO$3:$AO$1500,A41,'T14'!$AA$3:$AA$1500,Q41&amp;"*")</f>
        <v>1250</v>
      </c>
      <c r="U41" s="25">
        <f>SUMIFS('T09'!$W$3:$W$1500,'T09'!$A$3:$A$1500,F41,'T09'!$T$3:$T$1500,Q41&amp;"*")</f>
        <v>1565</v>
      </c>
      <c r="V41" s="25">
        <f>T41*U41</f>
        <v>1956250</v>
      </c>
      <c r="W41" s="25">
        <f>V41</f>
        <v>1956250</v>
      </c>
      <c r="X41" s="23">
        <f>_xlfn.XLOOKUP(Q41,'T13'!$A$3:$A$1500,'T13'!$O$3:$O$1500)</f>
        <v>0.18</v>
      </c>
      <c r="Y41" s="25">
        <f>T41*IF(S41="MT",1000,IF(S41="Jumbo bag (1.5 MT)",1500,IF(S41="Bag (40 kg)",40,50)))*3</f>
        <v>187500</v>
      </c>
      <c r="Z41" s="21" t="str">
        <f>_xlfn.XLOOKUP(Q41,'T13'!$A$3:$A$1500,'T13'!$AA$3:$AA$1500)&amp;" / CC-SALES-LHR"</f>
        <v>4101 Sales - Cement bags / CC-SALES-LHR</v>
      </c>
      <c r="AA41" s="33">
        <f>SUMIFS($T$3:$T$1500,$A$3:$A$1500,A41,$S$3:$S$1500,"Bag (50 kg)")*0.05+SUMIFS($T$3:$T$1500,$A$3:$A$1500,A41,$S$3:$S$1500,"Bag (40 kg)")*0.04+SUMIFS($T$3:$T$1500,$A$3:$A$1500,A41,$S$3:$S$1500,"MT")+SUMIFS($T$3:$T$1500,$A$3:$A$1500,A41,$S$3:$S$1500,"Jumbo bag (1.5 MT)")*1.5</f>
        <v>200</v>
      </c>
      <c r="AB41" s="25" cm="1">
        <f t="array" ref="AB41">SUMPRODUCT(($A$3:$A$1500=A41)*$W$3:$W$1500*$X$3:$X$1500)</f>
        <v>1089675</v>
      </c>
      <c r="AC41" s="25">
        <f>SUMIFS($Y$3:$Y$1500,$A$3:$A$1500,A41)</f>
        <v>600000</v>
      </c>
      <c r="AD41" s="25">
        <f>SUMIFS($W$3:$W$1500,$A$3:$A$1500,A41)+AB41+AC41</f>
        <v>7743425</v>
      </c>
      <c r="AE41" s="21" t="str">
        <f>"PKR "&amp;TEXT(AD41,"#,##0")&amp;" only"</f>
        <v>PKR 7,743,425 only</v>
      </c>
      <c r="AF41" s="21" t="s">
        <v>1071</v>
      </c>
      <c r="AG41" s="29">
        <f>B41+0</f>
        <v>45927</v>
      </c>
      <c r="AH41" s="25">
        <f>SUMIFS('T15'!$BC$3:$BC$1499,'T15'!$AY$3:$AY$1499,A41,'T15'!$C$3:$C$1499,"Advance*")</f>
        <v>7743425</v>
      </c>
      <c r="AI41" s="25">
        <f>SUMIFS('T15'!$BC$3:$BC$1499,'T15'!$AY$3:$AY$1499,A41)+SUMIFS('T15'!$BD$3:$BD$1499,'T15'!$AY$3:$AY$1499,A41)+SUMIFS('T15'!$BE$3:$BE$1499,'T15'!$AY$3:$AY$1499,A41)</f>
        <v>7743425</v>
      </c>
      <c r="AJ41" s="21" t="str">
        <f ca="1">TEXT(AD41-AI41,"#,##0")&amp;" - "&amp;IF(AD41-AI41&lt;1,"Paid",IF(AI41&gt;0,"Partially paid",IF(AG41&lt;TODAY(),"Overdue","Open")))</f>
        <v>0 - Paid</v>
      </c>
      <c r="AK41" s="21" t="str" cm="1">
        <f t="array" ref="AK41">_xlfn.TEXTJOIN(", ",TRUE,_xlfn._xlws.FILTER('T15'!$A$3:$A$1499,'T15'!$AY$3:$AY$1499=A41,"None"))</f>
        <v>RCP-0029</v>
      </c>
      <c r="AL41" s="21" t="s">
        <v>753</v>
      </c>
      <c r="AM41" s="21" t="s">
        <v>844</v>
      </c>
      <c r="AN41" s="21" t="s">
        <v>846</v>
      </c>
      <c r="AO41" s="21" t="s">
        <v>3056</v>
      </c>
      <c r="AP41" s="21" t="s">
        <v>844</v>
      </c>
    </row>
    <row r="42" spans="1:42" x14ac:dyDescent="0.3">
      <c r="A42" s="21" t="s">
        <v>2481</v>
      </c>
      <c r="B42" s="29">
        <v>45954</v>
      </c>
      <c r="C42" s="21" t="s">
        <v>3020</v>
      </c>
      <c r="D42" s="21" t="s">
        <v>3021</v>
      </c>
      <c r="E42" s="41" t="s">
        <v>4994</v>
      </c>
      <c r="F42" s="21" t="s">
        <v>1880</v>
      </c>
      <c r="G42" s="21" t="s">
        <v>1830</v>
      </c>
      <c r="H42" s="21" t="s">
        <v>1140</v>
      </c>
      <c r="I42" s="21" t="s">
        <v>1133</v>
      </c>
      <c r="J42" s="21" t="s">
        <v>844</v>
      </c>
      <c r="K42" s="21" t="s">
        <v>3057</v>
      </c>
      <c r="L42" s="21" t="s">
        <v>3030</v>
      </c>
      <c r="M42" s="21" t="str" cm="1">
        <f t="array" ref="M42">_xlfn.TEXTJOIN(", ",TRUE,_xlfn.UNIQUE(_xlfn._xlws.FILTER('T14'!$A$3:$A$1500,'T14'!$AO$3:$AO$1500=A42,"")))</f>
        <v>DC-00119, DC-00121, DC-00122, DC-00124, DC-00126, DC-00127, DC-00129</v>
      </c>
      <c r="N42" s="25">
        <f>SUMIFS('T14'!$AD$3:$AD$1500,'T14'!$AO$3:$AO$1500,A42,'T14'!$AA$3:$AA$1500,Q42&amp;"*")</f>
        <v>226</v>
      </c>
      <c r="O42" s="21" t="s">
        <v>1091</v>
      </c>
      <c r="P42" s="21">
        <v>1</v>
      </c>
      <c r="Q42" s="21" t="s">
        <v>794</v>
      </c>
      <c r="R42" s="21" t="s">
        <v>795</v>
      </c>
      <c r="S42" s="21" t="s">
        <v>783</v>
      </c>
      <c r="T42" s="25">
        <f>SUMIFS('T14'!$AI$3:$AI$1500,'T14'!$AO$3:$AO$1500,A42,'T14'!$AA$3:$AA$1500,Q42&amp;"*")</f>
        <v>226</v>
      </c>
      <c r="U42" s="25">
        <f>SUMIFS('T09'!$W$3:$W$1500,'T09'!$A$3:$A$1500,F42,'T09'!$T$3:$T$1500,Q42&amp;"*")</f>
        <v>30250</v>
      </c>
      <c r="V42" s="25">
        <f>T42*U42</f>
        <v>6836500</v>
      </c>
      <c r="W42" s="25">
        <f>V42</f>
        <v>6836500</v>
      </c>
      <c r="X42" s="23">
        <f>_xlfn.XLOOKUP(Q42,'T13'!$A$3:$A$1500,'T13'!$O$3:$O$1500)</f>
        <v>0.18</v>
      </c>
      <c r="Y42" s="25">
        <f>T42*IF(S42="MT",1000,IF(S42="Jumbo bag (1.5 MT)",1500,IF(S42="Bag (40 kg)",40,50)))*3</f>
        <v>678000</v>
      </c>
      <c r="Z42" s="21" t="str">
        <f>_xlfn.XLOOKUP(Q42,'T13'!$A$3:$A$1500,'T13'!$AA$3:$AA$1500)&amp;" / CC-SALES-LHR"</f>
        <v>4102 Sales - Cement bulk / CC-SALES-LHR</v>
      </c>
      <c r="AA42" s="33">
        <f>SUMIFS($T$3:$T$1500,$A$3:$A$1500,A42,$S$3:$S$1500,"Bag (50 kg)")*0.05+SUMIFS($T$3:$T$1500,$A$3:$A$1500,A42,$S$3:$S$1500,"Bag (40 kg)")*0.04+SUMIFS($T$3:$T$1500,$A$3:$A$1500,A42,$S$3:$S$1500,"MT")+SUMIFS($T$3:$T$1500,$A$3:$A$1500,A42,$S$3:$S$1500,"Jumbo bag (1.5 MT)")*1.5</f>
        <v>226</v>
      </c>
      <c r="AB42" s="25" cm="1">
        <f t="array" ref="AB42">SUMPRODUCT(($A$3:$A$1500=A42)*$W$3:$W$1500*$X$3:$X$1500)</f>
        <v>1230570</v>
      </c>
      <c r="AC42" s="25">
        <f>SUMIFS($Y$3:$Y$1500,$A$3:$A$1500,A42)</f>
        <v>678000</v>
      </c>
      <c r="AD42" s="25">
        <f>SUMIFS($W$3:$W$1500,$A$3:$A$1500,A42)+AB42+AC42</f>
        <v>8745070</v>
      </c>
      <c r="AE42" s="21" t="str">
        <f>"PKR "&amp;TEXT(AD42,"#,##0")&amp;" only"</f>
        <v>PKR 8,745,070 only</v>
      </c>
      <c r="AF42" s="21" t="s">
        <v>1051</v>
      </c>
      <c r="AG42" s="29">
        <f>B42+30</f>
        <v>45984</v>
      </c>
      <c r="AH42" s="25">
        <f>SUMIFS('T15'!$BC$3:$BC$1499,'T15'!$AY$3:$AY$1499,A42,'T15'!$C$3:$C$1499,"Advance*")</f>
        <v>0</v>
      </c>
      <c r="AI42" s="25">
        <f>SUMIFS('T15'!$BC$3:$BC$1499,'T15'!$AY$3:$AY$1499,A42)+SUMIFS('T15'!$BD$3:$BD$1499,'T15'!$AY$3:$AY$1499,A42)+SUMIFS('T15'!$BE$3:$BE$1499,'T15'!$AY$3:$AY$1499,A42)</f>
        <v>8745070</v>
      </c>
      <c r="AJ42" s="21" t="str">
        <f ca="1">TEXT(AD42-AI42,"#,##0")&amp;" - "&amp;IF(AD42-AI42&lt;1,"Paid",IF(AI42&gt;0,"Partially paid",IF(AG42&lt;TODAY(),"Overdue","Open")))</f>
        <v>0 - Paid</v>
      </c>
      <c r="AK42" s="21" t="str" cm="1">
        <f t="array" ref="AK42">_xlfn.TEXTJOIN(", ",TRUE,_xlfn._xlws.FILTER('T15'!$A$3:$A$1499,'T15'!$AY$3:$AY$1499=A42,"None"))</f>
        <v>RCP-0034, RCP-0036</v>
      </c>
      <c r="AL42" s="21" t="s">
        <v>753</v>
      </c>
      <c r="AM42" s="21" t="s">
        <v>753</v>
      </c>
      <c r="AN42" s="21" t="s">
        <v>753</v>
      </c>
      <c r="AO42" s="21" t="s">
        <v>3058</v>
      </c>
      <c r="AP42" s="21" t="s">
        <v>753</v>
      </c>
    </row>
    <row r="43" spans="1:42" x14ac:dyDescent="0.3">
      <c r="A43" s="21" t="s">
        <v>2475</v>
      </c>
      <c r="B43" s="29">
        <v>45957</v>
      </c>
      <c r="C43" s="21" t="s">
        <v>3020</v>
      </c>
      <c r="D43" s="21" t="s">
        <v>3021</v>
      </c>
      <c r="E43" s="41" t="s">
        <v>4994</v>
      </c>
      <c r="F43" s="21" t="s">
        <v>1879</v>
      </c>
      <c r="G43" s="21" t="s">
        <v>1870</v>
      </c>
      <c r="H43" s="21" t="s">
        <v>2354</v>
      </c>
      <c r="I43" s="21" t="s">
        <v>3033</v>
      </c>
      <c r="J43" s="21" t="s">
        <v>3051</v>
      </c>
      <c r="K43" s="21" t="s">
        <v>848</v>
      </c>
      <c r="L43" s="21" t="s">
        <v>3052</v>
      </c>
      <c r="M43" s="21" t="str" cm="1">
        <f t="array" ref="M43">_xlfn.TEXTJOIN(", ",TRUE,_xlfn.UNIQUE(_xlfn._xlws.FILTER('T14'!$A$3:$A$1500,'T14'!$AO$3:$AO$1500=A43,"")))</f>
        <v>DC-00118, DC-00120, DC-00123, DC-00125, DC-00128, DC-00130</v>
      </c>
      <c r="N43" s="25">
        <f>SUMIFS('T14'!$AD$3:$AD$1500,'T14'!$AO$3:$AO$1500,A43,'T14'!$AA$3:$AA$1500,Q43&amp;"*")</f>
        <v>2900</v>
      </c>
      <c r="O43" s="21" t="s">
        <v>1091</v>
      </c>
      <c r="P43" s="21">
        <v>1</v>
      </c>
      <c r="Q43" s="21" t="s">
        <v>788</v>
      </c>
      <c r="R43" s="21" t="s">
        <v>790</v>
      </c>
      <c r="S43" s="21" t="s">
        <v>1804</v>
      </c>
      <c r="T43" s="25">
        <f>SUMIFS('T14'!$AI$3:$AI$1500,'T14'!$AO$3:$AO$1500,A43,'T14'!$AA$3:$AA$1500,Q43&amp;"*")</f>
        <v>2900</v>
      </c>
      <c r="U43" s="25">
        <f>SUMIFS('T09'!$W$3:$W$1500,'T09'!$A$3:$A$1500,F43,'T09'!$T$3:$T$1500,Q43&amp;"*")</f>
        <v>1575</v>
      </c>
      <c r="V43" s="25">
        <f>T43*U43</f>
        <v>4567500</v>
      </c>
      <c r="W43" s="25">
        <f>V43</f>
        <v>4567500</v>
      </c>
      <c r="X43" s="23">
        <f>_xlfn.XLOOKUP(Q43,'T13'!$A$3:$A$1500,'T13'!$O$3:$O$1500)</f>
        <v>0.18</v>
      </c>
      <c r="Y43" s="25">
        <f>T43*IF(S43="MT",1000,IF(S43="Jumbo bag (1.5 MT)",1500,IF(S43="Bag (40 kg)",40,50)))*3</f>
        <v>435000</v>
      </c>
      <c r="Z43" s="21" t="str">
        <f>_xlfn.XLOOKUP(Q43,'T13'!$A$3:$A$1500,'T13'!$AA$3:$AA$1500)&amp;" / CC-SALES-LHR"</f>
        <v>4101 Sales - Cement bags / CC-SALES-LHR</v>
      </c>
      <c r="AA43" s="33">
        <f>SUMIFS($T$3:$T$1500,$A$3:$A$1500,A43,$S$3:$S$1500,"Bag (50 kg)")*0.05+SUMIFS($T$3:$T$1500,$A$3:$A$1500,A43,$S$3:$S$1500,"Bag (40 kg)")*0.04+SUMIFS($T$3:$T$1500,$A$3:$A$1500,A43,$S$3:$S$1500,"MT")+SUMIFS($T$3:$T$1500,$A$3:$A$1500,A43,$S$3:$S$1500,"Jumbo bag (1.5 MT)")*1.5</f>
        <v>145</v>
      </c>
      <c r="AB43" s="25" cm="1">
        <f t="array" ref="AB43">SUMPRODUCT(($A$3:$A$1500=A43)*$W$3:$W$1500*$X$3:$X$1500)</f>
        <v>822150</v>
      </c>
      <c r="AC43" s="25">
        <f>SUMIFS($Y$3:$Y$1500,$A$3:$A$1500,A43)</f>
        <v>435000</v>
      </c>
      <c r="AD43" s="25">
        <f>SUMIFS($W$3:$W$1500,$A$3:$A$1500,A43)+AB43+AC43</f>
        <v>5824650</v>
      </c>
      <c r="AE43" s="21" t="str">
        <f>"PKR "&amp;TEXT(AD43,"#,##0")&amp;" only"</f>
        <v>PKR 5,824,650 only</v>
      </c>
      <c r="AF43" s="21" t="s">
        <v>1051</v>
      </c>
      <c r="AG43" s="29">
        <f>B43+30</f>
        <v>45987</v>
      </c>
      <c r="AH43" s="25">
        <f>SUMIFS('T15'!$BC$3:$BC$1499,'T15'!$AY$3:$AY$1499,A43,'T15'!$C$3:$C$1499,"Advance*")</f>
        <v>0</v>
      </c>
      <c r="AI43" s="25">
        <f>SUMIFS('T15'!$BC$3:$BC$1499,'T15'!$AY$3:$AY$1499,A43)+SUMIFS('T15'!$BD$3:$BD$1499,'T15'!$AY$3:$AY$1499,A43)+SUMIFS('T15'!$BE$3:$BE$1499,'T15'!$AY$3:$AY$1499,A43)</f>
        <v>5824650</v>
      </c>
      <c r="AJ43" s="21" t="str">
        <f ca="1">TEXT(AD43-AI43,"#,##0")&amp;" - "&amp;IF(AD43-AI43&lt;1,"Paid",IF(AI43&gt;0,"Partially paid",IF(AG43&lt;TODAY(),"Overdue","Open")))</f>
        <v>0 - Paid</v>
      </c>
      <c r="AK43" s="21" t="str" cm="1">
        <f t="array" ref="AK43">_xlfn.TEXTJOIN(", ",TRUE,_xlfn._xlws.FILTER('T15'!$A$3:$A$1499,'T15'!$AY$3:$AY$1499=A43,"None"))</f>
        <v>RCP-0035</v>
      </c>
      <c r="AL43" s="21" t="s">
        <v>753</v>
      </c>
      <c r="AM43" s="21" t="s">
        <v>844</v>
      </c>
      <c r="AN43" s="21" t="s">
        <v>846</v>
      </c>
      <c r="AO43" s="21" t="s">
        <v>3059</v>
      </c>
      <c r="AP43" s="21" t="s">
        <v>844</v>
      </c>
    </row>
    <row r="44" spans="1:42" x14ac:dyDescent="0.3">
      <c r="A44" s="21" t="s">
        <v>2521</v>
      </c>
      <c r="B44" s="29">
        <v>45983</v>
      </c>
      <c r="C44" s="21" t="s">
        <v>3020</v>
      </c>
      <c r="D44" s="21" t="s">
        <v>3021</v>
      </c>
      <c r="E44" s="41" t="s">
        <v>4994</v>
      </c>
      <c r="F44" s="21" t="s">
        <v>1883</v>
      </c>
      <c r="G44" s="21" t="s">
        <v>1830</v>
      </c>
      <c r="H44" s="21" t="s">
        <v>1140</v>
      </c>
      <c r="I44" s="21" t="s">
        <v>1133</v>
      </c>
      <c r="J44" s="21" t="s">
        <v>844</v>
      </c>
      <c r="K44" s="21" t="s">
        <v>3057</v>
      </c>
      <c r="L44" s="21" t="s">
        <v>3030</v>
      </c>
      <c r="M44" s="21" t="str" cm="1">
        <f t="array" ref="M44">_xlfn.TEXTJOIN(", ",TRUE,_xlfn.UNIQUE(_xlfn._xlws.FILTER('T14'!$A$3:$A$1500,'T14'!$AO$3:$AO$1500=A44,"")))</f>
        <v>DC-00131, DC-00133, DC-00136, DC-00139, DC-00140</v>
      </c>
      <c r="N44" s="25">
        <f>SUMIFS('T14'!$AD$3:$AD$1500,'T14'!$AO$3:$AO$1500,A44,'T14'!$AA$3:$AA$1500,Q44&amp;"*")</f>
        <v>183</v>
      </c>
      <c r="O44" s="21" t="s">
        <v>1091</v>
      </c>
      <c r="P44" s="21">
        <v>1</v>
      </c>
      <c r="Q44" s="21" t="s">
        <v>781</v>
      </c>
      <c r="R44" s="21" t="s">
        <v>782</v>
      </c>
      <c r="S44" s="21" t="s">
        <v>783</v>
      </c>
      <c r="T44" s="25">
        <f>SUMIFS('T14'!$AI$3:$AI$1500,'T14'!$AO$3:$AO$1500,A44,'T14'!$AA$3:$AA$1500,Q44&amp;"*")</f>
        <v>183</v>
      </c>
      <c r="U44" s="25">
        <f>SUMIFS('T09'!$W$3:$W$1500,'T09'!$A$3:$A$1500,F44,'T09'!$T$3:$T$1500,Q44&amp;"*")</f>
        <v>28900</v>
      </c>
      <c r="V44" s="25">
        <f>T44*U44</f>
        <v>5288700</v>
      </c>
      <c r="W44" s="25">
        <f>V44</f>
        <v>5288700</v>
      </c>
      <c r="X44" s="23">
        <f>_xlfn.XLOOKUP(Q44,'T13'!$A$3:$A$1500,'T13'!$O$3:$O$1500)</f>
        <v>0.18</v>
      </c>
      <c r="Y44" s="25">
        <f>T44*IF(S44="MT",1000,IF(S44="Jumbo bag (1.5 MT)",1500,IF(S44="Bag (40 kg)",40,50)))*3</f>
        <v>549000</v>
      </c>
      <c r="Z44" s="21" t="str">
        <f>_xlfn.XLOOKUP(Q44,'T13'!$A$3:$A$1500,'T13'!$AA$3:$AA$1500)&amp;" / CC-SALES-LHR"</f>
        <v>4102 Sales - Cement bulk / CC-SALES-LHR</v>
      </c>
      <c r="AA44" s="33">
        <f>SUMIFS($T$3:$T$1500,$A$3:$A$1500,A44,$S$3:$S$1500,"Bag (50 kg)")*0.05+SUMIFS($T$3:$T$1500,$A$3:$A$1500,A44,$S$3:$S$1500,"Bag (40 kg)")*0.04+SUMIFS($T$3:$T$1500,$A$3:$A$1500,A44,$S$3:$S$1500,"MT")+SUMIFS($T$3:$T$1500,$A$3:$A$1500,A44,$S$3:$S$1500,"Jumbo bag (1.5 MT)")*1.5</f>
        <v>183</v>
      </c>
      <c r="AB44" s="25" cm="1">
        <f t="array" ref="AB44">SUMPRODUCT(($A$3:$A$1500=A44)*$W$3:$W$1500*$X$3:$X$1500)</f>
        <v>951966</v>
      </c>
      <c r="AC44" s="25">
        <f>SUMIFS($Y$3:$Y$1500,$A$3:$A$1500,A44)</f>
        <v>549000</v>
      </c>
      <c r="AD44" s="25">
        <f>SUMIFS($W$3:$W$1500,$A$3:$A$1500,A44)+AB44+AC44</f>
        <v>6789666</v>
      </c>
      <c r="AE44" s="21" t="str">
        <f>"PKR "&amp;TEXT(AD44,"#,##0")&amp;" only"</f>
        <v>PKR 6,789,666 only</v>
      </c>
      <c r="AF44" s="21" t="s">
        <v>1051</v>
      </c>
      <c r="AG44" s="29">
        <f>B44+30</f>
        <v>46013</v>
      </c>
      <c r="AH44" s="25">
        <f>SUMIFS('T15'!$BC$3:$BC$1499,'T15'!$AY$3:$AY$1499,A44,'T15'!$C$3:$C$1499,"Advance*")</f>
        <v>0</v>
      </c>
      <c r="AI44" s="25">
        <f>SUMIFS('T15'!$BC$3:$BC$1499,'T15'!$AY$3:$AY$1499,A44)+SUMIFS('T15'!$BD$3:$BD$1499,'T15'!$AY$3:$AY$1499,A44)+SUMIFS('T15'!$BE$3:$BE$1499,'T15'!$AY$3:$AY$1499,A44)</f>
        <v>6789666</v>
      </c>
      <c r="AJ44" s="21" t="str">
        <f ca="1">TEXT(AD44-AI44,"#,##0")&amp;" - "&amp;IF(AD44-AI44&lt;1,"Paid",IF(AI44&gt;0,"Partially paid",IF(AG44&lt;TODAY(),"Overdue","Open")))</f>
        <v>0 - Paid</v>
      </c>
      <c r="AK44" s="21" t="str" cm="1">
        <f t="array" ref="AK44">_xlfn.TEXTJOIN(", ",TRUE,_xlfn._xlws.FILTER('T15'!$A$3:$A$1499,'T15'!$AY$3:$AY$1499=A44,"None"))</f>
        <v>RCP-0037, RCP-0039</v>
      </c>
      <c r="AL44" s="21" t="s">
        <v>753</v>
      </c>
      <c r="AM44" s="21" t="s">
        <v>753</v>
      </c>
      <c r="AN44" s="21" t="s">
        <v>753</v>
      </c>
      <c r="AO44" s="21" t="s">
        <v>3060</v>
      </c>
      <c r="AP44" s="21" t="s">
        <v>753</v>
      </c>
    </row>
    <row r="45" spans="1:42" x14ac:dyDescent="0.3">
      <c r="A45" s="21" t="s">
        <v>2527</v>
      </c>
      <c r="B45" s="29">
        <v>45985</v>
      </c>
      <c r="C45" s="21" t="s">
        <v>3020</v>
      </c>
      <c r="D45" s="21" t="s">
        <v>3021</v>
      </c>
      <c r="E45" s="41" t="s">
        <v>4994</v>
      </c>
      <c r="F45" s="21" t="s">
        <v>1884</v>
      </c>
      <c r="G45" s="21" t="s">
        <v>1870</v>
      </c>
      <c r="H45" s="21" t="s">
        <v>2354</v>
      </c>
      <c r="I45" s="21" t="s">
        <v>3033</v>
      </c>
      <c r="J45" s="21" t="s">
        <v>3051</v>
      </c>
      <c r="K45" s="21" t="s">
        <v>848</v>
      </c>
      <c r="L45" s="21" t="s">
        <v>3052</v>
      </c>
      <c r="M45" s="21" t="str" cm="1">
        <f t="array" ref="M45">_xlfn.TEXTJOIN(", ",TRUE,_xlfn.UNIQUE(_xlfn._xlws.FILTER('T14'!$A$3:$A$1500,'T14'!$AO$3:$AO$1500=A45,"")))</f>
        <v>DC-00132, DC-00134, DC-00135, DC-00137, DC-00138, DC-00141</v>
      </c>
      <c r="N45" s="25">
        <f>SUMIFS('T14'!$AD$3:$AD$1500,'T14'!$AO$3:$AO$1500,A45,'T14'!$AA$3:$AA$1500,Q45&amp;"*")</f>
        <v>1150</v>
      </c>
      <c r="O45" s="21" t="s">
        <v>1091</v>
      </c>
      <c r="P45" s="21">
        <v>1</v>
      </c>
      <c r="Q45" s="21" t="s">
        <v>763</v>
      </c>
      <c r="R45" s="21" t="s">
        <v>766</v>
      </c>
      <c r="S45" s="21" t="s">
        <v>1804</v>
      </c>
      <c r="T45" s="25">
        <f>SUMIFS('T14'!$AI$3:$AI$1500,'T14'!$AO$3:$AO$1500,A45,'T14'!$AA$3:$AA$1500,Q45&amp;"*")</f>
        <v>1144</v>
      </c>
      <c r="U45" s="25">
        <f>SUMIFS('T09'!$W$3:$W$1500,'T09'!$A$3:$A$1500,F45,'T09'!$T$3:$T$1500,Q45&amp;"*")</f>
        <v>1505</v>
      </c>
      <c r="V45" s="25">
        <f>T45*U45</f>
        <v>1721720</v>
      </c>
      <c r="W45" s="25">
        <f>V45</f>
        <v>1721720</v>
      </c>
      <c r="X45" s="23">
        <f>_xlfn.XLOOKUP(Q45,'T13'!$A$3:$A$1500,'T13'!$O$3:$O$1500)</f>
        <v>0.18</v>
      </c>
      <c r="Y45" s="25">
        <f>T45*IF(S45="MT",1000,IF(S45="Jumbo bag (1.5 MT)",1500,IF(S45="Bag (40 kg)",40,50)))*3</f>
        <v>171600</v>
      </c>
      <c r="Z45" s="21" t="str">
        <f>_xlfn.XLOOKUP(Q45,'T13'!$A$3:$A$1500,'T13'!$AA$3:$AA$1500)&amp;" / CC-SALES-LHR"</f>
        <v>4101 Sales - Cement bags / CC-SALES-LHR</v>
      </c>
      <c r="AA45" s="33">
        <f>SUMIFS($T$3:$T$1500,$A$3:$A$1500,A45,$S$3:$S$1500,"Bag (50 kg)")*0.05+SUMIFS($T$3:$T$1500,$A$3:$A$1500,A45,$S$3:$S$1500,"Bag (40 kg)")*0.04+SUMIFS($T$3:$T$1500,$A$3:$A$1500,A45,$S$3:$S$1500,"MT")+SUMIFS($T$3:$T$1500,$A$3:$A$1500,A45,$S$3:$S$1500,"Jumbo bag (1.5 MT)")*1.5</f>
        <v>141.70000000000002</v>
      </c>
      <c r="AB45" s="25" cm="1">
        <f t="array" ref="AB45">SUMPRODUCT(($A$3:$A$1500=A45)*$W$3:$W$1500*$X$3:$X$1500)</f>
        <v>797970.6</v>
      </c>
      <c r="AC45" s="25">
        <f>SUMIFS($Y$3:$Y$1500,$A$3:$A$1500,A45)</f>
        <v>425100</v>
      </c>
      <c r="AD45" s="25">
        <f>SUMIFS($W$3:$W$1500,$A$3:$A$1500,A45)+AB45+AC45</f>
        <v>5656240.5999999996</v>
      </c>
      <c r="AE45" s="21" t="str">
        <f>"PKR "&amp;TEXT(AD45,"#,##0")&amp;" only"</f>
        <v>PKR 5,656,241 only</v>
      </c>
      <c r="AF45" s="21" t="s">
        <v>1051</v>
      </c>
      <c r="AG45" s="29">
        <f>B45+30</f>
        <v>46015</v>
      </c>
      <c r="AH45" s="25">
        <f>SUMIFS('T15'!$BC$3:$BC$1499,'T15'!$AY$3:$AY$1499,A45,'T15'!$C$3:$C$1499,"Advance*")</f>
        <v>0</v>
      </c>
      <c r="AI45" s="25">
        <f>SUMIFS('T15'!$BC$3:$BC$1499,'T15'!$AY$3:$AY$1499,A45)+SUMIFS('T15'!$BD$3:$BD$1499,'T15'!$AY$3:$AY$1499,A45)+SUMIFS('T15'!$BE$3:$BE$1499,'T15'!$AY$3:$AY$1499,A45)</f>
        <v>5656240.5999999996</v>
      </c>
      <c r="AJ45" s="21" t="str">
        <f ca="1">TEXT(AD45-AI45,"#,##0")&amp;" - "&amp;IF(AD45-AI45&lt;1,"Paid",IF(AI45&gt;0,"Partially paid",IF(AG45&lt;TODAY(),"Overdue","Open")))</f>
        <v>0 - Paid</v>
      </c>
      <c r="AK45" s="21" t="str" cm="1">
        <f t="array" ref="AK45">_xlfn.TEXTJOIN(", ",TRUE,_xlfn._xlws.FILTER('T15'!$A$3:$A$1499,'T15'!$AY$3:$AY$1499=A45,"None"))</f>
        <v>RCP-0038, RCP-0040</v>
      </c>
      <c r="AL45" s="21" t="s">
        <v>753</v>
      </c>
      <c r="AM45" s="21" t="s">
        <v>844</v>
      </c>
      <c r="AN45" s="21" t="s">
        <v>846</v>
      </c>
      <c r="AO45" s="21" t="s">
        <v>3061</v>
      </c>
      <c r="AP45" s="21" t="s">
        <v>844</v>
      </c>
    </row>
    <row r="46" spans="1:42" x14ac:dyDescent="0.3">
      <c r="A46" s="21" t="s">
        <v>2527</v>
      </c>
      <c r="B46" s="29">
        <v>45985</v>
      </c>
      <c r="C46" s="21" t="s">
        <v>3020</v>
      </c>
      <c r="D46" s="21" t="s">
        <v>3021</v>
      </c>
      <c r="E46" s="41" t="s">
        <v>4994</v>
      </c>
      <c r="F46" s="21" t="s">
        <v>1884</v>
      </c>
      <c r="G46" s="21" t="s">
        <v>1870</v>
      </c>
      <c r="H46" s="21" t="s">
        <v>2354</v>
      </c>
      <c r="I46" s="21" t="s">
        <v>3033</v>
      </c>
      <c r="J46" s="21" t="s">
        <v>3051</v>
      </c>
      <c r="K46" s="21" t="s">
        <v>848</v>
      </c>
      <c r="L46" s="21" t="s">
        <v>3052</v>
      </c>
      <c r="M46" s="21" t="str" cm="1">
        <f t="array" ref="M46">_xlfn.TEXTJOIN(", ",TRUE,_xlfn.UNIQUE(_xlfn._xlws.FILTER('T14'!$A$3:$A$1500,'T14'!$AO$3:$AO$1500=A46,"")))</f>
        <v>DC-00132, DC-00134, DC-00135, DC-00137, DC-00138, DC-00141</v>
      </c>
      <c r="N46" s="25">
        <f>SUMIFS('T14'!$AD$3:$AD$1500,'T14'!$AO$3:$AO$1500,A46,'T14'!$AA$3:$AA$1500,Q46&amp;"*")</f>
        <v>1150</v>
      </c>
      <c r="O46" s="21" t="s">
        <v>1091</v>
      </c>
      <c r="P46" s="21">
        <v>2</v>
      </c>
      <c r="Q46" s="21" t="s">
        <v>788</v>
      </c>
      <c r="R46" s="21" t="s">
        <v>790</v>
      </c>
      <c r="S46" s="21" t="s">
        <v>1804</v>
      </c>
      <c r="T46" s="25">
        <f>SUMIFS('T14'!$AI$3:$AI$1500,'T14'!$AO$3:$AO$1500,A46,'T14'!$AA$3:$AA$1500,Q46&amp;"*")</f>
        <v>1140</v>
      </c>
      <c r="U46" s="25">
        <f>SUMIFS('T09'!$W$3:$W$1500,'T09'!$A$3:$A$1500,F46,'T09'!$T$3:$T$1500,Q46&amp;"*")</f>
        <v>1580</v>
      </c>
      <c r="V46" s="25">
        <f>T46*U46</f>
        <v>1801200</v>
      </c>
      <c r="W46" s="25">
        <f>V46</f>
        <v>1801200</v>
      </c>
      <c r="X46" s="23">
        <f>_xlfn.XLOOKUP(Q46,'T13'!$A$3:$A$1500,'T13'!$O$3:$O$1500)</f>
        <v>0.18</v>
      </c>
      <c r="Y46" s="25">
        <f>T46*IF(S46="MT",1000,IF(S46="Jumbo bag (1.5 MT)",1500,IF(S46="Bag (40 kg)",40,50)))*3</f>
        <v>171000</v>
      </c>
      <c r="Z46" s="21" t="str">
        <f>_xlfn.XLOOKUP(Q46,'T13'!$A$3:$A$1500,'T13'!$AA$3:$AA$1500)&amp;" / CC-SALES-LHR"</f>
        <v>4101 Sales - Cement bags / CC-SALES-LHR</v>
      </c>
      <c r="AA46" s="33">
        <f>SUMIFS($T$3:$T$1500,$A$3:$A$1500,A46,$S$3:$S$1500,"Bag (50 kg)")*0.05+SUMIFS($T$3:$T$1500,$A$3:$A$1500,A46,$S$3:$S$1500,"Bag (40 kg)")*0.04+SUMIFS($T$3:$T$1500,$A$3:$A$1500,A46,$S$3:$S$1500,"MT")+SUMIFS($T$3:$T$1500,$A$3:$A$1500,A46,$S$3:$S$1500,"Jumbo bag (1.5 MT)")*1.5</f>
        <v>141.70000000000002</v>
      </c>
      <c r="AB46" s="25" cm="1">
        <f t="array" ref="AB46">SUMPRODUCT(($A$3:$A$1500=A46)*$W$3:$W$1500*$X$3:$X$1500)</f>
        <v>797970.6</v>
      </c>
      <c r="AC46" s="25">
        <f>SUMIFS($Y$3:$Y$1500,$A$3:$A$1500,A46)</f>
        <v>425100</v>
      </c>
      <c r="AD46" s="25">
        <f>SUMIFS($W$3:$W$1500,$A$3:$A$1500,A46)+AB46+AC46</f>
        <v>5656240.5999999996</v>
      </c>
      <c r="AE46" s="21" t="str">
        <f>"PKR "&amp;TEXT(AD46,"#,##0")&amp;" only"</f>
        <v>PKR 5,656,241 only</v>
      </c>
      <c r="AF46" s="21" t="s">
        <v>1051</v>
      </c>
      <c r="AG46" s="29">
        <f>B46+30</f>
        <v>46015</v>
      </c>
      <c r="AH46" s="25">
        <f>SUMIFS('T15'!$BC$3:$BC$1499,'T15'!$AY$3:$AY$1499,A46,'T15'!$C$3:$C$1499,"Advance*")</f>
        <v>0</v>
      </c>
      <c r="AI46" s="25">
        <f>SUMIFS('T15'!$BC$3:$BC$1499,'T15'!$AY$3:$AY$1499,A46)+SUMIFS('T15'!$BD$3:$BD$1499,'T15'!$AY$3:$AY$1499,A46)+SUMIFS('T15'!$BE$3:$BE$1499,'T15'!$AY$3:$AY$1499,A46)</f>
        <v>5656240.5999999996</v>
      </c>
      <c r="AJ46" s="21" t="str">
        <f ca="1">TEXT(AD46-AI46,"#,##0")&amp;" - "&amp;IF(AD46-AI46&lt;1,"Paid",IF(AI46&gt;0,"Partially paid",IF(AG46&lt;TODAY(),"Overdue","Open")))</f>
        <v>0 - Paid</v>
      </c>
      <c r="AK46" s="21" t="str" cm="1">
        <f t="array" ref="AK46">_xlfn.TEXTJOIN(", ",TRUE,_xlfn._xlws.FILTER('T15'!$A$3:$A$1499,'T15'!$AY$3:$AY$1499=A46,"None"))</f>
        <v>RCP-0038, RCP-0040</v>
      </c>
      <c r="AL46" s="21" t="s">
        <v>753</v>
      </c>
      <c r="AM46" s="21" t="s">
        <v>844</v>
      </c>
      <c r="AN46" s="21" t="s">
        <v>846</v>
      </c>
      <c r="AO46" s="21" t="s">
        <v>3061</v>
      </c>
      <c r="AP46" s="21" t="s">
        <v>844</v>
      </c>
    </row>
    <row r="47" spans="1:42" x14ac:dyDescent="0.3">
      <c r="A47" s="21" t="s">
        <v>2527</v>
      </c>
      <c r="B47" s="29">
        <v>45985</v>
      </c>
      <c r="C47" s="21" t="s">
        <v>3020</v>
      </c>
      <c r="D47" s="21" t="s">
        <v>3021</v>
      </c>
      <c r="E47" s="41" t="s">
        <v>4994</v>
      </c>
      <c r="F47" s="21" t="s">
        <v>1884</v>
      </c>
      <c r="G47" s="21" t="s">
        <v>1870</v>
      </c>
      <c r="H47" s="21" t="s">
        <v>2354</v>
      </c>
      <c r="I47" s="21" t="s">
        <v>3033</v>
      </c>
      <c r="J47" s="21" t="s">
        <v>3051</v>
      </c>
      <c r="K47" s="21" t="s">
        <v>848</v>
      </c>
      <c r="L47" s="21" t="s">
        <v>3052</v>
      </c>
      <c r="M47" s="21" t="str" cm="1">
        <f t="array" ref="M47">_xlfn.TEXTJOIN(", ",TRUE,_xlfn.UNIQUE(_xlfn._xlws.FILTER('T14'!$A$3:$A$1500,'T14'!$AO$3:$AO$1500=A47,"")))</f>
        <v>DC-00132, DC-00134, DC-00135, DC-00137, DC-00138, DC-00141</v>
      </c>
      <c r="N47" s="25">
        <f>SUMIFS('T14'!$AD$3:$AD$1500,'T14'!$AO$3:$AO$1500,A47,'T14'!$AA$3:$AA$1500,Q47&amp;"*")</f>
        <v>550</v>
      </c>
      <c r="O47" s="21" t="s">
        <v>1091</v>
      </c>
      <c r="P47" s="21">
        <v>3</v>
      </c>
      <c r="Q47" s="21" t="s">
        <v>831</v>
      </c>
      <c r="R47" s="21" t="s">
        <v>833</v>
      </c>
      <c r="S47" s="21" t="s">
        <v>1804</v>
      </c>
      <c r="T47" s="25">
        <f>SUMIFS('T14'!$AI$3:$AI$1500,'T14'!$AO$3:$AO$1500,A47,'T14'!$AA$3:$AA$1500,Q47&amp;"*")</f>
        <v>550</v>
      </c>
      <c r="U47" s="25">
        <f>SUMIFS('T09'!$W$3:$W$1500,'T09'!$A$3:$A$1500,F47,'T09'!$T$3:$T$1500,Q47&amp;"*")</f>
        <v>1655</v>
      </c>
      <c r="V47" s="25">
        <f>T47*U47</f>
        <v>910250</v>
      </c>
      <c r="W47" s="25">
        <f>V47</f>
        <v>910250</v>
      </c>
      <c r="X47" s="23">
        <f>_xlfn.XLOOKUP(Q47,'T13'!$A$3:$A$1500,'T13'!$O$3:$O$1500)</f>
        <v>0.18</v>
      </c>
      <c r="Y47" s="25">
        <f>T47*IF(S47="MT",1000,IF(S47="Jumbo bag (1.5 MT)",1500,IF(S47="Bag (40 kg)",40,50)))*3</f>
        <v>82500</v>
      </c>
      <c r="Z47" s="21" t="str">
        <f>_xlfn.XLOOKUP(Q47,'T13'!$A$3:$A$1500,'T13'!$AA$3:$AA$1500)&amp;" / CC-SALES-LHR"</f>
        <v>4101 Sales - Cement bags / CC-SALES-LHR</v>
      </c>
      <c r="AA47" s="33">
        <f>SUMIFS($T$3:$T$1500,$A$3:$A$1500,A47,$S$3:$S$1500,"Bag (50 kg)")*0.05+SUMIFS($T$3:$T$1500,$A$3:$A$1500,A47,$S$3:$S$1500,"Bag (40 kg)")*0.04+SUMIFS($T$3:$T$1500,$A$3:$A$1500,A47,$S$3:$S$1500,"MT")+SUMIFS($T$3:$T$1500,$A$3:$A$1500,A47,$S$3:$S$1500,"Jumbo bag (1.5 MT)")*1.5</f>
        <v>141.70000000000002</v>
      </c>
      <c r="AB47" s="25" cm="1">
        <f t="array" ref="AB47">SUMPRODUCT(($A$3:$A$1500=A47)*$W$3:$W$1500*$X$3:$X$1500)</f>
        <v>797970.6</v>
      </c>
      <c r="AC47" s="25">
        <f>SUMIFS($Y$3:$Y$1500,$A$3:$A$1500,A47)</f>
        <v>425100</v>
      </c>
      <c r="AD47" s="25">
        <f>SUMIFS($W$3:$W$1500,$A$3:$A$1500,A47)+AB47+AC47</f>
        <v>5656240.5999999996</v>
      </c>
      <c r="AE47" s="21" t="str">
        <f>"PKR "&amp;TEXT(AD47,"#,##0")&amp;" only"</f>
        <v>PKR 5,656,241 only</v>
      </c>
      <c r="AF47" s="21" t="s">
        <v>1051</v>
      </c>
      <c r="AG47" s="29">
        <f>B47+30</f>
        <v>46015</v>
      </c>
      <c r="AH47" s="25">
        <f>SUMIFS('T15'!$BC$3:$BC$1499,'T15'!$AY$3:$AY$1499,A47,'T15'!$C$3:$C$1499,"Advance*")</f>
        <v>0</v>
      </c>
      <c r="AI47" s="25">
        <f>SUMIFS('T15'!$BC$3:$BC$1499,'T15'!$AY$3:$AY$1499,A47)+SUMIFS('T15'!$BD$3:$BD$1499,'T15'!$AY$3:$AY$1499,A47)+SUMIFS('T15'!$BE$3:$BE$1499,'T15'!$AY$3:$AY$1499,A47)</f>
        <v>5656240.5999999996</v>
      </c>
      <c r="AJ47" s="21" t="str">
        <f ca="1">TEXT(AD47-AI47,"#,##0")&amp;" - "&amp;IF(AD47-AI47&lt;1,"Paid",IF(AI47&gt;0,"Partially paid",IF(AG47&lt;TODAY(),"Overdue","Open")))</f>
        <v>0 - Paid</v>
      </c>
      <c r="AK47" s="21" t="str" cm="1">
        <f t="array" ref="AK47">_xlfn.TEXTJOIN(", ",TRUE,_xlfn._xlws.FILTER('T15'!$A$3:$A$1499,'T15'!$AY$3:$AY$1499=A47,"None"))</f>
        <v>RCP-0038, RCP-0040</v>
      </c>
      <c r="AL47" s="21" t="s">
        <v>753</v>
      </c>
      <c r="AM47" s="21" t="s">
        <v>844</v>
      </c>
      <c r="AN47" s="21" t="s">
        <v>846</v>
      </c>
      <c r="AO47" s="21" t="s">
        <v>3061</v>
      </c>
      <c r="AP47" s="21" t="s">
        <v>844</v>
      </c>
    </row>
    <row r="48" spans="1:42" x14ac:dyDescent="0.3">
      <c r="A48" s="21" t="s">
        <v>2570</v>
      </c>
      <c r="B48" s="29">
        <v>46015</v>
      </c>
      <c r="C48" s="21" t="s">
        <v>3020</v>
      </c>
      <c r="D48" s="21" t="s">
        <v>3021</v>
      </c>
      <c r="E48" s="41" t="s">
        <v>4994</v>
      </c>
      <c r="F48" s="21" t="s">
        <v>1885</v>
      </c>
      <c r="G48" s="21" t="s">
        <v>1819</v>
      </c>
      <c r="H48" s="21" t="s">
        <v>1168</v>
      </c>
      <c r="I48" s="21" t="s">
        <v>1156</v>
      </c>
      <c r="J48" s="21" t="s">
        <v>844</v>
      </c>
      <c r="K48" s="21" t="s">
        <v>848</v>
      </c>
      <c r="L48" s="21" t="s">
        <v>3062</v>
      </c>
      <c r="M48" s="21" t="str" cm="1">
        <f t="array" ref="M48">_xlfn.TEXTJOIN(", ",TRUE,_xlfn.UNIQUE(_xlfn._xlws.FILTER('T14'!$A$3:$A$1500,'T14'!$AO$3:$AO$1500=A48,"")))</f>
        <v>DC-00142, DC-00143, DC-00144, DC-00145, DC-00146, DC-00147</v>
      </c>
      <c r="N48" s="25">
        <f>SUMIFS('T14'!$AD$3:$AD$1500,'T14'!$AO$3:$AO$1500,A48,'T14'!$AA$3:$AA$1500,Q48&amp;"*")</f>
        <v>176</v>
      </c>
      <c r="O48" s="21" t="s">
        <v>1091</v>
      </c>
      <c r="P48" s="21">
        <v>1</v>
      </c>
      <c r="Q48" s="21" t="s">
        <v>794</v>
      </c>
      <c r="R48" s="21" t="s">
        <v>795</v>
      </c>
      <c r="S48" s="21" t="s">
        <v>783</v>
      </c>
      <c r="T48" s="25">
        <f>SUMIFS('T14'!$AI$3:$AI$1500,'T14'!$AO$3:$AO$1500,A48,'T14'!$AA$3:$AA$1500,Q48&amp;"*")</f>
        <v>176</v>
      </c>
      <c r="U48" s="25">
        <f>SUMIFS('T09'!$W$3:$W$1500,'T09'!$A$3:$A$1500,F48,'T09'!$T$3:$T$1500,Q48&amp;"*")</f>
        <v>30550</v>
      </c>
      <c r="V48" s="25">
        <f>T48*U48</f>
        <v>5376800</v>
      </c>
      <c r="W48" s="25">
        <f>V48</f>
        <v>5376800</v>
      </c>
      <c r="X48" s="23">
        <f>_xlfn.XLOOKUP(Q48,'T13'!$A$3:$A$1500,'T13'!$O$3:$O$1500)</f>
        <v>0.18</v>
      </c>
      <c r="Y48" s="25">
        <f>T48*IF(S48="MT",1000,IF(S48="Jumbo bag (1.5 MT)",1500,IF(S48="Bag (40 kg)",40,50)))*3</f>
        <v>528000</v>
      </c>
      <c r="Z48" s="21" t="str">
        <f>_xlfn.XLOOKUP(Q48,'T13'!$A$3:$A$1500,'T13'!$AA$3:$AA$1500)&amp;" / CC-SALES-LHR"</f>
        <v>4102 Sales - Cement bulk / CC-SALES-LHR</v>
      </c>
      <c r="AA48" s="33">
        <f>SUMIFS($T$3:$T$1500,$A$3:$A$1500,A48,$S$3:$S$1500,"Bag (50 kg)")*0.05+SUMIFS($T$3:$T$1500,$A$3:$A$1500,A48,$S$3:$S$1500,"Bag (40 kg)")*0.04+SUMIFS($T$3:$T$1500,$A$3:$A$1500,A48,$S$3:$S$1500,"MT")+SUMIFS($T$3:$T$1500,$A$3:$A$1500,A48,$S$3:$S$1500,"Jumbo bag (1.5 MT)")*1.5</f>
        <v>176</v>
      </c>
      <c r="AB48" s="25" cm="1">
        <f t="array" ref="AB48">SUMPRODUCT(($A$3:$A$1500=A48)*$W$3:$W$1500*$X$3:$X$1500)</f>
        <v>967824</v>
      </c>
      <c r="AC48" s="25">
        <f>SUMIFS($Y$3:$Y$1500,$A$3:$A$1500,A48)</f>
        <v>528000</v>
      </c>
      <c r="AD48" s="25">
        <f>SUMIFS($W$3:$W$1500,$A$3:$A$1500,A48)+AB48+AC48</f>
        <v>6872624</v>
      </c>
      <c r="AE48" s="21" t="str">
        <f>"PKR "&amp;TEXT(AD48,"#,##0")&amp;" only"</f>
        <v>PKR 6,872,624 only</v>
      </c>
      <c r="AF48" s="21" t="s">
        <v>1051</v>
      </c>
      <c r="AG48" s="29">
        <f>B48+30</f>
        <v>46045</v>
      </c>
      <c r="AH48" s="25">
        <f>SUMIFS('T15'!$BC$3:$BC$1499,'T15'!$AY$3:$AY$1499,A48,'T15'!$C$3:$C$1499,"Advance*")</f>
        <v>0</v>
      </c>
      <c r="AI48" s="25">
        <f>SUMIFS('T15'!$BC$3:$BC$1499,'T15'!$AY$3:$AY$1499,A48)+SUMIFS('T15'!$BD$3:$BD$1499,'T15'!$AY$3:$AY$1499,A48)+SUMIFS('T15'!$BE$3:$BE$1499,'T15'!$AY$3:$AY$1499,A48)</f>
        <v>6872624</v>
      </c>
      <c r="AJ48" s="21" t="str">
        <f ca="1">TEXT(AD48-AI48,"#,##0")&amp;" - "&amp;IF(AD48-AI48&lt;1,"Paid",IF(AI48&gt;0,"Partially paid",IF(AG48&lt;TODAY(),"Overdue","Open")))</f>
        <v>0 - Paid</v>
      </c>
      <c r="AK48" s="21" t="str" cm="1">
        <f t="array" ref="AK48">_xlfn.TEXTJOIN(", ",TRUE,_xlfn._xlws.FILTER('T15'!$A$3:$A$1499,'T15'!$AY$3:$AY$1499=A48,"None"))</f>
        <v>RCP-0041, RCP-0042</v>
      </c>
      <c r="AL48" s="21" t="s">
        <v>753</v>
      </c>
      <c r="AM48" s="21" t="s">
        <v>753</v>
      </c>
      <c r="AN48" s="21" t="s">
        <v>753</v>
      </c>
      <c r="AO48" s="21" t="s">
        <v>3063</v>
      </c>
      <c r="AP48" s="21" t="s">
        <v>844</v>
      </c>
    </row>
    <row r="49" spans="1:42" x14ac:dyDescent="0.3">
      <c r="A49" s="21" t="s">
        <v>2591</v>
      </c>
      <c r="B49" s="29">
        <v>46049</v>
      </c>
      <c r="C49" s="21" t="s">
        <v>3020</v>
      </c>
      <c r="D49" s="21" t="s">
        <v>3021</v>
      </c>
      <c r="E49" s="41" t="s">
        <v>4994</v>
      </c>
      <c r="F49" s="21" t="s">
        <v>1888</v>
      </c>
      <c r="G49" s="21" t="s">
        <v>1819</v>
      </c>
      <c r="H49" s="21" t="s">
        <v>1168</v>
      </c>
      <c r="I49" s="21" t="s">
        <v>1156</v>
      </c>
      <c r="J49" s="21" t="s">
        <v>844</v>
      </c>
      <c r="K49" s="21" t="s">
        <v>848</v>
      </c>
      <c r="L49" s="21" t="s">
        <v>3062</v>
      </c>
      <c r="M49" s="21" t="str" cm="1">
        <f t="array" ref="M49">_xlfn.TEXTJOIN(", ",TRUE,_xlfn.UNIQUE(_xlfn._xlws.FILTER('T14'!$A$3:$A$1500,'T14'!$AO$3:$AO$1500=A49,"")))</f>
        <v>DC-00148, DC-00150, DC-00152, DC-00154, DC-00156, DC-00157</v>
      </c>
      <c r="N49" s="25">
        <f>SUMIFS('T14'!$AD$3:$AD$1500,'T14'!$AO$3:$AO$1500,A49,'T14'!$AA$3:$AA$1500,Q49&amp;"*")</f>
        <v>212</v>
      </c>
      <c r="O49" s="21" t="s">
        <v>1091</v>
      </c>
      <c r="P49" s="21">
        <v>1</v>
      </c>
      <c r="Q49" s="21" t="s">
        <v>794</v>
      </c>
      <c r="R49" s="21" t="s">
        <v>795</v>
      </c>
      <c r="S49" s="21" t="s">
        <v>783</v>
      </c>
      <c r="T49" s="25">
        <f>SUMIFS('T14'!$AI$3:$AI$1500,'T14'!$AO$3:$AO$1500,A49,'T14'!$AA$3:$AA$1500,Q49&amp;"*")</f>
        <v>212</v>
      </c>
      <c r="U49" s="25">
        <f>SUMIFS('T09'!$W$3:$W$1500,'T09'!$A$3:$A$1500,F49,'T09'!$T$3:$T$1500,Q49&amp;"*")</f>
        <v>30700</v>
      </c>
      <c r="V49" s="25">
        <f>T49*U49</f>
        <v>6508400</v>
      </c>
      <c r="W49" s="25">
        <f>V49</f>
        <v>6508400</v>
      </c>
      <c r="X49" s="23">
        <f>_xlfn.XLOOKUP(Q49,'T13'!$A$3:$A$1500,'T13'!$O$3:$O$1500)</f>
        <v>0.18</v>
      </c>
      <c r="Y49" s="25">
        <f>T49*IF(S49="MT",1000,IF(S49="Jumbo bag (1.5 MT)",1500,IF(S49="Bag (40 kg)",40,50)))*3</f>
        <v>636000</v>
      </c>
      <c r="Z49" s="21" t="str">
        <f>_xlfn.XLOOKUP(Q49,'T13'!$A$3:$A$1500,'T13'!$AA$3:$AA$1500)&amp;" / CC-SALES-LHR"</f>
        <v>4102 Sales - Cement bulk / CC-SALES-LHR</v>
      </c>
      <c r="AA49" s="33">
        <f>SUMIFS($T$3:$T$1500,$A$3:$A$1500,A49,$S$3:$S$1500,"Bag (50 kg)")*0.05+SUMIFS($T$3:$T$1500,$A$3:$A$1500,A49,$S$3:$S$1500,"Bag (40 kg)")*0.04+SUMIFS($T$3:$T$1500,$A$3:$A$1500,A49,$S$3:$S$1500,"MT")+SUMIFS($T$3:$T$1500,$A$3:$A$1500,A49,$S$3:$S$1500,"Jumbo bag (1.5 MT)")*1.5</f>
        <v>212</v>
      </c>
      <c r="AB49" s="25" cm="1">
        <f t="array" ref="AB49">SUMPRODUCT(($A$3:$A$1500=A49)*$W$3:$W$1500*$X$3:$X$1500)</f>
        <v>1171512</v>
      </c>
      <c r="AC49" s="25">
        <f>SUMIFS($Y$3:$Y$1500,$A$3:$A$1500,A49)</f>
        <v>636000</v>
      </c>
      <c r="AD49" s="25">
        <f>SUMIFS($W$3:$W$1500,$A$3:$A$1500,A49)+AB49+AC49</f>
        <v>8315912</v>
      </c>
      <c r="AE49" s="21" t="str">
        <f>"PKR "&amp;TEXT(AD49,"#,##0")&amp;" only"</f>
        <v>PKR 8,315,912 only</v>
      </c>
      <c r="AF49" s="21" t="s">
        <v>1051</v>
      </c>
      <c r="AG49" s="29">
        <f>B49+30</f>
        <v>46079</v>
      </c>
      <c r="AH49" s="25">
        <f>SUMIFS('T15'!$BC$3:$BC$1499,'T15'!$AY$3:$AY$1499,A49,'T15'!$C$3:$C$1499,"Advance*")</f>
        <v>0</v>
      </c>
      <c r="AI49" s="25">
        <f>SUMIFS('T15'!$BC$3:$BC$1499,'T15'!$AY$3:$AY$1499,A49)+SUMIFS('T15'!$BD$3:$BD$1499,'T15'!$AY$3:$AY$1499,A49)+SUMIFS('T15'!$BE$3:$BE$1499,'T15'!$AY$3:$AY$1499,A49)</f>
        <v>8315912</v>
      </c>
      <c r="AJ49" s="21" t="str">
        <f ca="1">TEXT(AD49-AI49,"#,##0")&amp;" - "&amp;IF(AD49-AI49&lt;1,"Paid",IF(AI49&gt;0,"Partially paid",IF(AG49&lt;TODAY(),"Overdue","Open")))</f>
        <v>0 - Paid</v>
      </c>
      <c r="AK49" s="21" t="str" cm="1">
        <f t="array" ref="AK49">_xlfn.TEXTJOIN(", ",TRUE,_xlfn._xlws.FILTER('T15'!$A$3:$A$1499,'T15'!$AY$3:$AY$1499=A49,"None"))</f>
        <v>RCP-0044</v>
      </c>
      <c r="AL49" s="21" t="s">
        <v>753</v>
      </c>
      <c r="AM49" s="21" t="s">
        <v>753</v>
      </c>
      <c r="AN49" s="21" t="s">
        <v>753</v>
      </c>
      <c r="AO49" s="21" t="s">
        <v>3064</v>
      </c>
      <c r="AP49" s="21" t="s">
        <v>844</v>
      </c>
    </row>
    <row r="50" spans="1:42" x14ac:dyDescent="0.3">
      <c r="A50" s="21" t="s">
        <v>2597</v>
      </c>
      <c r="B50" s="29">
        <v>46050</v>
      </c>
      <c r="C50" s="21" t="s">
        <v>3020</v>
      </c>
      <c r="D50" s="21" t="s">
        <v>3021</v>
      </c>
      <c r="E50" s="41" t="s">
        <v>4994</v>
      </c>
      <c r="F50" s="21" t="s">
        <v>1887</v>
      </c>
      <c r="G50" s="21" t="s">
        <v>1800</v>
      </c>
      <c r="H50" s="21" t="s">
        <v>1928</v>
      </c>
      <c r="I50" s="21" t="s">
        <v>1073</v>
      </c>
      <c r="J50" s="21" t="s">
        <v>844</v>
      </c>
      <c r="K50" s="21" t="s">
        <v>848</v>
      </c>
      <c r="L50" s="21" t="s">
        <v>3024</v>
      </c>
      <c r="M50" s="21" t="str" cm="1">
        <f t="array" ref="M50">_xlfn.TEXTJOIN(", ",TRUE,_xlfn.UNIQUE(_xlfn._xlws.FILTER('T14'!$A$3:$A$1500,'T14'!$AO$3:$AO$1500=A50,"")))</f>
        <v>DC-00149, DC-00151, DC-00153, DC-00155, DC-00158</v>
      </c>
      <c r="N50" s="25">
        <f>SUMIFS('T14'!$AD$3:$AD$1500,'T14'!$AO$3:$AO$1500,A50,'T14'!$AA$3:$AA$1500,Q50&amp;"*")</f>
        <v>1400</v>
      </c>
      <c r="O50" s="21" t="s">
        <v>1091</v>
      </c>
      <c r="P50" s="21">
        <v>1</v>
      </c>
      <c r="Q50" s="21" t="s">
        <v>812</v>
      </c>
      <c r="R50" s="21" t="s">
        <v>814</v>
      </c>
      <c r="S50" s="21" t="s">
        <v>1841</v>
      </c>
      <c r="T50" s="25">
        <f>SUMIFS('T14'!$AI$3:$AI$1500,'T14'!$AO$3:$AO$1500,A50,'T14'!$AA$3:$AA$1500,Q50&amp;"*")</f>
        <v>1396</v>
      </c>
      <c r="U50" s="25">
        <f>SUMIFS('T09'!$W$3:$W$1500,'T09'!$A$3:$A$1500,F50,'T09'!$T$3:$T$1500,Q50&amp;"*")</f>
        <v>2805</v>
      </c>
      <c r="V50" s="25">
        <f>T50*U50</f>
        <v>3915780</v>
      </c>
      <c r="W50" s="25">
        <f>V50</f>
        <v>3915780</v>
      </c>
      <c r="X50" s="23">
        <f>_xlfn.XLOOKUP(Q50,'T13'!$A$3:$A$1500,'T13'!$O$3:$O$1500)</f>
        <v>0.18</v>
      </c>
      <c r="Y50" s="25">
        <f>T50*IF(S50="MT",1000,IF(S50="Jumbo bag (1.5 MT)",1500,IF(S50="Bag (40 kg)",40,50)))*3</f>
        <v>167520</v>
      </c>
      <c r="Z50" s="21" t="str">
        <f>_xlfn.XLOOKUP(Q50,'T13'!$A$3:$A$1500,'T13'!$AA$3:$AA$1500)&amp;" / CC-SALES-LHR"</f>
        <v>4101 Sales - Cement bags / CC-SALES-LHR</v>
      </c>
      <c r="AA50" s="33">
        <f>SUMIFS($T$3:$T$1500,$A$3:$A$1500,A50,$S$3:$S$1500,"Bag (50 kg)")*0.05+SUMIFS($T$3:$T$1500,$A$3:$A$1500,A50,$S$3:$S$1500,"Bag (40 kg)")*0.04+SUMIFS($T$3:$T$1500,$A$3:$A$1500,A50,$S$3:$S$1500,"MT")+SUMIFS($T$3:$T$1500,$A$3:$A$1500,A50,$S$3:$S$1500,"Jumbo bag (1.5 MT)")*1.5</f>
        <v>155.69</v>
      </c>
      <c r="AB50" s="25" cm="1">
        <f t="array" ref="AB50">SUMPRODUCT(($A$3:$A$1500=A50)*$W$3:$W$1500*$X$3:$X$1500)</f>
        <v>1247302.8</v>
      </c>
      <c r="AC50" s="25">
        <f>SUMIFS($Y$3:$Y$1500,$A$3:$A$1500,A50)</f>
        <v>467070</v>
      </c>
      <c r="AD50" s="25">
        <f>SUMIFS($W$3:$W$1500,$A$3:$A$1500,A50)+AB50+AC50</f>
        <v>8643832.8000000007</v>
      </c>
      <c r="AE50" s="21" t="str">
        <f>"PKR "&amp;TEXT(AD50,"#,##0")&amp;" only"</f>
        <v>PKR 8,643,833 only</v>
      </c>
      <c r="AF50" s="21" t="s">
        <v>1051</v>
      </c>
      <c r="AG50" s="29">
        <f>B50+30</f>
        <v>46080</v>
      </c>
      <c r="AH50" s="25">
        <f>SUMIFS('T15'!$BC$3:$BC$1499,'T15'!$AY$3:$AY$1499,A50,'T15'!$C$3:$C$1499,"Advance*")</f>
        <v>0</v>
      </c>
      <c r="AI50" s="25">
        <f>SUMIFS('T15'!$BC$3:$BC$1499,'T15'!$AY$3:$AY$1499,A50)+SUMIFS('T15'!$BD$3:$BD$1499,'T15'!$AY$3:$AY$1499,A50)+SUMIFS('T15'!$BE$3:$BE$1499,'T15'!$AY$3:$AY$1499,A50)</f>
        <v>8643832.8000000007</v>
      </c>
      <c r="AJ50" s="21" t="str">
        <f ca="1">TEXT(AD50-AI50,"#,##0")&amp;" - "&amp;IF(AD50-AI50&lt;1,"Paid",IF(AI50&gt;0,"Partially paid",IF(AG50&lt;TODAY(),"Overdue","Open")))</f>
        <v>0 - Paid</v>
      </c>
      <c r="AK50" s="21" t="str" cm="1">
        <f t="array" ref="AK50">_xlfn.TEXTJOIN(", ",TRUE,_xlfn._xlws.FILTER('T15'!$A$3:$A$1499,'T15'!$AY$3:$AY$1499=A50,"None"))</f>
        <v>RCP-0043, RCP-0045</v>
      </c>
      <c r="AL50" s="21" t="s">
        <v>753</v>
      </c>
      <c r="AM50" s="21" t="s">
        <v>844</v>
      </c>
      <c r="AN50" s="21" t="s">
        <v>846</v>
      </c>
      <c r="AO50" s="21" t="s">
        <v>3065</v>
      </c>
      <c r="AP50" s="21" t="s">
        <v>844</v>
      </c>
    </row>
    <row r="51" spans="1:42" x14ac:dyDescent="0.3">
      <c r="A51" s="21" t="s">
        <v>2597</v>
      </c>
      <c r="B51" s="29">
        <v>46050</v>
      </c>
      <c r="C51" s="21" t="s">
        <v>3020</v>
      </c>
      <c r="D51" s="21" t="s">
        <v>3021</v>
      </c>
      <c r="E51" s="41" t="s">
        <v>4994</v>
      </c>
      <c r="F51" s="21" t="s">
        <v>1887</v>
      </c>
      <c r="G51" s="21" t="s">
        <v>1800</v>
      </c>
      <c r="H51" s="21" t="s">
        <v>1928</v>
      </c>
      <c r="I51" s="21" t="s">
        <v>1073</v>
      </c>
      <c r="J51" s="21" t="s">
        <v>844</v>
      </c>
      <c r="K51" s="21" t="s">
        <v>848</v>
      </c>
      <c r="L51" s="21" t="s">
        <v>3024</v>
      </c>
      <c r="M51" s="21" t="str" cm="1">
        <f t="array" ref="M51">_xlfn.TEXTJOIN(", ",TRUE,_xlfn.UNIQUE(_xlfn._xlws.FILTER('T14'!$A$3:$A$1500,'T14'!$AO$3:$AO$1500=A51,"")))</f>
        <v>DC-00149, DC-00151, DC-00153, DC-00155, DC-00158</v>
      </c>
      <c r="N51" s="25">
        <f>SUMIFS('T14'!$AD$3:$AD$1500,'T14'!$AO$3:$AO$1500,A51,'T14'!$AA$3:$AA$1500,Q51&amp;"*")</f>
        <v>1400</v>
      </c>
      <c r="O51" s="21" t="s">
        <v>1091</v>
      </c>
      <c r="P51" s="21">
        <v>2</v>
      </c>
      <c r="Q51" s="21" t="s">
        <v>820</v>
      </c>
      <c r="R51" s="21" t="s">
        <v>822</v>
      </c>
      <c r="S51" s="21" t="s">
        <v>1804</v>
      </c>
      <c r="T51" s="25">
        <f>SUMIFS('T14'!$AI$3:$AI$1500,'T14'!$AO$3:$AO$1500,A51,'T14'!$AA$3:$AA$1500,Q51&amp;"*")</f>
        <v>1397</v>
      </c>
      <c r="U51" s="25">
        <f>SUMIFS('T09'!$W$3:$W$1500,'T09'!$A$3:$A$1500,F51,'T09'!$T$3:$T$1500,Q51&amp;"*")</f>
        <v>1440</v>
      </c>
      <c r="V51" s="25">
        <f>T51*U51</f>
        <v>2011680</v>
      </c>
      <c r="W51" s="25">
        <f>V51</f>
        <v>2011680</v>
      </c>
      <c r="X51" s="23">
        <f>_xlfn.XLOOKUP(Q51,'T13'!$A$3:$A$1500,'T13'!$O$3:$O$1500)</f>
        <v>0.18</v>
      </c>
      <c r="Y51" s="25">
        <f>T51*IF(S51="MT",1000,IF(S51="Jumbo bag (1.5 MT)",1500,IF(S51="Bag (40 kg)",40,50)))*3</f>
        <v>209550</v>
      </c>
      <c r="Z51" s="21" t="str">
        <f>_xlfn.XLOOKUP(Q51,'T13'!$A$3:$A$1500,'T13'!$AA$3:$AA$1500)&amp;" / CC-SALES-LHR"</f>
        <v>4101 Sales - Cement bags / CC-SALES-LHR</v>
      </c>
      <c r="AA51" s="33">
        <f>SUMIFS($T$3:$T$1500,$A$3:$A$1500,A51,$S$3:$S$1500,"Bag (50 kg)")*0.05+SUMIFS($T$3:$T$1500,$A$3:$A$1500,A51,$S$3:$S$1500,"Bag (40 kg)")*0.04+SUMIFS($T$3:$T$1500,$A$3:$A$1500,A51,$S$3:$S$1500,"MT")+SUMIFS($T$3:$T$1500,$A$3:$A$1500,A51,$S$3:$S$1500,"Jumbo bag (1.5 MT)")*1.5</f>
        <v>155.69</v>
      </c>
      <c r="AB51" s="25" cm="1">
        <f t="array" ref="AB51">SUMPRODUCT(($A$3:$A$1500=A51)*$W$3:$W$1500*$X$3:$X$1500)</f>
        <v>1247302.8</v>
      </c>
      <c r="AC51" s="25">
        <f>SUMIFS($Y$3:$Y$1500,$A$3:$A$1500,A51)</f>
        <v>467070</v>
      </c>
      <c r="AD51" s="25">
        <f>SUMIFS($W$3:$W$1500,$A$3:$A$1500,A51)+AB51+AC51</f>
        <v>8643832.8000000007</v>
      </c>
      <c r="AE51" s="21" t="str">
        <f>"PKR "&amp;TEXT(AD51,"#,##0")&amp;" only"</f>
        <v>PKR 8,643,833 only</v>
      </c>
      <c r="AF51" s="21" t="s">
        <v>1051</v>
      </c>
      <c r="AG51" s="29">
        <f>B51+30</f>
        <v>46080</v>
      </c>
      <c r="AH51" s="25">
        <f>SUMIFS('T15'!$BC$3:$BC$1499,'T15'!$AY$3:$AY$1499,A51,'T15'!$C$3:$C$1499,"Advance*")</f>
        <v>0</v>
      </c>
      <c r="AI51" s="25">
        <f>SUMIFS('T15'!$BC$3:$BC$1499,'T15'!$AY$3:$AY$1499,A51)+SUMIFS('T15'!$BD$3:$BD$1499,'T15'!$AY$3:$AY$1499,A51)+SUMIFS('T15'!$BE$3:$BE$1499,'T15'!$AY$3:$AY$1499,A51)</f>
        <v>8643832.8000000007</v>
      </c>
      <c r="AJ51" s="21" t="str">
        <f ca="1">TEXT(AD51-AI51,"#,##0")&amp;" - "&amp;IF(AD51-AI51&lt;1,"Paid",IF(AI51&gt;0,"Partially paid",IF(AG51&lt;TODAY(),"Overdue","Open")))</f>
        <v>0 - Paid</v>
      </c>
      <c r="AK51" s="21" t="str" cm="1">
        <f t="array" ref="AK51">_xlfn.TEXTJOIN(", ",TRUE,_xlfn._xlws.FILTER('T15'!$A$3:$A$1499,'T15'!$AY$3:$AY$1499=A51,"None"))</f>
        <v>RCP-0043, RCP-0045</v>
      </c>
      <c r="AL51" s="21" t="s">
        <v>753</v>
      </c>
      <c r="AM51" s="21" t="s">
        <v>844</v>
      </c>
      <c r="AN51" s="21" t="s">
        <v>846</v>
      </c>
      <c r="AO51" s="21" t="s">
        <v>3065</v>
      </c>
      <c r="AP51" s="21" t="s">
        <v>844</v>
      </c>
    </row>
    <row r="52" spans="1:42" x14ac:dyDescent="0.3">
      <c r="A52" s="21" t="s">
        <v>2597</v>
      </c>
      <c r="B52" s="29">
        <v>46050</v>
      </c>
      <c r="C52" s="21" t="s">
        <v>3020</v>
      </c>
      <c r="D52" s="21" t="s">
        <v>3021</v>
      </c>
      <c r="E52" s="41" t="s">
        <v>4994</v>
      </c>
      <c r="F52" s="21" t="s">
        <v>1887</v>
      </c>
      <c r="G52" s="21" t="s">
        <v>1800</v>
      </c>
      <c r="H52" s="21" t="s">
        <v>1928</v>
      </c>
      <c r="I52" s="21" t="s">
        <v>1073</v>
      </c>
      <c r="J52" s="21" t="s">
        <v>844</v>
      </c>
      <c r="K52" s="21" t="s">
        <v>848</v>
      </c>
      <c r="L52" s="21" t="s">
        <v>3024</v>
      </c>
      <c r="M52" s="21" t="str" cm="1">
        <f t="array" ref="M52">_xlfn.TEXTJOIN(", ",TRUE,_xlfn.UNIQUE(_xlfn._xlws.FILTER('T14'!$A$3:$A$1500,'T14'!$AO$3:$AO$1500=A52,"")))</f>
        <v>DC-00149, DC-00151, DC-00153, DC-00155, DC-00158</v>
      </c>
      <c r="N52" s="25">
        <f>SUMIFS('T14'!$AD$3:$AD$1500,'T14'!$AO$3:$AO$1500,A52,'T14'!$AA$3:$AA$1500,Q52&amp;"*")</f>
        <v>600</v>
      </c>
      <c r="O52" s="21" t="s">
        <v>1091</v>
      </c>
      <c r="P52" s="21">
        <v>3</v>
      </c>
      <c r="Q52" s="21" t="s">
        <v>831</v>
      </c>
      <c r="R52" s="21" t="s">
        <v>833</v>
      </c>
      <c r="S52" s="21" t="s">
        <v>1804</v>
      </c>
      <c r="T52" s="25">
        <f>SUMIFS('T14'!$AI$3:$AI$1500,'T14'!$AO$3:$AO$1500,A52,'T14'!$AA$3:$AA$1500,Q52&amp;"*")</f>
        <v>600</v>
      </c>
      <c r="U52" s="25">
        <f>SUMIFS('T09'!$W$3:$W$1500,'T09'!$A$3:$A$1500,F52,'T09'!$T$3:$T$1500,Q52&amp;"*")</f>
        <v>1670</v>
      </c>
      <c r="V52" s="25">
        <f>T52*U52</f>
        <v>1002000</v>
      </c>
      <c r="W52" s="25">
        <f>V52</f>
        <v>1002000</v>
      </c>
      <c r="X52" s="23">
        <f>_xlfn.XLOOKUP(Q52,'T13'!$A$3:$A$1500,'T13'!$O$3:$O$1500)</f>
        <v>0.18</v>
      </c>
      <c r="Y52" s="25">
        <f>T52*IF(S52="MT",1000,IF(S52="Jumbo bag (1.5 MT)",1500,IF(S52="Bag (40 kg)",40,50)))*3</f>
        <v>90000</v>
      </c>
      <c r="Z52" s="21" t="str">
        <f>_xlfn.XLOOKUP(Q52,'T13'!$A$3:$A$1500,'T13'!$AA$3:$AA$1500)&amp;" / CC-SALES-LHR"</f>
        <v>4101 Sales - Cement bags / CC-SALES-LHR</v>
      </c>
      <c r="AA52" s="33">
        <f>SUMIFS($T$3:$T$1500,$A$3:$A$1500,A52,$S$3:$S$1500,"Bag (50 kg)")*0.05+SUMIFS($T$3:$T$1500,$A$3:$A$1500,A52,$S$3:$S$1500,"Bag (40 kg)")*0.04+SUMIFS($T$3:$T$1500,$A$3:$A$1500,A52,$S$3:$S$1500,"MT")+SUMIFS($T$3:$T$1500,$A$3:$A$1500,A52,$S$3:$S$1500,"Jumbo bag (1.5 MT)")*1.5</f>
        <v>155.69</v>
      </c>
      <c r="AB52" s="25" cm="1">
        <f t="array" ref="AB52">SUMPRODUCT(($A$3:$A$1500=A52)*$W$3:$W$1500*$X$3:$X$1500)</f>
        <v>1247302.8</v>
      </c>
      <c r="AC52" s="25">
        <f>SUMIFS($Y$3:$Y$1500,$A$3:$A$1500,A52)</f>
        <v>467070</v>
      </c>
      <c r="AD52" s="25">
        <f>SUMIFS($W$3:$W$1500,$A$3:$A$1500,A52)+AB52+AC52</f>
        <v>8643832.8000000007</v>
      </c>
      <c r="AE52" s="21" t="str">
        <f>"PKR "&amp;TEXT(AD52,"#,##0")&amp;" only"</f>
        <v>PKR 8,643,833 only</v>
      </c>
      <c r="AF52" s="21" t="s">
        <v>1051</v>
      </c>
      <c r="AG52" s="29">
        <f>B52+30</f>
        <v>46080</v>
      </c>
      <c r="AH52" s="25">
        <f>SUMIFS('T15'!$BC$3:$BC$1499,'T15'!$AY$3:$AY$1499,A52,'T15'!$C$3:$C$1499,"Advance*")</f>
        <v>0</v>
      </c>
      <c r="AI52" s="25">
        <f>SUMIFS('T15'!$BC$3:$BC$1499,'T15'!$AY$3:$AY$1499,A52)+SUMIFS('T15'!$BD$3:$BD$1499,'T15'!$AY$3:$AY$1499,A52)+SUMIFS('T15'!$BE$3:$BE$1499,'T15'!$AY$3:$AY$1499,A52)</f>
        <v>8643832.8000000007</v>
      </c>
      <c r="AJ52" s="21" t="str">
        <f ca="1">TEXT(AD52-AI52,"#,##0")&amp;" - "&amp;IF(AD52-AI52&lt;1,"Paid",IF(AI52&gt;0,"Partially paid",IF(AG52&lt;TODAY(),"Overdue","Open")))</f>
        <v>0 - Paid</v>
      </c>
      <c r="AK52" s="21" t="str" cm="1">
        <f t="array" ref="AK52">_xlfn.TEXTJOIN(", ",TRUE,_xlfn._xlws.FILTER('T15'!$A$3:$A$1499,'T15'!$AY$3:$AY$1499=A52,"None"))</f>
        <v>RCP-0043, RCP-0045</v>
      </c>
      <c r="AL52" s="21" t="s">
        <v>753</v>
      </c>
      <c r="AM52" s="21" t="s">
        <v>844</v>
      </c>
      <c r="AN52" s="21" t="s">
        <v>846</v>
      </c>
      <c r="AO52" s="21" t="s">
        <v>3065</v>
      </c>
      <c r="AP52" s="21" t="s">
        <v>844</v>
      </c>
    </row>
    <row r="53" spans="1:42" x14ac:dyDescent="0.3">
      <c r="A53" s="21" t="s">
        <v>2639</v>
      </c>
      <c r="B53" s="29">
        <v>46078</v>
      </c>
      <c r="C53" s="21" t="s">
        <v>3020</v>
      </c>
      <c r="D53" s="21" t="s">
        <v>3021</v>
      </c>
      <c r="E53" s="41" t="s">
        <v>4994</v>
      </c>
      <c r="F53" s="21" t="s">
        <v>1891</v>
      </c>
      <c r="G53" s="21" t="s">
        <v>1813</v>
      </c>
      <c r="H53" s="21" t="s">
        <v>2161</v>
      </c>
      <c r="I53" s="21" t="s">
        <v>1089</v>
      </c>
      <c r="J53" s="21" t="s">
        <v>844</v>
      </c>
      <c r="K53" s="21" t="s">
        <v>848</v>
      </c>
      <c r="L53" s="21" t="s">
        <v>3041</v>
      </c>
      <c r="M53" s="21" t="str" cm="1">
        <f t="array" ref="M53">_xlfn.TEXTJOIN(", ",TRUE,_xlfn.UNIQUE(_xlfn._xlws.FILTER('T14'!$A$3:$A$1500,'T14'!$AO$3:$AO$1500=A53,"")))</f>
        <v>DC-00159, DC-00162, DC-00165, DC-00166, DC-00169, DC-00170</v>
      </c>
      <c r="N53" s="25">
        <f>SUMIFS('T14'!$AD$3:$AD$1500,'T14'!$AO$3:$AO$1500,A53,'T14'!$AA$3:$AA$1500,Q53&amp;"*")</f>
        <v>3400</v>
      </c>
      <c r="O53" s="21" t="s">
        <v>1091</v>
      </c>
      <c r="P53" s="21">
        <v>1</v>
      </c>
      <c r="Q53" s="21" t="s">
        <v>763</v>
      </c>
      <c r="R53" s="21" t="s">
        <v>766</v>
      </c>
      <c r="S53" s="21" t="s">
        <v>1804</v>
      </c>
      <c r="T53" s="25">
        <f>SUMIFS('T14'!$AI$3:$AI$1500,'T14'!$AO$3:$AO$1500,A53,'T14'!$AA$3:$AA$1500,Q53&amp;"*")</f>
        <v>3400</v>
      </c>
      <c r="U53" s="25">
        <f>SUMIFS('T09'!$W$3:$W$1500,'T09'!$A$3:$A$1500,F53,'T09'!$T$3:$T$1500,Q53&amp;"*")</f>
        <v>1525</v>
      </c>
      <c r="V53" s="25">
        <f>T53*U53</f>
        <v>5185000</v>
      </c>
      <c r="W53" s="25">
        <f>V53</f>
        <v>5185000</v>
      </c>
      <c r="X53" s="23">
        <f>_xlfn.XLOOKUP(Q53,'T13'!$A$3:$A$1500,'T13'!$O$3:$O$1500)</f>
        <v>0.18</v>
      </c>
      <c r="Y53" s="25">
        <f>T53*IF(S53="MT",1000,IF(S53="Jumbo bag (1.5 MT)",1500,IF(S53="Bag (40 kg)",40,50)))*3</f>
        <v>510000</v>
      </c>
      <c r="Z53" s="21" t="str">
        <f>_xlfn.XLOOKUP(Q53,'T13'!$A$3:$A$1500,'T13'!$AA$3:$AA$1500)&amp;" / CC-SALES-LHR"</f>
        <v>4101 Sales - Cement bags / CC-SALES-LHR</v>
      </c>
      <c r="AA53" s="33">
        <f>SUMIFS($T$3:$T$1500,$A$3:$A$1500,A53,$S$3:$S$1500,"Bag (50 kg)")*0.05+SUMIFS($T$3:$T$1500,$A$3:$A$1500,A53,$S$3:$S$1500,"Bag (40 kg)")*0.04+SUMIFS($T$3:$T$1500,$A$3:$A$1500,A53,$S$3:$S$1500,"MT")+SUMIFS($T$3:$T$1500,$A$3:$A$1500,A53,$S$3:$S$1500,"Jumbo bag (1.5 MT)")*1.5</f>
        <v>170</v>
      </c>
      <c r="AB53" s="25" cm="1">
        <f t="array" ref="AB53">SUMPRODUCT(($A$3:$A$1500=A53)*$W$3:$W$1500*$X$3:$X$1500)</f>
        <v>933300</v>
      </c>
      <c r="AC53" s="25">
        <f>SUMIFS($Y$3:$Y$1500,$A$3:$A$1500,A53)</f>
        <v>510000</v>
      </c>
      <c r="AD53" s="25">
        <f>SUMIFS($W$3:$W$1500,$A$3:$A$1500,A53)+AB53+AC53</f>
        <v>6628300</v>
      </c>
      <c r="AE53" s="21" t="str">
        <f>"PKR "&amp;TEXT(AD53,"#,##0")&amp;" only"</f>
        <v>PKR 6,628,300 only</v>
      </c>
      <c r="AF53" s="21" t="s">
        <v>1051</v>
      </c>
      <c r="AG53" s="29">
        <f>B53+30</f>
        <v>46108</v>
      </c>
      <c r="AH53" s="25">
        <f>SUMIFS('T15'!$BC$3:$BC$1499,'T15'!$AY$3:$AY$1499,A53,'T15'!$C$3:$C$1499,"Advance*")</f>
        <v>0</v>
      </c>
      <c r="AI53" s="25">
        <f>SUMIFS('T15'!$BC$3:$BC$1499,'T15'!$AY$3:$AY$1499,A53)+SUMIFS('T15'!$BD$3:$BD$1499,'T15'!$AY$3:$AY$1499,A53)+SUMIFS('T15'!$BE$3:$BE$1499,'T15'!$AY$3:$AY$1499,A53)</f>
        <v>6628300</v>
      </c>
      <c r="AJ53" s="21" t="str">
        <f ca="1">TEXT(AD53-AI53,"#,##0")&amp;" - "&amp;IF(AD53-AI53&lt;1,"Paid",IF(AI53&gt;0,"Partially paid",IF(AG53&lt;TODAY(),"Overdue","Open")))</f>
        <v>0 - Paid</v>
      </c>
      <c r="AK53" s="21" t="str" cm="1">
        <f t="array" ref="AK53">_xlfn.TEXTJOIN(", ",TRUE,_xlfn._xlws.FILTER('T15'!$A$3:$A$1499,'T15'!$AY$3:$AY$1499=A53,"None"))</f>
        <v>RCP-0046, RCP-0048</v>
      </c>
      <c r="AL53" s="21" t="s">
        <v>753</v>
      </c>
      <c r="AM53" s="21" t="s">
        <v>844</v>
      </c>
      <c r="AN53" s="21" t="s">
        <v>753</v>
      </c>
      <c r="AO53" s="21" t="s">
        <v>3066</v>
      </c>
      <c r="AP53" s="21" t="s">
        <v>844</v>
      </c>
    </row>
    <row r="54" spans="1:42" x14ac:dyDescent="0.3">
      <c r="A54" s="21" t="s">
        <v>2645</v>
      </c>
      <c r="B54" s="29">
        <v>46080</v>
      </c>
      <c r="C54" s="21" t="s">
        <v>3020</v>
      </c>
      <c r="D54" s="21" t="s">
        <v>3021</v>
      </c>
      <c r="E54" s="41" t="s">
        <v>4994</v>
      </c>
      <c r="F54" s="21" t="s">
        <v>1890</v>
      </c>
      <c r="G54" s="21" t="s">
        <v>1813</v>
      </c>
      <c r="H54" s="21" t="s">
        <v>2161</v>
      </c>
      <c r="I54" s="21" t="s">
        <v>1089</v>
      </c>
      <c r="J54" s="21" t="s">
        <v>844</v>
      </c>
      <c r="K54" s="21" t="s">
        <v>848</v>
      </c>
      <c r="L54" s="21" t="s">
        <v>3041</v>
      </c>
      <c r="M54" s="21" t="str" cm="1">
        <f t="array" ref="M54">_xlfn.TEXTJOIN(", ",TRUE,_xlfn.UNIQUE(_xlfn._xlws.FILTER('T14'!$A$3:$A$1500,'T14'!$AO$3:$AO$1500=A54,"")))</f>
        <v>DC-00160, DC-00161, DC-00163, DC-00164, DC-00167, DC-00168, DC-00171</v>
      </c>
      <c r="N54" s="25">
        <f>SUMIFS('T14'!$AD$3:$AD$1500,'T14'!$AO$3:$AO$1500,A54,'T14'!$AA$3:$AA$1500,Q54&amp;"*")</f>
        <v>4200</v>
      </c>
      <c r="O54" s="21" t="s">
        <v>1091</v>
      </c>
      <c r="P54" s="21">
        <v>1</v>
      </c>
      <c r="Q54" s="21" t="s">
        <v>763</v>
      </c>
      <c r="R54" s="21" t="s">
        <v>766</v>
      </c>
      <c r="S54" s="21" t="s">
        <v>1804</v>
      </c>
      <c r="T54" s="25">
        <f>SUMIFS('T14'!$AI$3:$AI$1500,'T14'!$AO$3:$AO$1500,A54,'T14'!$AA$3:$AA$1500,Q54&amp;"*")</f>
        <v>4195</v>
      </c>
      <c r="U54" s="25">
        <f>SUMIFS('T09'!$W$3:$W$1500,'T09'!$A$3:$A$1500,F54,'T09'!$T$3:$T$1500,Q54&amp;"*")</f>
        <v>1525</v>
      </c>
      <c r="V54" s="25">
        <f>T54*U54</f>
        <v>6397375</v>
      </c>
      <c r="W54" s="25">
        <f>V54</f>
        <v>6397375</v>
      </c>
      <c r="X54" s="23">
        <f>_xlfn.XLOOKUP(Q54,'T13'!$A$3:$A$1500,'T13'!$O$3:$O$1500)</f>
        <v>0.18</v>
      </c>
      <c r="Y54" s="25">
        <f>T54*IF(S54="MT",1000,IF(S54="Jumbo bag (1.5 MT)",1500,IF(S54="Bag (40 kg)",40,50)))*3</f>
        <v>629250</v>
      </c>
      <c r="Z54" s="21" t="str">
        <f>_xlfn.XLOOKUP(Q54,'T13'!$A$3:$A$1500,'T13'!$AA$3:$AA$1500)&amp;" / CC-SALES-LHR"</f>
        <v>4101 Sales - Cement bags / CC-SALES-LHR</v>
      </c>
      <c r="AA54" s="33">
        <f>SUMIFS($T$3:$T$1500,$A$3:$A$1500,A54,$S$3:$S$1500,"Bag (50 kg)")*0.05+SUMIFS($T$3:$T$1500,$A$3:$A$1500,A54,$S$3:$S$1500,"Bag (40 kg)")*0.04+SUMIFS($T$3:$T$1500,$A$3:$A$1500,A54,$S$3:$S$1500,"MT")+SUMIFS($T$3:$T$1500,$A$3:$A$1500,A54,$S$3:$S$1500,"Jumbo bag (1.5 MT)")*1.5</f>
        <v>209.75</v>
      </c>
      <c r="AB54" s="25" cm="1">
        <f t="array" ref="AB54">SUMPRODUCT(($A$3:$A$1500=A54)*$W$3:$W$1500*$X$3:$X$1500)</f>
        <v>1151527.5</v>
      </c>
      <c r="AC54" s="25">
        <f>SUMIFS($Y$3:$Y$1500,$A$3:$A$1500,A54)</f>
        <v>629250</v>
      </c>
      <c r="AD54" s="25">
        <f>SUMIFS($W$3:$W$1500,$A$3:$A$1500,A54)+AB54+AC54</f>
        <v>8178152.5</v>
      </c>
      <c r="AE54" s="21" t="str">
        <f>"PKR "&amp;TEXT(AD54,"#,##0")&amp;" only"</f>
        <v>PKR 8,178,153 only</v>
      </c>
      <c r="AF54" s="21" t="s">
        <v>1051</v>
      </c>
      <c r="AG54" s="29">
        <f>B54+30</f>
        <v>46110</v>
      </c>
      <c r="AH54" s="25">
        <f>SUMIFS('T15'!$BC$3:$BC$1499,'T15'!$AY$3:$AY$1499,A54,'T15'!$C$3:$C$1499,"Advance*")</f>
        <v>0</v>
      </c>
      <c r="AI54" s="25">
        <f>SUMIFS('T15'!$BC$3:$BC$1499,'T15'!$AY$3:$AY$1499,A54)+SUMIFS('T15'!$BD$3:$BD$1499,'T15'!$AY$3:$AY$1499,A54)+SUMIFS('T15'!$BE$3:$BE$1499,'T15'!$AY$3:$AY$1499,A54)</f>
        <v>8178152.5</v>
      </c>
      <c r="AJ54" s="21" t="str">
        <f ca="1">TEXT(AD54-AI54,"#,##0")&amp;" - "&amp;IF(AD54-AI54&lt;1,"Paid",IF(AI54&gt;0,"Partially paid",IF(AG54&lt;TODAY(),"Overdue","Open")))</f>
        <v>0 - Paid</v>
      </c>
      <c r="AK54" s="21" t="str" cm="1">
        <f t="array" ref="AK54">_xlfn.TEXTJOIN(", ",TRUE,_xlfn._xlws.FILTER('T15'!$A$3:$A$1499,'T15'!$AY$3:$AY$1499=A54,"None"))</f>
        <v>RCP-0047, RCP-0049</v>
      </c>
      <c r="AL54" s="21" t="s">
        <v>753</v>
      </c>
      <c r="AM54" s="21" t="s">
        <v>844</v>
      </c>
      <c r="AN54" s="21" t="s">
        <v>753</v>
      </c>
      <c r="AO54" s="21" t="s">
        <v>3066</v>
      </c>
      <c r="AP54" s="21" t="s">
        <v>844</v>
      </c>
    </row>
    <row r="55" spans="1:42" x14ac:dyDescent="0.3">
      <c r="A55" s="21" t="s">
        <v>2688</v>
      </c>
      <c r="B55" s="29">
        <v>46108</v>
      </c>
      <c r="C55" s="21" t="s">
        <v>3020</v>
      </c>
      <c r="D55" s="21" t="s">
        <v>3021</v>
      </c>
      <c r="E55" s="41" t="s">
        <v>4994</v>
      </c>
      <c r="F55" s="21" t="s">
        <v>1892</v>
      </c>
      <c r="G55" s="21" t="s">
        <v>1870</v>
      </c>
      <c r="H55" s="21" t="s">
        <v>2354</v>
      </c>
      <c r="I55" s="21" t="s">
        <v>3033</v>
      </c>
      <c r="J55" s="21" t="s">
        <v>3051</v>
      </c>
      <c r="K55" s="21" t="s">
        <v>848</v>
      </c>
      <c r="L55" s="21" t="s">
        <v>3052</v>
      </c>
      <c r="M55" s="21" t="str" cm="1">
        <f t="array" ref="M55">_xlfn.TEXTJOIN(", ",TRUE,_xlfn.UNIQUE(_xlfn._xlws.FILTER('T14'!$A$3:$A$1500,'T14'!$AO$3:$AO$1500=A55,"")))</f>
        <v>DC-00172, DC-00173, DC-00174, DC-00175, DC-00176, DC-00177</v>
      </c>
      <c r="N55" s="25">
        <f>SUMIFS('T14'!$AD$3:$AD$1500,'T14'!$AO$3:$AO$1500,A55,'T14'!$AA$3:$AA$1500,Q55&amp;"*")</f>
        <v>2100</v>
      </c>
      <c r="O55" s="21" t="s">
        <v>1091</v>
      </c>
      <c r="P55" s="21">
        <v>1</v>
      </c>
      <c r="Q55" s="21" t="s">
        <v>763</v>
      </c>
      <c r="R55" s="21" t="s">
        <v>766</v>
      </c>
      <c r="S55" s="21" t="s">
        <v>1804</v>
      </c>
      <c r="T55" s="25">
        <f>SUMIFS('T14'!$AI$3:$AI$1500,'T14'!$AO$3:$AO$1500,A55,'T14'!$AA$3:$AA$1500,Q55&amp;"*")</f>
        <v>2093</v>
      </c>
      <c r="U55" s="25">
        <f>SUMIFS('T09'!$W$3:$W$1500,'T09'!$A$3:$A$1500,F55,'T09'!$T$3:$T$1500,Q55&amp;"*")</f>
        <v>1530</v>
      </c>
      <c r="V55" s="25">
        <f>T55*U55</f>
        <v>3202290</v>
      </c>
      <c r="W55" s="25">
        <f>V55</f>
        <v>3202290</v>
      </c>
      <c r="X55" s="23">
        <f>_xlfn.XLOOKUP(Q55,'T13'!$A$3:$A$1500,'T13'!$O$3:$O$1500)</f>
        <v>0.18</v>
      </c>
      <c r="Y55" s="25">
        <f>T55*IF(S55="MT",1000,IF(S55="Jumbo bag (1.5 MT)",1500,IF(S55="Bag (40 kg)",40,50)))*3</f>
        <v>313950</v>
      </c>
      <c r="Z55" s="21" t="str">
        <f>_xlfn.XLOOKUP(Q55,'T13'!$A$3:$A$1500,'T13'!$AA$3:$AA$1500)&amp;" / CC-SALES-LHR"</f>
        <v>4101 Sales - Cement bags / CC-SALES-LHR</v>
      </c>
      <c r="AA55" s="33">
        <f>SUMIFS($T$3:$T$1500,$A$3:$A$1500,A55,$S$3:$S$1500,"Bag (50 kg)")*0.05+SUMIFS($T$3:$T$1500,$A$3:$A$1500,A55,$S$3:$S$1500,"Bag (40 kg)")*0.04+SUMIFS($T$3:$T$1500,$A$3:$A$1500,A55,$S$3:$S$1500,"MT")+SUMIFS($T$3:$T$1500,$A$3:$A$1500,A55,$S$3:$S$1500,"Jumbo bag (1.5 MT)")*1.5</f>
        <v>104.65</v>
      </c>
      <c r="AB55" s="25" cm="1">
        <f t="array" ref="AB55">SUMPRODUCT(($A$3:$A$1500=A55)*$W$3:$W$1500*$X$3:$X$1500)</f>
        <v>576412.19999999995</v>
      </c>
      <c r="AC55" s="25">
        <f>SUMIFS($Y$3:$Y$1500,$A$3:$A$1500,A55)</f>
        <v>313950</v>
      </c>
      <c r="AD55" s="25">
        <f>SUMIFS($W$3:$W$1500,$A$3:$A$1500,A55)+AB55+AC55</f>
        <v>4092652.2</v>
      </c>
      <c r="AE55" s="21" t="str">
        <f>"PKR "&amp;TEXT(AD55,"#,##0")&amp;" only"</f>
        <v>PKR 4,092,652 only</v>
      </c>
      <c r="AF55" s="21" t="s">
        <v>1051</v>
      </c>
      <c r="AG55" s="29">
        <f>B55+30</f>
        <v>46138</v>
      </c>
      <c r="AH55" s="25">
        <f>SUMIFS('T15'!$BC$3:$BC$1499,'T15'!$AY$3:$AY$1499,A55,'T15'!$C$3:$C$1499,"Advance*")</f>
        <v>0</v>
      </c>
      <c r="AI55" s="25">
        <f>SUMIFS('T15'!$BC$3:$BC$1499,'T15'!$AY$3:$AY$1499,A55)+SUMIFS('T15'!$BD$3:$BD$1499,'T15'!$AY$3:$AY$1499,A55)+SUMIFS('T15'!$BE$3:$BE$1499,'T15'!$AY$3:$AY$1499,A55)</f>
        <v>4092652.2</v>
      </c>
      <c r="AJ55" s="21" t="str">
        <f ca="1">TEXT(AD55-AI55,"#,##0")&amp;" - "&amp;IF(AD55-AI55&lt;1,"Paid",IF(AI55&gt;0,"Partially paid",IF(AG55&lt;TODAY(),"Overdue","Open")))</f>
        <v>0 - Paid</v>
      </c>
      <c r="AK55" s="21" t="str" cm="1">
        <f t="array" ref="AK55">_xlfn.TEXTJOIN(", ",TRUE,_xlfn._xlws.FILTER('T15'!$A$3:$A$1499,'T15'!$AY$3:$AY$1499=A55,"None"))</f>
        <v>RCP-0050</v>
      </c>
      <c r="AL55" s="21" t="s">
        <v>753</v>
      </c>
      <c r="AM55" s="21" t="s">
        <v>844</v>
      </c>
      <c r="AN55" s="21" t="s">
        <v>846</v>
      </c>
      <c r="AO55" s="21" t="s">
        <v>3067</v>
      </c>
      <c r="AP55" s="21" t="s">
        <v>844</v>
      </c>
    </row>
    <row r="56" spans="1:42" x14ac:dyDescent="0.3">
      <c r="A56" s="21" t="s">
        <v>2711</v>
      </c>
      <c r="B56" s="29">
        <v>46137</v>
      </c>
      <c r="C56" s="21" t="s">
        <v>3020</v>
      </c>
      <c r="D56" s="21" t="s">
        <v>3021</v>
      </c>
      <c r="E56" s="41" t="s">
        <v>4994</v>
      </c>
      <c r="F56" s="21" t="s">
        <v>1894</v>
      </c>
      <c r="G56" s="21" t="s">
        <v>1830</v>
      </c>
      <c r="H56" s="21" t="s">
        <v>1140</v>
      </c>
      <c r="I56" s="21" t="s">
        <v>1133</v>
      </c>
      <c r="J56" s="21" t="s">
        <v>844</v>
      </c>
      <c r="K56" s="21" t="s">
        <v>3057</v>
      </c>
      <c r="L56" s="21" t="s">
        <v>3030</v>
      </c>
      <c r="M56" s="21" t="str" cm="1">
        <f t="array" ref="M56">_xlfn.TEXTJOIN(", ",TRUE,_xlfn.UNIQUE(_xlfn._xlws.FILTER('T14'!$A$3:$A$1500,'T14'!$AO$3:$AO$1500=A56,"")))</f>
        <v>DC-00178, DC-00180, DC-00182, DC-00184, DC-00185, DC-00187</v>
      </c>
      <c r="N56" s="25">
        <f>SUMIFS('T14'!$AD$3:$AD$1500,'T14'!$AO$3:$AO$1500,A56,'T14'!$AA$3:$AA$1500,Q56&amp;"*")</f>
        <v>187</v>
      </c>
      <c r="O56" s="21" t="s">
        <v>1091</v>
      </c>
      <c r="P56" s="21">
        <v>1</v>
      </c>
      <c r="Q56" s="21" t="s">
        <v>781</v>
      </c>
      <c r="R56" s="21" t="s">
        <v>782</v>
      </c>
      <c r="S56" s="21" t="s">
        <v>783</v>
      </c>
      <c r="T56" s="25">
        <f>SUMIFS('T14'!$AI$3:$AI$1500,'T14'!$AO$3:$AO$1500,A56,'T14'!$AA$3:$AA$1500,Q56&amp;"*")</f>
        <v>187</v>
      </c>
      <c r="U56" s="25">
        <f>SUMIFS('T09'!$W$3:$W$1500,'T09'!$A$3:$A$1500,F56,'T09'!$T$3:$T$1500,Q56&amp;"*")</f>
        <v>29550</v>
      </c>
      <c r="V56" s="25">
        <f>T56*U56</f>
        <v>5525850</v>
      </c>
      <c r="W56" s="25">
        <f>V56</f>
        <v>5525850</v>
      </c>
      <c r="X56" s="23">
        <f>_xlfn.XLOOKUP(Q56,'T13'!$A$3:$A$1500,'T13'!$O$3:$O$1500)</f>
        <v>0.18</v>
      </c>
      <c r="Y56" s="25">
        <f>T56*IF(S56="MT",1000,IF(S56="Jumbo bag (1.5 MT)",1500,IF(S56="Bag (40 kg)",40,50)))*3</f>
        <v>561000</v>
      </c>
      <c r="Z56" s="21" t="str">
        <f>_xlfn.XLOOKUP(Q56,'T13'!$A$3:$A$1500,'T13'!$AA$3:$AA$1500)&amp;" / CC-SALES-LHR"</f>
        <v>4102 Sales - Cement bulk / CC-SALES-LHR</v>
      </c>
      <c r="AA56" s="33">
        <f>SUMIFS($T$3:$T$1500,$A$3:$A$1500,A56,$S$3:$S$1500,"Bag (50 kg)")*0.05+SUMIFS($T$3:$T$1500,$A$3:$A$1500,A56,$S$3:$S$1500,"Bag (40 kg)")*0.04+SUMIFS($T$3:$T$1500,$A$3:$A$1500,A56,$S$3:$S$1500,"MT")+SUMIFS($T$3:$T$1500,$A$3:$A$1500,A56,$S$3:$S$1500,"Jumbo bag (1.5 MT)")*1.5</f>
        <v>187</v>
      </c>
      <c r="AB56" s="25" cm="1">
        <f t="array" ref="AB56">SUMPRODUCT(($A$3:$A$1500=A56)*$W$3:$W$1500*$X$3:$X$1500)</f>
        <v>994653</v>
      </c>
      <c r="AC56" s="25">
        <f>SUMIFS($Y$3:$Y$1500,$A$3:$A$1500,A56)</f>
        <v>561000</v>
      </c>
      <c r="AD56" s="25">
        <f>SUMIFS($W$3:$W$1500,$A$3:$A$1500,A56)+AB56+AC56</f>
        <v>7081503</v>
      </c>
      <c r="AE56" s="21" t="str">
        <f>"PKR "&amp;TEXT(AD56,"#,##0")&amp;" only"</f>
        <v>PKR 7,081,503 only</v>
      </c>
      <c r="AF56" s="21" t="s">
        <v>1051</v>
      </c>
      <c r="AG56" s="29">
        <f>B56+30</f>
        <v>46167</v>
      </c>
      <c r="AH56" s="25">
        <f>SUMIFS('T15'!$BC$3:$BC$1499,'T15'!$AY$3:$AY$1499,A56,'T15'!$C$3:$C$1499,"Advance*")</f>
        <v>0</v>
      </c>
      <c r="AI56" s="25">
        <f>SUMIFS('T15'!$BC$3:$BC$1499,'T15'!$AY$3:$AY$1499,A56)+SUMIFS('T15'!$BD$3:$BD$1499,'T15'!$AY$3:$AY$1499,A56)+SUMIFS('T15'!$BE$3:$BE$1499,'T15'!$AY$3:$AY$1499,A56)</f>
        <v>7081503</v>
      </c>
      <c r="AJ56" s="21" t="str">
        <f ca="1">TEXT(AD56-AI56,"#,##0")&amp;" - "&amp;IF(AD56-AI56&lt;1,"Paid",IF(AI56&gt;0,"Partially paid",IF(AG56&lt;TODAY(),"Overdue","Open")))</f>
        <v>0 - Paid</v>
      </c>
      <c r="AK56" s="21" t="str" cm="1">
        <f t="array" ref="AK56">_xlfn.TEXTJOIN(", ",TRUE,_xlfn._xlws.FILTER('T15'!$A$3:$A$1499,'T15'!$AY$3:$AY$1499=A56,"None"))</f>
        <v>RCP-0052, RCP-0054</v>
      </c>
      <c r="AL56" s="21" t="s">
        <v>753</v>
      </c>
      <c r="AM56" s="21" t="s">
        <v>753</v>
      </c>
      <c r="AN56" s="21" t="s">
        <v>753</v>
      </c>
      <c r="AO56" s="21" t="s">
        <v>3068</v>
      </c>
      <c r="AP56" s="21" t="s">
        <v>753</v>
      </c>
    </row>
    <row r="57" spans="1:42" x14ac:dyDescent="0.3">
      <c r="A57" s="21" t="s">
        <v>2717</v>
      </c>
      <c r="B57" s="29">
        <v>46139</v>
      </c>
      <c r="C57" s="21" t="s">
        <v>3020</v>
      </c>
      <c r="D57" s="21" t="s">
        <v>3021</v>
      </c>
      <c r="E57" s="41" t="s">
        <v>4994</v>
      </c>
      <c r="F57" s="21" t="s">
        <v>1893</v>
      </c>
      <c r="G57" s="21" t="s">
        <v>1835</v>
      </c>
      <c r="H57" s="21" t="s">
        <v>2204</v>
      </c>
      <c r="I57" s="21" t="s">
        <v>1055</v>
      </c>
      <c r="J57" s="21" t="s">
        <v>844</v>
      </c>
      <c r="K57" s="21" t="s">
        <v>848</v>
      </c>
      <c r="L57" s="21" t="s">
        <v>3043</v>
      </c>
      <c r="M57" s="21" t="str" cm="1">
        <f t="array" ref="M57">_xlfn.TEXTJOIN(", ",TRUE,_xlfn.UNIQUE(_xlfn._xlws.FILTER('T14'!$A$3:$A$1500,'T14'!$AO$3:$AO$1500=A57,"")))</f>
        <v>DC-00179, DC-00181, DC-00183, DC-00186, DC-00188</v>
      </c>
      <c r="N57" s="25">
        <f>SUMIFS('T14'!$AD$3:$AD$1500,'T14'!$AO$3:$AO$1500,A57,'T14'!$AA$3:$AA$1500,Q57&amp;"*")</f>
        <v>1100</v>
      </c>
      <c r="O57" s="21" t="s">
        <v>1091</v>
      </c>
      <c r="P57" s="21">
        <v>1</v>
      </c>
      <c r="Q57" s="21" t="s">
        <v>812</v>
      </c>
      <c r="R57" s="21" t="s">
        <v>814</v>
      </c>
      <c r="S57" s="21" t="s">
        <v>1841</v>
      </c>
      <c r="T57" s="25">
        <f>SUMIFS('T14'!$AI$3:$AI$1500,'T14'!$AO$3:$AO$1500,A57,'T14'!$AA$3:$AA$1500,Q57&amp;"*")</f>
        <v>1100</v>
      </c>
      <c r="U57" s="25">
        <f>SUMIFS('T09'!$W$3:$W$1500,'T09'!$A$3:$A$1500,F57,'T09'!$T$3:$T$1500,Q57&amp;"*")</f>
        <v>2845</v>
      </c>
      <c r="V57" s="25">
        <f>T57*U57</f>
        <v>3129500</v>
      </c>
      <c r="W57" s="25">
        <f>V57</f>
        <v>3129500</v>
      </c>
      <c r="X57" s="23">
        <f>_xlfn.XLOOKUP(Q57,'T13'!$A$3:$A$1500,'T13'!$O$3:$O$1500)</f>
        <v>0.18</v>
      </c>
      <c r="Y57" s="25">
        <f>T57*IF(S57="MT",1000,IF(S57="Jumbo bag (1.5 MT)",1500,IF(S57="Bag (40 kg)",40,50)))*3</f>
        <v>132000</v>
      </c>
      <c r="Z57" s="21" t="str">
        <f>_xlfn.XLOOKUP(Q57,'T13'!$A$3:$A$1500,'T13'!$AA$3:$AA$1500)&amp;" / CC-SALES-LHR"</f>
        <v>4101 Sales - Cement bags / CC-SALES-LHR</v>
      </c>
      <c r="AA57" s="33">
        <f>SUMIFS($T$3:$T$1500,$A$3:$A$1500,A57,$S$3:$S$1500,"Bag (50 kg)")*0.05+SUMIFS($T$3:$T$1500,$A$3:$A$1500,A57,$S$3:$S$1500,"Bag (40 kg)")*0.04+SUMIFS($T$3:$T$1500,$A$3:$A$1500,A57,$S$3:$S$1500,"MT")+SUMIFS($T$3:$T$1500,$A$3:$A$1500,A57,$S$3:$S$1500,"Jumbo bag (1.5 MT)")*1.5</f>
        <v>99</v>
      </c>
      <c r="AB57" s="25" cm="1">
        <f t="array" ref="AB57">SUMPRODUCT(($A$3:$A$1500=A57)*$W$3:$W$1500*$X$3:$X$1500)</f>
        <v>852390</v>
      </c>
      <c r="AC57" s="25">
        <f>SUMIFS($Y$3:$Y$1500,$A$3:$A$1500,A57)</f>
        <v>297000</v>
      </c>
      <c r="AD57" s="25">
        <f>SUMIFS($W$3:$W$1500,$A$3:$A$1500,A57)+AB57+AC57</f>
        <v>5884890</v>
      </c>
      <c r="AE57" s="21" t="str">
        <f>"PKR "&amp;TEXT(AD57,"#,##0")&amp;" only"</f>
        <v>PKR 5,884,890 only</v>
      </c>
      <c r="AF57" s="21" t="s">
        <v>1062</v>
      </c>
      <c r="AG57" s="29">
        <f>B57+15</f>
        <v>46154</v>
      </c>
      <c r="AH57" s="25">
        <f>SUMIFS('T15'!$BC$3:$BC$1499,'T15'!$AY$3:$AY$1499,A57,'T15'!$C$3:$C$1499,"Advance*")</f>
        <v>0</v>
      </c>
      <c r="AI57" s="25">
        <f>SUMIFS('T15'!$BC$3:$BC$1499,'T15'!$AY$3:$AY$1499,A57)+SUMIFS('T15'!$BD$3:$BD$1499,'T15'!$AY$3:$AY$1499,A57)+SUMIFS('T15'!$BE$3:$BE$1499,'T15'!$AY$3:$AY$1499,A57)</f>
        <v>5884890</v>
      </c>
      <c r="AJ57" s="21" t="str">
        <f ca="1">TEXT(AD57-AI57,"#,##0")&amp;" - "&amp;IF(AD57-AI57&lt;1,"Paid",IF(AI57&gt;0,"Partially paid",IF(AG57&lt;TODAY(),"Overdue","Open")))</f>
        <v>0 - Paid</v>
      </c>
      <c r="AK57" s="21" t="str" cm="1">
        <f t="array" ref="AK57">_xlfn.TEXTJOIN(", ",TRUE,_xlfn._xlws.FILTER('T15'!$A$3:$A$1499,'T15'!$AY$3:$AY$1499=A57,"None"))</f>
        <v>RCP-0051, RCP-0053</v>
      </c>
      <c r="AL57" s="21" t="s">
        <v>753</v>
      </c>
      <c r="AM57" s="21" t="s">
        <v>844</v>
      </c>
      <c r="AN57" s="21" t="s">
        <v>846</v>
      </c>
      <c r="AO57" s="21" t="s">
        <v>3069</v>
      </c>
      <c r="AP57" s="21" t="s">
        <v>844</v>
      </c>
    </row>
    <row r="58" spans="1:42" x14ac:dyDescent="0.3">
      <c r="A58" s="21" t="s">
        <v>2717</v>
      </c>
      <c r="B58" s="29">
        <v>46139</v>
      </c>
      <c r="C58" s="21" t="s">
        <v>3020</v>
      </c>
      <c r="D58" s="21" t="s">
        <v>3021</v>
      </c>
      <c r="E58" s="41" t="s">
        <v>4994</v>
      </c>
      <c r="F58" s="21" t="s">
        <v>1893</v>
      </c>
      <c r="G58" s="21" t="s">
        <v>1835</v>
      </c>
      <c r="H58" s="21" t="s">
        <v>2204</v>
      </c>
      <c r="I58" s="21" t="s">
        <v>1055</v>
      </c>
      <c r="J58" s="21" t="s">
        <v>844</v>
      </c>
      <c r="K58" s="21" t="s">
        <v>848</v>
      </c>
      <c r="L58" s="21" t="s">
        <v>3043</v>
      </c>
      <c r="M58" s="21" t="str" cm="1">
        <f t="array" ref="M58">_xlfn.TEXTJOIN(", ",TRUE,_xlfn.UNIQUE(_xlfn._xlws.FILTER('T14'!$A$3:$A$1500,'T14'!$AO$3:$AO$1500=A58,"")))</f>
        <v>DC-00179, DC-00181, DC-00183, DC-00186, DC-00188</v>
      </c>
      <c r="N58" s="25">
        <f>SUMIFS('T14'!$AD$3:$AD$1500,'T14'!$AO$3:$AO$1500,A58,'T14'!$AA$3:$AA$1500,Q58&amp;"*")</f>
        <v>1100</v>
      </c>
      <c r="O58" s="21" t="s">
        <v>1091</v>
      </c>
      <c r="P58" s="21">
        <v>2</v>
      </c>
      <c r="Q58" s="21" t="s">
        <v>820</v>
      </c>
      <c r="R58" s="21" t="s">
        <v>822</v>
      </c>
      <c r="S58" s="21" t="s">
        <v>1804</v>
      </c>
      <c r="T58" s="25">
        <f>SUMIFS('T14'!$AI$3:$AI$1500,'T14'!$AO$3:$AO$1500,A58,'T14'!$AA$3:$AA$1500,Q58&amp;"*")</f>
        <v>1100</v>
      </c>
      <c r="U58" s="25">
        <f>SUMIFS('T09'!$W$3:$W$1500,'T09'!$A$3:$A$1500,F58,'T09'!$T$3:$T$1500,Q58&amp;"*")</f>
        <v>1460</v>
      </c>
      <c r="V58" s="25">
        <f>T58*U58</f>
        <v>1606000</v>
      </c>
      <c r="W58" s="25">
        <f>V58</f>
        <v>1606000</v>
      </c>
      <c r="X58" s="23">
        <f>_xlfn.XLOOKUP(Q58,'T13'!$A$3:$A$1500,'T13'!$O$3:$O$1500)</f>
        <v>0.18</v>
      </c>
      <c r="Y58" s="25">
        <f>T58*IF(S58="MT",1000,IF(S58="Jumbo bag (1.5 MT)",1500,IF(S58="Bag (40 kg)",40,50)))*3</f>
        <v>165000</v>
      </c>
      <c r="Z58" s="21" t="str">
        <f>_xlfn.XLOOKUP(Q58,'T13'!$A$3:$A$1500,'T13'!$AA$3:$AA$1500)&amp;" / CC-SALES-LHR"</f>
        <v>4101 Sales - Cement bags / CC-SALES-LHR</v>
      </c>
      <c r="AA58" s="33">
        <f>SUMIFS($T$3:$T$1500,$A$3:$A$1500,A58,$S$3:$S$1500,"Bag (50 kg)")*0.05+SUMIFS($T$3:$T$1500,$A$3:$A$1500,A58,$S$3:$S$1500,"Bag (40 kg)")*0.04+SUMIFS($T$3:$T$1500,$A$3:$A$1500,A58,$S$3:$S$1500,"MT")+SUMIFS($T$3:$T$1500,$A$3:$A$1500,A58,$S$3:$S$1500,"Jumbo bag (1.5 MT)")*1.5</f>
        <v>99</v>
      </c>
      <c r="AB58" s="25" cm="1">
        <f t="array" ref="AB58">SUMPRODUCT(($A$3:$A$1500=A58)*$W$3:$W$1500*$X$3:$X$1500)</f>
        <v>852390</v>
      </c>
      <c r="AC58" s="25">
        <f>SUMIFS($Y$3:$Y$1500,$A$3:$A$1500,A58)</f>
        <v>297000</v>
      </c>
      <c r="AD58" s="25">
        <f>SUMIFS($W$3:$W$1500,$A$3:$A$1500,A58)+AB58+AC58</f>
        <v>5884890</v>
      </c>
      <c r="AE58" s="21" t="str">
        <f>"PKR "&amp;TEXT(AD58,"#,##0")&amp;" only"</f>
        <v>PKR 5,884,890 only</v>
      </c>
      <c r="AF58" s="21" t="s">
        <v>1062</v>
      </c>
      <c r="AG58" s="29">
        <f>B58+15</f>
        <v>46154</v>
      </c>
      <c r="AH58" s="25">
        <f>SUMIFS('T15'!$BC$3:$BC$1499,'T15'!$AY$3:$AY$1499,A58,'T15'!$C$3:$C$1499,"Advance*")</f>
        <v>0</v>
      </c>
      <c r="AI58" s="25">
        <f>SUMIFS('T15'!$BC$3:$BC$1499,'T15'!$AY$3:$AY$1499,A58)+SUMIFS('T15'!$BD$3:$BD$1499,'T15'!$AY$3:$AY$1499,A58)+SUMIFS('T15'!$BE$3:$BE$1499,'T15'!$AY$3:$AY$1499,A58)</f>
        <v>5884890</v>
      </c>
      <c r="AJ58" s="21" t="str">
        <f ca="1">TEXT(AD58-AI58,"#,##0")&amp;" - "&amp;IF(AD58-AI58&lt;1,"Paid",IF(AI58&gt;0,"Partially paid",IF(AG58&lt;TODAY(),"Overdue","Open")))</f>
        <v>0 - Paid</v>
      </c>
      <c r="AK58" s="21" t="str" cm="1">
        <f t="array" ref="AK58">_xlfn.TEXTJOIN(", ",TRUE,_xlfn._xlws.FILTER('T15'!$A$3:$A$1499,'T15'!$AY$3:$AY$1499=A58,"None"))</f>
        <v>RCP-0051, RCP-0053</v>
      </c>
      <c r="AL58" s="21" t="s">
        <v>753</v>
      </c>
      <c r="AM58" s="21" t="s">
        <v>844</v>
      </c>
      <c r="AN58" s="21" t="s">
        <v>846</v>
      </c>
      <c r="AO58" s="21" t="s">
        <v>3069</v>
      </c>
      <c r="AP58" s="21" t="s">
        <v>844</v>
      </c>
    </row>
    <row r="59" spans="1:42" x14ac:dyDescent="0.3">
      <c r="A59" s="21" t="s">
        <v>2760</v>
      </c>
      <c r="B59" s="29">
        <v>46167</v>
      </c>
      <c r="C59" s="21" t="s">
        <v>3020</v>
      </c>
      <c r="D59" s="21" t="s">
        <v>3021</v>
      </c>
      <c r="E59" s="41" t="s">
        <v>4994</v>
      </c>
      <c r="F59" s="21" t="s">
        <v>1896</v>
      </c>
      <c r="G59" s="21" t="s">
        <v>1800</v>
      </c>
      <c r="H59" s="21" t="s">
        <v>1928</v>
      </c>
      <c r="I59" s="21" t="s">
        <v>1073</v>
      </c>
      <c r="J59" s="21" t="s">
        <v>844</v>
      </c>
      <c r="K59" s="21" t="s">
        <v>848</v>
      </c>
      <c r="L59" s="21" t="s">
        <v>3024</v>
      </c>
      <c r="M59" s="21" t="str" cm="1">
        <f t="array" ref="M59">_xlfn.TEXTJOIN(", ",TRUE,_xlfn.UNIQUE(_xlfn._xlws.FILTER('T14'!$A$3:$A$1500,'T14'!$AO$3:$AO$1500=A59,"")))</f>
        <v>DC-00190, DC-00192, DC-00193, DC-00195, DC-00197, DC-00199</v>
      </c>
      <c r="N59" s="25">
        <f>SUMIFS('T14'!$AD$3:$AD$1500,'T14'!$AO$3:$AO$1500,A59,'T14'!$AA$3:$AA$1500,Q59&amp;"*")</f>
        <v>2900</v>
      </c>
      <c r="O59" s="21" t="s">
        <v>1091</v>
      </c>
      <c r="P59" s="21">
        <v>1</v>
      </c>
      <c r="Q59" s="21" t="s">
        <v>831</v>
      </c>
      <c r="R59" s="21" t="s">
        <v>833</v>
      </c>
      <c r="S59" s="21" t="s">
        <v>1804</v>
      </c>
      <c r="T59" s="25">
        <f>SUMIFS('T14'!$AI$3:$AI$1500,'T14'!$AO$3:$AO$1500,A59,'T14'!$AA$3:$AA$1500,Q59&amp;"*")</f>
        <v>2894</v>
      </c>
      <c r="U59" s="25">
        <f>SUMIFS('T09'!$W$3:$W$1500,'T09'!$A$3:$A$1500,F59,'T09'!$T$3:$T$1500,Q59&amp;"*")</f>
        <v>1700</v>
      </c>
      <c r="V59" s="25">
        <f>T59*U59</f>
        <v>4919800</v>
      </c>
      <c r="W59" s="25">
        <f>V59</f>
        <v>4919800</v>
      </c>
      <c r="X59" s="23">
        <f>_xlfn.XLOOKUP(Q59,'T13'!$A$3:$A$1500,'T13'!$O$3:$O$1500)</f>
        <v>0.18</v>
      </c>
      <c r="Y59" s="25">
        <f>T59*IF(S59="MT",1000,IF(S59="Jumbo bag (1.5 MT)",1500,IF(S59="Bag (40 kg)",40,50)))*3</f>
        <v>434100</v>
      </c>
      <c r="Z59" s="21" t="str">
        <f>_xlfn.XLOOKUP(Q59,'T13'!$A$3:$A$1500,'T13'!$AA$3:$AA$1500)&amp;" / CC-SALES-LHR"</f>
        <v>4101 Sales - Cement bags / CC-SALES-LHR</v>
      </c>
      <c r="AA59" s="33">
        <f>SUMIFS($T$3:$T$1500,$A$3:$A$1500,A59,$S$3:$S$1500,"Bag (50 kg)")*0.05+SUMIFS($T$3:$T$1500,$A$3:$A$1500,A59,$S$3:$S$1500,"Bag (40 kg)")*0.04+SUMIFS($T$3:$T$1500,$A$3:$A$1500,A59,$S$3:$S$1500,"MT")+SUMIFS($T$3:$T$1500,$A$3:$A$1500,A59,$S$3:$S$1500,"Jumbo bag (1.5 MT)")*1.5</f>
        <v>144.70000000000002</v>
      </c>
      <c r="AB59" s="25" cm="1">
        <f t="array" ref="AB59">SUMPRODUCT(($A$3:$A$1500=A59)*$W$3:$W$1500*$X$3:$X$1500)</f>
        <v>885564</v>
      </c>
      <c r="AC59" s="25">
        <f>SUMIFS($Y$3:$Y$1500,$A$3:$A$1500,A59)</f>
        <v>434100</v>
      </c>
      <c r="AD59" s="25">
        <f>SUMIFS($W$3:$W$1500,$A$3:$A$1500,A59)+AB59+AC59</f>
        <v>6239464</v>
      </c>
      <c r="AE59" s="21" t="str">
        <f>"PKR "&amp;TEXT(AD59,"#,##0")&amp;" only"</f>
        <v>PKR 6,239,464 only</v>
      </c>
      <c r="AF59" s="21" t="s">
        <v>1051</v>
      </c>
      <c r="AG59" s="29">
        <f>B59+30</f>
        <v>46197</v>
      </c>
      <c r="AH59" s="25">
        <f>SUMIFS('T15'!$BC$3:$BC$1499,'T15'!$AY$3:$AY$1499,A59,'T15'!$C$3:$C$1499,"Advance*")</f>
        <v>0</v>
      </c>
      <c r="AI59" s="25">
        <f>SUMIFS('T15'!$BC$3:$BC$1499,'T15'!$AY$3:$AY$1499,A59)+SUMIFS('T15'!$BD$3:$BD$1499,'T15'!$AY$3:$AY$1499,A59)+SUMIFS('T15'!$BE$3:$BE$1499,'T15'!$AY$3:$AY$1499,A59)</f>
        <v>6239464</v>
      </c>
      <c r="AJ59" s="21" t="str">
        <f ca="1">TEXT(AD59-AI59,"#,##0")&amp;" - "&amp;IF(AD59-AI59&lt;1,"Paid",IF(AI59&gt;0,"Partially paid",IF(AG59&lt;TODAY(),"Overdue","Open")))</f>
        <v>0 - Paid</v>
      </c>
      <c r="AK59" s="21" t="str" cm="1">
        <f t="array" ref="AK59">_xlfn.TEXTJOIN(", ",TRUE,_xlfn._xlws.FILTER('T15'!$A$3:$A$1499,'T15'!$AY$3:$AY$1499=A59,"None"))</f>
        <v>RCP-0056, RCP-0058</v>
      </c>
      <c r="AL59" s="21" t="s">
        <v>753</v>
      </c>
      <c r="AM59" s="21" t="s">
        <v>844</v>
      </c>
      <c r="AN59" s="21" t="s">
        <v>846</v>
      </c>
      <c r="AO59" s="21" t="s">
        <v>3070</v>
      </c>
      <c r="AP59" s="21" t="s">
        <v>844</v>
      </c>
    </row>
    <row r="60" spans="1:42" x14ac:dyDescent="0.3">
      <c r="A60" s="21" t="s">
        <v>2754</v>
      </c>
      <c r="B60" s="29">
        <v>46170</v>
      </c>
      <c r="C60" s="21" t="s">
        <v>3020</v>
      </c>
      <c r="D60" s="21" t="s">
        <v>3021</v>
      </c>
      <c r="E60" s="41" t="s">
        <v>4994</v>
      </c>
      <c r="F60" s="21" t="s">
        <v>1895</v>
      </c>
      <c r="G60" s="21" t="s">
        <v>1830</v>
      </c>
      <c r="H60" s="21" t="s">
        <v>1140</v>
      </c>
      <c r="I60" s="21" t="s">
        <v>1133</v>
      </c>
      <c r="J60" s="21" t="s">
        <v>844</v>
      </c>
      <c r="K60" s="21" t="s">
        <v>3057</v>
      </c>
      <c r="L60" s="21" t="s">
        <v>3030</v>
      </c>
      <c r="M60" s="21" t="str" cm="1">
        <f t="array" ref="M60">_xlfn.TEXTJOIN(", ",TRUE,_xlfn.UNIQUE(_xlfn._xlws.FILTER('T14'!$A$3:$A$1500,'T14'!$AO$3:$AO$1500=A60,"")))</f>
        <v>DC-00189, DC-00191, DC-00194, DC-00196, DC-00198, DC-00200</v>
      </c>
      <c r="N60" s="25">
        <f>SUMIFS('T14'!$AD$3:$AD$1500,'T14'!$AO$3:$AO$1500,A60,'T14'!$AA$3:$AA$1500,Q60&amp;"*")</f>
        <v>225</v>
      </c>
      <c r="O60" s="21" t="s">
        <v>1091</v>
      </c>
      <c r="P60" s="21">
        <v>1</v>
      </c>
      <c r="Q60" s="21" t="s">
        <v>794</v>
      </c>
      <c r="R60" s="21" t="s">
        <v>795</v>
      </c>
      <c r="S60" s="21" t="s">
        <v>783</v>
      </c>
      <c r="T60" s="25">
        <f>SUMIFS('T14'!$AI$3:$AI$1500,'T14'!$AO$3:$AO$1500,A60,'T14'!$AA$3:$AA$1500,Q60&amp;"*")</f>
        <v>225</v>
      </c>
      <c r="U60" s="25">
        <f>SUMIFS('T09'!$W$3:$W$1500,'T09'!$A$3:$A$1500,F60,'T09'!$T$3:$T$1500,Q60&amp;"*")</f>
        <v>31250</v>
      </c>
      <c r="V60" s="25">
        <f>T60*U60</f>
        <v>7031250</v>
      </c>
      <c r="W60" s="25">
        <f>V60</f>
        <v>7031250</v>
      </c>
      <c r="X60" s="23">
        <f>_xlfn.XLOOKUP(Q60,'T13'!$A$3:$A$1500,'T13'!$O$3:$O$1500)</f>
        <v>0.18</v>
      </c>
      <c r="Y60" s="25">
        <f>T60*IF(S60="MT",1000,IF(S60="Jumbo bag (1.5 MT)",1500,IF(S60="Bag (40 kg)",40,50)))*3</f>
        <v>675000</v>
      </c>
      <c r="Z60" s="21" t="str">
        <f>_xlfn.XLOOKUP(Q60,'T13'!$A$3:$A$1500,'T13'!$AA$3:$AA$1500)&amp;" / CC-SALES-LHR"</f>
        <v>4102 Sales - Cement bulk / CC-SALES-LHR</v>
      </c>
      <c r="AA60" s="33">
        <f>SUMIFS($T$3:$T$1500,$A$3:$A$1500,A60,$S$3:$S$1500,"Bag (50 kg)")*0.05+SUMIFS($T$3:$T$1500,$A$3:$A$1500,A60,$S$3:$S$1500,"Bag (40 kg)")*0.04+SUMIFS($T$3:$T$1500,$A$3:$A$1500,A60,$S$3:$S$1500,"MT")+SUMIFS($T$3:$T$1500,$A$3:$A$1500,A60,$S$3:$S$1500,"Jumbo bag (1.5 MT)")*1.5</f>
        <v>225</v>
      </c>
      <c r="AB60" s="25" cm="1">
        <f t="array" ref="AB60">SUMPRODUCT(($A$3:$A$1500=A60)*$W$3:$W$1500*$X$3:$X$1500)</f>
        <v>1265625</v>
      </c>
      <c r="AC60" s="25">
        <f>SUMIFS($Y$3:$Y$1500,$A$3:$A$1500,A60)</f>
        <v>675000</v>
      </c>
      <c r="AD60" s="25">
        <f>SUMIFS($W$3:$W$1500,$A$3:$A$1500,A60)+AB60+AC60</f>
        <v>8971875</v>
      </c>
      <c r="AE60" s="21" t="str">
        <f>"PKR "&amp;TEXT(AD60,"#,##0")&amp;" only"</f>
        <v>PKR 8,971,875 only</v>
      </c>
      <c r="AF60" s="21" t="s">
        <v>1051</v>
      </c>
      <c r="AG60" s="29">
        <f>B60+30</f>
        <v>46200</v>
      </c>
      <c r="AH60" s="25">
        <f>SUMIFS('T15'!$BC$3:$BC$1499,'T15'!$AY$3:$AY$1499,A60,'T15'!$C$3:$C$1499,"Advance*")</f>
        <v>0</v>
      </c>
      <c r="AI60" s="25">
        <f>SUMIFS('T15'!$BC$3:$BC$1499,'T15'!$AY$3:$AY$1499,A60)+SUMIFS('T15'!$BD$3:$BD$1499,'T15'!$AY$3:$AY$1499,A60)+SUMIFS('T15'!$BE$3:$BE$1499,'T15'!$AY$3:$AY$1499,A60)</f>
        <v>3636364</v>
      </c>
      <c r="AJ60" s="21" t="str">
        <f ca="1">TEXT(AD60-AI60,"#,##0")&amp;" - "&amp;IF(AD60-AI60&lt;1,"Paid",IF(AI60&gt;0,"Partially paid",IF(AG60&lt;TODAY(),"Overdue","Open")))</f>
        <v>5,335,511 - Partially paid</v>
      </c>
      <c r="AK60" s="21" t="str" cm="1">
        <f t="array" ref="AK60">_xlfn.TEXTJOIN(", ",TRUE,_xlfn._xlws.FILTER('T15'!$A$3:$A$1499,'T15'!$AY$3:$AY$1499=A60,"None"))</f>
        <v>RCP-0055</v>
      </c>
      <c r="AL60" s="21" t="s">
        <v>753</v>
      </c>
      <c r="AM60" s="21" t="s">
        <v>753</v>
      </c>
      <c r="AN60" s="21" t="s">
        <v>753</v>
      </c>
      <c r="AO60" s="21" t="s">
        <v>3071</v>
      </c>
      <c r="AP60" s="21" t="s">
        <v>753</v>
      </c>
    </row>
    <row r="61" spans="1:42" x14ac:dyDescent="0.3">
      <c r="A61" s="21" t="s">
        <v>2799</v>
      </c>
      <c r="B61" s="29">
        <v>46198</v>
      </c>
      <c r="C61" s="21" t="s">
        <v>3020</v>
      </c>
      <c r="D61" s="21" t="s">
        <v>3021</v>
      </c>
      <c r="E61" s="41" t="s">
        <v>4994</v>
      </c>
      <c r="F61" s="21" t="s">
        <v>1898</v>
      </c>
      <c r="G61" s="21" t="s">
        <v>1835</v>
      </c>
      <c r="H61" s="21" t="s">
        <v>2204</v>
      </c>
      <c r="I61" s="21" t="s">
        <v>1055</v>
      </c>
      <c r="J61" s="21" t="s">
        <v>844</v>
      </c>
      <c r="K61" s="21" t="s">
        <v>848</v>
      </c>
      <c r="L61" s="21" t="s">
        <v>3043</v>
      </c>
      <c r="M61" s="21" t="str" cm="1">
        <f t="array" ref="M61">_xlfn.TEXTJOIN(", ",TRUE,_xlfn.UNIQUE(_xlfn._xlws.FILTER('T14'!$A$3:$A$1500,'T14'!$AO$3:$AO$1500=A61,"")))</f>
        <v>DC-00201, DC-00202, DC-00203, DC-00204, DC-00205</v>
      </c>
      <c r="N61" s="25">
        <f>SUMIFS('T14'!$AD$3:$AD$1500,'T14'!$AO$3:$AO$1500,A61,'T14'!$AA$3:$AA$1500,Q61&amp;"*")</f>
        <v>1850</v>
      </c>
      <c r="O61" s="21" t="s">
        <v>1091</v>
      </c>
      <c r="P61" s="21">
        <v>1</v>
      </c>
      <c r="Q61" s="21" t="s">
        <v>763</v>
      </c>
      <c r="R61" s="21" t="s">
        <v>766</v>
      </c>
      <c r="S61" s="21" t="s">
        <v>1804</v>
      </c>
      <c r="T61" s="25">
        <f>SUMIFS('T14'!$AI$3:$AI$1500,'T14'!$AO$3:$AO$1500,A61,'T14'!$AA$3:$AA$1500,Q61&amp;"*")</f>
        <v>1850</v>
      </c>
      <c r="U61" s="25">
        <f>SUMIFS('T09'!$W$3:$W$1500,'T09'!$A$3:$A$1500,F61,'T09'!$T$3:$T$1500,Q61&amp;"*")</f>
        <v>1555</v>
      </c>
      <c r="V61" s="25">
        <f>T61*U61</f>
        <v>2876750</v>
      </c>
      <c r="W61" s="25">
        <f>V61</f>
        <v>2876750</v>
      </c>
      <c r="X61" s="23">
        <f>_xlfn.XLOOKUP(Q61,'T13'!$A$3:$A$1500,'T13'!$O$3:$O$1500)</f>
        <v>0.18</v>
      </c>
      <c r="Y61" s="25">
        <f>T61*IF(S61="MT",1000,IF(S61="Jumbo bag (1.5 MT)",1500,IF(S61="Bag (40 kg)",40,50)))*3</f>
        <v>277500</v>
      </c>
      <c r="Z61" s="21" t="str">
        <f>_xlfn.XLOOKUP(Q61,'T13'!$A$3:$A$1500,'T13'!$AA$3:$AA$1500)&amp;" / CC-SALES-LHR"</f>
        <v>4101 Sales - Cement bags / CC-SALES-LHR</v>
      </c>
      <c r="AA61" s="33">
        <f>SUMIFS($T$3:$T$1500,$A$3:$A$1500,A61,$S$3:$S$1500,"Bag (50 kg)")*0.05+SUMIFS($T$3:$T$1500,$A$3:$A$1500,A61,$S$3:$S$1500,"Bag (40 kg)")*0.04+SUMIFS($T$3:$T$1500,$A$3:$A$1500,A61,$S$3:$S$1500,"MT")+SUMIFS($T$3:$T$1500,$A$3:$A$1500,A61,$S$3:$S$1500,"Jumbo bag (1.5 MT)")*1.5</f>
        <v>132.20000000000002</v>
      </c>
      <c r="AB61" s="25" cm="1">
        <f t="array" ref="AB61">SUMPRODUCT(($A$3:$A$1500=A61)*$W$3:$W$1500*$X$3:$X$1500)</f>
        <v>755863.2</v>
      </c>
      <c r="AC61" s="25">
        <f>SUMIFS($Y$3:$Y$1500,$A$3:$A$1500,A61)</f>
        <v>396600</v>
      </c>
      <c r="AD61" s="25">
        <f>SUMIFS($W$3:$W$1500,$A$3:$A$1500,A61)+AB61+AC61</f>
        <v>5351703.2</v>
      </c>
      <c r="AE61" s="21" t="str">
        <f>"PKR "&amp;TEXT(AD61,"#,##0")&amp;" only"</f>
        <v>PKR 5,351,703 only</v>
      </c>
      <c r="AF61" s="21" t="s">
        <v>1062</v>
      </c>
      <c r="AG61" s="29">
        <f>B61+15</f>
        <v>46213</v>
      </c>
      <c r="AH61" s="25">
        <f>SUMIFS('T15'!$BC$3:$BC$1499,'T15'!$AY$3:$AY$1499,A61,'T15'!$C$3:$C$1499,"Advance*")</f>
        <v>0</v>
      </c>
      <c r="AI61" s="25">
        <f>SUMIFS('T15'!$BC$3:$BC$1499,'T15'!$AY$3:$AY$1499,A61)+SUMIFS('T15'!$BD$3:$BD$1499,'T15'!$AY$3:$AY$1499,A61)+SUMIFS('T15'!$BE$3:$BE$1499,'T15'!$AY$3:$AY$1499,A61)</f>
        <v>2100000</v>
      </c>
      <c r="AJ61" s="21" t="str">
        <f ca="1">TEXT(AD61-AI61,"#,##0")&amp;" - "&amp;IF(AD61-AI61&lt;1,"Paid",IF(AI61&gt;0,"Partially paid",IF(AG61&lt;TODAY(),"Overdue","Open")))</f>
        <v>3,251,703 - Partially paid</v>
      </c>
      <c r="AK61" s="21" t="str" cm="1">
        <f t="array" ref="AK61">_xlfn.TEXTJOIN(", ",TRUE,_xlfn._xlws.FILTER('T15'!$A$3:$A$1499,'T15'!$AY$3:$AY$1499=A61,"None"))</f>
        <v>RCP-0057</v>
      </c>
      <c r="AL61" s="21" t="s">
        <v>753</v>
      </c>
      <c r="AM61" s="21" t="s">
        <v>844</v>
      </c>
      <c r="AN61" s="21" t="s">
        <v>846</v>
      </c>
      <c r="AO61" s="21" t="s">
        <v>3072</v>
      </c>
      <c r="AP61" s="21" t="s">
        <v>844</v>
      </c>
    </row>
    <row r="62" spans="1:42" x14ac:dyDescent="0.3">
      <c r="A62" s="21" t="s">
        <v>2799</v>
      </c>
      <c r="B62" s="29">
        <v>46198</v>
      </c>
      <c r="C62" s="21" t="s">
        <v>3020</v>
      </c>
      <c r="D62" s="21" t="s">
        <v>3021</v>
      </c>
      <c r="E62" s="41" t="s">
        <v>4994</v>
      </c>
      <c r="F62" s="21" t="s">
        <v>1898</v>
      </c>
      <c r="G62" s="21" t="s">
        <v>1835</v>
      </c>
      <c r="H62" s="21" t="s">
        <v>2204</v>
      </c>
      <c r="I62" s="21" t="s">
        <v>1055</v>
      </c>
      <c r="J62" s="21" t="s">
        <v>844</v>
      </c>
      <c r="K62" s="21" t="s">
        <v>848</v>
      </c>
      <c r="L62" s="21" t="s">
        <v>3043</v>
      </c>
      <c r="M62" s="21" t="str" cm="1">
        <f t="array" ref="M62">_xlfn.TEXTJOIN(", ",TRUE,_xlfn.UNIQUE(_xlfn._xlws.FILTER('T14'!$A$3:$A$1500,'T14'!$AO$3:$AO$1500=A62,"")))</f>
        <v>DC-00201, DC-00202, DC-00203, DC-00204, DC-00205</v>
      </c>
      <c r="N62" s="25">
        <f>SUMIFS('T14'!$AD$3:$AD$1500,'T14'!$AO$3:$AO$1500,A62,'T14'!$AA$3:$AA$1500,Q62&amp;"*")</f>
        <v>150</v>
      </c>
      <c r="O62" s="21" t="s">
        <v>1091</v>
      </c>
      <c r="P62" s="21">
        <v>2</v>
      </c>
      <c r="Q62" s="21" t="s">
        <v>820</v>
      </c>
      <c r="R62" s="21" t="s">
        <v>822</v>
      </c>
      <c r="S62" s="21" t="s">
        <v>1804</v>
      </c>
      <c r="T62" s="25">
        <f>SUMIFS('T14'!$AI$3:$AI$1500,'T14'!$AO$3:$AO$1500,A62,'T14'!$AA$3:$AA$1500,Q62&amp;"*")</f>
        <v>150</v>
      </c>
      <c r="U62" s="25">
        <f>SUMIFS('T09'!$W$3:$W$1500,'T09'!$A$3:$A$1500,F62,'T09'!$T$3:$T$1500,Q62&amp;"*")</f>
        <v>1475</v>
      </c>
      <c r="V62" s="25">
        <f>T62*U62</f>
        <v>221250</v>
      </c>
      <c r="W62" s="25">
        <f>V62</f>
        <v>221250</v>
      </c>
      <c r="X62" s="23">
        <f>_xlfn.XLOOKUP(Q62,'T13'!$A$3:$A$1500,'T13'!$O$3:$O$1500)</f>
        <v>0.18</v>
      </c>
      <c r="Y62" s="25">
        <f>T62*IF(S62="MT",1000,IF(S62="Jumbo bag (1.5 MT)",1500,IF(S62="Bag (40 kg)",40,50)))*3</f>
        <v>22500</v>
      </c>
      <c r="Z62" s="21" t="str">
        <f>_xlfn.XLOOKUP(Q62,'T13'!$A$3:$A$1500,'T13'!$AA$3:$AA$1500)&amp;" / CC-SALES-LHR"</f>
        <v>4101 Sales - Cement bags / CC-SALES-LHR</v>
      </c>
      <c r="AA62" s="33">
        <f>SUMIFS($T$3:$T$1500,$A$3:$A$1500,A62,$S$3:$S$1500,"Bag (50 kg)")*0.05+SUMIFS($T$3:$T$1500,$A$3:$A$1500,A62,$S$3:$S$1500,"Bag (40 kg)")*0.04+SUMIFS($T$3:$T$1500,$A$3:$A$1500,A62,$S$3:$S$1500,"MT")+SUMIFS($T$3:$T$1500,$A$3:$A$1500,A62,$S$3:$S$1500,"Jumbo bag (1.5 MT)")*1.5</f>
        <v>132.20000000000002</v>
      </c>
      <c r="AB62" s="25" cm="1">
        <f t="array" ref="AB62">SUMPRODUCT(($A$3:$A$1500=A62)*$W$3:$W$1500*$X$3:$X$1500)</f>
        <v>755863.2</v>
      </c>
      <c r="AC62" s="25">
        <f>SUMIFS($Y$3:$Y$1500,$A$3:$A$1500,A62)</f>
        <v>396600</v>
      </c>
      <c r="AD62" s="25">
        <f>SUMIFS($W$3:$W$1500,$A$3:$A$1500,A62)+AB62+AC62</f>
        <v>5351703.2</v>
      </c>
      <c r="AE62" s="21" t="str">
        <f>"PKR "&amp;TEXT(AD62,"#,##0")&amp;" only"</f>
        <v>PKR 5,351,703 only</v>
      </c>
      <c r="AF62" s="21" t="s">
        <v>1062</v>
      </c>
      <c r="AG62" s="29">
        <f>B62+15</f>
        <v>46213</v>
      </c>
      <c r="AH62" s="25">
        <f>SUMIFS('T15'!$BC$3:$BC$1499,'T15'!$AY$3:$AY$1499,A62,'T15'!$C$3:$C$1499,"Advance*")</f>
        <v>0</v>
      </c>
      <c r="AI62" s="25">
        <f>SUMIFS('T15'!$BC$3:$BC$1499,'T15'!$AY$3:$AY$1499,A62)+SUMIFS('T15'!$BD$3:$BD$1499,'T15'!$AY$3:$AY$1499,A62)+SUMIFS('T15'!$BE$3:$BE$1499,'T15'!$AY$3:$AY$1499,A62)</f>
        <v>2100000</v>
      </c>
      <c r="AJ62" s="21" t="str">
        <f ca="1">TEXT(AD62-AI62,"#,##0")&amp;" - "&amp;IF(AD62-AI62&lt;1,"Paid",IF(AI62&gt;0,"Partially paid",IF(AG62&lt;TODAY(),"Overdue","Open")))</f>
        <v>3,251,703 - Partially paid</v>
      </c>
      <c r="AK62" s="21" t="str" cm="1">
        <f t="array" ref="AK62">_xlfn.TEXTJOIN(", ",TRUE,_xlfn._xlws.FILTER('T15'!$A$3:$A$1499,'T15'!$AY$3:$AY$1499=A62,"None"))</f>
        <v>RCP-0057</v>
      </c>
      <c r="AL62" s="21" t="s">
        <v>753</v>
      </c>
      <c r="AM62" s="21" t="s">
        <v>844</v>
      </c>
      <c r="AN62" s="21" t="s">
        <v>846</v>
      </c>
      <c r="AO62" s="21" t="s">
        <v>3072</v>
      </c>
      <c r="AP62" s="21" t="s">
        <v>844</v>
      </c>
    </row>
    <row r="63" spans="1:42" x14ac:dyDescent="0.3">
      <c r="A63" s="21" t="s">
        <v>2799</v>
      </c>
      <c r="B63" s="29">
        <v>46198</v>
      </c>
      <c r="C63" s="21" t="s">
        <v>3020</v>
      </c>
      <c r="D63" s="21" t="s">
        <v>3021</v>
      </c>
      <c r="E63" s="41" t="s">
        <v>4994</v>
      </c>
      <c r="F63" s="21" t="s">
        <v>1898</v>
      </c>
      <c r="G63" s="21" t="s">
        <v>1835</v>
      </c>
      <c r="H63" s="21" t="s">
        <v>2204</v>
      </c>
      <c r="I63" s="21" t="s">
        <v>1055</v>
      </c>
      <c r="J63" s="21" t="s">
        <v>844</v>
      </c>
      <c r="K63" s="21" t="s">
        <v>848</v>
      </c>
      <c r="L63" s="21" t="s">
        <v>3043</v>
      </c>
      <c r="M63" s="21" t="str" cm="1">
        <f t="array" ref="M63">_xlfn.TEXTJOIN(", ",TRUE,_xlfn.UNIQUE(_xlfn._xlws.FILTER('T14'!$A$3:$A$1500,'T14'!$AO$3:$AO$1500=A63,"")))</f>
        <v>DC-00201, DC-00202, DC-00203, DC-00204, DC-00205</v>
      </c>
      <c r="N63" s="25">
        <f>SUMIFS('T14'!$AD$3:$AD$1500,'T14'!$AO$3:$AO$1500,A63,'T14'!$AA$3:$AA$1500,Q63&amp;"*")</f>
        <v>650</v>
      </c>
      <c r="O63" s="21" t="s">
        <v>1091</v>
      </c>
      <c r="P63" s="21">
        <v>3</v>
      </c>
      <c r="Q63" s="21" t="s">
        <v>831</v>
      </c>
      <c r="R63" s="21" t="s">
        <v>833</v>
      </c>
      <c r="S63" s="21" t="s">
        <v>1804</v>
      </c>
      <c r="T63" s="25">
        <f>SUMIFS('T14'!$AI$3:$AI$1500,'T14'!$AO$3:$AO$1500,A63,'T14'!$AA$3:$AA$1500,Q63&amp;"*")</f>
        <v>644</v>
      </c>
      <c r="U63" s="25">
        <f>SUMIFS('T09'!$W$3:$W$1500,'T09'!$A$3:$A$1500,F63,'T09'!$T$3:$T$1500,Q63&amp;"*")</f>
        <v>1710</v>
      </c>
      <c r="V63" s="25">
        <f>T63*U63</f>
        <v>1101240</v>
      </c>
      <c r="W63" s="25">
        <f>V63</f>
        <v>1101240</v>
      </c>
      <c r="X63" s="23">
        <f>_xlfn.XLOOKUP(Q63,'T13'!$A$3:$A$1500,'T13'!$O$3:$O$1500)</f>
        <v>0.18</v>
      </c>
      <c r="Y63" s="25">
        <f>T63*IF(S63="MT",1000,IF(S63="Jumbo bag (1.5 MT)",1500,IF(S63="Bag (40 kg)",40,50)))*3</f>
        <v>96600</v>
      </c>
      <c r="Z63" s="21" t="str">
        <f>_xlfn.XLOOKUP(Q63,'T13'!$A$3:$A$1500,'T13'!$AA$3:$AA$1500)&amp;" / CC-SALES-LHR"</f>
        <v>4101 Sales - Cement bags / CC-SALES-LHR</v>
      </c>
      <c r="AA63" s="33">
        <f>SUMIFS($T$3:$T$1500,$A$3:$A$1500,A63,$S$3:$S$1500,"Bag (50 kg)")*0.05+SUMIFS($T$3:$T$1500,$A$3:$A$1500,A63,$S$3:$S$1500,"Bag (40 kg)")*0.04+SUMIFS($T$3:$T$1500,$A$3:$A$1500,A63,$S$3:$S$1500,"MT")+SUMIFS($T$3:$T$1500,$A$3:$A$1500,A63,$S$3:$S$1500,"Jumbo bag (1.5 MT)")*1.5</f>
        <v>132.20000000000002</v>
      </c>
      <c r="AB63" s="25" cm="1">
        <f t="array" ref="AB63">SUMPRODUCT(($A$3:$A$1500=A63)*$W$3:$W$1500*$X$3:$X$1500)</f>
        <v>755863.2</v>
      </c>
      <c r="AC63" s="25">
        <f>SUMIFS($Y$3:$Y$1500,$A$3:$A$1500,A63)</f>
        <v>396600</v>
      </c>
      <c r="AD63" s="25">
        <f>SUMIFS($W$3:$W$1500,$A$3:$A$1500,A63)+AB63+AC63</f>
        <v>5351703.2</v>
      </c>
      <c r="AE63" s="21" t="str">
        <f>"PKR "&amp;TEXT(AD63,"#,##0")&amp;" only"</f>
        <v>PKR 5,351,703 only</v>
      </c>
      <c r="AF63" s="21" t="s">
        <v>1062</v>
      </c>
      <c r="AG63" s="29">
        <f>B63+15</f>
        <v>46213</v>
      </c>
      <c r="AH63" s="25">
        <f>SUMIFS('T15'!$BC$3:$BC$1499,'T15'!$AY$3:$AY$1499,A63,'T15'!$C$3:$C$1499,"Advance*")</f>
        <v>0</v>
      </c>
      <c r="AI63" s="25">
        <f>SUMIFS('T15'!$BC$3:$BC$1499,'T15'!$AY$3:$AY$1499,A63)+SUMIFS('T15'!$BD$3:$BD$1499,'T15'!$AY$3:$AY$1499,A63)+SUMIFS('T15'!$BE$3:$BE$1499,'T15'!$AY$3:$AY$1499,A63)</f>
        <v>2100000</v>
      </c>
      <c r="AJ63" s="21" t="str">
        <f ca="1">TEXT(AD63-AI63,"#,##0")&amp;" - "&amp;IF(AD63-AI63&lt;1,"Paid",IF(AI63&gt;0,"Partially paid",IF(AG63&lt;TODAY(),"Overdue","Open")))</f>
        <v>3,251,703 - Partially paid</v>
      </c>
      <c r="AK63" s="21" t="str" cm="1">
        <f t="array" ref="AK63">_xlfn.TEXTJOIN(", ",TRUE,_xlfn._xlws.FILTER('T15'!$A$3:$A$1499,'T15'!$AY$3:$AY$1499=A63,"None"))</f>
        <v>RCP-0057</v>
      </c>
      <c r="AL63" s="21" t="s">
        <v>753</v>
      </c>
      <c r="AM63" s="21" t="s">
        <v>844</v>
      </c>
      <c r="AN63" s="21" t="s">
        <v>846</v>
      </c>
      <c r="AO63" s="21" t="s">
        <v>3072</v>
      </c>
      <c r="AP63" s="21" t="s">
        <v>844</v>
      </c>
    </row>
    <row r="64" spans="1:42" x14ac:dyDescent="0.3">
      <c r="A64" s="21" t="s">
        <v>2829</v>
      </c>
      <c r="B64" s="29">
        <v>46228</v>
      </c>
      <c r="C64" s="21" t="s">
        <v>3020</v>
      </c>
      <c r="D64" s="21" t="s">
        <v>3021</v>
      </c>
      <c r="E64" s="41" t="s">
        <v>4994</v>
      </c>
      <c r="F64" s="21" t="s">
        <v>1899</v>
      </c>
      <c r="G64" s="21" t="s">
        <v>1800</v>
      </c>
      <c r="H64" s="21" t="s">
        <v>1928</v>
      </c>
      <c r="I64" s="21" t="s">
        <v>1073</v>
      </c>
      <c r="J64" s="21" t="s">
        <v>844</v>
      </c>
      <c r="K64" s="21" t="s">
        <v>848</v>
      </c>
      <c r="L64" s="21" t="s">
        <v>3024</v>
      </c>
      <c r="M64" s="21" t="str" cm="1">
        <f t="array" ref="M64">_xlfn.TEXTJOIN(", ",TRUE,_xlfn.UNIQUE(_xlfn._xlws.FILTER('T14'!$A$3:$A$1500,'T14'!$AO$3:$AO$1500=A64,"")))</f>
        <v>DC-00207, DC-00209, DC-00211, DC-00214, DC-00215, DC-00217</v>
      </c>
      <c r="N64" s="25">
        <f>SUMIFS('T14'!$AD$3:$AD$1500,'T14'!$AO$3:$AO$1500,A64,'T14'!$AA$3:$AA$1500,Q64&amp;"*")</f>
        <v>1350</v>
      </c>
      <c r="O64" s="21" t="s">
        <v>1091</v>
      </c>
      <c r="P64" s="21">
        <v>1</v>
      </c>
      <c r="Q64" s="21" t="s">
        <v>788</v>
      </c>
      <c r="R64" s="21" t="s">
        <v>790</v>
      </c>
      <c r="S64" s="21" t="s">
        <v>1804</v>
      </c>
      <c r="T64" s="25">
        <f>SUMIFS('T14'!$AI$3:$AI$1500,'T14'!$AO$3:$AO$1500,A64,'T14'!$AA$3:$AA$1500,Q64&amp;"*")</f>
        <v>1346</v>
      </c>
      <c r="U64" s="25">
        <f>SUMIFS('T09'!$W$3:$W$1500,'T09'!$A$3:$A$1500,F64,'T09'!$T$3:$T$1500,Q64&amp;"*")</f>
        <v>1640</v>
      </c>
      <c r="V64" s="25">
        <f>T64*U64</f>
        <v>2207440</v>
      </c>
      <c r="W64" s="25">
        <f>V64</f>
        <v>2207440</v>
      </c>
      <c r="X64" s="23">
        <f>_xlfn.XLOOKUP(Q64,'T13'!$A$3:$A$1500,'T13'!$O$3:$O$1500)</f>
        <v>0.18</v>
      </c>
      <c r="Y64" s="25">
        <f>T64*IF(S64="MT",1000,IF(S64="Jumbo bag (1.5 MT)",1500,IF(S64="Bag (40 kg)",40,50)))*3</f>
        <v>201900</v>
      </c>
      <c r="Z64" s="21" t="str">
        <f>_xlfn.XLOOKUP(Q64,'T13'!$A$3:$A$1500,'T13'!$AA$3:$AA$1500)&amp;" / CC-SALES-LHR"</f>
        <v>4101 Sales - Cement bags / CC-SALES-LHR</v>
      </c>
      <c r="AA64" s="33">
        <f>SUMIFS($T$3:$T$1500,$A$3:$A$1500,A64,$S$3:$S$1500,"Bag (50 kg)")*0.05+SUMIFS($T$3:$T$1500,$A$3:$A$1500,A64,$S$3:$S$1500,"Bag (40 kg)")*0.04+SUMIFS($T$3:$T$1500,$A$3:$A$1500,A64,$S$3:$S$1500,"MT")+SUMIFS($T$3:$T$1500,$A$3:$A$1500,A64,$S$3:$S$1500,"Jumbo bag (1.5 MT)")*1.5</f>
        <v>148.82</v>
      </c>
      <c r="AB64" s="25" cm="1">
        <f t="array" ref="AB64">SUMPRODUCT(($A$3:$A$1500=A64)*$W$3:$W$1500*$X$3:$X$1500)</f>
        <v>1453838.4</v>
      </c>
      <c r="AC64" s="25">
        <f>SUMIFS($Y$3:$Y$1500,$A$3:$A$1500,A64)</f>
        <v>446460</v>
      </c>
      <c r="AD64" s="25">
        <f>SUMIFS($W$3:$W$1500,$A$3:$A$1500,A64)+AB64+AC64</f>
        <v>9977178.4000000004</v>
      </c>
      <c r="AE64" s="21" t="str">
        <f>"PKR "&amp;TEXT(AD64,"#,##0")&amp;" only"</f>
        <v>PKR 9,977,178 only</v>
      </c>
      <c r="AF64" s="21" t="s">
        <v>1051</v>
      </c>
      <c r="AG64" s="29">
        <f>B64+30</f>
        <v>46258</v>
      </c>
      <c r="AH64" s="25">
        <f>SUMIFS('T15'!$BC$3:$BC$1499,'T15'!$AY$3:$AY$1499,A64,'T15'!$C$3:$C$1499,"Advance*")</f>
        <v>0</v>
      </c>
      <c r="AI64" s="25">
        <f>SUMIFS('T15'!$BC$3:$BC$1499,'T15'!$AY$3:$AY$1499,A64)+SUMIFS('T15'!$BD$3:$BD$1499,'T15'!$AY$3:$AY$1499,A64)+SUMIFS('T15'!$BE$3:$BE$1499,'T15'!$AY$3:$AY$1499,A64)</f>
        <v>4000000</v>
      </c>
      <c r="AJ64" s="21" t="str">
        <f ca="1">TEXT(AD64-AI64,"#,##0")&amp;" - "&amp;IF(AD64-AI64&lt;1,"Paid",IF(AI64&gt;0,"Partially paid",IF(AG64&lt;TODAY(),"Overdue","Open")))</f>
        <v>5,977,178 - Partially paid</v>
      </c>
      <c r="AK64" s="21" t="str" cm="1">
        <f t="array" ref="AK64">_xlfn.TEXTJOIN(", ",TRUE,_xlfn._xlws.FILTER('T15'!$A$3:$A$1499,'T15'!$AY$3:$AY$1499=A64,"None"))</f>
        <v>RCP-0060</v>
      </c>
      <c r="AL64" s="21" t="s">
        <v>753</v>
      </c>
      <c r="AM64" s="21" t="s">
        <v>844</v>
      </c>
      <c r="AN64" s="21" t="s">
        <v>846</v>
      </c>
      <c r="AO64" s="21" t="s">
        <v>3073</v>
      </c>
      <c r="AP64" s="21" t="s">
        <v>844</v>
      </c>
    </row>
    <row r="65" spans="1:42" x14ac:dyDescent="0.3">
      <c r="A65" s="21" t="s">
        <v>2829</v>
      </c>
      <c r="B65" s="29">
        <v>46228</v>
      </c>
      <c r="C65" s="21" t="s">
        <v>3020</v>
      </c>
      <c r="D65" s="21" t="s">
        <v>3021</v>
      </c>
      <c r="E65" s="41" t="s">
        <v>4994</v>
      </c>
      <c r="F65" s="21" t="s">
        <v>1899</v>
      </c>
      <c r="G65" s="21" t="s">
        <v>1800</v>
      </c>
      <c r="H65" s="21" t="s">
        <v>1928</v>
      </c>
      <c r="I65" s="21" t="s">
        <v>1073</v>
      </c>
      <c r="J65" s="21" t="s">
        <v>844</v>
      </c>
      <c r="K65" s="21" t="s">
        <v>848</v>
      </c>
      <c r="L65" s="21" t="s">
        <v>3024</v>
      </c>
      <c r="M65" s="21" t="str" cm="1">
        <f t="array" ref="M65">_xlfn.TEXTJOIN(", ",TRUE,_xlfn.UNIQUE(_xlfn._xlws.FILTER('T14'!$A$3:$A$1500,'T14'!$AO$3:$AO$1500=A65,"")))</f>
        <v>DC-00207, DC-00209, DC-00211, DC-00214, DC-00215, DC-00217</v>
      </c>
      <c r="N65" s="25">
        <f>SUMIFS('T14'!$AD$3:$AD$1500,'T14'!$AO$3:$AO$1500,A65,'T14'!$AA$3:$AA$1500,Q65&amp;"*")</f>
        <v>2050</v>
      </c>
      <c r="O65" s="21" t="s">
        <v>1091</v>
      </c>
      <c r="P65" s="21">
        <v>2</v>
      </c>
      <c r="Q65" s="21" t="s">
        <v>812</v>
      </c>
      <c r="R65" s="21" t="s">
        <v>814</v>
      </c>
      <c r="S65" s="21" t="s">
        <v>1841</v>
      </c>
      <c r="T65" s="25">
        <f>SUMIFS('T14'!$AI$3:$AI$1500,'T14'!$AO$3:$AO$1500,A65,'T14'!$AA$3:$AA$1500,Q65&amp;"*")</f>
        <v>2038</v>
      </c>
      <c r="U65" s="25">
        <f>SUMIFS('T09'!$W$3:$W$1500,'T09'!$A$3:$A$1500,F65,'T09'!$T$3:$T$1500,Q65&amp;"*")</f>
        <v>2880</v>
      </c>
      <c r="V65" s="25">
        <f>T65*U65</f>
        <v>5869440</v>
      </c>
      <c r="W65" s="25">
        <f>V65</f>
        <v>5869440</v>
      </c>
      <c r="X65" s="23">
        <f>_xlfn.XLOOKUP(Q65,'T13'!$A$3:$A$1500,'T13'!$O$3:$O$1500)</f>
        <v>0.18</v>
      </c>
      <c r="Y65" s="25">
        <f>T65*IF(S65="MT",1000,IF(S65="Jumbo bag (1.5 MT)",1500,IF(S65="Bag (40 kg)",40,50)))*3</f>
        <v>244560</v>
      </c>
      <c r="Z65" s="21" t="str">
        <f>_xlfn.XLOOKUP(Q65,'T13'!$A$3:$A$1500,'T13'!$AA$3:$AA$1500)&amp;" / CC-SALES-LHR"</f>
        <v>4101 Sales - Cement bags / CC-SALES-LHR</v>
      </c>
      <c r="AA65" s="33">
        <f>SUMIFS($T$3:$T$1500,$A$3:$A$1500,A65,$S$3:$S$1500,"Bag (50 kg)")*0.05+SUMIFS($T$3:$T$1500,$A$3:$A$1500,A65,$S$3:$S$1500,"Bag (40 kg)")*0.04+SUMIFS($T$3:$T$1500,$A$3:$A$1500,A65,$S$3:$S$1500,"MT")+SUMIFS($T$3:$T$1500,$A$3:$A$1500,A65,$S$3:$S$1500,"Jumbo bag (1.5 MT)")*1.5</f>
        <v>148.82</v>
      </c>
      <c r="AB65" s="25" cm="1">
        <f t="array" ref="AB65">SUMPRODUCT(($A$3:$A$1500=A65)*$W$3:$W$1500*$X$3:$X$1500)</f>
        <v>1453838.4</v>
      </c>
      <c r="AC65" s="25">
        <f>SUMIFS($Y$3:$Y$1500,$A$3:$A$1500,A65)</f>
        <v>446460</v>
      </c>
      <c r="AD65" s="25">
        <f>SUMIFS($W$3:$W$1500,$A$3:$A$1500,A65)+AB65+AC65</f>
        <v>9977178.4000000004</v>
      </c>
      <c r="AE65" s="21" t="str">
        <f>"PKR "&amp;TEXT(AD65,"#,##0")&amp;" only"</f>
        <v>PKR 9,977,178 only</v>
      </c>
      <c r="AF65" s="21" t="s">
        <v>1051</v>
      </c>
      <c r="AG65" s="29">
        <f>B65+30</f>
        <v>46258</v>
      </c>
      <c r="AH65" s="25">
        <f>SUMIFS('T15'!$BC$3:$BC$1499,'T15'!$AY$3:$AY$1499,A65,'T15'!$C$3:$C$1499,"Advance*")</f>
        <v>0</v>
      </c>
      <c r="AI65" s="25">
        <f>SUMIFS('T15'!$BC$3:$BC$1499,'T15'!$AY$3:$AY$1499,A65)+SUMIFS('T15'!$BD$3:$BD$1499,'T15'!$AY$3:$AY$1499,A65)+SUMIFS('T15'!$BE$3:$BE$1499,'T15'!$AY$3:$AY$1499,A65)</f>
        <v>4000000</v>
      </c>
      <c r="AJ65" s="21" t="str">
        <f ca="1">TEXT(AD65-AI65,"#,##0")&amp;" - "&amp;IF(AD65-AI65&lt;1,"Paid",IF(AI65&gt;0,"Partially paid",IF(AG65&lt;TODAY(),"Overdue","Open")))</f>
        <v>5,977,178 - Partially paid</v>
      </c>
      <c r="AK65" s="21" t="str" cm="1">
        <f t="array" ref="AK65">_xlfn.TEXTJOIN(", ",TRUE,_xlfn._xlws.FILTER('T15'!$A$3:$A$1499,'T15'!$AY$3:$AY$1499=A65,"None"))</f>
        <v>RCP-0060</v>
      </c>
      <c r="AL65" s="21" t="s">
        <v>753</v>
      </c>
      <c r="AM65" s="21" t="s">
        <v>844</v>
      </c>
      <c r="AN65" s="21" t="s">
        <v>846</v>
      </c>
      <c r="AO65" s="21" t="s">
        <v>3073</v>
      </c>
      <c r="AP65" s="21" t="s">
        <v>844</v>
      </c>
    </row>
    <row r="66" spans="1:42" x14ac:dyDescent="0.3">
      <c r="A66" s="21" t="s">
        <v>2823</v>
      </c>
      <c r="B66" s="29">
        <v>46230</v>
      </c>
      <c r="C66" s="21" t="s">
        <v>3020</v>
      </c>
      <c r="D66" s="21" t="s">
        <v>3021</v>
      </c>
      <c r="E66" s="41" t="s">
        <v>4994</v>
      </c>
      <c r="F66" s="21" t="s">
        <v>1900</v>
      </c>
      <c r="G66" s="21" t="s">
        <v>1844</v>
      </c>
      <c r="H66" s="21" t="s">
        <v>2064</v>
      </c>
      <c r="I66" s="21" t="s">
        <v>3033</v>
      </c>
      <c r="J66" s="21" t="s">
        <v>3034</v>
      </c>
      <c r="K66" s="21" t="s">
        <v>848</v>
      </c>
      <c r="L66" s="21" t="s">
        <v>3035</v>
      </c>
      <c r="M66" s="21" t="str" cm="1">
        <f t="array" ref="M66">_xlfn.TEXTJOIN(", ",TRUE,_xlfn.UNIQUE(_xlfn._xlws.FILTER('T14'!$A$3:$A$1500,'T14'!$AO$3:$AO$1500=A66,"")))</f>
        <v>DC-00206, DC-00208, DC-00210, DC-00212, DC-00213, DC-00216, DC-00218</v>
      </c>
      <c r="N66" s="25">
        <f>SUMIFS('T14'!$AD$3:$AD$1500,'T14'!$AO$3:$AO$1500,A66,'T14'!$AA$3:$AA$1500,Q66&amp;"*")</f>
        <v>4700</v>
      </c>
      <c r="O66" s="21" t="s">
        <v>1091</v>
      </c>
      <c r="P66" s="21">
        <v>1</v>
      </c>
      <c r="Q66" s="21" t="s">
        <v>812</v>
      </c>
      <c r="R66" s="21" t="s">
        <v>814</v>
      </c>
      <c r="S66" s="21" t="s">
        <v>1841</v>
      </c>
      <c r="T66" s="25">
        <f>SUMIFS('T14'!$AI$3:$AI$1500,'T14'!$AO$3:$AO$1500,A66,'T14'!$AA$3:$AA$1500,Q66&amp;"*")</f>
        <v>4700</v>
      </c>
      <c r="U66" s="25">
        <f>SUMIFS('T09'!$W$3:$W$1500,'T09'!$A$3:$A$1500,F66,'T09'!$T$3:$T$1500,Q66&amp;"*")</f>
        <v>2880</v>
      </c>
      <c r="V66" s="25">
        <f>T66*U66</f>
        <v>13536000</v>
      </c>
      <c r="W66" s="25">
        <f>V66</f>
        <v>13536000</v>
      </c>
      <c r="X66" s="23">
        <f>_xlfn.XLOOKUP(Q66,'T13'!$A$3:$A$1500,'T13'!$O$3:$O$1500)</f>
        <v>0.18</v>
      </c>
      <c r="Y66" s="25">
        <f>T66*IF(S66="MT",1000,IF(S66="Jumbo bag (1.5 MT)",1500,IF(S66="Bag (40 kg)",40,50)))*3</f>
        <v>564000</v>
      </c>
      <c r="Z66" s="21" t="str">
        <f>_xlfn.XLOOKUP(Q66,'T13'!$A$3:$A$1500,'T13'!$AA$3:$AA$1500)&amp;" / CC-SALES-LHR"</f>
        <v>4101 Sales - Cement bags / CC-SALES-LHR</v>
      </c>
      <c r="AA66" s="33">
        <f>SUMIFS($T$3:$T$1500,$A$3:$A$1500,A66,$S$3:$S$1500,"Bag (50 kg)")*0.05+SUMIFS($T$3:$T$1500,$A$3:$A$1500,A66,$S$3:$S$1500,"Bag (40 kg)")*0.04+SUMIFS($T$3:$T$1500,$A$3:$A$1500,A66,$S$3:$S$1500,"MT")+SUMIFS($T$3:$T$1500,$A$3:$A$1500,A66,$S$3:$S$1500,"Jumbo bag (1.5 MT)")*1.5</f>
        <v>188</v>
      </c>
      <c r="AB66" s="25" cm="1">
        <f t="array" ref="AB66">SUMPRODUCT(($A$3:$A$1500=A66)*$W$3:$W$1500*$X$3:$X$1500)</f>
        <v>2436480</v>
      </c>
      <c r="AC66" s="25">
        <f>SUMIFS($Y$3:$Y$1500,$A$3:$A$1500,A66)</f>
        <v>564000</v>
      </c>
      <c r="AD66" s="25">
        <f>SUMIFS($W$3:$W$1500,$A$3:$A$1500,A66)+AB66+AC66</f>
        <v>16536480</v>
      </c>
      <c r="AE66" s="21" t="str">
        <f>"PKR "&amp;TEXT(AD66,"#,##0")&amp;" only"</f>
        <v>PKR 16,536,480 only</v>
      </c>
      <c r="AF66" s="21" t="s">
        <v>1071</v>
      </c>
      <c r="AG66" s="29">
        <f>B66+0</f>
        <v>46230</v>
      </c>
      <c r="AH66" s="25">
        <f>SUMIFS('T15'!$BC$3:$BC$1499,'T15'!$AY$3:$AY$1499,A66,'T15'!$C$3:$C$1499,"Advance*")</f>
        <v>16536480</v>
      </c>
      <c r="AI66" s="25">
        <f>SUMIFS('T15'!$BC$3:$BC$1499,'T15'!$AY$3:$AY$1499,A66)+SUMIFS('T15'!$BD$3:$BD$1499,'T15'!$AY$3:$AY$1499,A66)+SUMIFS('T15'!$BE$3:$BE$1499,'T15'!$AY$3:$AY$1499,A66)</f>
        <v>16536480</v>
      </c>
      <c r="AJ66" s="21" t="str">
        <f ca="1">TEXT(AD66-AI66,"#,##0")&amp;" - "&amp;IF(AD66-AI66&lt;1,"Paid",IF(AI66&gt;0,"Partially paid",IF(AG66&lt;TODAY(),"Overdue","Open")))</f>
        <v>0 - Paid</v>
      </c>
      <c r="AK66" s="21" t="str" cm="1">
        <f t="array" ref="AK66">_xlfn.TEXTJOIN(", ",TRUE,_xlfn._xlws.FILTER('T15'!$A$3:$A$1499,'T15'!$AY$3:$AY$1499=A66,"None"))</f>
        <v>RCP-0059</v>
      </c>
      <c r="AL66" s="21" t="s">
        <v>753</v>
      </c>
      <c r="AM66" s="21" t="s">
        <v>844</v>
      </c>
      <c r="AN66" s="21" t="s">
        <v>846</v>
      </c>
      <c r="AO66" s="21" t="s">
        <v>3074</v>
      </c>
      <c r="AP66" s="21" t="s">
        <v>844</v>
      </c>
    </row>
    <row r="67" spans="1:42" x14ac:dyDescent="0.3">
      <c r="A67" s="21" t="s">
        <v>2877</v>
      </c>
      <c r="B67" s="29">
        <v>46257</v>
      </c>
      <c r="C67" s="21" t="s">
        <v>3020</v>
      </c>
      <c r="D67" s="21" t="s">
        <v>3021</v>
      </c>
      <c r="E67" s="41" t="s">
        <v>4994</v>
      </c>
      <c r="F67" s="21" t="s">
        <v>1901</v>
      </c>
      <c r="G67" s="21" t="s">
        <v>1857</v>
      </c>
      <c r="H67" s="21" t="s">
        <v>2189</v>
      </c>
      <c r="I67" s="21" t="s">
        <v>1115</v>
      </c>
      <c r="J67" s="21" t="s">
        <v>844</v>
      </c>
      <c r="K67" s="21" t="s">
        <v>848</v>
      </c>
      <c r="L67" s="21" t="s">
        <v>3045</v>
      </c>
      <c r="M67" s="21" t="str" cm="1">
        <f t="array" ref="M67">_xlfn.TEXTJOIN(", ",TRUE,_xlfn.UNIQUE(_xlfn._xlws.FILTER('T14'!$A$3:$A$1500,'T14'!$AO$3:$AO$1500=A67,"")))</f>
        <v>DC-00219, DC-00221, DC-00223, DC-00225, DC-00227, DC-00228</v>
      </c>
      <c r="N67" s="25">
        <f>SUMIFS('T14'!$AD$3:$AD$1500,'T14'!$AO$3:$AO$1500,A67,'T14'!$AA$3:$AA$1500,Q67&amp;"*")</f>
        <v>1700</v>
      </c>
      <c r="O67" s="21" t="s">
        <v>1117</v>
      </c>
      <c r="P67" s="21">
        <v>1</v>
      </c>
      <c r="Q67" s="21" t="s">
        <v>788</v>
      </c>
      <c r="R67" s="21" t="s">
        <v>790</v>
      </c>
      <c r="S67" s="21" t="s">
        <v>1804</v>
      </c>
      <c r="T67" s="25">
        <f>SUMIFS('T14'!$AI$3:$AI$1500,'T14'!$AO$3:$AO$1500,A67,'T14'!$AA$3:$AA$1500,Q67&amp;"*")</f>
        <v>1697</v>
      </c>
      <c r="U67" s="25">
        <f>SUMIFS('T09'!$W$3:$W$1500,'T09'!$A$3:$A$1500,F67,'T09'!$T$3:$T$1500,Q67&amp;"*")</f>
        <v>1645</v>
      </c>
      <c r="V67" s="25">
        <f>T67*U67</f>
        <v>2791565</v>
      </c>
      <c r="W67" s="25">
        <f>V67</f>
        <v>2791565</v>
      </c>
      <c r="X67" s="23">
        <f>_xlfn.XLOOKUP(Q67,'T13'!$A$3:$A$1500,'T13'!$O$3:$O$1500)</f>
        <v>0.18</v>
      </c>
      <c r="Y67" s="25">
        <f>T67*IF(S67="MT",1000,IF(S67="Jumbo bag (1.5 MT)",1500,IF(S67="Bag (40 kg)",40,50)))*3</f>
        <v>254550</v>
      </c>
      <c r="Z67" s="21" t="str">
        <f>_xlfn.XLOOKUP(Q67,'T13'!$A$3:$A$1500,'T13'!$AA$3:$AA$1500)&amp;" / CC-SALES-LHR"</f>
        <v>4101 Sales - Cement bags / CC-SALES-LHR</v>
      </c>
      <c r="AA67" s="33">
        <f>SUMIFS($T$3:$T$1500,$A$3:$A$1500,A67,$S$3:$S$1500,"Bag (50 kg)")*0.05+SUMIFS($T$3:$T$1500,$A$3:$A$1500,A67,$S$3:$S$1500,"Bag (40 kg)")*0.04+SUMIFS($T$3:$T$1500,$A$3:$A$1500,A67,$S$3:$S$1500,"MT")+SUMIFS($T$3:$T$1500,$A$3:$A$1500,A67,$S$3:$S$1500,"Jumbo bag (1.5 MT)")*1.5</f>
        <v>112.85000000000001</v>
      </c>
      <c r="AB67" s="25" cm="1">
        <f t="array" ref="AB67">SUMPRODUCT(($A$3:$A$1500=A67)*$W$3:$W$1500*$X$3:$X$1500)</f>
        <v>867251.7</v>
      </c>
      <c r="AC67" s="25">
        <f>SUMIFS($Y$3:$Y$1500,$A$3:$A$1500,A67)</f>
        <v>338550</v>
      </c>
      <c r="AD67" s="25">
        <f>SUMIFS($W$3:$W$1500,$A$3:$A$1500,A67)+AB67+AC67</f>
        <v>6023866.7000000002</v>
      </c>
      <c r="AE67" s="21" t="str">
        <f>"PKR "&amp;TEXT(AD67,"#,##0")&amp;" only"</f>
        <v>PKR 6,023,867 only</v>
      </c>
      <c r="AF67" s="21" t="s">
        <v>1062</v>
      </c>
      <c r="AG67" s="29">
        <f>B67+15</f>
        <v>46272</v>
      </c>
      <c r="AH67" s="25">
        <f>SUMIFS('T15'!$BC$3:$BC$1499,'T15'!$AY$3:$AY$1499,A67,'T15'!$C$3:$C$1499,"Advance*")</f>
        <v>0</v>
      </c>
      <c r="AI67" s="25">
        <f>SUMIFS('T15'!$BC$3:$BC$1499,'T15'!$AY$3:$AY$1499,A67)+SUMIFS('T15'!$BD$3:$BD$1499,'T15'!$AY$3:$AY$1499,A67)+SUMIFS('T15'!$BE$3:$BE$1499,'T15'!$AY$3:$AY$1499,A67)</f>
        <v>0</v>
      </c>
      <c r="AJ67" s="21" t="str">
        <f ca="1">TEXT(AD67-AI67,"#,##0")&amp;" - "&amp;IF(AD67-AI67&lt;1,"Paid",IF(AI67&gt;0,"Partially paid",IF(AG67&lt;TODAY(),"Overdue","Open")))</f>
        <v>6,023,867 - Overdue</v>
      </c>
      <c r="AK67" s="21" t="str" cm="1">
        <f t="array" ref="AK67">_xlfn.TEXTJOIN(", ",TRUE,_xlfn._xlws.FILTER('T15'!$A$3:$A$1499,'T15'!$AY$3:$AY$1499=A67,"None"))</f>
        <v>None</v>
      </c>
      <c r="AL67" s="21" t="s">
        <v>753</v>
      </c>
      <c r="AM67" s="21" t="s">
        <v>844</v>
      </c>
      <c r="AN67" s="21" t="s">
        <v>753</v>
      </c>
      <c r="AO67" s="21" t="s">
        <v>3075</v>
      </c>
      <c r="AP67" s="21" t="s">
        <v>844</v>
      </c>
    </row>
    <row r="68" spans="1:42" x14ac:dyDescent="0.3">
      <c r="A68" s="21" t="s">
        <v>2877</v>
      </c>
      <c r="B68" s="29">
        <v>46257</v>
      </c>
      <c r="C68" s="21" t="s">
        <v>3020</v>
      </c>
      <c r="D68" s="21" t="s">
        <v>3021</v>
      </c>
      <c r="E68" s="41" t="s">
        <v>4994</v>
      </c>
      <c r="F68" s="21" t="s">
        <v>1901</v>
      </c>
      <c r="G68" s="21" t="s">
        <v>1857</v>
      </c>
      <c r="H68" s="21" t="s">
        <v>2189</v>
      </c>
      <c r="I68" s="21" t="s">
        <v>1115</v>
      </c>
      <c r="J68" s="21" t="s">
        <v>844</v>
      </c>
      <c r="K68" s="21" t="s">
        <v>848</v>
      </c>
      <c r="L68" s="21" t="s">
        <v>3045</v>
      </c>
      <c r="M68" s="21" t="str" cm="1">
        <f t="array" ref="M68">_xlfn.TEXTJOIN(", ",TRUE,_xlfn.UNIQUE(_xlfn._xlws.FILTER('T14'!$A$3:$A$1500,'T14'!$AO$3:$AO$1500=A68,"")))</f>
        <v>DC-00219, DC-00221, DC-00223, DC-00225, DC-00227, DC-00228</v>
      </c>
      <c r="N68" s="25">
        <f>SUMIFS('T14'!$AD$3:$AD$1500,'T14'!$AO$3:$AO$1500,A68,'T14'!$AA$3:$AA$1500,Q68&amp;"*")</f>
        <v>700</v>
      </c>
      <c r="O68" s="21" t="s">
        <v>1117</v>
      </c>
      <c r="P68" s="21">
        <v>2</v>
      </c>
      <c r="Q68" s="21" t="s">
        <v>812</v>
      </c>
      <c r="R68" s="21" t="s">
        <v>814</v>
      </c>
      <c r="S68" s="21" t="s">
        <v>1841</v>
      </c>
      <c r="T68" s="25">
        <f>SUMIFS('T14'!$AI$3:$AI$1500,'T14'!$AO$3:$AO$1500,A68,'T14'!$AA$3:$AA$1500,Q68&amp;"*")</f>
        <v>700</v>
      </c>
      <c r="U68" s="25">
        <f>SUMIFS('T09'!$W$3:$W$1500,'T09'!$A$3:$A$1500,F68,'T09'!$T$3:$T$1500,Q68&amp;"*")</f>
        <v>2895</v>
      </c>
      <c r="V68" s="25">
        <f>T68*U68</f>
        <v>2026500</v>
      </c>
      <c r="W68" s="25">
        <f>V68</f>
        <v>2026500</v>
      </c>
      <c r="X68" s="23">
        <f>_xlfn.XLOOKUP(Q68,'T13'!$A$3:$A$1500,'T13'!$O$3:$O$1500)</f>
        <v>0.18</v>
      </c>
      <c r="Y68" s="25">
        <f>T68*IF(S68="MT",1000,IF(S68="Jumbo bag (1.5 MT)",1500,IF(S68="Bag (40 kg)",40,50)))*3</f>
        <v>84000</v>
      </c>
      <c r="Z68" s="21" t="str">
        <f>_xlfn.XLOOKUP(Q68,'T13'!$A$3:$A$1500,'T13'!$AA$3:$AA$1500)&amp;" / CC-SALES-LHR"</f>
        <v>4101 Sales - Cement bags / CC-SALES-LHR</v>
      </c>
      <c r="AA68" s="33">
        <f>SUMIFS($T$3:$T$1500,$A$3:$A$1500,A68,$S$3:$S$1500,"Bag (50 kg)")*0.05+SUMIFS($T$3:$T$1500,$A$3:$A$1500,A68,$S$3:$S$1500,"Bag (40 kg)")*0.04+SUMIFS($T$3:$T$1500,$A$3:$A$1500,A68,$S$3:$S$1500,"MT")+SUMIFS($T$3:$T$1500,$A$3:$A$1500,A68,$S$3:$S$1500,"Jumbo bag (1.5 MT)")*1.5</f>
        <v>112.85000000000001</v>
      </c>
      <c r="AB68" s="25" cm="1">
        <f t="array" ref="AB68">SUMPRODUCT(($A$3:$A$1500=A68)*$W$3:$W$1500*$X$3:$X$1500)</f>
        <v>867251.7</v>
      </c>
      <c r="AC68" s="25">
        <f>SUMIFS($Y$3:$Y$1500,$A$3:$A$1500,A68)</f>
        <v>338550</v>
      </c>
      <c r="AD68" s="25">
        <f>SUMIFS($W$3:$W$1500,$A$3:$A$1500,A68)+AB68+AC68</f>
        <v>6023866.7000000002</v>
      </c>
      <c r="AE68" s="21" t="str">
        <f>"PKR "&amp;TEXT(AD68,"#,##0")&amp;" only"</f>
        <v>PKR 6,023,867 only</v>
      </c>
      <c r="AF68" s="21" t="s">
        <v>1062</v>
      </c>
      <c r="AG68" s="29">
        <f>B68+15</f>
        <v>46272</v>
      </c>
      <c r="AH68" s="25">
        <f>SUMIFS('T15'!$BC$3:$BC$1499,'T15'!$AY$3:$AY$1499,A68,'T15'!$C$3:$C$1499,"Advance*")</f>
        <v>0</v>
      </c>
      <c r="AI68" s="25">
        <f>SUMIFS('T15'!$BC$3:$BC$1499,'T15'!$AY$3:$AY$1499,A68)+SUMIFS('T15'!$BD$3:$BD$1499,'T15'!$AY$3:$AY$1499,A68)+SUMIFS('T15'!$BE$3:$BE$1499,'T15'!$AY$3:$AY$1499,A68)</f>
        <v>0</v>
      </c>
      <c r="AJ68" s="21" t="str">
        <f ca="1">TEXT(AD68-AI68,"#,##0")&amp;" - "&amp;IF(AD68-AI68&lt;1,"Paid",IF(AI68&gt;0,"Partially paid",IF(AG68&lt;TODAY(),"Overdue","Open")))</f>
        <v>6,023,867 - Overdue</v>
      </c>
      <c r="AK68" s="21" t="str" cm="1">
        <f t="array" ref="AK68">_xlfn.TEXTJOIN(", ",TRUE,_xlfn._xlws.FILTER('T15'!$A$3:$A$1499,'T15'!$AY$3:$AY$1499=A68,"None"))</f>
        <v>None</v>
      </c>
      <c r="AL68" s="21" t="s">
        <v>753</v>
      </c>
      <c r="AM68" s="21" t="s">
        <v>844</v>
      </c>
      <c r="AN68" s="21" t="s">
        <v>753</v>
      </c>
      <c r="AO68" s="21" t="s">
        <v>3075</v>
      </c>
      <c r="AP68" s="21" t="s">
        <v>844</v>
      </c>
    </row>
    <row r="69" spans="1:42" x14ac:dyDescent="0.3">
      <c r="A69" s="21" t="s">
        <v>2883</v>
      </c>
      <c r="B69" s="29">
        <v>46261</v>
      </c>
      <c r="C69" s="21" t="s">
        <v>3020</v>
      </c>
      <c r="D69" s="21" t="s">
        <v>3021</v>
      </c>
      <c r="E69" s="41" t="s">
        <v>4994</v>
      </c>
      <c r="F69" s="21" t="s">
        <v>1902</v>
      </c>
      <c r="G69" s="21" t="s">
        <v>1813</v>
      </c>
      <c r="H69" s="21" t="s">
        <v>2161</v>
      </c>
      <c r="I69" s="21" t="s">
        <v>1089</v>
      </c>
      <c r="J69" s="21" t="s">
        <v>844</v>
      </c>
      <c r="K69" s="21" t="s">
        <v>848</v>
      </c>
      <c r="L69" s="21" t="s">
        <v>3041</v>
      </c>
      <c r="M69" s="21" t="str" cm="1">
        <f t="array" ref="M69">_xlfn.TEXTJOIN(", ",TRUE,_xlfn.UNIQUE(_xlfn._xlws.FILTER('T14'!$A$3:$A$1500,'T14'!$AO$3:$AO$1500=A69,"")))</f>
        <v>DC-00220, DC-00222, DC-00224, DC-00226, DC-00229</v>
      </c>
      <c r="N69" s="25">
        <f>SUMIFS('T14'!$AD$3:$AD$1500,'T14'!$AO$3:$AO$1500,A69,'T14'!$AA$3:$AA$1500,Q69&amp;"*")</f>
        <v>1000</v>
      </c>
      <c r="O69" s="21" t="s">
        <v>1091</v>
      </c>
      <c r="P69" s="21">
        <v>1</v>
      </c>
      <c r="Q69" s="21" t="s">
        <v>763</v>
      </c>
      <c r="R69" s="21" t="s">
        <v>766</v>
      </c>
      <c r="S69" s="21" t="s">
        <v>1804</v>
      </c>
      <c r="T69" s="25">
        <f>SUMIFS('T14'!$AI$3:$AI$1500,'T14'!$AO$3:$AO$1500,A69,'T14'!$AA$3:$AA$1500,Q69&amp;"*")</f>
        <v>1000</v>
      </c>
      <c r="U69" s="25">
        <f>SUMIFS('T09'!$W$3:$W$1500,'T09'!$A$3:$A$1500,F69,'T09'!$T$3:$T$1500,Q69&amp;"*")</f>
        <v>1565</v>
      </c>
      <c r="V69" s="25">
        <f>T69*U69</f>
        <v>1565000</v>
      </c>
      <c r="W69" s="25">
        <f>V69</f>
        <v>1565000</v>
      </c>
      <c r="X69" s="23">
        <f>_xlfn.XLOOKUP(Q69,'T13'!$A$3:$A$1500,'T13'!$O$3:$O$1500)</f>
        <v>0.18</v>
      </c>
      <c r="Y69" s="25">
        <f>T69*IF(S69="MT",1000,IF(S69="Jumbo bag (1.5 MT)",1500,IF(S69="Bag (40 kg)",40,50)))*3</f>
        <v>150000</v>
      </c>
      <c r="Z69" s="21" t="str">
        <f>_xlfn.XLOOKUP(Q69,'T13'!$A$3:$A$1500,'T13'!$AA$3:$AA$1500)&amp;" / CC-SALES-LHR"</f>
        <v>4101 Sales - Cement bags / CC-SALES-LHR</v>
      </c>
      <c r="AA69" s="33">
        <f>SUMIFS($T$3:$T$1500,$A$3:$A$1500,A69,$S$3:$S$1500,"Bag (50 kg)")*0.05+SUMIFS($T$3:$T$1500,$A$3:$A$1500,A69,$S$3:$S$1500,"Bag (40 kg)")*0.04+SUMIFS($T$3:$T$1500,$A$3:$A$1500,A69,$S$3:$S$1500,"MT")+SUMIFS($T$3:$T$1500,$A$3:$A$1500,A69,$S$3:$S$1500,"Jumbo bag (1.5 MT)")*1.5</f>
        <v>130</v>
      </c>
      <c r="AB69" s="25" cm="1">
        <f t="array" ref="AB69">SUMPRODUCT(($A$3:$A$1500=A69)*$W$3:$W$1500*$X$3:$X$1500)</f>
        <v>1323900</v>
      </c>
      <c r="AC69" s="25">
        <f>SUMIFS($Y$3:$Y$1500,$A$3:$A$1500,A69)</f>
        <v>390000</v>
      </c>
      <c r="AD69" s="25">
        <f>SUMIFS($W$3:$W$1500,$A$3:$A$1500,A69)+AB69+AC69</f>
        <v>9068900</v>
      </c>
      <c r="AE69" s="21" t="str">
        <f>"PKR "&amp;TEXT(AD69,"#,##0")&amp;" only"</f>
        <v>PKR 9,068,900 only</v>
      </c>
      <c r="AF69" s="21" t="s">
        <v>1051</v>
      </c>
      <c r="AG69" s="29">
        <f>B69+30</f>
        <v>46291</v>
      </c>
      <c r="AH69" s="25">
        <f>SUMIFS('T15'!$BC$3:$BC$1499,'T15'!$AY$3:$AY$1499,A69,'T15'!$C$3:$C$1499,"Advance*")</f>
        <v>0</v>
      </c>
      <c r="AI69" s="25">
        <f>SUMIFS('T15'!$BC$3:$BC$1499,'T15'!$AY$3:$AY$1499,A69)+SUMIFS('T15'!$BD$3:$BD$1499,'T15'!$AY$3:$AY$1499,A69)+SUMIFS('T15'!$BE$3:$BE$1499,'T15'!$AY$3:$AY$1499,A69)</f>
        <v>0</v>
      </c>
      <c r="AJ69" s="21" t="str">
        <f ca="1">TEXT(AD69-AI69,"#,##0")&amp;" - "&amp;IF(AD69-AI69&lt;1,"Paid",IF(AI69&gt;0,"Partially paid",IF(AG69&lt;TODAY(),"Overdue","Open")))</f>
        <v>9,068,900 - Overdue</v>
      </c>
      <c r="AK69" s="21" t="str" cm="1">
        <f t="array" ref="AK69">_xlfn.TEXTJOIN(", ",TRUE,_xlfn._xlws.FILTER('T15'!$A$3:$A$1499,'T15'!$AY$3:$AY$1499=A69,"None"))</f>
        <v>None</v>
      </c>
      <c r="AL69" s="21" t="s">
        <v>753</v>
      </c>
      <c r="AM69" s="21" t="s">
        <v>844</v>
      </c>
      <c r="AN69" s="21" t="s">
        <v>753</v>
      </c>
      <c r="AO69" s="21" t="s">
        <v>3076</v>
      </c>
      <c r="AP69" s="21" t="s">
        <v>844</v>
      </c>
    </row>
    <row r="70" spans="1:42" x14ac:dyDescent="0.3">
      <c r="A70" s="21" t="s">
        <v>2883</v>
      </c>
      <c r="B70" s="29">
        <v>46261</v>
      </c>
      <c r="C70" s="21" t="s">
        <v>3020</v>
      </c>
      <c r="D70" s="21" t="s">
        <v>3021</v>
      </c>
      <c r="E70" s="41" t="s">
        <v>4994</v>
      </c>
      <c r="F70" s="21" t="s">
        <v>1902</v>
      </c>
      <c r="G70" s="21" t="s">
        <v>1813</v>
      </c>
      <c r="H70" s="21" t="s">
        <v>2161</v>
      </c>
      <c r="I70" s="21" t="s">
        <v>1089</v>
      </c>
      <c r="J70" s="21" t="s">
        <v>844</v>
      </c>
      <c r="K70" s="21" t="s">
        <v>848</v>
      </c>
      <c r="L70" s="21" t="s">
        <v>3041</v>
      </c>
      <c r="M70" s="21" t="str" cm="1">
        <f t="array" ref="M70">_xlfn.TEXTJOIN(", ",TRUE,_xlfn.UNIQUE(_xlfn._xlws.FILTER('T14'!$A$3:$A$1500,'T14'!$AO$3:$AO$1500=A70,"")))</f>
        <v>DC-00220, DC-00222, DC-00224, DC-00226, DC-00229</v>
      </c>
      <c r="N70" s="25">
        <f>SUMIFS('T14'!$AD$3:$AD$1500,'T14'!$AO$3:$AO$1500,A70,'T14'!$AA$3:$AA$1500,Q70&amp;"*")</f>
        <v>2000</v>
      </c>
      <c r="O70" s="21" t="s">
        <v>1091</v>
      </c>
      <c r="P70" s="21">
        <v>2</v>
      </c>
      <c r="Q70" s="21" t="s">
        <v>812</v>
      </c>
      <c r="R70" s="21" t="s">
        <v>814</v>
      </c>
      <c r="S70" s="21" t="s">
        <v>1841</v>
      </c>
      <c r="T70" s="25">
        <f>SUMIFS('T14'!$AI$3:$AI$1500,'T14'!$AO$3:$AO$1500,A70,'T14'!$AA$3:$AA$1500,Q70&amp;"*")</f>
        <v>2000</v>
      </c>
      <c r="U70" s="25">
        <f>SUMIFS('T09'!$W$3:$W$1500,'T09'!$A$3:$A$1500,F70,'T09'!$T$3:$T$1500,Q70&amp;"*")</f>
        <v>2895</v>
      </c>
      <c r="V70" s="25">
        <f>T70*U70</f>
        <v>5790000</v>
      </c>
      <c r="W70" s="25">
        <f>V70</f>
        <v>5790000</v>
      </c>
      <c r="X70" s="23">
        <f>_xlfn.XLOOKUP(Q70,'T13'!$A$3:$A$1500,'T13'!$O$3:$O$1500)</f>
        <v>0.18</v>
      </c>
      <c r="Y70" s="25">
        <f>T70*IF(S70="MT",1000,IF(S70="Jumbo bag (1.5 MT)",1500,IF(S70="Bag (40 kg)",40,50)))*3</f>
        <v>240000</v>
      </c>
      <c r="Z70" s="21" t="str">
        <f>_xlfn.XLOOKUP(Q70,'T13'!$A$3:$A$1500,'T13'!$AA$3:$AA$1500)&amp;" / CC-SALES-LHR"</f>
        <v>4101 Sales - Cement bags / CC-SALES-LHR</v>
      </c>
      <c r="AA70" s="33">
        <f>SUMIFS($T$3:$T$1500,$A$3:$A$1500,A70,$S$3:$S$1500,"Bag (50 kg)")*0.05+SUMIFS($T$3:$T$1500,$A$3:$A$1500,A70,$S$3:$S$1500,"Bag (40 kg)")*0.04+SUMIFS($T$3:$T$1500,$A$3:$A$1500,A70,$S$3:$S$1500,"MT")+SUMIFS($T$3:$T$1500,$A$3:$A$1500,A70,$S$3:$S$1500,"Jumbo bag (1.5 MT)")*1.5</f>
        <v>130</v>
      </c>
      <c r="AB70" s="25" cm="1">
        <f t="array" ref="AB70">SUMPRODUCT(($A$3:$A$1500=A70)*$W$3:$W$1500*$X$3:$X$1500)</f>
        <v>1323900</v>
      </c>
      <c r="AC70" s="25">
        <f>SUMIFS($Y$3:$Y$1500,$A$3:$A$1500,A70)</f>
        <v>390000</v>
      </c>
      <c r="AD70" s="25">
        <f>SUMIFS($W$3:$W$1500,$A$3:$A$1500,A70)+AB70+AC70</f>
        <v>9068900</v>
      </c>
      <c r="AE70" s="21" t="str">
        <f>"PKR "&amp;TEXT(AD70,"#,##0")&amp;" only"</f>
        <v>PKR 9,068,900 only</v>
      </c>
      <c r="AF70" s="21" t="s">
        <v>1051</v>
      </c>
      <c r="AG70" s="29">
        <f>B70+30</f>
        <v>46291</v>
      </c>
      <c r="AH70" s="25">
        <f>SUMIFS('T15'!$BC$3:$BC$1499,'T15'!$AY$3:$AY$1499,A70,'T15'!$C$3:$C$1499,"Advance*")</f>
        <v>0</v>
      </c>
      <c r="AI70" s="25">
        <f>SUMIFS('T15'!$BC$3:$BC$1499,'T15'!$AY$3:$AY$1499,A70)+SUMIFS('T15'!$BD$3:$BD$1499,'T15'!$AY$3:$AY$1499,A70)+SUMIFS('T15'!$BE$3:$BE$1499,'T15'!$AY$3:$AY$1499,A70)</f>
        <v>0</v>
      </c>
      <c r="AJ70" s="21" t="str">
        <f ca="1">TEXT(AD70-AI70,"#,##0")&amp;" - "&amp;IF(AD70-AI70&lt;1,"Paid",IF(AI70&gt;0,"Partially paid",IF(AG70&lt;TODAY(),"Overdue","Open")))</f>
        <v>9,068,900 - Overdue</v>
      </c>
      <c r="AK70" s="21" t="str" cm="1">
        <f t="array" ref="AK70">_xlfn.TEXTJOIN(", ",TRUE,_xlfn._xlws.FILTER('T15'!$A$3:$A$1499,'T15'!$AY$3:$AY$1499=A70,"None"))</f>
        <v>None</v>
      </c>
      <c r="AL70" s="21" t="s">
        <v>753</v>
      </c>
      <c r="AM70" s="21" t="s">
        <v>844</v>
      </c>
      <c r="AN70" s="21" t="s">
        <v>753</v>
      </c>
      <c r="AO70" s="21" t="s">
        <v>3076</v>
      </c>
      <c r="AP70" s="21" t="s">
        <v>844</v>
      </c>
    </row>
    <row r="71" spans="1:42" x14ac:dyDescent="0.3">
      <c r="A71" s="21" t="s">
        <v>2930</v>
      </c>
      <c r="B71" s="29">
        <v>46287</v>
      </c>
      <c r="C71" s="21" t="s">
        <v>3020</v>
      </c>
      <c r="D71" s="21" t="s">
        <v>3021</v>
      </c>
      <c r="E71" s="41" t="s">
        <v>4994</v>
      </c>
      <c r="F71" s="21" t="s">
        <v>1903</v>
      </c>
      <c r="G71" s="21" t="s">
        <v>1870</v>
      </c>
      <c r="H71" s="21" t="s">
        <v>2354</v>
      </c>
      <c r="I71" s="21" t="s">
        <v>3033</v>
      </c>
      <c r="J71" s="21" t="s">
        <v>3051</v>
      </c>
      <c r="K71" s="21" t="s">
        <v>848</v>
      </c>
      <c r="L71" s="21" t="s">
        <v>3052</v>
      </c>
      <c r="M71" s="21" t="str" cm="1">
        <f t="array" ref="M71">_xlfn.TEXTJOIN(", ",TRUE,_xlfn.UNIQUE(_xlfn._xlws.FILTER('T14'!$A$3:$A$1500,'T14'!$AO$3:$AO$1500=A71,"")))</f>
        <v>DC-00230, DC-00231, DC-00232, DC-00233, DC-00235, DC-00242</v>
      </c>
      <c r="N71" s="25">
        <f>SUMIFS('T14'!$AD$3:$AD$1500,'T14'!$AO$3:$AO$1500,A71,'T14'!$AA$3:$AA$1500,Q71&amp;"*")</f>
        <v>4000</v>
      </c>
      <c r="O71" s="21" t="s">
        <v>1091</v>
      </c>
      <c r="P71" s="21">
        <v>1</v>
      </c>
      <c r="Q71" s="21" t="s">
        <v>788</v>
      </c>
      <c r="R71" s="21" t="s">
        <v>790</v>
      </c>
      <c r="S71" s="21" t="s">
        <v>1804</v>
      </c>
      <c r="T71" s="25">
        <f>SUMIFS('T14'!$AI$3:$AI$1500,'T14'!$AO$3:$AO$1500,A71,'T14'!$AA$3:$AA$1500,Q71&amp;"*")</f>
        <v>3998</v>
      </c>
      <c r="U71" s="25">
        <f>SUMIFS('T09'!$W$3:$W$1500,'T09'!$A$3:$A$1500,F71,'T09'!$T$3:$T$1500,Q71&amp;"*")</f>
        <v>1655</v>
      </c>
      <c r="V71" s="25">
        <f>T71*U71</f>
        <v>6616690</v>
      </c>
      <c r="W71" s="25">
        <f>V71</f>
        <v>6616690</v>
      </c>
      <c r="X71" s="23">
        <f>_xlfn.XLOOKUP(Q71,'T13'!$A$3:$A$1500,'T13'!$O$3:$O$1500)</f>
        <v>0.18</v>
      </c>
      <c r="Y71" s="25">
        <f>T71*IF(S71="MT",1000,IF(S71="Jumbo bag (1.5 MT)",1500,IF(S71="Bag (40 kg)",40,50)))*3</f>
        <v>599700</v>
      </c>
      <c r="Z71" s="21" t="str">
        <f>_xlfn.XLOOKUP(Q71,'T13'!$A$3:$A$1500,'T13'!$AA$3:$AA$1500)&amp;" / CC-SALES-LHR"</f>
        <v>4101 Sales - Cement bags / CC-SALES-LHR</v>
      </c>
      <c r="AA71" s="33">
        <f>SUMIFS($T$3:$T$1500,$A$3:$A$1500,A71,$S$3:$S$1500,"Bag (50 kg)")*0.05+SUMIFS($T$3:$T$1500,$A$3:$A$1500,A71,$S$3:$S$1500,"Bag (40 kg)")*0.04+SUMIFS($T$3:$T$1500,$A$3:$A$1500,A71,$S$3:$S$1500,"MT")+SUMIFS($T$3:$T$1500,$A$3:$A$1500,A71,$S$3:$S$1500,"Jumbo bag (1.5 MT)")*1.5</f>
        <v>199.9</v>
      </c>
      <c r="AB71" s="25" cm="1">
        <f t="array" ref="AB71">SUMPRODUCT(($A$3:$A$1500=A71)*$W$3:$W$1500*$X$3:$X$1500)</f>
        <v>1191004.2</v>
      </c>
      <c r="AC71" s="25">
        <f>SUMIFS($Y$3:$Y$1500,$A$3:$A$1500,A71)</f>
        <v>599700</v>
      </c>
      <c r="AD71" s="25">
        <f>SUMIFS($W$3:$W$1500,$A$3:$A$1500,A71)+AB71+AC71</f>
        <v>8407394.1999999993</v>
      </c>
      <c r="AE71" s="21" t="str">
        <f>"PKR "&amp;TEXT(AD71,"#,##0")&amp;" only"</f>
        <v>PKR 8,407,394 only</v>
      </c>
      <c r="AF71" s="21" t="s">
        <v>1051</v>
      </c>
      <c r="AG71" s="29">
        <f>B71+30</f>
        <v>46317</v>
      </c>
      <c r="AH71" s="25">
        <f>SUMIFS('T15'!$BC$3:$BC$1499,'T15'!$AY$3:$AY$1499,A71,'T15'!$C$3:$C$1499,"Advance*")</f>
        <v>0</v>
      </c>
      <c r="AI71" s="25">
        <f>SUMIFS('T15'!$BC$3:$BC$1499,'T15'!$AY$3:$AY$1499,A71)+SUMIFS('T15'!$BD$3:$BD$1499,'T15'!$AY$3:$AY$1499,A71)+SUMIFS('T15'!$BE$3:$BE$1499,'T15'!$AY$3:$AY$1499,A71)</f>
        <v>0</v>
      </c>
      <c r="AJ71" s="21" t="str">
        <f ca="1">TEXT(AD71-AI71,"#,##0")&amp;" - "&amp;IF(AD71-AI71&lt;1,"Paid",IF(AI71&gt;0,"Partially paid",IF(AG71&lt;TODAY(),"Overdue","Open")))</f>
        <v>8,407,394 - Open</v>
      </c>
      <c r="AK71" s="21" t="str" cm="1">
        <f t="array" ref="AK71">_xlfn.TEXTJOIN(", ",TRUE,_xlfn._xlws.FILTER('T15'!$A$3:$A$1499,'T15'!$AY$3:$AY$1499=A71,"None"))</f>
        <v>None</v>
      </c>
      <c r="AL71" s="21" t="s">
        <v>753</v>
      </c>
      <c r="AM71" s="21" t="s">
        <v>844</v>
      </c>
      <c r="AN71" s="21" t="s">
        <v>846</v>
      </c>
      <c r="AO71" s="21" t="s">
        <v>3077</v>
      </c>
      <c r="AP71" s="21" t="s">
        <v>844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901C1-984D-45CD-831F-EA21995FBE82}">
  <dimension ref="A1:AY127"/>
  <sheetViews>
    <sheetView workbookViewId="0">
      <pane ySplit="2" topLeftCell="A3" activePane="bottomLeft" state="frozen"/>
      <selection activeCell="B16" sqref="B16"/>
      <selection pane="bottomLeft" activeCell="B16" sqref="B16"/>
    </sheetView>
  </sheetViews>
  <sheetFormatPr defaultRowHeight="16.5" x14ac:dyDescent="0.3"/>
  <cols>
    <col min="1" max="51" width="18.375" customWidth="1"/>
  </cols>
  <sheetData>
    <row r="1" spans="1:51" s="12" customFormat="1" ht="30" customHeight="1" x14ac:dyDescent="0.3">
      <c r="A1" s="15" t="s">
        <v>582</v>
      </c>
      <c r="B1" s="14" t="s">
        <v>60</v>
      </c>
      <c r="C1" s="14" t="s">
        <v>60</v>
      </c>
      <c r="D1" s="14" t="s">
        <v>60</v>
      </c>
      <c r="E1" s="14" t="s">
        <v>60</v>
      </c>
      <c r="F1" s="14" t="s">
        <v>60</v>
      </c>
      <c r="G1" s="14" t="s">
        <v>60</v>
      </c>
      <c r="H1" s="14" t="s">
        <v>60</v>
      </c>
      <c r="I1" s="14" t="s">
        <v>60</v>
      </c>
      <c r="J1" s="14" t="s">
        <v>60</v>
      </c>
      <c r="K1" s="14" t="s">
        <v>581</v>
      </c>
      <c r="L1" s="14" t="s">
        <v>60</v>
      </c>
      <c r="M1" s="14" t="s">
        <v>60</v>
      </c>
      <c r="N1" s="14" t="s">
        <v>60</v>
      </c>
      <c r="O1" s="14" t="s">
        <v>60</v>
      </c>
      <c r="P1" s="14" t="s">
        <v>60</v>
      </c>
      <c r="Q1" s="14" t="s">
        <v>60</v>
      </c>
      <c r="R1" s="14" t="s">
        <v>60</v>
      </c>
      <c r="S1" s="14" t="s">
        <v>60</v>
      </c>
      <c r="T1" s="14" t="s">
        <v>60</v>
      </c>
      <c r="U1" s="14" t="s">
        <v>580</v>
      </c>
      <c r="V1" s="14" t="s">
        <v>60</v>
      </c>
      <c r="W1" s="14" t="s">
        <v>60</v>
      </c>
      <c r="X1" s="14" t="s">
        <v>60</v>
      </c>
      <c r="Y1" s="14" t="s">
        <v>60</v>
      </c>
      <c r="Z1" s="14" t="s">
        <v>60</v>
      </c>
      <c r="AA1" s="14" t="s">
        <v>60</v>
      </c>
      <c r="AB1" s="14" t="s">
        <v>60</v>
      </c>
      <c r="AC1" s="14" t="s">
        <v>60</v>
      </c>
      <c r="AD1" s="14" t="s">
        <v>579</v>
      </c>
      <c r="AE1" s="14" t="s">
        <v>60</v>
      </c>
      <c r="AF1" s="14" t="s">
        <v>60</v>
      </c>
      <c r="AG1" s="14" t="s">
        <v>60</v>
      </c>
      <c r="AH1" s="14" t="s">
        <v>60</v>
      </c>
      <c r="AI1" s="14" t="s">
        <v>60</v>
      </c>
      <c r="AJ1" s="14" t="s">
        <v>60</v>
      </c>
      <c r="AK1" s="14" t="s">
        <v>60</v>
      </c>
      <c r="AL1" s="14" t="s">
        <v>578</v>
      </c>
      <c r="AM1" s="14" t="s">
        <v>60</v>
      </c>
      <c r="AN1" s="14" t="s">
        <v>60</v>
      </c>
      <c r="AO1" s="14" t="s">
        <v>60</v>
      </c>
      <c r="AP1" s="14" t="s">
        <v>60</v>
      </c>
      <c r="AQ1" s="14" t="s">
        <v>60</v>
      </c>
      <c r="AR1" s="14" t="s">
        <v>60</v>
      </c>
      <c r="AS1" s="14" t="s">
        <v>60</v>
      </c>
      <c r="AT1" s="14" t="s">
        <v>60</v>
      </c>
      <c r="AU1" s="14" t="s">
        <v>60</v>
      </c>
      <c r="AV1" s="14" t="s">
        <v>577</v>
      </c>
      <c r="AW1" s="14" t="s">
        <v>60</v>
      </c>
      <c r="AX1" s="14" t="s">
        <v>60</v>
      </c>
      <c r="AY1" s="13" t="s">
        <v>60</v>
      </c>
    </row>
    <row r="2" spans="1:51" ht="45" customHeight="1" x14ac:dyDescent="0.3">
      <c r="A2" s="11" t="s">
        <v>576</v>
      </c>
      <c r="B2" s="10" t="s">
        <v>575</v>
      </c>
      <c r="C2" s="10" t="s">
        <v>574</v>
      </c>
      <c r="D2" s="10" t="s">
        <v>573</v>
      </c>
      <c r="E2" s="10" t="s">
        <v>572</v>
      </c>
      <c r="F2" s="10" t="s">
        <v>571</v>
      </c>
      <c r="G2" s="10" t="s">
        <v>570</v>
      </c>
      <c r="H2" s="10" t="s">
        <v>569</v>
      </c>
      <c r="I2" s="10" t="s">
        <v>568</v>
      </c>
      <c r="J2" s="10" t="s">
        <v>567</v>
      </c>
      <c r="K2" s="10" t="s">
        <v>566</v>
      </c>
      <c r="L2" s="10" t="s">
        <v>565</v>
      </c>
      <c r="M2" s="10" t="s">
        <v>564</v>
      </c>
      <c r="N2" s="10" t="s">
        <v>563</v>
      </c>
      <c r="O2" s="10" t="s">
        <v>562</v>
      </c>
      <c r="P2" s="10" t="s">
        <v>561</v>
      </c>
      <c r="Q2" s="10" t="s">
        <v>560</v>
      </c>
      <c r="R2" s="10" t="s">
        <v>559</v>
      </c>
      <c r="S2" s="10" t="s">
        <v>558</v>
      </c>
      <c r="T2" s="10" t="s">
        <v>557</v>
      </c>
      <c r="U2" s="10" t="s">
        <v>556</v>
      </c>
      <c r="V2" s="10" t="s">
        <v>555</v>
      </c>
      <c r="W2" s="10" t="s">
        <v>554</v>
      </c>
      <c r="X2" s="10" t="s">
        <v>553</v>
      </c>
      <c r="Y2" s="10" t="s">
        <v>552</v>
      </c>
      <c r="Z2" s="10" t="s">
        <v>551</v>
      </c>
      <c r="AA2" s="10" t="s">
        <v>550</v>
      </c>
      <c r="AB2" s="10" t="s">
        <v>549</v>
      </c>
      <c r="AC2" s="10" t="s">
        <v>548</v>
      </c>
      <c r="AD2" s="10" t="s">
        <v>547</v>
      </c>
      <c r="AE2" s="10" t="s">
        <v>546</v>
      </c>
      <c r="AF2" s="10" t="s">
        <v>545</v>
      </c>
      <c r="AG2" s="10" t="s">
        <v>544</v>
      </c>
      <c r="AH2" s="10" t="s">
        <v>543</v>
      </c>
      <c r="AI2" s="10" t="s">
        <v>542</v>
      </c>
      <c r="AJ2" s="10" t="s">
        <v>541</v>
      </c>
      <c r="AK2" s="10" t="s">
        <v>540</v>
      </c>
      <c r="AL2" s="10" t="s">
        <v>539</v>
      </c>
      <c r="AM2" s="10" t="s">
        <v>538</v>
      </c>
      <c r="AN2" s="10" t="s">
        <v>537</v>
      </c>
      <c r="AO2" s="10" t="s">
        <v>536</v>
      </c>
      <c r="AP2" s="10" t="s">
        <v>535</v>
      </c>
      <c r="AQ2" s="10" t="s">
        <v>534</v>
      </c>
      <c r="AR2" s="10" t="s">
        <v>533</v>
      </c>
      <c r="AS2" s="10" t="s">
        <v>532</v>
      </c>
      <c r="AT2" s="10" t="s">
        <v>531</v>
      </c>
      <c r="AU2" s="10" t="s">
        <v>530</v>
      </c>
      <c r="AV2" s="10" t="s">
        <v>529</v>
      </c>
      <c r="AW2" s="10" t="s">
        <v>528</v>
      </c>
      <c r="AX2" s="10" t="s">
        <v>527</v>
      </c>
      <c r="AY2" s="9" t="s">
        <v>526</v>
      </c>
    </row>
    <row r="3" spans="1:51" x14ac:dyDescent="0.3">
      <c r="A3" s="20" t="s">
        <v>4840</v>
      </c>
      <c r="B3" s="38">
        <v>46143</v>
      </c>
      <c r="C3" s="20" t="s">
        <v>4841</v>
      </c>
      <c r="D3" s="20" t="s">
        <v>4842</v>
      </c>
      <c r="E3" s="20" t="s">
        <v>743</v>
      </c>
      <c r="F3" s="28">
        <v>46167</v>
      </c>
      <c r="G3" s="20">
        <f>COUNTIFS($A$3:$A$1500,A3)</f>
        <v>25</v>
      </c>
      <c r="H3" s="28">
        <v>46173</v>
      </c>
      <c r="I3" s="20" t="s">
        <v>1797</v>
      </c>
      <c r="J3" s="20" t="s">
        <v>4357</v>
      </c>
      <c r="K3" s="20" t="s">
        <v>4843</v>
      </c>
      <c r="L3" s="20" t="s">
        <v>4844</v>
      </c>
      <c r="M3" s="20">
        <v>31</v>
      </c>
      <c r="N3" s="20">
        <v>25</v>
      </c>
      <c r="O3" s="20">
        <v>0</v>
      </c>
      <c r="P3" s="20">
        <v>1</v>
      </c>
      <c r="Q3" s="20" t="s">
        <v>4845</v>
      </c>
      <c r="R3" s="20">
        <v>0</v>
      </c>
      <c r="S3" s="20">
        <v>0</v>
      </c>
      <c r="T3" s="20" t="s">
        <v>1410</v>
      </c>
      <c r="U3" s="36">
        <f>_xlfn.XLOOKUP(LEFT(K3,7),'T07'!$A$3:$A$1500,'T07'!$AS$3:$AS$1500)</f>
        <v>720000</v>
      </c>
      <c r="V3" s="36">
        <f>_xlfn.XLOOKUP(LEFT(K3,7),'T07'!$A$3:$A$1500,'T07'!$AT$3:$AT$1500)</f>
        <v>324000</v>
      </c>
      <c r="W3" s="36">
        <v>0</v>
      </c>
      <c r="X3" s="36">
        <f>ROUND(U3/M3/8*2*R3,0)</f>
        <v>0</v>
      </c>
      <c r="Y3" s="36">
        <f>ROUND(U3/M3*2*S3,0)</f>
        <v>0</v>
      </c>
      <c r="Z3" s="36">
        <v>0</v>
      </c>
      <c r="AA3" s="36">
        <f>ROUND(U3*0.5,0)</f>
        <v>360000</v>
      </c>
      <c r="AB3" s="36">
        <v>40000</v>
      </c>
      <c r="AC3" s="36">
        <f>U3+V3+W3+X3+Y3+Z3+AA3+AB3</f>
        <v>1444000</v>
      </c>
      <c r="AD3" s="36">
        <f>_xlfn.LET(_xlpm.a,(AC3-AB3)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423150</v>
      </c>
      <c r="AE3" s="36" cm="1">
        <f t="array" ref="AE3">SUMPRODUCT((LEFT($K$3:$K$1500,7)=LEFT(K3,7))*($F$3:$F$1500&lt;=F3)*($F$3:$F$1500&gt;=DATE(IF(MONTH(F3)&gt;=7,YEAR(F3),YEAR(F3)-1),7,1))*($AC$3:$AC$1500-$AB$3:$AB$1500))</f>
        <v>1404000</v>
      </c>
      <c r="AF3" s="36">
        <v>0</v>
      </c>
      <c r="AG3" s="36">
        <f>ROUND((U3+V3)/M3*P3,0)</f>
        <v>33677</v>
      </c>
      <c r="AH3" s="36">
        <v>0</v>
      </c>
      <c r="AI3" s="36">
        <f>AD3+AF3+AG3+AH3</f>
        <v>456827</v>
      </c>
      <c r="AJ3" s="36">
        <f>AC3-AI3</f>
        <v>987173</v>
      </c>
      <c r="AK3" s="36">
        <f>AC3+2000</f>
        <v>1446000</v>
      </c>
      <c r="AL3" s="20">
        <f>COUNTIFS($A$3:$A$1500,A3)</f>
        <v>25</v>
      </c>
      <c r="AM3" s="36">
        <f>SUMIFS($AC$3:$AC$1500,$A$3:$A$1500,A3)</f>
        <v>5625378</v>
      </c>
      <c r="AN3" s="36">
        <f>SUMIFS($AD$3:$AD$1500,$A$3:$A$1500,A3)</f>
        <v>884999</v>
      </c>
      <c r="AO3" s="36">
        <f>SUMIFS($AF$3:$AF$1500,$A$3:$A$1500,A3)</f>
        <v>30000</v>
      </c>
      <c r="AP3" s="36">
        <f>SUMIFS($AG$3:$AG$1500,$A$3:$A$1500,A3)+SUMIFS($AH$3:$AH$1500,$A$3:$A$1500,A3)</f>
        <v>36764</v>
      </c>
      <c r="AQ3" s="36">
        <f>SUMIFS($AJ$3:$AJ$1500,$A$3:$A$1500,A3)</f>
        <v>4673615</v>
      </c>
      <c r="AR3" s="36">
        <f>SUMIFS($AK$3:$AK$1500,$A$3:$A$1500,A3)</f>
        <v>5675378</v>
      </c>
      <c r="AS3" s="30" t="str">
        <f>IFERROR(AQ3/SUMIFS($AJ$3:$AJ$1500,$F$3:$F$1500,EDATE(F3,-1))-1,"N/A - first run")</f>
        <v>N/A - first run</v>
      </c>
      <c r="AT3" s="20" t="s">
        <v>4846</v>
      </c>
      <c r="AU3" s="20" t="str">
        <f>IF(P3&gt;0,"Unpaid leave "&amp;P3&amp;" day(s)",IF(R3&gt;40,"Overtime above 40 hrs","None"))</f>
        <v>Unpaid leave 1 day(s)</v>
      </c>
      <c r="AV3" s="28">
        <f>EOMONTH(H3,0)+15</f>
        <v>46188</v>
      </c>
      <c r="AW3" s="20" t="s">
        <v>4847</v>
      </c>
      <c r="AX3" s="20" t="s">
        <v>4848</v>
      </c>
      <c r="AY3" s="20" t="str">
        <f>IF(U3+V3+W3&gt;=40000,"Compliant","Below minimum wage")</f>
        <v>Compliant</v>
      </c>
    </row>
    <row r="4" spans="1:51" x14ac:dyDescent="0.3">
      <c r="A4" s="21" t="s">
        <v>4840</v>
      </c>
      <c r="B4" s="39">
        <v>46143</v>
      </c>
      <c r="C4" s="21" t="s">
        <v>4841</v>
      </c>
      <c r="D4" s="21" t="s">
        <v>4842</v>
      </c>
      <c r="E4" s="21" t="s">
        <v>743</v>
      </c>
      <c r="F4" s="29">
        <v>46167</v>
      </c>
      <c r="G4" s="21">
        <f>COUNTIFS($A$3:$A$1500,A4)</f>
        <v>25</v>
      </c>
      <c r="H4" s="29">
        <v>46173</v>
      </c>
      <c r="I4" s="21" t="s">
        <v>1797</v>
      </c>
      <c r="J4" s="21" t="s">
        <v>4357</v>
      </c>
      <c r="K4" s="21" t="s">
        <v>4849</v>
      </c>
      <c r="L4" s="21" t="s">
        <v>4850</v>
      </c>
      <c r="M4" s="21">
        <v>31</v>
      </c>
      <c r="N4" s="21">
        <v>24</v>
      </c>
      <c r="O4" s="21">
        <v>2</v>
      </c>
      <c r="P4" s="21">
        <v>0</v>
      </c>
      <c r="Q4" s="21" t="s">
        <v>848</v>
      </c>
      <c r="R4" s="21">
        <v>0</v>
      </c>
      <c r="S4" s="21">
        <v>0</v>
      </c>
      <c r="T4" s="21" t="s">
        <v>1433</v>
      </c>
      <c r="U4" s="37">
        <f>_xlfn.XLOOKUP(LEFT(K4,7),'T07'!$A$3:$A$1500,'T07'!$AS$3:$AS$1500)</f>
        <v>390000</v>
      </c>
      <c r="V4" s="37">
        <f>_xlfn.XLOOKUP(LEFT(K4,7),'T07'!$A$3:$A$1500,'T07'!$AT$3:$AT$1500)</f>
        <v>175500</v>
      </c>
      <c r="W4" s="37">
        <v>0</v>
      </c>
      <c r="X4" s="37">
        <f>ROUND(U4/M4/8*2*R4,0)</f>
        <v>0</v>
      </c>
      <c r="Y4" s="37">
        <f>ROUND(U4/M4*2*S4,0)</f>
        <v>0</v>
      </c>
      <c r="Z4" s="37">
        <v>0</v>
      </c>
      <c r="AA4" s="37">
        <f>ROUND(U4*0.5,0)</f>
        <v>195000</v>
      </c>
      <c r="AB4" s="37">
        <v>15000</v>
      </c>
      <c r="AC4" s="37">
        <f>U4+V4+W4+X4+Y4+Z4+AA4+AB4</f>
        <v>775500</v>
      </c>
      <c r="AD4" s="37">
        <f>_xlfn.LET(_xlpm.a,(AC4-AB4)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197925</v>
      </c>
      <c r="AE4" s="37" cm="1">
        <f t="array" ref="AE4">SUMPRODUCT((LEFT($K$3:$K$1500,7)=LEFT(K4,7))*($F$3:$F$1500&lt;=F4)*($F$3:$F$1500&gt;=DATE(IF(MONTH(F4)&gt;=7,YEAR(F4),YEAR(F4)-1),7,1))*($AC$3:$AC$1500-$AB$3:$AB$1500))</f>
        <v>760500</v>
      </c>
      <c r="AF4" s="37">
        <v>0</v>
      </c>
      <c r="AG4" s="37">
        <f>ROUND((U4+V4)/M4*P4,0)</f>
        <v>0</v>
      </c>
      <c r="AH4" s="37">
        <v>0</v>
      </c>
      <c r="AI4" s="37">
        <f>AD4+AF4+AG4+AH4</f>
        <v>197925</v>
      </c>
      <c r="AJ4" s="37">
        <f>AC4-AI4</f>
        <v>577575</v>
      </c>
      <c r="AK4" s="37">
        <f>AC4+2000</f>
        <v>777500</v>
      </c>
      <c r="AL4" s="21">
        <f>COUNTIFS($A$3:$A$1500,A4)</f>
        <v>25</v>
      </c>
      <c r="AM4" s="37">
        <f>SUMIFS($AC$3:$AC$1500,$A$3:$A$1500,A4)</f>
        <v>5625378</v>
      </c>
      <c r="AN4" s="37">
        <f>SUMIFS($AD$3:$AD$1500,$A$3:$A$1500,A4)</f>
        <v>884999</v>
      </c>
      <c r="AO4" s="37">
        <f>SUMIFS($AF$3:$AF$1500,$A$3:$A$1500,A4)</f>
        <v>30000</v>
      </c>
      <c r="AP4" s="37">
        <f>SUMIFS($AG$3:$AG$1500,$A$3:$A$1500,A4)+SUMIFS($AH$3:$AH$1500,$A$3:$A$1500,A4)</f>
        <v>36764</v>
      </c>
      <c r="AQ4" s="37">
        <f>SUMIFS($AJ$3:$AJ$1500,$A$3:$A$1500,A4)</f>
        <v>4673615</v>
      </c>
      <c r="AR4" s="37">
        <f>SUMIFS($AK$3:$AK$1500,$A$3:$A$1500,A4)</f>
        <v>5675378</v>
      </c>
      <c r="AS4" s="31" t="str">
        <f>IFERROR(AQ4/SUMIFS($AJ$3:$AJ$1500,$F$3:$F$1500,EDATE(F4,-1))-1,"N/A - first run")</f>
        <v>N/A - first run</v>
      </c>
      <c r="AT4" s="21" t="s">
        <v>4846</v>
      </c>
      <c r="AU4" s="21" t="str">
        <f>IF(P4&gt;0,"Unpaid leave "&amp;P4&amp;" day(s)",IF(R4&gt;40,"Overtime above 40 hrs","None"))</f>
        <v>None</v>
      </c>
      <c r="AV4" s="29">
        <f>EOMONTH(H4,0)+15</f>
        <v>46188</v>
      </c>
      <c r="AW4" s="21" t="s">
        <v>4851</v>
      </c>
      <c r="AX4" s="21" t="s">
        <v>4848</v>
      </c>
      <c r="AY4" s="21" t="str">
        <f>IF(U4+V4+W4&gt;=40000,"Compliant","Below minimum wage")</f>
        <v>Compliant</v>
      </c>
    </row>
    <row r="5" spans="1:51" x14ac:dyDescent="0.3">
      <c r="A5" s="21" t="s">
        <v>4840</v>
      </c>
      <c r="B5" s="39">
        <v>46143</v>
      </c>
      <c r="C5" s="21" t="s">
        <v>4841</v>
      </c>
      <c r="D5" s="21" t="s">
        <v>4842</v>
      </c>
      <c r="E5" s="21" t="s">
        <v>743</v>
      </c>
      <c r="F5" s="29">
        <v>46167</v>
      </c>
      <c r="G5" s="21">
        <f>COUNTIFS($A$3:$A$1500,A5)</f>
        <v>25</v>
      </c>
      <c r="H5" s="29">
        <v>46173</v>
      </c>
      <c r="I5" s="21" t="s">
        <v>1797</v>
      </c>
      <c r="J5" s="21" t="s">
        <v>4357</v>
      </c>
      <c r="K5" s="21" t="s">
        <v>4852</v>
      </c>
      <c r="L5" s="21" t="s">
        <v>4850</v>
      </c>
      <c r="M5" s="21">
        <v>31</v>
      </c>
      <c r="N5" s="21">
        <v>24</v>
      </c>
      <c r="O5" s="21">
        <v>2</v>
      </c>
      <c r="P5" s="21">
        <v>0</v>
      </c>
      <c r="Q5" s="21" t="s">
        <v>848</v>
      </c>
      <c r="R5" s="21">
        <v>0</v>
      </c>
      <c r="S5" s="21">
        <v>0</v>
      </c>
      <c r="T5" s="21" t="s">
        <v>1456</v>
      </c>
      <c r="U5" s="37">
        <f>_xlfn.XLOOKUP(LEFT(K5,7),'T07'!$A$3:$A$1500,'T07'!$AS$3:$AS$1500)</f>
        <v>270000</v>
      </c>
      <c r="V5" s="37">
        <f>_xlfn.XLOOKUP(LEFT(K5,7),'T07'!$A$3:$A$1500,'T07'!$AT$3:$AT$1500)</f>
        <v>121500</v>
      </c>
      <c r="W5" s="37">
        <v>0</v>
      </c>
      <c r="X5" s="37">
        <f>ROUND(U5/M5/8*2*R5,0)</f>
        <v>0</v>
      </c>
      <c r="Y5" s="37">
        <f>ROUND(U5/M5*2*S5,0)</f>
        <v>0</v>
      </c>
      <c r="Z5" s="37">
        <v>0</v>
      </c>
      <c r="AA5" s="37">
        <f>ROUND(U5*0.5,0)</f>
        <v>135000</v>
      </c>
      <c r="AB5" s="37">
        <v>3000</v>
      </c>
      <c r="AC5" s="37">
        <f>U5+V5+W5+X5+Y5+Z5+AA5+AB5</f>
        <v>529500</v>
      </c>
      <c r="AD5" s="37">
        <f>_xlfn.LET(_xlpm.a,(AC5-AB5)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116025</v>
      </c>
      <c r="AE5" s="37" cm="1">
        <f t="array" ref="AE5">SUMPRODUCT((LEFT($K$3:$K$1500,7)=LEFT(K5,7))*($F$3:$F$1500&lt;=F5)*($F$3:$F$1500&gt;=DATE(IF(MONTH(F5)&gt;=7,YEAR(F5),YEAR(F5)-1),7,1))*($AC$3:$AC$1500-$AB$3:$AB$1500))</f>
        <v>526500</v>
      </c>
      <c r="AF5" s="37">
        <v>0</v>
      </c>
      <c r="AG5" s="37">
        <f>ROUND((U5+V5)/M5*P5,0)</f>
        <v>0</v>
      </c>
      <c r="AH5" s="37">
        <v>0</v>
      </c>
      <c r="AI5" s="37">
        <f>AD5+AF5+AG5+AH5</f>
        <v>116025</v>
      </c>
      <c r="AJ5" s="37">
        <f>AC5-AI5</f>
        <v>413475</v>
      </c>
      <c r="AK5" s="37">
        <f>AC5+2000</f>
        <v>531500</v>
      </c>
      <c r="AL5" s="21">
        <f>COUNTIFS($A$3:$A$1500,A5)</f>
        <v>25</v>
      </c>
      <c r="AM5" s="37">
        <f>SUMIFS($AC$3:$AC$1500,$A$3:$A$1500,A5)</f>
        <v>5625378</v>
      </c>
      <c r="AN5" s="37">
        <f>SUMIFS($AD$3:$AD$1500,$A$3:$A$1500,A5)</f>
        <v>884999</v>
      </c>
      <c r="AO5" s="37">
        <f>SUMIFS($AF$3:$AF$1500,$A$3:$A$1500,A5)</f>
        <v>30000</v>
      </c>
      <c r="AP5" s="37">
        <f>SUMIFS($AG$3:$AG$1500,$A$3:$A$1500,A5)+SUMIFS($AH$3:$AH$1500,$A$3:$A$1500,A5)</f>
        <v>36764</v>
      </c>
      <c r="AQ5" s="37">
        <f>SUMIFS($AJ$3:$AJ$1500,$A$3:$A$1500,A5)</f>
        <v>4673615</v>
      </c>
      <c r="AR5" s="37">
        <f>SUMIFS($AK$3:$AK$1500,$A$3:$A$1500,A5)</f>
        <v>5675378</v>
      </c>
      <c r="AS5" s="31" t="str">
        <f>IFERROR(AQ5/SUMIFS($AJ$3:$AJ$1500,$F$3:$F$1500,EDATE(F5,-1))-1,"N/A - first run")</f>
        <v>N/A - first run</v>
      </c>
      <c r="AT5" s="21" t="s">
        <v>4846</v>
      </c>
      <c r="AU5" s="21" t="str">
        <f>IF(P5&gt;0,"Unpaid leave "&amp;P5&amp;" day(s)",IF(R5&gt;40,"Overtime above 40 hrs","None"))</f>
        <v>None</v>
      </c>
      <c r="AV5" s="29">
        <f>EOMONTH(H5,0)+15</f>
        <v>46188</v>
      </c>
      <c r="AW5" s="21" t="s">
        <v>4853</v>
      </c>
      <c r="AX5" s="21" t="s">
        <v>4848</v>
      </c>
      <c r="AY5" s="21" t="str">
        <f>IF(U5+V5+W5&gt;=40000,"Compliant","Below minimum wage")</f>
        <v>Compliant</v>
      </c>
    </row>
    <row r="6" spans="1:51" x14ac:dyDescent="0.3">
      <c r="A6" s="21" t="s">
        <v>4840</v>
      </c>
      <c r="B6" s="39">
        <v>46143</v>
      </c>
      <c r="C6" s="21" t="s">
        <v>4841</v>
      </c>
      <c r="D6" s="21" t="s">
        <v>4842</v>
      </c>
      <c r="E6" s="21" t="s">
        <v>743</v>
      </c>
      <c r="F6" s="29">
        <v>46167</v>
      </c>
      <c r="G6" s="21">
        <f>COUNTIFS($A$3:$A$1500,A6)</f>
        <v>25</v>
      </c>
      <c r="H6" s="29">
        <v>46173</v>
      </c>
      <c r="I6" s="21" t="s">
        <v>1797</v>
      </c>
      <c r="J6" s="21" t="s">
        <v>4357</v>
      </c>
      <c r="K6" s="21" t="s">
        <v>4854</v>
      </c>
      <c r="L6" s="21" t="s">
        <v>4850</v>
      </c>
      <c r="M6" s="21">
        <v>31</v>
      </c>
      <c r="N6" s="21">
        <v>24</v>
      </c>
      <c r="O6" s="21">
        <v>2</v>
      </c>
      <c r="P6" s="21">
        <v>0</v>
      </c>
      <c r="Q6" s="21" t="s">
        <v>848</v>
      </c>
      <c r="R6" s="21">
        <v>0</v>
      </c>
      <c r="S6" s="21">
        <v>0</v>
      </c>
      <c r="T6" s="21" t="s">
        <v>1473</v>
      </c>
      <c r="U6" s="37">
        <f>_xlfn.XLOOKUP(LEFT(K6,7),'T07'!$A$3:$A$1500,'T07'!$AS$3:$AS$1500)</f>
        <v>108000</v>
      </c>
      <c r="V6" s="37">
        <f>_xlfn.XLOOKUP(LEFT(K6,7),'T07'!$A$3:$A$1500,'T07'!$AT$3:$AT$1500)</f>
        <v>48600</v>
      </c>
      <c r="W6" s="37">
        <v>0</v>
      </c>
      <c r="X6" s="37">
        <f>ROUND(U6/M6/8*2*R6,0)</f>
        <v>0</v>
      </c>
      <c r="Y6" s="37">
        <f>ROUND(U6/M6*2*S6,0)</f>
        <v>0</v>
      </c>
      <c r="Z6" s="37">
        <v>0</v>
      </c>
      <c r="AA6" s="37">
        <f>ROUND(U6*0.5,0)</f>
        <v>54000</v>
      </c>
      <c r="AB6" s="37">
        <v>3000</v>
      </c>
      <c r="AC6" s="37">
        <f>U6+V6+W6+X6+Y6+Z6+AA6+AB6</f>
        <v>213600</v>
      </c>
      <c r="AD6" s="37">
        <f>_xlfn.LET(_xlpm.a,(AC6-AB6)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15938</v>
      </c>
      <c r="AE6" s="37" cm="1">
        <f t="array" ref="AE6">SUMPRODUCT((LEFT($K$3:$K$1500,7)=LEFT(K6,7))*($F$3:$F$1500&lt;=F6)*($F$3:$F$1500&gt;=DATE(IF(MONTH(F6)&gt;=7,YEAR(F6),YEAR(F6)-1),7,1))*($AC$3:$AC$1500-$AB$3:$AB$1500))</f>
        <v>210600</v>
      </c>
      <c r="AF6" s="37">
        <v>0</v>
      </c>
      <c r="AG6" s="37">
        <f>ROUND((U6+V6)/M6*P6,0)</f>
        <v>0</v>
      </c>
      <c r="AH6" s="37">
        <v>0</v>
      </c>
      <c r="AI6" s="37">
        <f>AD6+AF6+AG6+AH6</f>
        <v>15938</v>
      </c>
      <c r="AJ6" s="37">
        <f>AC6-AI6</f>
        <v>197662</v>
      </c>
      <c r="AK6" s="37">
        <f>AC6+2000</f>
        <v>215600</v>
      </c>
      <c r="AL6" s="21">
        <f>COUNTIFS($A$3:$A$1500,A6)</f>
        <v>25</v>
      </c>
      <c r="AM6" s="37">
        <f>SUMIFS($AC$3:$AC$1500,$A$3:$A$1500,A6)</f>
        <v>5625378</v>
      </c>
      <c r="AN6" s="37">
        <f>SUMIFS($AD$3:$AD$1500,$A$3:$A$1500,A6)</f>
        <v>884999</v>
      </c>
      <c r="AO6" s="37">
        <f>SUMIFS($AF$3:$AF$1500,$A$3:$A$1500,A6)</f>
        <v>30000</v>
      </c>
      <c r="AP6" s="37">
        <f>SUMIFS($AG$3:$AG$1500,$A$3:$A$1500,A6)+SUMIFS($AH$3:$AH$1500,$A$3:$A$1500,A6)</f>
        <v>36764</v>
      </c>
      <c r="AQ6" s="37">
        <f>SUMIFS($AJ$3:$AJ$1500,$A$3:$A$1500,A6)</f>
        <v>4673615</v>
      </c>
      <c r="AR6" s="37">
        <f>SUMIFS($AK$3:$AK$1500,$A$3:$A$1500,A6)</f>
        <v>5675378</v>
      </c>
      <c r="AS6" s="31" t="str">
        <f>IFERROR(AQ6/SUMIFS($AJ$3:$AJ$1500,$F$3:$F$1500,EDATE(F6,-1))-1,"N/A - first run")</f>
        <v>N/A - first run</v>
      </c>
      <c r="AT6" s="21" t="s">
        <v>4846</v>
      </c>
      <c r="AU6" s="21" t="str">
        <f>IF(P6&gt;0,"Unpaid leave "&amp;P6&amp;" day(s)",IF(R6&gt;40,"Overtime above 40 hrs","None"))</f>
        <v>None</v>
      </c>
      <c r="AV6" s="29">
        <f>EOMONTH(H6,0)+15</f>
        <v>46188</v>
      </c>
      <c r="AW6" s="21" t="s">
        <v>4855</v>
      </c>
      <c r="AX6" s="21" t="s">
        <v>4848</v>
      </c>
      <c r="AY6" s="21" t="str">
        <f>IF(U6+V6+W6&gt;=40000,"Compliant","Below minimum wage")</f>
        <v>Compliant</v>
      </c>
    </row>
    <row r="7" spans="1:51" x14ac:dyDescent="0.3">
      <c r="A7" s="21" t="s">
        <v>4840</v>
      </c>
      <c r="B7" s="39">
        <v>46143</v>
      </c>
      <c r="C7" s="21" t="s">
        <v>4841</v>
      </c>
      <c r="D7" s="21" t="s">
        <v>4842</v>
      </c>
      <c r="E7" s="21" t="s">
        <v>743</v>
      </c>
      <c r="F7" s="29">
        <v>46167</v>
      </c>
      <c r="G7" s="21">
        <f>COUNTIFS($A$3:$A$1500,A7)</f>
        <v>25</v>
      </c>
      <c r="H7" s="29">
        <v>46173</v>
      </c>
      <c r="I7" s="21" t="s">
        <v>1797</v>
      </c>
      <c r="J7" s="21" t="s">
        <v>4357</v>
      </c>
      <c r="K7" s="21" t="s">
        <v>4856</v>
      </c>
      <c r="L7" s="21" t="s">
        <v>4850</v>
      </c>
      <c r="M7" s="21">
        <v>31</v>
      </c>
      <c r="N7" s="21">
        <v>26</v>
      </c>
      <c r="O7" s="21">
        <v>0</v>
      </c>
      <c r="P7" s="21">
        <v>0</v>
      </c>
      <c r="Q7" s="21" t="s">
        <v>848</v>
      </c>
      <c r="R7" s="21">
        <v>0</v>
      </c>
      <c r="S7" s="21">
        <v>0</v>
      </c>
      <c r="T7" s="21" t="s">
        <v>1492</v>
      </c>
      <c r="U7" s="37">
        <f>_xlfn.XLOOKUP(LEFT(K7,7),'T07'!$A$3:$A$1500,'T07'!$AS$3:$AS$1500)</f>
        <v>72000</v>
      </c>
      <c r="V7" s="37">
        <f>_xlfn.XLOOKUP(LEFT(K7,7),'T07'!$A$3:$A$1500,'T07'!$AT$3:$AT$1500)</f>
        <v>32400</v>
      </c>
      <c r="W7" s="37">
        <v>0</v>
      </c>
      <c r="X7" s="37">
        <f>ROUND(U7/M7/8*2*R7,0)</f>
        <v>0</v>
      </c>
      <c r="Y7" s="37">
        <f>ROUND(U7/M7*2*S7,0)</f>
        <v>0</v>
      </c>
      <c r="Z7" s="37">
        <v>0</v>
      </c>
      <c r="AA7" s="37">
        <f>ROUND(U7*0.5,0)</f>
        <v>36000</v>
      </c>
      <c r="AB7" s="37">
        <v>3000</v>
      </c>
      <c r="AC7" s="37">
        <f>U7+V7+W7+X7+Y7+Z7+AA7+AB7</f>
        <v>143400</v>
      </c>
      <c r="AD7" s="37">
        <f>_xlfn.LET(_xlpm.a,(AC7-AB7)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4944</v>
      </c>
      <c r="AE7" s="37" cm="1">
        <f t="array" ref="AE7">SUMPRODUCT((LEFT($K$3:$K$1500,7)=LEFT(K7,7))*($F$3:$F$1500&lt;=F7)*($F$3:$F$1500&gt;=DATE(IF(MONTH(F7)&gt;=7,YEAR(F7),YEAR(F7)-1),7,1))*($AC$3:$AC$1500-$AB$3:$AB$1500))</f>
        <v>140400</v>
      </c>
      <c r="AF7" s="37">
        <v>0</v>
      </c>
      <c r="AG7" s="37">
        <f>ROUND((U7+V7)/M7*P7,0)</f>
        <v>0</v>
      </c>
      <c r="AH7" s="37">
        <v>0</v>
      </c>
      <c r="AI7" s="37">
        <f>AD7+AF7+AG7+AH7</f>
        <v>4944</v>
      </c>
      <c r="AJ7" s="37">
        <f>AC7-AI7</f>
        <v>138456</v>
      </c>
      <c r="AK7" s="37">
        <f>AC7+2000</f>
        <v>145400</v>
      </c>
      <c r="AL7" s="21">
        <f>COUNTIFS($A$3:$A$1500,A7)</f>
        <v>25</v>
      </c>
      <c r="AM7" s="37">
        <f>SUMIFS($AC$3:$AC$1500,$A$3:$A$1500,A7)</f>
        <v>5625378</v>
      </c>
      <c r="AN7" s="37">
        <f>SUMIFS($AD$3:$AD$1500,$A$3:$A$1500,A7)</f>
        <v>884999</v>
      </c>
      <c r="AO7" s="37">
        <f>SUMIFS($AF$3:$AF$1500,$A$3:$A$1500,A7)</f>
        <v>30000</v>
      </c>
      <c r="AP7" s="37">
        <f>SUMIFS($AG$3:$AG$1500,$A$3:$A$1500,A7)+SUMIFS($AH$3:$AH$1500,$A$3:$A$1500,A7)</f>
        <v>36764</v>
      </c>
      <c r="AQ7" s="37">
        <f>SUMIFS($AJ$3:$AJ$1500,$A$3:$A$1500,A7)</f>
        <v>4673615</v>
      </c>
      <c r="AR7" s="37">
        <f>SUMIFS($AK$3:$AK$1500,$A$3:$A$1500,A7)</f>
        <v>5675378</v>
      </c>
      <c r="AS7" s="31" t="str">
        <f>IFERROR(AQ7/SUMIFS($AJ$3:$AJ$1500,$F$3:$F$1500,EDATE(F7,-1))-1,"N/A - first run")</f>
        <v>N/A - first run</v>
      </c>
      <c r="AT7" s="21" t="s">
        <v>4846</v>
      </c>
      <c r="AU7" s="21" t="str">
        <f>IF(P7&gt;0,"Unpaid leave "&amp;P7&amp;" day(s)",IF(R7&gt;40,"Overtime above 40 hrs","None"))</f>
        <v>None</v>
      </c>
      <c r="AV7" s="29">
        <f>EOMONTH(H7,0)+15</f>
        <v>46188</v>
      </c>
      <c r="AW7" s="21" t="s">
        <v>4857</v>
      </c>
      <c r="AX7" s="21" t="s">
        <v>4848</v>
      </c>
      <c r="AY7" s="21" t="str">
        <f>IF(U7+V7+W7&gt;=40000,"Compliant","Below minimum wage")</f>
        <v>Compliant</v>
      </c>
    </row>
    <row r="8" spans="1:51" x14ac:dyDescent="0.3">
      <c r="A8" s="21" t="s">
        <v>4840</v>
      </c>
      <c r="B8" s="39">
        <v>46143</v>
      </c>
      <c r="C8" s="21" t="s">
        <v>4841</v>
      </c>
      <c r="D8" s="21" t="s">
        <v>4842</v>
      </c>
      <c r="E8" s="21" t="s">
        <v>743</v>
      </c>
      <c r="F8" s="29">
        <v>46167</v>
      </c>
      <c r="G8" s="21">
        <f>COUNTIFS($A$3:$A$1500,A8)</f>
        <v>25</v>
      </c>
      <c r="H8" s="29">
        <v>46173</v>
      </c>
      <c r="I8" s="21" t="s">
        <v>1797</v>
      </c>
      <c r="J8" s="21" t="s">
        <v>4357</v>
      </c>
      <c r="K8" s="21" t="s">
        <v>4858</v>
      </c>
      <c r="L8" s="21" t="s">
        <v>4850</v>
      </c>
      <c r="M8" s="21">
        <v>31</v>
      </c>
      <c r="N8" s="21">
        <v>25</v>
      </c>
      <c r="O8" s="21">
        <v>1</v>
      </c>
      <c r="P8" s="21">
        <v>0</v>
      </c>
      <c r="Q8" s="21" t="s">
        <v>848</v>
      </c>
      <c r="R8" s="21">
        <v>0</v>
      </c>
      <c r="S8" s="21">
        <v>0</v>
      </c>
      <c r="T8" s="21" t="s">
        <v>1510</v>
      </c>
      <c r="U8" s="37">
        <f>_xlfn.XLOOKUP(LEFT(K8,7),'T07'!$A$3:$A$1500,'T07'!$AS$3:$AS$1500)</f>
        <v>51000</v>
      </c>
      <c r="V8" s="37">
        <f>_xlfn.XLOOKUP(LEFT(K8,7),'T07'!$A$3:$A$1500,'T07'!$AT$3:$AT$1500)</f>
        <v>22950</v>
      </c>
      <c r="W8" s="37">
        <v>0</v>
      </c>
      <c r="X8" s="37">
        <f>ROUND(U8/M8/8*2*R8,0)</f>
        <v>0</v>
      </c>
      <c r="Y8" s="37">
        <f>ROUND(U8/M8*2*S8,0)</f>
        <v>0</v>
      </c>
      <c r="Z8" s="37">
        <v>0</v>
      </c>
      <c r="AA8" s="37">
        <f>ROUND(U8*0.5,0)</f>
        <v>25500</v>
      </c>
      <c r="AB8" s="37">
        <v>3000</v>
      </c>
      <c r="AC8" s="37">
        <f>U8+V8+W8+X8+Y8+Z8+AA8+AB8</f>
        <v>102450</v>
      </c>
      <c r="AD8" s="37">
        <f>_xlfn.LET(_xlpm.a,(AC8-AB8)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495</v>
      </c>
      <c r="AE8" s="37" cm="1">
        <f t="array" ref="AE8">SUMPRODUCT((LEFT($K$3:$K$1500,7)=LEFT(K8,7))*($F$3:$F$1500&lt;=F8)*($F$3:$F$1500&gt;=DATE(IF(MONTH(F8)&gt;=7,YEAR(F8),YEAR(F8)-1),7,1))*($AC$3:$AC$1500-$AB$3:$AB$1500))</f>
        <v>99450</v>
      </c>
      <c r="AF8" s="37">
        <v>0</v>
      </c>
      <c r="AG8" s="37">
        <f>ROUND((U8+V8)/M8*P8,0)</f>
        <v>0</v>
      </c>
      <c r="AH8" s="37">
        <v>0</v>
      </c>
      <c r="AI8" s="37">
        <f>AD8+AF8+AG8+AH8</f>
        <v>495</v>
      </c>
      <c r="AJ8" s="37">
        <f>AC8-AI8</f>
        <v>101955</v>
      </c>
      <c r="AK8" s="37">
        <f>AC8+2000</f>
        <v>104450</v>
      </c>
      <c r="AL8" s="21">
        <f>COUNTIFS($A$3:$A$1500,A8)</f>
        <v>25</v>
      </c>
      <c r="AM8" s="37">
        <f>SUMIFS($AC$3:$AC$1500,$A$3:$A$1500,A8)</f>
        <v>5625378</v>
      </c>
      <c r="AN8" s="37">
        <f>SUMIFS($AD$3:$AD$1500,$A$3:$A$1500,A8)</f>
        <v>884999</v>
      </c>
      <c r="AO8" s="37">
        <f>SUMIFS($AF$3:$AF$1500,$A$3:$A$1500,A8)</f>
        <v>30000</v>
      </c>
      <c r="AP8" s="37">
        <f>SUMIFS($AG$3:$AG$1500,$A$3:$A$1500,A8)+SUMIFS($AH$3:$AH$1500,$A$3:$A$1500,A8)</f>
        <v>36764</v>
      </c>
      <c r="AQ8" s="37">
        <f>SUMIFS($AJ$3:$AJ$1500,$A$3:$A$1500,A8)</f>
        <v>4673615</v>
      </c>
      <c r="AR8" s="37">
        <f>SUMIFS($AK$3:$AK$1500,$A$3:$A$1500,A8)</f>
        <v>5675378</v>
      </c>
      <c r="AS8" s="31" t="str">
        <f>IFERROR(AQ8/SUMIFS($AJ$3:$AJ$1500,$F$3:$F$1500,EDATE(F8,-1))-1,"N/A - first run")</f>
        <v>N/A - first run</v>
      </c>
      <c r="AT8" s="21" t="s">
        <v>4846</v>
      </c>
      <c r="AU8" s="21" t="str">
        <f>IF(P8&gt;0,"Unpaid leave "&amp;P8&amp;" day(s)",IF(R8&gt;40,"Overtime above 40 hrs","None"))</f>
        <v>None</v>
      </c>
      <c r="AV8" s="29">
        <f>EOMONTH(H8,0)+15</f>
        <v>46188</v>
      </c>
      <c r="AW8" s="21" t="s">
        <v>4859</v>
      </c>
      <c r="AX8" s="21" t="s">
        <v>4848</v>
      </c>
      <c r="AY8" s="21" t="str">
        <f>IF(U8+V8+W8&gt;=40000,"Compliant","Below minimum wage")</f>
        <v>Compliant</v>
      </c>
    </row>
    <row r="9" spans="1:51" x14ac:dyDescent="0.3">
      <c r="A9" s="21" t="s">
        <v>4840</v>
      </c>
      <c r="B9" s="39">
        <v>46143</v>
      </c>
      <c r="C9" s="21" t="s">
        <v>4841</v>
      </c>
      <c r="D9" s="21" t="s">
        <v>4842</v>
      </c>
      <c r="E9" s="21" t="s">
        <v>743</v>
      </c>
      <c r="F9" s="29">
        <v>46167</v>
      </c>
      <c r="G9" s="21">
        <f>COUNTIFS($A$3:$A$1500,A9)</f>
        <v>25</v>
      </c>
      <c r="H9" s="29">
        <v>46173</v>
      </c>
      <c r="I9" s="21" t="s">
        <v>1797</v>
      </c>
      <c r="J9" s="21" t="s">
        <v>4357</v>
      </c>
      <c r="K9" s="21" t="s">
        <v>4860</v>
      </c>
      <c r="L9" s="21" t="s">
        <v>4850</v>
      </c>
      <c r="M9" s="21">
        <v>31</v>
      </c>
      <c r="N9" s="21">
        <v>26</v>
      </c>
      <c r="O9" s="21">
        <v>0</v>
      </c>
      <c r="P9" s="21">
        <v>0</v>
      </c>
      <c r="Q9" s="21" t="s">
        <v>4845</v>
      </c>
      <c r="R9" s="21">
        <v>0</v>
      </c>
      <c r="S9" s="21">
        <v>0</v>
      </c>
      <c r="T9" s="21" t="s">
        <v>1523</v>
      </c>
      <c r="U9" s="37">
        <f>_xlfn.XLOOKUP(LEFT(K9,7),'T07'!$A$3:$A$1500,'T07'!$AS$3:$AS$1500)</f>
        <v>180000</v>
      </c>
      <c r="V9" s="37">
        <f>_xlfn.XLOOKUP(LEFT(K9,7),'T07'!$A$3:$A$1500,'T07'!$AT$3:$AT$1500)</f>
        <v>81000</v>
      </c>
      <c r="W9" s="37">
        <v>0</v>
      </c>
      <c r="X9" s="37">
        <f>ROUND(U9/M9/8*2*R9,0)</f>
        <v>0</v>
      </c>
      <c r="Y9" s="37">
        <f>ROUND(U9/M9*2*S9,0)</f>
        <v>0</v>
      </c>
      <c r="Z9" s="37">
        <v>0</v>
      </c>
      <c r="AA9" s="37">
        <f>ROUND(U9*0.5,0)</f>
        <v>90000</v>
      </c>
      <c r="AB9" s="37">
        <v>15000</v>
      </c>
      <c r="AC9" s="37">
        <f>U9+V9+W9+X9+Y9+Z9+AA9+AB9</f>
        <v>366000</v>
      </c>
      <c r="AD9" s="37">
        <f>_xlfn.LET(_xlpm.a,(AC9-AB9)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54600</v>
      </c>
      <c r="AE9" s="37" cm="1">
        <f t="array" ref="AE9">SUMPRODUCT((LEFT($K$3:$K$1500,7)=LEFT(K9,7))*($F$3:$F$1500&lt;=F9)*($F$3:$F$1500&gt;=DATE(IF(MONTH(F9)&gt;=7,YEAR(F9),YEAR(F9)-1),7,1))*($AC$3:$AC$1500-$AB$3:$AB$1500))</f>
        <v>351000</v>
      </c>
      <c r="AF9" s="37">
        <v>0</v>
      </c>
      <c r="AG9" s="37">
        <f>ROUND((U9+V9)/M9*P9,0)</f>
        <v>0</v>
      </c>
      <c r="AH9" s="37">
        <v>0</v>
      </c>
      <c r="AI9" s="37">
        <f>AD9+AF9+AG9+AH9</f>
        <v>54600</v>
      </c>
      <c r="AJ9" s="37">
        <f>AC9-AI9</f>
        <v>311400</v>
      </c>
      <c r="AK9" s="37">
        <f>AC9+2000</f>
        <v>368000</v>
      </c>
      <c r="AL9" s="21">
        <f>COUNTIFS($A$3:$A$1500,A9)</f>
        <v>25</v>
      </c>
      <c r="AM9" s="37">
        <f>SUMIFS($AC$3:$AC$1500,$A$3:$A$1500,A9)</f>
        <v>5625378</v>
      </c>
      <c r="AN9" s="37">
        <f>SUMIFS($AD$3:$AD$1500,$A$3:$A$1500,A9)</f>
        <v>884999</v>
      </c>
      <c r="AO9" s="37">
        <f>SUMIFS($AF$3:$AF$1500,$A$3:$A$1500,A9)</f>
        <v>30000</v>
      </c>
      <c r="AP9" s="37">
        <f>SUMIFS($AG$3:$AG$1500,$A$3:$A$1500,A9)+SUMIFS($AH$3:$AH$1500,$A$3:$A$1500,A9)</f>
        <v>36764</v>
      </c>
      <c r="AQ9" s="37">
        <f>SUMIFS($AJ$3:$AJ$1500,$A$3:$A$1500,A9)</f>
        <v>4673615</v>
      </c>
      <c r="AR9" s="37">
        <f>SUMIFS($AK$3:$AK$1500,$A$3:$A$1500,A9)</f>
        <v>5675378</v>
      </c>
      <c r="AS9" s="31" t="str">
        <f>IFERROR(AQ9/SUMIFS($AJ$3:$AJ$1500,$F$3:$F$1500,EDATE(F9,-1))-1,"N/A - first run")</f>
        <v>N/A - first run</v>
      </c>
      <c r="AT9" s="21" t="s">
        <v>4846</v>
      </c>
      <c r="AU9" s="21" t="str">
        <f>IF(P9&gt;0,"Unpaid leave "&amp;P9&amp;" day(s)",IF(R9&gt;40,"Overtime above 40 hrs","None"))</f>
        <v>None</v>
      </c>
      <c r="AV9" s="29">
        <f>EOMONTH(H9,0)+15</f>
        <v>46188</v>
      </c>
      <c r="AW9" s="21" t="s">
        <v>4861</v>
      </c>
      <c r="AX9" s="21" t="s">
        <v>4848</v>
      </c>
      <c r="AY9" s="21" t="str">
        <f>IF(U9+V9+W9&gt;=40000,"Compliant","Below minimum wage")</f>
        <v>Compliant</v>
      </c>
    </row>
    <row r="10" spans="1:51" x14ac:dyDescent="0.3">
      <c r="A10" s="21" t="s">
        <v>4840</v>
      </c>
      <c r="B10" s="39">
        <v>46143</v>
      </c>
      <c r="C10" s="21" t="s">
        <v>4841</v>
      </c>
      <c r="D10" s="21" t="s">
        <v>4842</v>
      </c>
      <c r="E10" s="21" t="s">
        <v>743</v>
      </c>
      <c r="F10" s="29">
        <v>46167</v>
      </c>
      <c r="G10" s="21">
        <f>COUNTIFS($A$3:$A$1500,A10)</f>
        <v>25</v>
      </c>
      <c r="H10" s="29">
        <v>46173</v>
      </c>
      <c r="I10" s="21" t="s">
        <v>1797</v>
      </c>
      <c r="J10" s="21" t="s">
        <v>4357</v>
      </c>
      <c r="K10" s="21" t="s">
        <v>4862</v>
      </c>
      <c r="L10" s="21" t="s">
        <v>4850</v>
      </c>
      <c r="M10" s="21">
        <v>31</v>
      </c>
      <c r="N10" s="21">
        <v>24</v>
      </c>
      <c r="O10" s="21">
        <v>2</v>
      </c>
      <c r="P10" s="21">
        <v>0</v>
      </c>
      <c r="Q10" s="21" t="s">
        <v>848</v>
      </c>
      <c r="R10" s="21">
        <v>0</v>
      </c>
      <c r="S10" s="21">
        <v>0</v>
      </c>
      <c r="T10" s="21" t="s">
        <v>1538</v>
      </c>
      <c r="U10" s="37">
        <f>_xlfn.XLOOKUP(LEFT(K10,7),'T07'!$A$3:$A$1500,'T07'!$AS$3:$AS$1500)</f>
        <v>66000</v>
      </c>
      <c r="V10" s="37">
        <f>_xlfn.XLOOKUP(LEFT(K10,7),'T07'!$A$3:$A$1500,'T07'!$AT$3:$AT$1500)</f>
        <v>29700</v>
      </c>
      <c r="W10" s="37">
        <v>0</v>
      </c>
      <c r="X10" s="37">
        <f>ROUND(U10/M10/8*2*R10,0)</f>
        <v>0</v>
      </c>
      <c r="Y10" s="37">
        <f>ROUND(U10/M10*2*S10,0)</f>
        <v>0</v>
      </c>
      <c r="Z10" s="37">
        <v>0</v>
      </c>
      <c r="AA10" s="37">
        <f>ROUND(U10*0.5,0)</f>
        <v>33000</v>
      </c>
      <c r="AB10" s="37">
        <v>15000</v>
      </c>
      <c r="AC10" s="37">
        <f>U10+V10+W10+X10+Y10+Z10+AA10+AB10</f>
        <v>143700</v>
      </c>
      <c r="AD10" s="37">
        <f>_xlfn.LET(_xlpm.a,(AC10-AB10)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3657</v>
      </c>
      <c r="AE10" s="37" cm="1">
        <f t="array" ref="AE10">SUMPRODUCT((LEFT($K$3:$K$1500,7)=LEFT(K10,7))*($F$3:$F$1500&lt;=F10)*($F$3:$F$1500&gt;=DATE(IF(MONTH(F10)&gt;=7,YEAR(F10),YEAR(F10)-1),7,1))*($AC$3:$AC$1500-$AB$3:$AB$1500))</f>
        <v>128700</v>
      </c>
      <c r="AF10" s="37">
        <v>0</v>
      </c>
      <c r="AG10" s="37">
        <f>ROUND((U10+V10)/M10*P10,0)</f>
        <v>0</v>
      </c>
      <c r="AH10" s="37">
        <v>0</v>
      </c>
      <c r="AI10" s="37">
        <f>AD10+AF10+AG10+AH10</f>
        <v>3657</v>
      </c>
      <c r="AJ10" s="37">
        <f>AC10-AI10</f>
        <v>140043</v>
      </c>
      <c r="AK10" s="37">
        <f>AC10+2000</f>
        <v>145700</v>
      </c>
      <c r="AL10" s="21">
        <f>COUNTIFS($A$3:$A$1500,A10)</f>
        <v>25</v>
      </c>
      <c r="AM10" s="37">
        <f>SUMIFS($AC$3:$AC$1500,$A$3:$A$1500,A10)</f>
        <v>5625378</v>
      </c>
      <c r="AN10" s="37">
        <f>SUMIFS($AD$3:$AD$1500,$A$3:$A$1500,A10)</f>
        <v>884999</v>
      </c>
      <c r="AO10" s="37">
        <f>SUMIFS($AF$3:$AF$1500,$A$3:$A$1500,A10)</f>
        <v>30000</v>
      </c>
      <c r="AP10" s="37">
        <f>SUMIFS($AG$3:$AG$1500,$A$3:$A$1500,A10)+SUMIFS($AH$3:$AH$1500,$A$3:$A$1500,A10)</f>
        <v>36764</v>
      </c>
      <c r="AQ10" s="37">
        <f>SUMIFS($AJ$3:$AJ$1500,$A$3:$A$1500,A10)</f>
        <v>4673615</v>
      </c>
      <c r="AR10" s="37">
        <f>SUMIFS($AK$3:$AK$1500,$A$3:$A$1500,A10)</f>
        <v>5675378</v>
      </c>
      <c r="AS10" s="31" t="str">
        <f>IFERROR(AQ10/SUMIFS($AJ$3:$AJ$1500,$F$3:$F$1500,EDATE(F10,-1))-1,"N/A - first run")</f>
        <v>N/A - first run</v>
      </c>
      <c r="AT10" s="21" t="s">
        <v>4846</v>
      </c>
      <c r="AU10" s="21" t="str">
        <f>IF(P10&gt;0,"Unpaid leave "&amp;P10&amp;" day(s)",IF(R10&gt;40,"Overtime above 40 hrs","None"))</f>
        <v>None</v>
      </c>
      <c r="AV10" s="29">
        <f>EOMONTH(H10,0)+15</f>
        <v>46188</v>
      </c>
      <c r="AW10" s="21" t="s">
        <v>4863</v>
      </c>
      <c r="AX10" s="21" t="s">
        <v>4848</v>
      </c>
      <c r="AY10" s="21" t="str">
        <f>IF(U10+V10+W10&gt;=40000,"Compliant","Below minimum wage")</f>
        <v>Compliant</v>
      </c>
    </row>
    <row r="11" spans="1:51" x14ac:dyDescent="0.3">
      <c r="A11" s="21" t="s">
        <v>4840</v>
      </c>
      <c r="B11" s="39">
        <v>46143</v>
      </c>
      <c r="C11" s="21" t="s">
        <v>4841</v>
      </c>
      <c r="D11" s="21" t="s">
        <v>4842</v>
      </c>
      <c r="E11" s="21" t="s">
        <v>743</v>
      </c>
      <c r="F11" s="29">
        <v>46167</v>
      </c>
      <c r="G11" s="21">
        <f>COUNTIFS($A$3:$A$1500,A11)</f>
        <v>25</v>
      </c>
      <c r="H11" s="29">
        <v>46173</v>
      </c>
      <c r="I11" s="21" t="s">
        <v>1797</v>
      </c>
      <c r="J11" s="21" t="s">
        <v>4357</v>
      </c>
      <c r="K11" s="21" t="s">
        <v>4864</v>
      </c>
      <c r="L11" s="21" t="s">
        <v>4865</v>
      </c>
      <c r="M11" s="21">
        <v>31</v>
      </c>
      <c r="N11" s="21">
        <v>25</v>
      </c>
      <c r="O11" s="21">
        <v>1</v>
      </c>
      <c r="P11" s="21">
        <v>0</v>
      </c>
      <c r="Q11" s="21" t="s">
        <v>848</v>
      </c>
      <c r="R11" s="21">
        <v>0</v>
      </c>
      <c r="S11" s="21">
        <v>0</v>
      </c>
      <c r="T11" s="21" t="s">
        <v>1555</v>
      </c>
      <c r="U11" s="37">
        <f>_xlfn.XLOOKUP(LEFT(K11,7),'T07'!$A$3:$A$1500,'T07'!$AS$3:$AS$1500)</f>
        <v>66000</v>
      </c>
      <c r="V11" s="37">
        <f>_xlfn.XLOOKUP(LEFT(K11,7),'T07'!$A$3:$A$1500,'T07'!$AT$3:$AT$1500)</f>
        <v>29700</v>
      </c>
      <c r="W11" s="37">
        <v>0</v>
      </c>
      <c r="X11" s="37">
        <f>ROUND(U11/M11/8*2*R11,0)</f>
        <v>0</v>
      </c>
      <c r="Y11" s="37">
        <f>ROUND(U11/M11*2*S11,0)</f>
        <v>0</v>
      </c>
      <c r="Z11" s="37">
        <v>0</v>
      </c>
      <c r="AA11" s="37">
        <f>ROUND(U11*0.5,0)</f>
        <v>33000</v>
      </c>
      <c r="AB11" s="37">
        <v>15000</v>
      </c>
      <c r="AC11" s="37">
        <f>U11+V11+W11+X11+Y11+Z11+AA11+AB11</f>
        <v>143700</v>
      </c>
      <c r="AD11" s="37">
        <f>_xlfn.LET(_xlpm.a,(AC11-AB11)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3657</v>
      </c>
      <c r="AE11" s="37" cm="1">
        <f t="array" ref="AE11">SUMPRODUCT((LEFT($K$3:$K$1500,7)=LEFT(K11,7))*($F$3:$F$1500&lt;=F11)*($F$3:$F$1500&gt;=DATE(IF(MONTH(F11)&gt;=7,YEAR(F11),YEAR(F11)-1),7,1))*($AC$3:$AC$1500-$AB$3:$AB$1500))</f>
        <v>128700</v>
      </c>
      <c r="AF11" s="37">
        <v>0</v>
      </c>
      <c r="AG11" s="37">
        <f>ROUND((U11+V11)/M11*P11,0)</f>
        <v>0</v>
      </c>
      <c r="AH11" s="37">
        <v>0</v>
      </c>
      <c r="AI11" s="37">
        <f>AD11+AF11+AG11+AH11</f>
        <v>3657</v>
      </c>
      <c r="AJ11" s="37">
        <f>AC11-AI11</f>
        <v>140043</v>
      </c>
      <c r="AK11" s="37">
        <f>AC11+2000</f>
        <v>145700</v>
      </c>
      <c r="AL11" s="21">
        <f>COUNTIFS($A$3:$A$1500,A11)</f>
        <v>25</v>
      </c>
      <c r="AM11" s="37">
        <f>SUMIFS($AC$3:$AC$1500,$A$3:$A$1500,A11)</f>
        <v>5625378</v>
      </c>
      <c r="AN11" s="37">
        <f>SUMIFS($AD$3:$AD$1500,$A$3:$A$1500,A11)</f>
        <v>884999</v>
      </c>
      <c r="AO11" s="37">
        <f>SUMIFS($AF$3:$AF$1500,$A$3:$A$1500,A11)</f>
        <v>30000</v>
      </c>
      <c r="AP11" s="37">
        <f>SUMIFS($AG$3:$AG$1500,$A$3:$A$1500,A11)+SUMIFS($AH$3:$AH$1500,$A$3:$A$1500,A11)</f>
        <v>36764</v>
      </c>
      <c r="AQ11" s="37">
        <f>SUMIFS($AJ$3:$AJ$1500,$A$3:$A$1500,A11)</f>
        <v>4673615</v>
      </c>
      <c r="AR11" s="37">
        <f>SUMIFS($AK$3:$AK$1500,$A$3:$A$1500,A11)</f>
        <v>5675378</v>
      </c>
      <c r="AS11" s="31" t="str">
        <f>IFERROR(AQ11/SUMIFS($AJ$3:$AJ$1500,$F$3:$F$1500,EDATE(F11,-1))-1,"N/A - first run")</f>
        <v>N/A - first run</v>
      </c>
      <c r="AT11" s="21" t="s">
        <v>4846</v>
      </c>
      <c r="AU11" s="21" t="str">
        <f>IF(P11&gt;0,"Unpaid leave "&amp;P11&amp;" day(s)",IF(R11&gt;40,"Overtime above 40 hrs","None"))</f>
        <v>None</v>
      </c>
      <c r="AV11" s="29">
        <f>EOMONTH(H11,0)+15</f>
        <v>46188</v>
      </c>
      <c r="AW11" s="21" t="s">
        <v>4866</v>
      </c>
      <c r="AX11" s="21" t="s">
        <v>4848</v>
      </c>
      <c r="AY11" s="21" t="str">
        <f>IF(U11+V11+W11&gt;=40000,"Compliant","Below minimum wage")</f>
        <v>Compliant</v>
      </c>
    </row>
    <row r="12" spans="1:51" x14ac:dyDescent="0.3">
      <c r="A12" s="21" t="s">
        <v>4840</v>
      </c>
      <c r="B12" s="39">
        <v>46143</v>
      </c>
      <c r="C12" s="21" t="s">
        <v>4841</v>
      </c>
      <c r="D12" s="21" t="s">
        <v>4842</v>
      </c>
      <c r="E12" s="21" t="s">
        <v>743</v>
      </c>
      <c r="F12" s="29">
        <v>46167</v>
      </c>
      <c r="G12" s="21">
        <f>COUNTIFS($A$3:$A$1500,A12)</f>
        <v>25</v>
      </c>
      <c r="H12" s="29">
        <v>46173</v>
      </c>
      <c r="I12" s="21" t="s">
        <v>1797</v>
      </c>
      <c r="J12" s="21" t="s">
        <v>4357</v>
      </c>
      <c r="K12" s="21" t="s">
        <v>4867</v>
      </c>
      <c r="L12" s="21" t="s">
        <v>4850</v>
      </c>
      <c r="M12" s="21">
        <v>31</v>
      </c>
      <c r="N12" s="21">
        <v>26</v>
      </c>
      <c r="O12" s="21">
        <v>0</v>
      </c>
      <c r="P12" s="21">
        <v>0</v>
      </c>
      <c r="Q12" s="21" t="s">
        <v>848</v>
      </c>
      <c r="R12" s="21">
        <v>11</v>
      </c>
      <c r="S12" s="21">
        <v>0</v>
      </c>
      <c r="T12" s="21" t="s">
        <v>1569</v>
      </c>
      <c r="U12" s="37">
        <f>_xlfn.XLOOKUP(LEFT(K12,7),'T07'!$A$3:$A$1500,'T07'!$AS$3:$AS$1500)</f>
        <v>150000</v>
      </c>
      <c r="V12" s="37">
        <f>_xlfn.XLOOKUP(LEFT(K12,7),'T07'!$A$3:$A$1500,'T07'!$AT$3:$AT$1500)</f>
        <v>67500</v>
      </c>
      <c r="W12" s="37">
        <v>0</v>
      </c>
      <c r="X12" s="37">
        <f>ROUND(U12/M12/8*2*R12,0)</f>
        <v>13306</v>
      </c>
      <c r="Y12" s="37">
        <f>ROUND(U12/M12*2*S12,0)</f>
        <v>0</v>
      </c>
      <c r="Z12" s="37">
        <v>0</v>
      </c>
      <c r="AA12" s="37">
        <f>ROUND(U12*0.5,0)</f>
        <v>75000</v>
      </c>
      <c r="AB12" s="37">
        <v>3000</v>
      </c>
      <c r="AC12" s="37">
        <f>U12+V12+W12+X12+Y12+Z12+AA12+AB12</f>
        <v>308806</v>
      </c>
      <c r="AD12" s="37">
        <f>_xlfn.LET(_xlpm.a,(AC12-AB12)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40575</v>
      </c>
      <c r="AE12" s="37" cm="1">
        <f t="array" ref="AE12">SUMPRODUCT((LEFT($K$3:$K$1500,7)=LEFT(K12,7))*($F$3:$F$1500&lt;=F12)*($F$3:$F$1500&gt;=DATE(IF(MONTH(F12)&gt;=7,YEAR(F12),YEAR(F12)-1),7,1))*($AC$3:$AC$1500-$AB$3:$AB$1500))</f>
        <v>305806</v>
      </c>
      <c r="AF12" s="37">
        <v>0</v>
      </c>
      <c r="AG12" s="37">
        <f>ROUND((U12+V12)/M12*P12,0)</f>
        <v>0</v>
      </c>
      <c r="AH12" s="37">
        <v>0</v>
      </c>
      <c r="AI12" s="37">
        <f>AD12+AF12+AG12+AH12</f>
        <v>40575</v>
      </c>
      <c r="AJ12" s="37">
        <f>AC12-AI12</f>
        <v>268231</v>
      </c>
      <c r="AK12" s="37">
        <f>AC12+2000</f>
        <v>310806</v>
      </c>
      <c r="AL12" s="21">
        <f>COUNTIFS($A$3:$A$1500,A12)</f>
        <v>25</v>
      </c>
      <c r="AM12" s="37">
        <f>SUMIFS($AC$3:$AC$1500,$A$3:$A$1500,A12)</f>
        <v>5625378</v>
      </c>
      <c r="AN12" s="37">
        <f>SUMIFS($AD$3:$AD$1500,$A$3:$A$1500,A12)</f>
        <v>884999</v>
      </c>
      <c r="AO12" s="37">
        <f>SUMIFS($AF$3:$AF$1500,$A$3:$A$1500,A12)</f>
        <v>30000</v>
      </c>
      <c r="AP12" s="37">
        <f>SUMIFS($AG$3:$AG$1500,$A$3:$A$1500,A12)+SUMIFS($AH$3:$AH$1500,$A$3:$A$1500,A12)</f>
        <v>36764</v>
      </c>
      <c r="AQ12" s="37">
        <f>SUMIFS($AJ$3:$AJ$1500,$A$3:$A$1500,A12)</f>
        <v>4673615</v>
      </c>
      <c r="AR12" s="37">
        <f>SUMIFS($AK$3:$AK$1500,$A$3:$A$1500,A12)</f>
        <v>5675378</v>
      </c>
      <c r="AS12" s="31" t="str">
        <f>IFERROR(AQ12/SUMIFS($AJ$3:$AJ$1500,$F$3:$F$1500,EDATE(F12,-1))-1,"N/A - first run")</f>
        <v>N/A - first run</v>
      </c>
      <c r="AT12" s="21" t="s">
        <v>4846</v>
      </c>
      <c r="AU12" s="21" t="str">
        <f>IF(P12&gt;0,"Unpaid leave "&amp;P12&amp;" day(s)",IF(R12&gt;40,"Overtime above 40 hrs","None"))</f>
        <v>None</v>
      </c>
      <c r="AV12" s="29">
        <f>EOMONTH(H12,0)+15</f>
        <v>46188</v>
      </c>
      <c r="AW12" s="21" t="s">
        <v>4868</v>
      </c>
      <c r="AX12" s="21" t="s">
        <v>4848</v>
      </c>
      <c r="AY12" s="21" t="str">
        <f>IF(U12+V12+W12&gt;=40000,"Compliant","Below minimum wage")</f>
        <v>Compliant</v>
      </c>
    </row>
    <row r="13" spans="1:51" x14ac:dyDescent="0.3">
      <c r="A13" s="21" t="s">
        <v>4840</v>
      </c>
      <c r="B13" s="39">
        <v>46143</v>
      </c>
      <c r="C13" s="21" t="s">
        <v>4841</v>
      </c>
      <c r="D13" s="21" t="s">
        <v>4842</v>
      </c>
      <c r="E13" s="21" t="s">
        <v>743</v>
      </c>
      <c r="F13" s="29">
        <v>46167</v>
      </c>
      <c r="G13" s="21">
        <f>COUNTIFS($A$3:$A$1500,A13)</f>
        <v>25</v>
      </c>
      <c r="H13" s="29">
        <v>46173</v>
      </c>
      <c r="I13" s="21" t="s">
        <v>1797</v>
      </c>
      <c r="J13" s="21" t="s">
        <v>4357</v>
      </c>
      <c r="K13" s="21" t="s">
        <v>4869</v>
      </c>
      <c r="L13" s="21" t="s">
        <v>4850</v>
      </c>
      <c r="M13" s="21">
        <v>31</v>
      </c>
      <c r="N13" s="21">
        <v>25</v>
      </c>
      <c r="O13" s="21">
        <v>1</v>
      </c>
      <c r="P13" s="21">
        <v>0</v>
      </c>
      <c r="Q13" s="21" t="s">
        <v>848</v>
      </c>
      <c r="R13" s="21">
        <v>8</v>
      </c>
      <c r="S13" s="21">
        <v>0</v>
      </c>
      <c r="T13" s="21" t="s">
        <v>1583</v>
      </c>
      <c r="U13" s="37">
        <f>_xlfn.XLOOKUP(LEFT(K13,7),'T07'!$A$3:$A$1500,'T07'!$AS$3:$AS$1500)</f>
        <v>54000</v>
      </c>
      <c r="V13" s="37">
        <f>_xlfn.XLOOKUP(LEFT(K13,7),'T07'!$A$3:$A$1500,'T07'!$AT$3:$AT$1500)</f>
        <v>24300</v>
      </c>
      <c r="W13" s="37">
        <v>0</v>
      </c>
      <c r="X13" s="37">
        <f>ROUND(U13/M13/8*2*R13,0)</f>
        <v>3484</v>
      </c>
      <c r="Y13" s="37">
        <f>ROUND(U13/M13*2*S13,0)</f>
        <v>0</v>
      </c>
      <c r="Z13" s="37">
        <v>0</v>
      </c>
      <c r="AA13" s="37">
        <f>ROUND(U13*0.5,0)</f>
        <v>27000</v>
      </c>
      <c r="AB13" s="37">
        <v>3000</v>
      </c>
      <c r="AC13" s="37">
        <f>U13+V13+W13+X13+Y13+Z13+AA13+AB13</f>
        <v>111784</v>
      </c>
      <c r="AD13" s="37">
        <f>_xlfn.LET(_xlpm.a,(AC13-AB13)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1466</v>
      </c>
      <c r="AE13" s="37" cm="1">
        <f t="array" ref="AE13">SUMPRODUCT((LEFT($K$3:$K$1500,7)=LEFT(K13,7))*($F$3:$F$1500&lt;=F13)*($F$3:$F$1500&gt;=DATE(IF(MONTH(F13)&gt;=7,YEAR(F13),YEAR(F13)-1),7,1))*($AC$3:$AC$1500-$AB$3:$AB$1500))</f>
        <v>108784</v>
      </c>
      <c r="AF13" s="37">
        <v>10000</v>
      </c>
      <c r="AG13" s="37">
        <f>ROUND((U13+V13)/M13*P13,0)</f>
        <v>0</v>
      </c>
      <c r="AH13" s="37">
        <v>0</v>
      </c>
      <c r="AI13" s="37">
        <f>AD13+AF13+AG13+AH13</f>
        <v>11466</v>
      </c>
      <c r="AJ13" s="37">
        <f>AC13-AI13</f>
        <v>100318</v>
      </c>
      <c r="AK13" s="37">
        <f>AC13+2000</f>
        <v>113784</v>
      </c>
      <c r="AL13" s="21">
        <f>COUNTIFS($A$3:$A$1500,A13)</f>
        <v>25</v>
      </c>
      <c r="AM13" s="37">
        <f>SUMIFS($AC$3:$AC$1500,$A$3:$A$1500,A13)</f>
        <v>5625378</v>
      </c>
      <c r="AN13" s="37">
        <f>SUMIFS($AD$3:$AD$1500,$A$3:$A$1500,A13)</f>
        <v>884999</v>
      </c>
      <c r="AO13" s="37">
        <f>SUMIFS($AF$3:$AF$1500,$A$3:$A$1500,A13)</f>
        <v>30000</v>
      </c>
      <c r="AP13" s="37">
        <f>SUMIFS($AG$3:$AG$1500,$A$3:$A$1500,A13)+SUMIFS($AH$3:$AH$1500,$A$3:$A$1500,A13)</f>
        <v>36764</v>
      </c>
      <c r="AQ13" s="37">
        <f>SUMIFS($AJ$3:$AJ$1500,$A$3:$A$1500,A13)</f>
        <v>4673615</v>
      </c>
      <c r="AR13" s="37">
        <f>SUMIFS($AK$3:$AK$1500,$A$3:$A$1500,A13)</f>
        <v>5675378</v>
      </c>
      <c r="AS13" s="31" t="str">
        <f>IFERROR(AQ13/SUMIFS($AJ$3:$AJ$1500,$F$3:$F$1500,EDATE(F13,-1))-1,"N/A - first run")</f>
        <v>N/A - first run</v>
      </c>
      <c r="AT13" s="21" t="s">
        <v>4846</v>
      </c>
      <c r="AU13" s="21" t="str">
        <f>IF(P13&gt;0,"Unpaid leave "&amp;P13&amp;" day(s)",IF(R13&gt;40,"Overtime above 40 hrs","None"))</f>
        <v>None</v>
      </c>
      <c r="AV13" s="29">
        <f>EOMONTH(H13,0)+15</f>
        <v>46188</v>
      </c>
      <c r="AW13" s="21" t="s">
        <v>4870</v>
      </c>
      <c r="AX13" s="21" t="s">
        <v>4848</v>
      </c>
      <c r="AY13" s="21" t="str">
        <f>IF(U13+V13+W13&gt;=40000,"Compliant","Below minimum wage")</f>
        <v>Compliant</v>
      </c>
    </row>
    <row r="14" spans="1:51" x14ac:dyDescent="0.3">
      <c r="A14" s="21" t="s">
        <v>4840</v>
      </c>
      <c r="B14" s="39">
        <v>46143</v>
      </c>
      <c r="C14" s="21" t="s">
        <v>4841</v>
      </c>
      <c r="D14" s="21" t="s">
        <v>4842</v>
      </c>
      <c r="E14" s="21" t="s">
        <v>743</v>
      </c>
      <c r="F14" s="29">
        <v>46167</v>
      </c>
      <c r="G14" s="21">
        <f>COUNTIFS($A$3:$A$1500,A14)</f>
        <v>25</v>
      </c>
      <c r="H14" s="29">
        <v>46173</v>
      </c>
      <c r="I14" s="21" t="s">
        <v>1797</v>
      </c>
      <c r="J14" s="21" t="s">
        <v>4357</v>
      </c>
      <c r="K14" s="21" t="s">
        <v>4871</v>
      </c>
      <c r="L14" s="21" t="s">
        <v>4850</v>
      </c>
      <c r="M14" s="21">
        <v>31</v>
      </c>
      <c r="N14" s="21">
        <v>24</v>
      </c>
      <c r="O14" s="21">
        <v>2</v>
      </c>
      <c r="P14" s="21">
        <v>0</v>
      </c>
      <c r="Q14" s="21" t="s">
        <v>848</v>
      </c>
      <c r="R14" s="21">
        <v>21</v>
      </c>
      <c r="S14" s="21">
        <v>0</v>
      </c>
      <c r="T14" s="21" t="s">
        <v>1598</v>
      </c>
      <c r="U14" s="37">
        <f>_xlfn.XLOOKUP(LEFT(K14,7),'T07'!$A$3:$A$1500,'T07'!$AS$3:$AS$1500)</f>
        <v>57000</v>
      </c>
      <c r="V14" s="37">
        <f>_xlfn.XLOOKUP(LEFT(K14,7),'T07'!$A$3:$A$1500,'T07'!$AT$3:$AT$1500)</f>
        <v>25650</v>
      </c>
      <c r="W14" s="37">
        <v>3000</v>
      </c>
      <c r="X14" s="37">
        <f>ROUND(U14/M14/8*2*R14,0)</f>
        <v>9653</v>
      </c>
      <c r="Y14" s="37">
        <f>ROUND(U14/M14*2*S14,0)</f>
        <v>0</v>
      </c>
      <c r="Z14" s="37">
        <v>0</v>
      </c>
      <c r="AA14" s="37">
        <f>ROUND(U14*0.5,0)</f>
        <v>28500</v>
      </c>
      <c r="AB14" s="37">
        <v>3000</v>
      </c>
      <c r="AC14" s="37">
        <f>U14+V14+W14+X14+Y14+Z14+AA14+AB14</f>
        <v>126803</v>
      </c>
      <c r="AD14" s="37">
        <f>_xlfn.LET(_xlpm.a,(AC14-AB14)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3118</v>
      </c>
      <c r="AE14" s="37" cm="1">
        <f t="array" ref="AE14">SUMPRODUCT((LEFT($K$3:$K$1500,7)=LEFT(K14,7))*($F$3:$F$1500&lt;=F14)*($F$3:$F$1500&gt;=DATE(IF(MONTH(F14)&gt;=7,YEAR(F14),YEAR(F14)-1),7,1))*($AC$3:$AC$1500-$AB$3:$AB$1500))</f>
        <v>123803</v>
      </c>
      <c r="AF14" s="37">
        <v>0</v>
      </c>
      <c r="AG14" s="37">
        <f>ROUND((U14+V14)/M14*P14,0)</f>
        <v>0</v>
      </c>
      <c r="AH14" s="37">
        <v>0</v>
      </c>
      <c r="AI14" s="37">
        <f>AD14+AF14+AG14+AH14</f>
        <v>3118</v>
      </c>
      <c r="AJ14" s="37">
        <f>AC14-AI14</f>
        <v>123685</v>
      </c>
      <c r="AK14" s="37">
        <f>AC14+2000</f>
        <v>128803</v>
      </c>
      <c r="AL14" s="21">
        <f>COUNTIFS($A$3:$A$1500,A14)</f>
        <v>25</v>
      </c>
      <c r="AM14" s="37">
        <f>SUMIFS($AC$3:$AC$1500,$A$3:$A$1500,A14)</f>
        <v>5625378</v>
      </c>
      <c r="AN14" s="37">
        <f>SUMIFS($AD$3:$AD$1500,$A$3:$A$1500,A14)</f>
        <v>884999</v>
      </c>
      <c r="AO14" s="37">
        <f>SUMIFS($AF$3:$AF$1500,$A$3:$A$1500,A14)</f>
        <v>30000</v>
      </c>
      <c r="AP14" s="37">
        <f>SUMIFS($AG$3:$AG$1500,$A$3:$A$1500,A14)+SUMIFS($AH$3:$AH$1500,$A$3:$A$1500,A14)</f>
        <v>36764</v>
      </c>
      <c r="AQ14" s="37">
        <f>SUMIFS($AJ$3:$AJ$1500,$A$3:$A$1500,A14)</f>
        <v>4673615</v>
      </c>
      <c r="AR14" s="37">
        <f>SUMIFS($AK$3:$AK$1500,$A$3:$A$1500,A14)</f>
        <v>5675378</v>
      </c>
      <c r="AS14" s="31" t="str">
        <f>IFERROR(AQ14/SUMIFS($AJ$3:$AJ$1500,$F$3:$F$1500,EDATE(F14,-1))-1,"N/A - first run")</f>
        <v>N/A - first run</v>
      </c>
      <c r="AT14" s="21" t="s">
        <v>4846</v>
      </c>
      <c r="AU14" s="21" t="str">
        <f>IF(P14&gt;0,"Unpaid leave "&amp;P14&amp;" day(s)",IF(R14&gt;40,"Overtime above 40 hrs","None"))</f>
        <v>None</v>
      </c>
      <c r="AV14" s="29">
        <f>EOMONTH(H14,0)+15</f>
        <v>46188</v>
      </c>
      <c r="AW14" s="21" t="s">
        <v>4872</v>
      </c>
      <c r="AX14" s="21" t="s">
        <v>4848</v>
      </c>
      <c r="AY14" s="21" t="str">
        <f>IF(U14+V14+W14&gt;=40000,"Compliant","Below minimum wage")</f>
        <v>Compliant</v>
      </c>
    </row>
    <row r="15" spans="1:51" x14ac:dyDescent="0.3">
      <c r="A15" s="21" t="s">
        <v>4840</v>
      </c>
      <c r="B15" s="39">
        <v>46143</v>
      </c>
      <c r="C15" s="21" t="s">
        <v>4841</v>
      </c>
      <c r="D15" s="21" t="s">
        <v>4842</v>
      </c>
      <c r="E15" s="21" t="s">
        <v>743</v>
      </c>
      <c r="F15" s="29">
        <v>46167</v>
      </c>
      <c r="G15" s="21">
        <f>COUNTIFS($A$3:$A$1500,A15)</f>
        <v>25</v>
      </c>
      <c r="H15" s="29">
        <v>46173</v>
      </c>
      <c r="I15" s="21" t="s">
        <v>1797</v>
      </c>
      <c r="J15" s="21" t="s">
        <v>4357</v>
      </c>
      <c r="K15" s="21" t="s">
        <v>4873</v>
      </c>
      <c r="L15" s="21" t="s">
        <v>4850</v>
      </c>
      <c r="M15" s="21">
        <v>31</v>
      </c>
      <c r="N15" s="21">
        <v>26</v>
      </c>
      <c r="O15" s="21">
        <v>0</v>
      </c>
      <c r="P15" s="21">
        <v>0</v>
      </c>
      <c r="Q15" s="21" t="s">
        <v>4845</v>
      </c>
      <c r="R15" s="21">
        <v>21</v>
      </c>
      <c r="S15" s="21">
        <v>0</v>
      </c>
      <c r="T15" s="21" t="s">
        <v>1615</v>
      </c>
      <c r="U15" s="37">
        <f>_xlfn.XLOOKUP(LEFT(K15,7),'T07'!$A$3:$A$1500,'T07'!$AS$3:$AS$1500)</f>
        <v>36000</v>
      </c>
      <c r="V15" s="37">
        <f>_xlfn.XLOOKUP(LEFT(K15,7),'T07'!$A$3:$A$1500,'T07'!$AT$3:$AT$1500)</f>
        <v>16200</v>
      </c>
      <c r="W15" s="37">
        <v>3000</v>
      </c>
      <c r="X15" s="37">
        <f>ROUND(U15/M15/8*2*R15,0)</f>
        <v>6097</v>
      </c>
      <c r="Y15" s="37">
        <f>ROUND(U15/M15*2*S15,0)</f>
        <v>0</v>
      </c>
      <c r="Z15" s="37">
        <v>0</v>
      </c>
      <c r="AA15" s="37">
        <f>ROUND(U15*0.5,0)</f>
        <v>18000</v>
      </c>
      <c r="AB15" s="37">
        <v>3000</v>
      </c>
      <c r="AC15" s="37">
        <f>U15+V15+W15+X15+Y15+Z15+AA15+AB15</f>
        <v>82297</v>
      </c>
      <c r="AD15" s="37">
        <f>_xlfn.LET(_xlpm.a,(AC15-AB15)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293</v>
      </c>
      <c r="AE15" s="37" cm="1">
        <f t="array" ref="AE15">SUMPRODUCT((LEFT($K$3:$K$1500,7)=LEFT(K15,7))*($F$3:$F$1500&lt;=F15)*($F$3:$F$1500&gt;=DATE(IF(MONTH(F15)&gt;=7,YEAR(F15),YEAR(F15)-1),7,1))*($AC$3:$AC$1500-$AB$3:$AB$1500))</f>
        <v>79297</v>
      </c>
      <c r="AF15" s="37">
        <v>10000</v>
      </c>
      <c r="AG15" s="37">
        <f>ROUND((U15+V15)/M15*P15,0)</f>
        <v>0</v>
      </c>
      <c r="AH15" s="37">
        <v>0</v>
      </c>
      <c r="AI15" s="37">
        <f>AD15+AF15+AG15+AH15</f>
        <v>10293</v>
      </c>
      <c r="AJ15" s="37">
        <f>AC15-AI15</f>
        <v>72004</v>
      </c>
      <c r="AK15" s="37">
        <f>AC15+2000</f>
        <v>84297</v>
      </c>
      <c r="AL15" s="21">
        <f>COUNTIFS($A$3:$A$1500,A15)</f>
        <v>25</v>
      </c>
      <c r="AM15" s="37">
        <f>SUMIFS($AC$3:$AC$1500,$A$3:$A$1500,A15)</f>
        <v>5625378</v>
      </c>
      <c r="AN15" s="37">
        <f>SUMIFS($AD$3:$AD$1500,$A$3:$A$1500,A15)</f>
        <v>884999</v>
      </c>
      <c r="AO15" s="37">
        <f>SUMIFS($AF$3:$AF$1500,$A$3:$A$1500,A15)</f>
        <v>30000</v>
      </c>
      <c r="AP15" s="37">
        <f>SUMIFS($AG$3:$AG$1500,$A$3:$A$1500,A15)+SUMIFS($AH$3:$AH$1500,$A$3:$A$1500,A15)</f>
        <v>36764</v>
      </c>
      <c r="AQ15" s="37">
        <f>SUMIFS($AJ$3:$AJ$1500,$A$3:$A$1500,A15)</f>
        <v>4673615</v>
      </c>
      <c r="AR15" s="37">
        <f>SUMIFS($AK$3:$AK$1500,$A$3:$A$1500,A15)</f>
        <v>5675378</v>
      </c>
      <c r="AS15" s="31" t="str">
        <f>IFERROR(AQ15/SUMIFS($AJ$3:$AJ$1500,$F$3:$F$1500,EDATE(F15,-1))-1,"N/A - first run")</f>
        <v>N/A - first run</v>
      </c>
      <c r="AT15" s="21" t="s">
        <v>4846</v>
      </c>
      <c r="AU15" s="21" t="str">
        <f>IF(P15&gt;0,"Unpaid leave "&amp;P15&amp;" day(s)",IF(R15&gt;40,"Overtime above 40 hrs","None"))</f>
        <v>None</v>
      </c>
      <c r="AV15" s="29">
        <f>EOMONTH(H15,0)+15</f>
        <v>46188</v>
      </c>
      <c r="AW15" s="21" t="s">
        <v>4874</v>
      </c>
      <c r="AX15" s="21" t="s">
        <v>4848</v>
      </c>
      <c r="AY15" s="21" t="str">
        <f>IF(U15+V15+W15&gt;=40000,"Compliant","Below minimum wage")</f>
        <v>Compliant</v>
      </c>
    </row>
    <row r="16" spans="1:51" x14ac:dyDescent="0.3">
      <c r="A16" s="21" t="s">
        <v>4840</v>
      </c>
      <c r="B16" s="39">
        <v>46143</v>
      </c>
      <c r="C16" s="21" t="s">
        <v>4841</v>
      </c>
      <c r="D16" s="21" t="s">
        <v>4842</v>
      </c>
      <c r="E16" s="21" t="s">
        <v>743</v>
      </c>
      <c r="F16" s="29">
        <v>46167</v>
      </c>
      <c r="G16" s="21">
        <f>COUNTIFS($A$3:$A$1500,A16)</f>
        <v>25</v>
      </c>
      <c r="H16" s="29">
        <v>46173</v>
      </c>
      <c r="I16" s="21" t="s">
        <v>1797</v>
      </c>
      <c r="J16" s="21" t="s">
        <v>4357</v>
      </c>
      <c r="K16" s="21" t="s">
        <v>4875</v>
      </c>
      <c r="L16" s="21" t="s">
        <v>4850</v>
      </c>
      <c r="M16" s="21">
        <v>31</v>
      </c>
      <c r="N16" s="21">
        <v>25</v>
      </c>
      <c r="O16" s="21">
        <v>1</v>
      </c>
      <c r="P16" s="21">
        <v>0</v>
      </c>
      <c r="Q16" s="21" t="s">
        <v>848</v>
      </c>
      <c r="R16" s="21">
        <v>0</v>
      </c>
      <c r="S16" s="21">
        <v>0</v>
      </c>
      <c r="T16" s="21" t="s">
        <v>1630</v>
      </c>
      <c r="U16" s="37">
        <f>_xlfn.XLOOKUP(LEFT(K16,7),'T07'!$A$3:$A$1500,'T07'!$AS$3:$AS$1500)</f>
        <v>84000</v>
      </c>
      <c r="V16" s="37">
        <f>_xlfn.XLOOKUP(LEFT(K16,7),'T07'!$A$3:$A$1500,'T07'!$AT$3:$AT$1500)</f>
        <v>37800</v>
      </c>
      <c r="W16" s="37">
        <v>0</v>
      </c>
      <c r="X16" s="37">
        <f>ROUND(U16/M16/8*2*R16,0)</f>
        <v>0</v>
      </c>
      <c r="Y16" s="37">
        <f>ROUND(U16/M16*2*S16,0)</f>
        <v>0</v>
      </c>
      <c r="Z16" s="37">
        <v>0</v>
      </c>
      <c r="AA16" s="37">
        <f>ROUND(U16*0.5,0)</f>
        <v>42000</v>
      </c>
      <c r="AB16" s="37">
        <v>3000</v>
      </c>
      <c r="AC16" s="37">
        <f>U16+V16+W16+X16+Y16+Z16+AA16+AB16</f>
        <v>166800</v>
      </c>
      <c r="AD16" s="37">
        <f>_xlfn.LET(_xlpm.a,(AC16-AB16)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7518</v>
      </c>
      <c r="AE16" s="37" cm="1">
        <f t="array" ref="AE16">SUMPRODUCT((LEFT($K$3:$K$1500,7)=LEFT(K16,7))*($F$3:$F$1500&lt;=F16)*($F$3:$F$1500&gt;=DATE(IF(MONTH(F16)&gt;=7,YEAR(F16),YEAR(F16)-1),7,1))*($AC$3:$AC$1500-$AB$3:$AB$1500))</f>
        <v>163800</v>
      </c>
      <c r="AF16" s="37">
        <v>0</v>
      </c>
      <c r="AG16" s="37">
        <f>ROUND((U16+V16)/M16*P16,0)</f>
        <v>0</v>
      </c>
      <c r="AH16" s="37">
        <v>0</v>
      </c>
      <c r="AI16" s="37">
        <f>AD16+AF16+AG16+AH16</f>
        <v>7518</v>
      </c>
      <c r="AJ16" s="37">
        <f>AC16-AI16</f>
        <v>159282</v>
      </c>
      <c r="AK16" s="37">
        <f>AC16+2000</f>
        <v>168800</v>
      </c>
      <c r="AL16" s="21">
        <f>COUNTIFS($A$3:$A$1500,A16)</f>
        <v>25</v>
      </c>
      <c r="AM16" s="37">
        <f>SUMIFS($AC$3:$AC$1500,$A$3:$A$1500,A16)</f>
        <v>5625378</v>
      </c>
      <c r="AN16" s="37">
        <f>SUMIFS($AD$3:$AD$1500,$A$3:$A$1500,A16)</f>
        <v>884999</v>
      </c>
      <c r="AO16" s="37">
        <f>SUMIFS($AF$3:$AF$1500,$A$3:$A$1500,A16)</f>
        <v>30000</v>
      </c>
      <c r="AP16" s="37">
        <f>SUMIFS($AG$3:$AG$1500,$A$3:$A$1500,A16)+SUMIFS($AH$3:$AH$1500,$A$3:$A$1500,A16)</f>
        <v>36764</v>
      </c>
      <c r="AQ16" s="37">
        <f>SUMIFS($AJ$3:$AJ$1500,$A$3:$A$1500,A16)</f>
        <v>4673615</v>
      </c>
      <c r="AR16" s="37">
        <f>SUMIFS($AK$3:$AK$1500,$A$3:$A$1500,A16)</f>
        <v>5675378</v>
      </c>
      <c r="AS16" s="31" t="str">
        <f>IFERROR(AQ16/SUMIFS($AJ$3:$AJ$1500,$F$3:$F$1500,EDATE(F16,-1))-1,"N/A - first run")</f>
        <v>N/A - first run</v>
      </c>
      <c r="AT16" s="21" t="s">
        <v>4846</v>
      </c>
      <c r="AU16" s="21" t="str">
        <f>IF(P16&gt;0,"Unpaid leave "&amp;P16&amp;" day(s)",IF(R16&gt;40,"Overtime above 40 hrs","None"))</f>
        <v>None</v>
      </c>
      <c r="AV16" s="29">
        <f>EOMONTH(H16,0)+15</f>
        <v>46188</v>
      </c>
      <c r="AW16" s="21" t="s">
        <v>4876</v>
      </c>
      <c r="AX16" s="21" t="s">
        <v>4848</v>
      </c>
      <c r="AY16" s="21" t="str">
        <f>IF(U16+V16+W16&gt;=40000,"Compliant","Below minimum wage")</f>
        <v>Compliant</v>
      </c>
    </row>
    <row r="17" spans="1:51" x14ac:dyDescent="0.3">
      <c r="A17" s="21" t="s">
        <v>4840</v>
      </c>
      <c r="B17" s="39">
        <v>46143</v>
      </c>
      <c r="C17" s="21" t="s">
        <v>4841</v>
      </c>
      <c r="D17" s="21" t="s">
        <v>4842</v>
      </c>
      <c r="E17" s="21" t="s">
        <v>743</v>
      </c>
      <c r="F17" s="29">
        <v>46167</v>
      </c>
      <c r="G17" s="21">
        <f>COUNTIFS($A$3:$A$1500,A17)</f>
        <v>25</v>
      </c>
      <c r="H17" s="29">
        <v>46173</v>
      </c>
      <c r="I17" s="21" t="s">
        <v>1797</v>
      </c>
      <c r="J17" s="21" t="s">
        <v>4357</v>
      </c>
      <c r="K17" s="21" t="s">
        <v>4877</v>
      </c>
      <c r="L17" s="21" t="s">
        <v>4865</v>
      </c>
      <c r="M17" s="21">
        <v>31</v>
      </c>
      <c r="N17" s="21">
        <v>26</v>
      </c>
      <c r="O17" s="21">
        <v>0</v>
      </c>
      <c r="P17" s="21">
        <v>0</v>
      </c>
      <c r="Q17" s="21" t="s">
        <v>848</v>
      </c>
      <c r="R17" s="21">
        <v>0</v>
      </c>
      <c r="S17" s="21">
        <v>0</v>
      </c>
      <c r="T17" s="21" t="s">
        <v>1644</v>
      </c>
      <c r="U17" s="37">
        <f>_xlfn.XLOOKUP(LEFT(K17,7),'T07'!$A$3:$A$1500,'T07'!$AS$3:$AS$1500)</f>
        <v>90000</v>
      </c>
      <c r="V17" s="37">
        <f>_xlfn.XLOOKUP(LEFT(K17,7),'T07'!$A$3:$A$1500,'T07'!$AT$3:$AT$1500)</f>
        <v>40500</v>
      </c>
      <c r="W17" s="37">
        <v>0</v>
      </c>
      <c r="X17" s="37">
        <f>ROUND(U17/M17/8*2*R17,0)</f>
        <v>0</v>
      </c>
      <c r="Y17" s="37">
        <f>ROUND(U17/M17*2*S17,0)</f>
        <v>0</v>
      </c>
      <c r="Z17" s="37">
        <v>0</v>
      </c>
      <c r="AA17" s="37">
        <f>ROUND(U17*0.5,0)</f>
        <v>45000</v>
      </c>
      <c r="AB17" s="37">
        <v>3000</v>
      </c>
      <c r="AC17" s="37">
        <f>U17+V17+W17+X17+Y17+Z17+AA17+AB17</f>
        <v>178500</v>
      </c>
      <c r="AD17" s="37">
        <f>_xlfn.LET(_xlpm.a,(AC17-AB17)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8805</v>
      </c>
      <c r="AE17" s="37" cm="1">
        <f t="array" ref="AE17">SUMPRODUCT((LEFT($K$3:$K$1500,7)=LEFT(K17,7))*($F$3:$F$1500&lt;=F17)*($F$3:$F$1500&gt;=DATE(IF(MONTH(F17)&gt;=7,YEAR(F17),YEAR(F17)-1),7,1))*($AC$3:$AC$1500-$AB$3:$AB$1500))</f>
        <v>175500</v>
      </c>
      <c r="AF17" s="37">
        <v>0</v>
      </c>
      <c r="AG17" s="37">
        <f>ROUND((U17+V17)/M17*P17,0)</f>
        <v>0</v>
      </c>
      <c r="AH17" s="37">
        <v>0</v>
      </c>
      <c r="AI17" s="37">
        <f>AD17+AF17+AG17+AH17</f>
        <v>8805</v>
      </c>
      <c r="AJ17" s="37">
        <f>AC17-AI17</f>
        <v>169695</v>
      </c>
      <c r="AK17" s="37">
        <f>AC17+2000</f>
        <v>180500</v>
      </c>
      <c r="AL17" s="21">
        <f>COUNTIFS($A$3:$A$1500,A17)</f>
        <v>25</v>
      </c>
      <c r="AM17" s="37">
        <f>SUMIFS($AC$3:$AC$1500,$A$3:$A$1500,A17)</f>
        <v>5625378</v>
      </c>
      <c r="AN17" s="37">
        <f>SUMIFS($AD$3:$AD$1500,$A$3:$A$1500,A17)</f>
        <v>884999</v>
      </c>
      <c r="AO17" s="37">
        <f>SUMIFS($AF$3:$AF$1500,$A$3:$A$1500,A17)</f>
        <v>30000</v>
      </c>
      <c r="AP17" s="37">
        <f>SUMIFS($AG$3:$AG$1500,$A$3:$A$1500,A17)+SUMIFS($AH$3:$AH$1500,$A$3:$A$1500,A17)</f>
        <v>36764</v>
      </c>
      <c r="AQ17" s="37">
        <f>SUMIFS($AJ$3:$AJ$1500,$A$3:$A$1500,A17)</f>
        <v>4673615</v>
      </c>
      <c r="AR17" s="37">
        <f>SUMIFS($AK$3:$AK$1500,$A$3:$A$1500,A17)</f>
        <v>5675378</v>
      </c>
      <c r="AS17" s="31" t="str">
        <f>IFERROR(AQ17/SUMIFS($AJ$3:$AJ$1500,$F$3:$F$1500,EDATE(F17,-1))-1,"N/A - first run")</f>
        <v>N/A - first run</v>
      </c>
      <c r="AT17" s="21" t="s">
        <v>4846</v>
      </c>
      <c r="AU17" s="21" t="str">
        <f>IF(P17&gt;0,"Unpaid leave "&amp;P17&amp;" day(s)",IF(R17&gt;40,"Overtime above 40 hrs","None"))</f>
        <v>None</v>
      </c>
      <c r="AV17" s="29">
        <f>EOMONTH(H17,0)+15</f>
        <v>46188</v>
      </c>
      <c r="AW17" s="21" t="s">
        <v>4878</v>
      </c>
      <c r="AX17" s="21" t="s">
        <v>4848</v>
      </c>
      <c r="AY17" s="21" t="str">
        <f>IF(U17+V17+W17&gt;=40000,"Compliant","Below minimum wage")</f>
        <v>Compliant</v>
      </c>
    </row>
    <row r="18" spans="1:51" x14ac:dyDescent="0.3">
      <c r="A18" s="21" t="s">
        <v>4840</v>
      </c>
      <c r="B18" s="39">
        <v>46143</v>
      </c>
      <c r="C18" s="21" t="s">
        <v>4841</v>
      </c>
      <c r="D18" s="21" t="s">
        <v>4842</v>
      </c>
      <c r="E18" s="21" t="s">
        <v>743</v>
      </c>
      <c r="F18" s="29">
        <v>46167</v>
      </c>
      <c r="G18" s="21">
        <f>COUNTIFS($A$3:$A$1500,A18)</f>
        <v>25</v>
      </c>
      <c r="H18" s="29">
        <v>46173</v>
      </c>
      <c r="I18" s="21" t="s">
        <v>1797</v>
      </c>
      <c r="J18" s="21" t="s">
        <v>4357</v>
      </c>
      <c r="K18" s="21" t="s">
        <v>4879</v>
      </c>
      <c r="L18" s="21" t="s">
        <v>4850</v>
      </c>
      <c r="M18" s="21">
        <v>31</v>
      </c>
      <c r="N18" s="21">
        <v>25</v>
      </c>
      <c r="O18" s="21">
        <v>1</v>
      </c>
      <c r="P18" s="21">
        <v>0</v>
      </c>
      <c r="Q18" s="21" t="s">
        <v>848</v>
      </c>
      <c r="R18" s="21">
        <v>0</v>
      </c>
      <c r="S18" s="21">
        <v>0</v>
      </c>
      <c r="T18" s="21" t="s">
        <v>1660</v>
      </c>
      <c r="U18" s="37">
        <f>_xlfn.XLOOKUP(LEFT(K18,7),'T07'!$A$3:$A$1500,'T07'!$AS$3:$AS$1500)</f>
        <v>33000</v>
      </c>
      <c r="V18" s="37">
        <f>_xlfn.XLOOKUP(LEFT(K18,7),'T07'!$A$3:$A$1500,'T07'!$AT$3:$AT$1500)</f>
        <v>14850</v>
      </c>
      <c r="W18" s="37">
        <v>0</v>
      </c>
      <c r="X18" s="37">
        <f>ROUND(U18/M18/8*2*R18,0)</f>
        <v>0</v>
      </c>
      <c r="Y18" s="37">
        <f>ROUND(U18/M18*2*S18,0)</f>
        <v>0</v>
      </c>
      <c r="Z18" s="37">
        <v>0</v>
      </c>
      <c r="AA18" s="37">
        <f>ROUND(U18*0.5,0)</f>
        <v>16500</v>
      </c>
      <c r="AB18" s="37">
        <v>3000</v>
      </c>
      <c r="AC18" s="37">
        <f>U18+V18+W18+X18+Y18+Z18+AA18+AB18</f>
        <v>67350</v>
      </c>
      <c r="AD18" s="37">
        <f>_xlfn.LET(_xlpm.a,(AC18-AB18)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144</v>
      </c>
      <c r="AE18" s="37" cm="1">
        <f t="array" ref="AE18">SUMPRODUCT((LEFT($K$3:$K$1500,7)=LEFT(K18,7))*($F$3:$F$1500&lt;=F18)*($F$3:$F$1500&gt;=DATE(IF(MONTH(F18)&gt;=7,YEAR(F18),YEAR(F18)-1),7,1))*($AC$3:$AC$1500-$AB$3:$AB$1500))</f>
        <v>64350</v>
      </c>
      <c r="AF18" s="37">
        <v>0</v>
      </c>
      <c r="AG18" s="37">
        <f>ROUND((U18+V18)/M18*P18,0)</f>
        <v>0</v>
      </c>
      <c r="AH18" s="37">
        <v>0</v>
      </c>
      <c r="AI18" s="37">
        <f>AD18+AF18+AG18+AH18</f>
        <v>144</v>
      </c>
      <c r="AJ18" s="37">
        <f>AC18-AI18</f>
        <v>67206</v>
      </c>
      <c r="AK18" s="37">
        <f>AC18+2000</f>
        <v>69350</v>
      </c>
      <c r="AL18" s="21">
        <f>COUNTIFS($A$3:$A$1500,A18)</f>
        <v>25</v>
      </c>
      <c r="AM18" s="37">
        <f>SUMIFS($AC$3:$AC$1500,$A$3:$A$1500,A18)</f>
        <v>5625378</v>
      </c>
      <c r="AN18" s="37">
        <f>SUMIFS($AD$3:$AD$1500,$A$3:$A$1500,A18)</f>
        <v>884999</v>
      </c>
      <c r="AO18" s="37">
        <f>SUMIFS($AF$3:$AF$1500,$A$3:$A$1500,A18)</f>
        <v>30000</v>
      </c>
      <c r="AP18" s="37">
        <f>SUMIFS($AG$3:$AG$1500,$A$3:$A$1500,A18)+SUMIFS($AH$3:$AH$1500,$A$3:$A$1500,A18)</f>
        <v>36764</v>
      </c>
      <c r="AQ18" s="37">
        <f>SUMIFS($AJ$3:$AJ$1500,$A$3:$A$1500,A18)</f>
        <v>4673615</v>
      </c>
      <c r="AR18" s="37">
        <f>SUMIFS($AK$3:$AK$1500,$A$3:$A$1500,A18)</f>
        <v>5675378</v>
      </c>
      <c r="AS18" s="31" t="str">
        <f>IFERROR(AQ18/SUMIFS($AJ$3:$AJ$1500,$F$3:$F$1500,EDATE(F18,-1))-1,"N/A - first run")</f>
        <v>N/A - first run</v>
      </c>
      <c r="AT18" s="21" t="s">
        <v>4846</v>
      </c>
      <c r="AU18" s="21" t="str">
        <f>IF(P18&gt;0,"Unpaid leave "&amp;P18&amp;" day(s)",IF(R18&gt;40,"Overtime above 40 hrs","None"))</f>
        <v>None</v>
      </c>
      <c r="AV18" s="29">
        <f>EOMONTH(H18,0)+15</f>
        <v>46188</v>
      </c>
      <c r="AW18" s="21" t="s">
        <v>4880</v>
      </c>
      <c r="AX18" s="21" t="s">
        <v>4848</v>
      </c>
      <c r="AY18" s="21" t="str">
        <f>IF(U18+V18+W18&gt;=40000,"Compliant","Below minimum wage")</f>
        <v>Compliant</v>
      </c>
    </row>
    <row r="19" spans="1:51" x14ac:dyDescent="0.3">
      <c r="A19" s="21" t="s">
        <v>4840</v>
      </c>
      <c r="B19" s="39">
        <v>46143</v>
      </c>
      <c r="C19" s="21" t="s">
        <v>4841</v>
      </c>
      <c r="D19" s="21" t="s">
        <v>4842</v>
      </c>
      <c r="E19" s="21" t="s">
        <v>743</v>
      </c>
      <c r="F19" s="29">
        <v>46167</v>
      </c>
      <c r="G19" s="21">
        <f>COUNTIFS($A$3:$A$1500,A19)</f>
        <v>25</v>
      </c>
      <c r="H19" s="29">
        <v>46173</v>
      </c>
      <c r="I19" s="21" t="s">
        <v>1797</v>
      </c>
      <c r="J19" s="21" t="s">
        <v>4357</v>
      </c>
      <c r="K19" s="21" t="s">
        <v>4881</v>
      </c>
      <c r="L19" s="21" t="s">
        <v>4882</v>
      </c>
      <c r="M19" s="21">
        <v>31</v>
      </c>
      <c r="N19" s="21">
        <v>25</v>
      </c>
      <c r="O19" s="21">
        <v>1</v>
      </c>
      <c r="P19" s="21">
        <v>0</v>
      </c>
      <c r="Q19" s="21" t="s">
        <v>848</v>
      </c>
      <c r="R19" s="21">
        <v>0</v>
      </c>
      <c r="S19" s="21">
        <v>0</v>
      </c>
      <c r="T19" s="21" t="s">
        <v>1674</v>
      </c>
      <c r="U19" s="37">
        <f>_xlfn.XLOOKUP(LEFT(K19,7),'T07'!$A$3:$A$1500,'T07'!$AS$3:$AS$1500)</f>
        <v>25200</v>
      </c>
      <c r="V19" s="37">
        <f>_xlfn.XLOOKUP(LEFT(K19,7),'T07'!$A$3:$A$1500,'T07'!$AT$3:$AT$1500)</f>
        <v>11340</v>
      </c>
      <c r="W19" s="37">
        <v>0</v>
      </c>
      <c r="X19" s="37">
        <f>ROUND(U19/M19/8*2*R19,0)</f>
        <v>0</v>
      </c>
      <c r="Y19" s="37">
        <f>ROUND(U19/M19*2*S19,0)</f>
        <v>0</v>
      </c>
      <c r="Z19" s="37">
        <v>0</v>
      </c>
      <c r="AA19" s="37">
        <f>ROUND(U19*0.5,0)</f>
        <v>12600</v>
      </c>
      <c r="AB19" s="37">
        <v>3000</v>
      </c>
      <c r="AC19" s="37">
        <f>U19+V19+W19+X19+Y19+Z19+AA19+AB19</f>
        <v>52140</v>
      </c>
      <c r="AD19" s="37">
        <f>_xlfn.LET(_xlpm.a,(AC19-AB19)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0</v>
      </c>
      <c r="AE19" s="37" cm="1">
        <f t="array" ref="AE19">SUMPRODUCT((LEFT($K$3:$K$1500,7)=LEFT(K19,7))*($F$3:$F$1500&lt;=F19)*($F$3:$F$1500&gt;=DATE(IF(MONTH(F19)&gt;=7,YEAR(F19),YEAR(F19)-1),7,1))*($AC$3:$AC$1500-$AB$3:$AB$1500))</f>
        <v>49140</v>
      </c>
      <c r="AF19" s="37">
        <v>0</v>
      </c>
      <c r="AG19" s="37">
        <f>ROUND((U19+V19)/M19*P19,0)</f>
        <v>0</v>
      </c>
      <c r="AH19" s="37">
        <v>0</v>
      </c>
      <c r="AI19" s="37">
        <f>AD19+AF19+AG19+AH19</f>
        <v>0</v>
      </c>
      <c r="AJ19" s="37">
        <f>AC19-AI19</f>
        <v>52140</v>
      </c>
      <c r="AK19" s="37">
        <f>AC19+2000</f>
        <v>54140</v>
      </c>
      <c r="AL19" s="21">
        <f>COUNTIFS($A$3:$A$1500,A19)</f>
        <v>25</v>
      </c>
      <c r="AM19" s="37">
        <f>SUMIFS($AC$3:$AC$1500,$A$3:$A$1500,A19)</f>
        <v>5625378</v>
      </c>
      <c r="AN19" s="37">
        <f>SUMIFS($AD$3:$AD$1500,$A$3:$A$1500,A19)</f>
        <v>884999</v>
      </c>
      <c r="AO19" s="37">
        <f>SUMIFS($AF$3:$AF$1500,$A$3:$A$1500,A19)</f>
        <v>30000</v>
      </c>
      <c r="AP19" s="37">
        <f>SUMIFS($AG$3:$AG$1500,$A$3:$A$1500,A19)+SUMIFS($AH$3:$AH$1500,$A$3:$A$1500,A19)</f>
        <v>36764</v>
      </c>
      <c r="AQ19" s="37">
        <f>SUMIFS($AJ$3:$AJ$1500,$A$3:$A$1500,A19)</f>
        <v>4673615</v>
      </c>
      <c r="AR19" s="37">
        <f>SUMIFS($AK$3:$AK$1500,$A$3:$A$1500,A19)</f>
        <v>5675378</v>
      </c>
      <c r="AS19" s="31" t="str">
        <f>IFERROR(AQ19/SUMIFS($AJ$3:$AJ$1500,$F$3:$F$1500,EDATE(F19,-1))-1,"N/A - first run")</f>
        <v>N/A - first run</v>
      </c>
      <c r="AT19" s="21" t="s">
        <v>4846</v>
      </c>
      <c r="AU19" s="21" t="str">
        <f>IF(P19&gt;0,"Unpaid leave "&amp;P19&amp;" day(s)",IF(R19&gt;40,"Overtime above 40 hrs","None"))</f>
        <v>None</v>
      </c>
      <c r="AV19" s="29">
        <f>EOMONTH(H19,0)+15</f>
        <v>46188</v>
      </c>
      <c r="AW19" s="21" t="s">
        <v>4883</v>
      </c>
      <c r="AX19" s="21" t="s">
        <v>4848</v>
      </c>
      <c r="AY19" s="21" t="str">
        <f>IF(U19+V19+W19&gt;=40000,"Compliant","Below minimum wage")</f>
        <v>Below minimum wage</v>
      </c>
    </row>
    <row r="20" spans="1:51" x14ac:dyDescent="0.3">
      <c r="A20" s="21" t="s">
        <v>4840</v>
      </c>
      <c r="B20" s="39">
        <v>46143</v>
      </c>
      <c r="C20" s="21" t="s">
        <v>4841</v>
      </c>
      <c r="D20" s="21" t="s">
        <v>4842</v>
      </c>
      <c r="E20" s="21" t="s">
        <v>743</v>
      </c>
      <c r="F20" s="29">
        <v>46167</v>
      </c>
      <c r="G20" s="21">
        <f>COUNTIFS($A$3:$A$1500,A20)</f>
        <v>25</v>
      </c>
      <c r="H20" s="29">
        <v>46173</v>
      </c>
      <c r="I20" s="21" t="s">
        <v>1797</v>
      </c>
      <c r="J20" s="21" t="s">
        <v>4357</v>
      </c>
      <c r="K20" s="21" t="s">
        <v>4884</v>
      </c>
      <c r="L20" s="21" t="s">
        <v>4885</v>
      </c>
      <c r="M20" s="21">
        <v>31</v>
      </c>
      <c r="N20" s="21">
        <v>26</v>
      </c>
      <c r="O20" s="21">
        <v>0</v>
      </c>
      <c r="P20" s="21">
        <v>0</v>
      </c>
      <c r="Q20" s="21" t="s">
        <v>848</v>
      </c>
      <c r="R20" s="21">
        <v>18</v>
      </c>
      <c r="S20" s="21">
        <v>0</v>
      </c>
      <c r="T20" s="21" t="s">
        <v>1690</v>
      </c>
      <c r="U20" s="37">
        <f>_xlfn.XLOOKUP(LEFT(K20,7),'T07'!$A$3:$A$1500,'T07'!$AS$3:$AS$1500)</f>
        <v>39000</v>
      </c>
      <c r="V20" s="37">
        <f>_xlfn.XLOOKUP(LEFT(K20,7),'T07'!$A$3:$A$1500,'T07'!$AT$3:$AT$1500)</f>
        <v>17550</v>
      </c>
      <c r="W20" s="37">
        <v>5000</v>
      </c>
      <c r="X20" s="37">
        <f>ROUND(U20/M20/8*2*R20,0)</f>
        <v>5661</v>
      </c>
      <c r="Y20" s="37">
        <f>ROUND(U20/M20*2*S20,0)</f>
        <v>0</v>
      </c>
      <c r="Z20" s="37">
        <v>0</v>
      </c>
      <c r="AA20" s="37">
        <f>ROUND(U20*0.5,0)</f>
        <v>19500</v>
      </c>
      <c r="AB20" s="37">
        <v>0</v>
      </c>
      <c r="AC20" s="37">
        <f>U20+V20+W20+X20+Y20+Z20+AA20+AB20</f>
        <v>86711</v>
      </c>
      <c r="AD20" s="37">
        <f>_xlfn.LET(_xlpm.a,(AC20-AB20)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367</v>
      </c>
      <c r="AE20" s="37" cm="1">
        <f t="array" ref="AE20">SUMPRODUCT((LEFT($K$3:$K$1500,7)=LEFT(K20,7))*($F$3:$F$1500&lt;=F20)*($F$3:$F$1500&gt;=DATE(IF(MONTH(F20)&gt;=7,YEAR(F20),YEAR(F20)-1),7,1))*($AC$3:$AC$1500-$AB$3:$AB$1500))</f>
        <v>86711</v>
      </c>
      <c r="AF20" s="37">
        <v>0</v>
      </c>
      <c r="AG20" s="37">
        <f>ROUND((U20+V20)/M20*P20,0)</f>
        <v>0</v>
      </c>
      <c r="AH20" s="37">
        <v>0</v>
      </c>
      <c r="AI20" s="37">
        <f>AD20+AF20+AG20+AH20</f>
        <v>367</v>
      </c>
      <c r="AJ20" s="37">
        <f>AC20-AI20</f>
        <v>86344</v>
      </c>
      <c r="AK20" s="37">
        <f>AC20+2000</f>
        <v>88711</v>
      </c>
      <c r="AL20" s="21">
        <f>COUNTIFS($A$3:$A$1500,A20)</f>
        <v>25</v>
      </c>
      <c r="AM20" s="37">
        <f>SUMIFS($AC$3:$AC$1500,$A$3:$A$1500,A20)</f>
        <v>5625378</v>
      </c>
      <c r="AN20" s="37">
        <f>SUMIFS($AD$3:$AD$1500,$A$3:$A$1500,A20)</f>
        <v>884999</v>
      </c>
      <c r="AO20" s="37">
        <f>SUMIFS($AF$3:$AF$1500,$A$3:$A$1500,A20)</f>
        <v>30000</v>
      </c>
      <c r="AP20" s="37">
        <f>SUMIFS($AG$3:$AG$1500,$A$3:$A$1500,A20)+SUMIFS($AH$3:$AH$1500,$A$3:$A$1500,A20)</f>
        <v>36764</v>
      </c>
      <c r="AQ20" s="37">
        <f>SUMIFS($AJ$3:$AJ$1500,$A$3:$A$1500,A20)</f>
        <v>4673615</v>
      </c>
      <c r="AR20" s="37">
        <f>SUMIFS($AK$3:$AK$1500,$A$3:$A$1500,A20)</f>
        <v>5675378</v>
      </c>
      <c r="AS20" s="31" t="str">
        <f>IFERROR(AQ20/SUMIFS($AJ$3:$AJ$1500,$F$3:$F$1500,EDATE(F20,-1))-1,"N/A - first run")</f>
        <v>N/A - first run</v>
      </c>
      <c r="AT20" s="21" t="s">
        <v>4846</v>
      </c>
      <c r="AU20" s="21" t="str">
        <f>IF(P20&gt;0,"Unpaid leave "&amp;P20&amp;" day(s)",IF(R20&gt;40,"Overtime above 40 hrs","None"))</f>
        <v>None</v>
      </c>
      <c r="AV20" s="29">
        <f>EOMONTH(H20,0)+15</f>
        <v>46188</v>
      </c>
      <c r="AW20" s="21" t="s">
        <v>4886</v>
      </c>
      <c r="AX20" s="21" t="s">
        <v>4848</v>
      </c>
      <c r="AY20" s="21" t="str">
        <f>IF(U20+V20+W20&gt;=40000,"Compliant","Below minimum wage")</f>
        <v>Compliant</v>
      </c>
    </row>
    <row r="21" spans="1:51" x14ac:dyDescent="0.3">
      <c r="A21" s="21" t="s">
        <v>4840</v>
      </c>
      <c r="B21" s="39">
        <v>46143</v>
      </c>
      <c r="C21" s="21" t="s">
        <v>4841</v>
      </c>
      <c r="D21" s="21" t="s">
        <v>4842</v>
      </c>
      <c r="E21" s="21" t="s">
        <v>743</v>
      </c>
      <c r="F21" s="29">
        <v>46167</v>
      </c>
      <c r="G21" s="21">
        <f>COUNTIFS($A$3:$A$1500,A21)</f>
        <v>25</v>
      </c>
      <c r="H21" s="29">
        <v>46173</v>
      </c>
      <c r="I21" s="21" t="s">
        <v>1797</v>
      </c>
      <c r="J21" s="21" t="s">
        <v>4357</v>
      </c>
      <c r="K21" s="21" t="s">
        <v>4887</v>
      </c>
      <c r="L21" s="21" t="s">
        <v>4885</v>
      </c>
      <c r="M21" s="21">
        <v>31</v>
      </c>
      <c r="N21" s="21">
        <v>26</v>
      </c>
      <c r="O21" s="21">
        <v>0</v>
      </c>
      <c r="P21" s="21">
        <v>0</v>
      </c>
      <c r="Q21" s="21" t="s">
        <v>4845</v>
      </c>
      <c r="R21" s="21">
        <v>20</v>
      </c>
      <c r="S21" s="21">
        <v>0</v>
      </c>
      <c r="T21" s="21" t="s">
        <v>1706</v>
      </c>
      <c r="U21" s="37">
        <f>_xlfn.XLOOKUP(LEFT(K21,7),'T07'!$A$3:$A$1500,'T07'!$AS$3:$AS$1500)</f>
        <v>37200</v>
      </c>
      <c r="V21" s="37">
        <f>_xlfn.XLOOKUP(LEFT(K21,7),'T07'!$A$3:$A$1500,'T07'!$AT$3:$AT$1500)</f>
        <v>16740</v>
      </c>
      <c r="W21" s="37">
        <v>5000</v>
      </c>
      <c r="X21" s="37">
        <f>ROUND(U21/M21/8*2*R21,0)</f>
        <v>6000</v>
      </c>
      <c r="Y21" s="37">
        <f>ROUND(U21/M21*2*S21,0)</f>
        <v>0</v>
      </c>
      <c r="Z21" s="37">
        <v>0</v>
      </c>
      <c r="AA21" s="37">
        <f>ROUND(U21*0.5,0)</f>
        <v>18600</v>
      </c>
      <c r="AB21" s="37">
        <v>0</v>
      </c>
      <c r="AC21" s="37">
        <f>U21+V21+W21+X21+Y21+Z21+AA21+AB21</f>
        <v>83540</v>
      </c>
      <c r="AD21" s="37">
        <f>_xlfn.LET(_xlpm.a,(AC21-AB21)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335</v>
      </c>
      <c r="AE21" s="37" cm="1">
        <f t="array" ref="AE21">SUMPRODUCT((LEFT($K$3:$K$1500,7)=LEFT(K21,7))*($F$3:$F$1500&lt;=F21)*($F$3:$F$1500&gt;=DATE(IF(MONTH(F21)&gt;=7,YEAR(F21),YEAR(F21)-1),7,1))*($AC$3:$AC$1500-$AB$3:$AB$1500))</f>
        <v>83540</v>
      </c>
      <c r="AF21" s="37">
        <v>10000</v>
      </c>
      <c r="AG21" s="37">
        <f>ROUND((U21+V21)/M21*P21,0)</f>
        <v>0</v>
      </c>
      <c r="AH21" s="37">
        <v>0</v>
      </c>
      <c r="AI21" s="37">
        <f>AD21+AF21+AG21+AH21</f>
        <v>10335</v>
      </c>
      <c r="AJ21" s="37">
        <f>AC21-AI21</f>
        <v>73205</v>
      </c>
      <c r="AK21" s="37">
        <f>AC21+2000</f>
        <v>85540</v>
      </c>
      <c r="AL21" s="21">
        <f>COUNTIFS($A$3:$A$1500,A21)</f>
        <v>25</v>
      </c>
      <c r="AM21" s="37">
        <f>SUMIFS($AC$3:$AC$1500,$A$3:$A$1500,A21)</f>
        <v>5625378</v>
      </c>
      <c r="AN21" s="37">
        <f>SUMIFS($AD$3:$AD$1500,$A$3:$A$1500,A21)</f>
        <v>884999</v>
      </c>
      <c r="AO21" s="37">
        <f>SUMIFS($AF$3:$AF$1500,$A$3:$A$1500,A21)</f>
        <v>30000</v>
      </c>
      <c r="AP21" s="37">
        <f>SUMIFS($AG$3:$AG$1500,$A$3:$A$1500,A21)+SUMIFS($AH$3:$AH$1500,$A$3:$A$1500,A21)</f>
        <v>36764</v>
      </c>
      <c r="AQ21" s="37">
        <f>SUMIFS($AJ$3:$AJ$1500,$A$3:$A$1500,A21)</f>
        <v>4673615</v>
      </c>
      <c r="AR21" s="37">
        <f>SUMIFS($AK$3:$AK$1500,$A$3:$A$1500,A21)</f>
        <v>5675378</v>
      </c>
      <c r="AS21" s="31" t="str">
        <f>IFERROR(AQ21/SUMIFS($AJ$3:$AJ$1500,$F$3:$F$1500,EDATE(F21,-1))-1,"N/A - first run")</f>
        <v>N/A - first run</v>
      </c>
      <c r="AT21" s="21" t="s">
        <v>4846</v>
      </c>
      <c r="AU21" s="21" t="str">
        <f>IF(P21&gt;0,"Unpaid leave "&amp;P21&amp;" day(s)",IF(R21&gt;40,"Overtime above 40 hrs","None"))</f>
        <v>None</v>
      </c>
      <c r="AV21" s="29">
        <f>EOMONTH(H21,0)+15</f>
        <v>46188</v>
      </c>
      <c r="AW21" s="21" t="s">
        <v>4888</v>
      </c>
      <c r="AX21" s="21" t="s">
        <v>4848</v>
      </c>
      <c r="AY21" s="21" t="str">
        <f>IF(U21+V21+W21&gt;=40000,"Compliant","Below minimum wage")</f>
        <v>Compliant</v>
      </c>
    </row>
    <row r="22" spans="1:51" x14ac:dyDescent="0.3">
      <c r="A22" s="21" t="s">
        <v>4840</v>
      </c>
      <c r="B22" s="39">
        <v>46143</v>
      </c>
      <c r="C22" s="21" t="s">
        <v>4841</v>
      </c>
      <c r="D22" s="21" t="s">
        <v>4842</v>
      </c>
      <c r="E22" s="21" t="s">
        <v>743</v>
      </c>
      <c r="F22" s="29">
        <v>46167</v>
      </c>
      <c r="G22" s="21">
        <f>COUNTIFS($A$3:$A$1500,A22)</f>
        <v>25</v>
      </c>
      <c r="H22" s="29">
        <v>46173</v>
      </c>
      <c r="I22" s="21" t="s">
        <v>1797</v>
      </c>
      <c r="J22" s="21" t="s">
        <v>4357</v>
      </c>
      <c r="K22" s="21" t="s">
        <v>4889</v>
      </c>
      <c r="L22" s="21" t="s">
        <v>4885</v>
      </c>
      <c r="M22" s="21">
        <v>31</v>
      </c>
      <c r="N22" s="21">
        <v>26</v>
      </c>
      <c r="O22" s="21">
        <v>0</v>
      </c>
      <c r="P22" s="21">
        <v>0</v>
      </c>
      <c r="Q22" s="21" t="s">
        <v>848</v>
      </c>
      <c r="R22" s="21">
        <v>35</v>
      </c>
      <c r="S22" s="21">
        <v>0</v>
      </c>
      <c r="T22" s="21" t="s">
        <v>1719</v>
      </c>
      <c r="U22" s="37">
        <f>_xlfn.XLOOKUP(LEFT(K22,7),'T07'!$A$3:$A$1500,'T07'!$AS$3:$AS$1500)</f>
        <v>37200</v>
      </c>
      <c r="V22" s="37">
        <f>_xlfn.XLOOKUP(LEFT(K22,7),'T07'!$A$3:$A$1500,'T07'!$AT$3:$AT$1500)</f>
        <v>16740</v>
      </c>
      <c r="W22" s="37">
        <v>5000</v>
      </c>
      <c r="X22" s="37">
        <f>ROUND(U22/M22/8*2*R22,0)</f>
        <v>10500</v>
      </c>
      <c r="Y22" s="37">
        <f>ROUND(U22/M22*2*S22,0)</f>
        <v>0</v>
      </c>
      <c r="Z22" s="37">
        <v>0</v>
      </c>
      <c r="AA22" s="37">
        <f>ROUND(U22*0.5,0)</f>
        <v>18600</v>
      </c>
      <c r="AB22" s="37">
        <v>0</v>
      </c>
      <c r="AC22" s="37">
        <f>U22+V22+W22+X22+Y22+Z22+AA22+AB22</f>
        <v>88040</v>
      </c>
      <c r="AD22" s="37">
        <f>_xlfn.LET(_xlpm.a,(AC22-AB22)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380</v>
      </c>
      <c r="AE22" s="37" cm="1">
        <f t="array" ref="AE22">SUMPRODUCT((LEFT($K$3:$K$1500,7)=LEFT(K22,7))*($F$3:$F$1500&lt;=F22)*($F$3:$F$1500&gt;=DATE(IF(MONTH(F22)&gt;=7,YEAR(F22),YEAR(F22)-1),7,1))*($AC$3:$AC$1500-$AB$3:$AB$1500))</f>
        <v>88040</v>
      </c>
      <c r="AF22" s="37">
        <v>0</v>
      </c>
      <c r="AG22" s="37">
        <f>ROUND((U22+V22)/M22*P22,0)</f>
        <v>0</v>
      </c>
      <c r="AH22" s="37">
        <v>0</v>
      </c>
      <c r="AI22" s="37">
        <f>AD22+AF22+AG22+AH22</f>
        <v>380</v>
      </c>
      <c r="AJ22" s="37">
        <f>AC22-AI22</f>
        <v>87660</v>
      </c>
      <c r="AK22" s="37">
        <f>AC22+2000</f>
        <v>90040</v>
      </c>
      <c r="AL22" s="21">
        <f>COUNTIFS($A$3:$A$1500,A22)</f>
        <v>25</v>
      </c>
      <c r="AM22" s="37">
        <f>SUMIFS($AC$3:$AC$1500,$A$3:$A$1500,A22)</f>
        <v>5625378</v>
      </c>
      <c r="AN22" s="37">
        <f>SUMIFS($AD$3:$AD$1500,$A$3:$A$1500,A22)</f>
        <v>884999</v>
      </c>
      <c r="AO22" s="37">
        <f>SUMIFS($AF$3:$AF$1500,$A$3:$A$1500,A22)</f>
        <v>30000</v>
      </c>
      <c r="AP22" s="37">
        <f>SUMIFS($AG$3:$AG$1500,$A$3:$A$1500,A22)+SUMIFS($AH$3:$AH$1500,$A$3:$A$1500,A22)</f>
        <v>36764</v>
      </c>
      <c r="AQ22" s="37">
        <f>SUMIFS($AJ$3:$AJ$1500,$A$3:$A$1500,A22)</f>
        <v>4673615</v>
      </c>
      <c r="AR22" s="37">
        <f>SUMIFS($AK$3:$AK$1500,$A$3:$A$1500,A22)</f>
        <v>5675378</v>
      </c>
      <c r="AS22" s="31" t="str">
        <f>IFERROR(AQ22/SUMIFS($AJ$3:$AJ$1500,$F$3:$F$1500,EDATE(F22,-1))-1,"N/A - first run")</f>
        <v>N/A - first run</v>
      </c>
      <c r="AT22" s="21" t="s">
        <v>4846</v>
      </c>
      <c r="AU22" s="21" t="str">
        <f>IF(P22&gt;0,"Unpaid leave "&amp;P22&amp;" day(s)",IF(R22&gt;40,"Overtime above 40 hrs","None"))</f>
        <v>None</v>
      </c>
      <c r="AV22" s="29">
        <f>EOMONTH(H22,0)+15</f>
        <v>46188</v>
      </c>
      <c r="AW22" s="21" t="s">
        <v>4890</v>
      </c>
      <c r="AX22" s="21" t="s">
        <v>4848</v>
      </c>
      <c r="AY22" s="21" t="str">
        <f>IF(U22+V22+W22&gt;=40000,"Compliant","Below minimum wage")</f>
        <v>Compliant</v>
      </c>
    </row>
    <row r="23" spans="1:51" x14ac:dyDescent="0.3">
      <c r="A23" s="21" t="s">
        <v>4840</v>
      </c>
      <c r="B23" s="39">
        <v>46143</v>
      </c>
      <c r="C23" s="21" t="s">
        <v>4841</v>
      </c>
      <c r="D23" s="21" t="s">
        <v>4842</v>
      </c>
      <c r="E23" s="21" t="s">
        <v>743</v>
      </c>
      <c r="F23" s="29">
        <v>46167</v>
      </c>
      <c r="G23" s="21">
        <f>COUNTIFS($A$3:$A$1500,A23)</f>
        <v>25</v>
      </c>
      <c r="H23" s="29">
        <v>46173</v>
      </c>
      <c r="I23" s="21" t="s">
        <v>1797</v>
      </c>
      <c r="J23" s="21" t="s">
        <v>4357</v>
      </c>
      <c r="K23" s="21" t="s">
        <v>4891</v>
      </c>
      <c r="L23" s="21" t="s">
        <v>4892</v>
      </c>
      <c r="M23" s="21">
        <v>31</v>
      </c>
      <c r="N23" s="21">
        <v>24</v>
      </c>
      <c r="O23" s="21">
        <v>2</v>
      </c>
      <c r="P23" s="21">
        <v>0</v>
      </c>
      <c r="Q23" s="21" t="s">
        <v>848</v>
      </c>
      <c r="R23" s="21">
        <v>18</v>
      </c>
      <c r="S23" s="21">
        <v>0</v>
      </c>
      <c r="T23" s="21" t="s">
        <v>1734</v>
      </c>
      <c r="U23" s="37">
        <f>_xlfn.XLOOKUP(LEFT(K23,7),'T07'!$A$3:$A$1500,'T07'!$AS$3:$AS$1500)</f>
        <v>34800</v>
      </c>
      <c r="V23" s="37">
        <f>_xlfn.XLOOKUP(LEFT(K23,7),'T07'!$A$3:$A$1500,'T07'!$AT$3:$AT$1500)</f>
        <v>15660</v>
      </c>
      <c r="W23" s="37">
        <v>5000</v>
      </c>
      <c r="X23" s="37">
        <f>ROUND(U23/M23/8*2*R23,0)</f>
        <v>5052</v>
      </c>
      <c r="Y23" s="37">
        <f>ROUND(U23/M23*2*S23,0)</f>
        <v>0</v>
      </c>
      <c r="Z23" s="37">
        <v>0</v>
      </c>
      <c r="AA23" s="37">
        <f>ROUND(U23*0.5,0)</f>
        <v>17400</v>
      </c>
      <c r="AB23" s="37">
        <v>0</v>
      </c>
      <c r="AC23" s="37">
        <f>U23+V23+W23+X23+Y23+Z23+AA23+AB23</f>
        <v>77912</v>
      </c>
      <c r="AD23" s="37">
        <f>_xlfn.LET(_xlpm.a,(AC23-AB23)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279</v>
      </c>
      <c r="AE23" s="37" cm="1">
        <f t="array" ref="AE23">SUMPRODUCT((LEFT($K$3:$K$1500,7)=LEFT(K23,7))*($F$3:$F$1500&lt;=F23)*($F$3:$F$1500&gt;=DATE(IF(MONTH(F23)&gt;=7,YEAR(F23),YEAR(F23)-1),7,1))*($AC$3:$AC$1500-$AB$3:$AB$1500))</f>
        <v>77912</v>
      </c>
      <c r="AF23" s="37">
        <v>0</v>
      </c>
      <c r="AG23" s="37">
        <f>ROUND((U23+V23)/M23*P23,0)</f>
        <v>0</v>
      </c>
      <c r="AH23" s="37">
        <v>0</v>
      </c>
      <c r="AI23" s="37">
        <f>AD23+AF23+AG23+AH23</f>
        <v>279</v>
      </c>
      <c r="AJ23" s="37">
        <f>AC23-AI23</f>
        <v>77633</v>
      </c>
      <c r="AK23" s="37">
        <f>AC23+2000</f>
        <v>79912</v>
      </c>
      <c r="AL23" s="21">
        <f>COUNTIFS($A$3:$A$1500,A23)</f>
        <v>25</v>
      </c>
      <c r="AM23" s="37">
        <f>SUMIFS($AC$3:$AC$1500,$A$3:$A$1500,A23)</f>
        <v>5625378</v>
      </c>
      <c r="AN23" s="37">
        <f>SUMIFS($AD$3:$AD$1500,$A$3:$A$1500,A23)</f>
        <v>884999</v>
      </c>
      <c r="AO23" s="37">
        <f>SUMIFS($AF$3:$AF$1500,$A$3:$A$1500,A23)</f>
        <v>30000</v>
      </c>
      <c r="AP23" s="37">
        <f>SUMIFS($AG$3:$AG$1500,$A$3:$A$1500,A23)+SUMIFS($AH$3:$AH$1500,$A$3:$A$1500,A23)</f>
        <v>36764</v>
      </c>
      <c r="AQ23" s="37">
        <f>SUMIFS($AJ$3:$AJ$1500,$A$3:$A$1500,A23)</f>
        <v>4673615</v>
      </c>
      <c r="AR23" s="37">
        <f>SUMIFS($AK$3:$AK$1500,$A$3:$A$1500,A23)</f>
        <v>5675378</v>
      </c>
      <c r="AS23" s="31" t="str">
        <f>IFERROR(AQ23/SUMIFS($AJ$3:$AJ$1500,$F$3:$F$1500,EDATE(F23,-1))-1,"N/A - first run")</f>
        <v>N/A - first run</v>
      </c>
      <c r="AT23" s="21" t="s">
        <v>4846</v>
      </c>
      <c r="AU23" s="21" t="str">
        <f>IF(P23&gt;0,"Unpaid leave "&amp;P23&amp;" day(s)",IF(R23&gt;40,"Overtime above 40 hrs","None"))</f>
        <v>None</v>
      </c>
      <c r="AV23" s="29">
        <f>EOMONTH(H23,0)+15</f>
        <v>46188</v>
      </c>
      <c r="AW23" s="21" t="s">
        <v>4893</v>
      </c>
      <c r="AX23" s="21" t="s">
        <v>4848</v>
      </c>
      <c r="AY23" s="21" t="str">
        <f>IF(U23+V23+W23&gt;=40000,"Compliant","Below minimum wage")</f>
        <v>Compliant</v>
      </c>
    </row>
    <row r="24" spans="1:51" x14ac:dyDescent="0.3">
      <c r="A24" s="21" t="s">
        <v>4840</v>
      </c>
      <c r="B24" s="39">
        <v>46143</v>
      </c>
      <c r="C24" s="21" t="s">
        <v>4841</v>
      </c>
      <c r="D24" s="21" t="s">
        <v>4842</v>
      </c>
      <c r="E24" s="21" t="s">
        <v>743</v>
      </c>
      <c r="F24" s="29">
        <v>46167</v>
      </c>
      <c r="G24" s="21">
        <f>COUNTIFS($A$3:$A$1500,A24)</f>
        <v>25</v>
      </c>
      <c r="H24" s="29">
        <v>46173</v>
      </c>
      <c r="I24" s="21" t="s">
        <v>1797</v>
      </c>
      <c r="J24" s="21" t="s">
        <v>4357</v>
      </c>
      <c r="K24" s="21" t="s">
        <v>4894</v>
      </c>
      <c r="L24" s="21" t="s">
        <v>4885</v>
      </c>
      <c r="M24" s="21">
        <v>31</v>
      </c>
      <c r="N24" s="21">
        <v>26</v>
      </c>
      <c r="O24" s="21">
        <v>0</v>
      </c>
      <c r="P24" s="21">
        <v>0</v>
      </c>
      <c r="Q24" s="21" t="s">
        <v>848</v>
      </c>
      <c r="R24" s="21">
        <v>40</v>
      </c>
      <c r="S24" s="21">
        <v>0</v>
      </c>
      <c r="T24" s="21" t="s">
        <v>1748</v>
      </c>
      <c r="U24" s="37">
        <f>_xlfn.XLOOKUP(LEFT(K24,7),'T07'!$A$3:$A$1500,'T07'!$AS$3:$AS$1500)</f>
        <v>36000</v>
      </c>
      <c r="V24" s="37">
        <f>_xlfn.XLOOKUP(LEFT(K24,7),'T07'!$A$3:$A$1500,'T07'!$AT$3:$AT$1500)</f>
        <v>16200</v>
      </c>
      <c r="W24" s="37">
        <v>5000</v>
      </c>
      <c r="X24" s="37">
        <f>ROUND(U24/M24/8*2*R24,0)</f>
        <v>11613</v>
      </c>
      <c r="Y24" s="37">
        <f>ROUND(U24/M24*2*S24,0)</f>
        <v>0</v>
      </c>
      <c r="Z24" s="37">
        <v>0</v>
      </c>
      <c r="AA24" s="37">
        <f>ROUND(U24*0.5,0)</f>
        <v>18000</v>
      </c>
      <c r="AB24" s="37">
        <v>0</v>
      </c>
      <c r="AC24" s="37">
        <f>U24+V24+W24+X24+Y24+Z24+AA24+AB24</f>
        <v>86813</v>
      </c>
      <c r="AD24" s="37">
        <f>_xlfn.LET(_xlpm.a,(AC24-AB24)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368</v>
      </c>
      <c r="AE24" s="37" cm="1">
        <f t="array" ref="AE24">SUMPRODUCT((LEFT($K$3:$K$1500,7)=LEFT(K24,7))*($F$3:$F$1500&lt;=F24)*($F$3:$F$1500&gt;=DATE(IF(MONTH(F24)&gt;=7,YEAR(F24),YEAR(F24)-1),7,1))*($AC$3:$AC$1500-$AB$3:$AB$1500))</f>
        <v>86813</v>
      </c>
      <c r="AF24" s="37">
        <v>0</v>
      </c>
      <c r="AG24" s="37">
        <f>ROUND((U24+V24)/M24*P24,0)</f>
        <v>0</v>
      </c>
      <c r="AH24" s="37">
        <v>0</v>
      </c>
      <c r="AI24" s="37">
        <f>AD24+AF24+AG24+AH24</f>
        <v>368</v>
      </c>
      <c r="AJ24" s="37">
        <f>AC24-AI24</f>
        <v>86445</v>
      </c>
      <c r="AK24" s="37">
        <f>AC24+2000</f>
        <v>88813</v>
      </c>
      <c r="AL24" s="21">
        <f>COUNTIFS($A$3:$A$1500,A24)</f>
        <v>25</v>
      </c>
      <c r="AM24" s="37">
        <f>SUMIFS($AC$3:$AC$1500,$A$3:$A$1500,A24)</f>
        <v>5625378</v>
      </c>
      <c r="AN24" s="37">
        <f>SUMIFS($AD$3:$AD$1500,$A$3:$A$1500,A24)</f>
        <v>884999</v>
      </c>
      <c r="AO24" s="37">
        <f>SUMIFS($AF$3:$AF$1500,$A$3:$A$1500,A24)</f>
        <v>30000</v>
      </c>
      <c r="AP24" s="37">
        <f>SUMIFS($AG$3:$AG$1500,$A$3:$A$1500,A24)+SUMIFS($AH$3:$AH$1500,$A$3:$A$1500,A24)</f>
        <v>36764</v>
      </c>
      <c r="AQ24" s="37">
        <f>SUMIFS($AJ$3:$AJ$1500,$A$3:$A$1500,A24)</f>
        <v>4673615</v>
      </c>
      <c r="AR24" s="37">
        <f>SUMIFS($AK$3:$AK$1500,$A$3:$A$1500,A24)</f>
        <v>5675378</v>
      </c>
      <c r="AS24" s="31" t="str">
        <f>IFERROR(AQ24/SUMIFS($AJ$3:$AJ$1500,$F$3:$F$1500,EDATE(F24,-1))-1,"N/A - first run")</f>
        <v>N/A - first run</v>
      </c>
      <c r="AT24" s="21" t="s">
        <v>4846</v>
      </c>
      <c r="AU24" s="21" t="str">
        <f>IF(P24&gt;0,"Unpaid leave "&amp;P24&amp;" day(s)",IF(R24&gt;40,"Overtime above 40 hrs","None"))</f>
        <v>None</v>
      </c>
      <c r="AV24" s="29">
        <f>EOMONTH(H24,0)+15</f>
        <v>46188</v>
      </c>
      <c r="AW24" s="21" t="s">
        <v>4895</v>
      </c>
      <c r="AX24" s="21" t="s">
        <v>4848</v>
      </c>
      <c r="AY24" s="21" t="str">
        <f>IF(U24+V24+W24&gt;=40000,"Compliant","Below minimum wage")</f>
        <v>Compliant</v>
      </c>
    </row>
    <row r="25" spans="1:51" x14ac:dyDescent="0.3">
      <c r="A25" s="21" t="s">
        <v>4840</v>
      </c>
      <c r="B25" s="39">
        <v>46143</v>
      </c>
      <c r="C25" s="21" t="s">
        <v>4841</v>
      </c>
      <c r="D25" s="21" t="s">
        <v>4842</v>
      </c>
      <c r="E25" s="21" t="s">
        <v>743</v>
      </c>
      <c r="F25" s="29">
        <v>46167</v>
      </c>
      <c r="G25" s="21">
        <f>COUNTIFS($A$3:$A$1500,A25)</f>
        <v>25</v>
      </c>
      <c r="H25" s="29">
        <v>46173</v>
      </c>
      <c r="I25" s="21" t="s">
        <v>1797</v>
      </c>
      <c r="J25" s="21" t="s">
        <v>4357</v>
      </c>
      <c r="K25" s="21" t="s">
        <v>4896</v>
      </c>
      <c r="L25" s="21" t="s">
        <v>4885</v>
      </c>
      <c r="M25" s="21">
        <v>31</v>
      </c>
      <c r="N25" s="21">
        <v>24</v>
      </c>
      <c r="O25" s="21">
        <v>2</v>
      </c>
      <c r="P25" s="21">
        <v>0</v>
      </c>
      <c r="Q25" s="21" t="s">
        <v>848</v>
      </c>
      <c r="R25" s="21">
        <v>25</v>
      </c>
      <c r="S25" s="21">
        <v>0</v>
      </c>
      <c r="T25" s="21" t="s">
        <v>1761</v>
      </c>
      <c r="U25" s="37">
        <f>_xlfn.XLOOKUP(LEFT(K25,7),'T07'!$A$3:$A$1500,'T07'!$AS$3:$AS$1500)</f>
        <v>36000</v>
      </c>
      <c r="V25" s="37">
        <f>_xlfn.XLOOKUP(LEFT(K25,7),'T07'!$A$3:$A$1500,'T07'!$AT$3:$AT$1500)</f>
        <v>16200</v>
      </c>
      <c r="W25" s="37">
        <v>5000</v>
      </c>
      <c r="X25" s="37">
        <f>ROUND(U25/M25/8*2*R25,0)</f>
        <v>7258</v>
      </c>
      <c r="Y25" s="37">
        <f>ROUND(U25/M25*2*S25,0)</f>
        <v>0</v>
      </c>
      <c r="Z25" s="37">
        <v>0</v>
      </c>
      <c r="AA25" s="37">
        <f>ROUND(U25*0.5,0)</f>
        <v>18000</v>
      </c>
      <c r="AB25" s="37">
        <v>0</v>
      </c>
      <c r="AC25" s="37">
        <f>U25+V25+W25+X25+Y25+Z25+AA25+AB25</f>
        <v>82458</v>
      </c>
      <c r="AD25" s="37">
        <f>_xlfn.LET(_xlpm.a,(AC25-AB25)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325</v>
      </c>
      <c r="AE25" s="37" cm="1">
        <f t="array" ref="AE25">SUMPRODUCT((LEFT($K$3:$K$1500,7)=LEFT(K25,7))*($F$3:$F$1500&lt;=F25)*($F$3:$F$1500&gt;=DATE(IF(MONTH(F25)&gt;=7,YEAR(F25),YEAR(F25)-1),7,1))*($AC$3:$AC$1500-$AB$3:$AB$1500))</f>
        <v>82458</v>
      </c>
      <c r="AF25" s="37">
        <v>0</v>
      </c>
      <c r="AG25" s="37">
        <f>ROUND((U25+V25)/M25*P25,0)</f>
        <v>0</v>
      </c>
      <c r="AH25" s="37">
        <v>0</v>
      </c>
      <c r="AI25" s="37">
        <f>AD25+AF25+AG25+AH25</f>
        <v>325</v>
      </c>
      <c r="AJ25" s="37">
        <f>AC25-AI25</f>
        <v>82133</v>
      </c>
      <c r="AK25" s="37">
        <f>AC25+2000</f>
        <v>84458</v>
      </c>
      <c r="AL25" s="21">
        <f>COUNTIFS($A$3:$A$1500,A25)</f>
        <v>25</v>
      </c>
      <c r="AM25" s="37">
        <f>SUMIFS($AC$3:$AC$1500,$A$3:$A$1500,A25)</f>
        <v>5625378</v>
      </c>
      <c r="AN25" s="37">
        <f>SUMIFS($AD$3:$AD$1500,$A$3:$A$1500,A25)</f>
        <v>884999</v>
      </c>
      <c r="AO25" s="37">
        <f>SUMIFS($AF$3:$AF$1500,$A$3:$A$1500,A25)</f>
        <v>30000</v>
      </c>
      <c r="AP25" s="37">
        <f>SUMIFS($AG$3:$AG$1500,$A$3:$A$1500,A25)+SUMIFS($AH$3:$AH$1500,$A$3:$A$1500,A25)</f>
        <v>36764</v>
      </c>
      <c r="AQ25" s="37">
        <f>SUMIFS($AJ$3:$AJ$1500,$A$3:$A$1500,A25)</f>
        <v>4673615</v>
      </c>
      <c r="AR25" s="37">
        <f>SUMIFS($AK$3:$AK$1500,$A$3:$A$1500,A25)</f>
        <v>5675378</v>
      </c>
      <c r="AS25" s="31" t="str">
        <f>IFERROR(AQ25/SUMIFS($AJ$3:$AJ$1500,$F$3:$F$1500,EDATE(F25,-1))-1,"N/A - first run")</f>
        <v>N/A - first run</v>
      </c>
      <c r="AT25" s="21" t="s">
        <v>4846</v>
      </c>
      <c r="AU25" s="21" t="str">
        <f>IF(P25&gt;0,"Unpaid leave "&amp;P25&amp;" day(s)",IF(R25&gt;40,"Overtime above 40 hrs","None"))</f>
        <v>None</v>
      </c>
      <c r="AV25" s="29">
        <f>EOMONTH(H25,0)+15</f>
        <v>46188</v>
      </c>
      <c r="AW25" s="21" t="s">
        <v>4897</v>
      </c>
      <c r="AX25" s="21" t="s">
        <v>4848</v>
      </c>
      <c r="AY25" s="21" t="str">
        <f>IF(U25+V25+W25&gt;=40000,"Compliant","Below minimum wage")</f>
        <v>Compliant</v>
      </c>
    </row>
    <row r="26" spans="1:51" x14ac:dyDescent="0.3">
      <c r="A26" s="21" t="s">
        <v>4840</v>
      </c>
      <c r="B26" s="39">
        <v>46143</v>
      </c>
      <c r="C26" s="21" t="s">
        <v>4841</v>
      </c>
      <c r="D26" s="21" t="s">
        <v>4842</v>
      </c>
      <c r="E26" s="21" t="s">
        <v>743</v>
      </c>
      <c r="F26" s="29">
        <v>46167</v>
      </c>
      <c r="G26" s="21">
        <f>COUNTIFS($A$3:$A$1500,A26)</f>
        <v>25</v>
      </c>
      <c r="H26" s="29">
        <v>46173</v>
      </c>
      <c r="I26" s="21" t="s">
        <v>1797</v>
      </c>
      <c r="J26" s="21" t="s">
        <v>4357</v>
      </c>
      <c r="K26" s="21" t="s">
        <v>4898</v>
      </c>
      <c r="L26" s="21" t="s">
        <v>4892</v>
      </c>
      <c r="M26" s="21">
        <v>31</v>
      </c>
      <c r="N26" s="21">
        <v>22</v>
      </c>
      <c r="O26" s="21">
        <v>2</v>
      </c>
      <c r="P26" s="21">
        <v>2</v>
      </c>
      <c r="Q26" s="21" t="s">
        <v>848</v>
      </c>
      <c r="R26" s="21">
        <v>30</v>
      </c>
      <c r="S26" s="21">
        <v>0</v>
      </c>
      <c r="T26" s="21" t="s">
        <v>1776</v>
      </c>
      <c r="U26" s="37">
        <f>_xlfn.XLOOKUP(LEFT(K26,7),'T07'!$A$3:$A$1500,'T07'!$AS$3:$AS$1500)</f>
        <v>33000</v>
      </c>
      <c r="V26" s="37">
        <f>_xlfn.XLOOKUP(LEFT(K26,7),'T07'!$A$3:$A$1500,'T07'!$AT$3:$AT$1500)</f>
        <v>14850</v>
      </c>
      <c r="W26" s="37">
        <v>5000</v>
      </c>
      <c r="X26" s="37">
        <f>ROUND(U26/M26/8*2*R26,0)</f>
        <v>7984</v>
      </c>
      <c r="Y26" s="37">
        <f>ROUND(U26/M26*2*S26,0)</f>
        <v>0</v>
      </c>
      <c r="Z26" s="37">
        <v>0</v>
      </c>
      <c r="AA26" s="37">
        <f>ROUND(U26*0.5,0)</f>
        <v>16500</v>
      </c>
      <c r="AB26" s="37">
        <v>0</v>
      </c>
      <c r="AC26" s="37">
        <f>U26+V26+W26+X26+Y26+Z26+AA26+AB26</f>
        <v>77334</v>
      </c>
      <c r="AD26" s="37">
        <f>_xlfn.LET(_xlpm.a,(AC26-AB26)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273</v>
      </c>
      <c r="AE26" s="37" cm="1">
        <f t="array" ref="AE26">SUMPRODUCT((LEFT($K$3:$K$1500,7)=LEFT(K26,7))*($F$3:$F$1500&lt;=F26)*($F$3:$F$1500&gt;=DATE(IF(MONTH(F26)&gt;=7,YEAR(F26),YEAR(F26)-1),7,1))*($AC$3:$AC$1500-$AB$3:$AB$1500))</f>
        <v>77334</v>
      </c>
      <c r="AF26" s="37">
        <v>0</v>
      </c>
      <c r="AG26" s="37">
        <f>ROUND((U26+V26)/M26*P26,0)</f>
        <v>3087</v>
      </c>
      <c r="AH26" s="37">
        <v>0</v>
      </c>
      <c r="AI26" s="37">
        <f>AD26+AF26+AG26+AH26</f>
        <v>3360</v>
      </c>
      <c r="AJ26" s="37">
        <f>AC26-AI26</f>
        <v>73974</v>
      </c>
      <c r="AK26" s="37">
        <f>AC26+2000</f>
        <v>79334</v>
      </c>
      <c r="AL26" s="21">
        <f>COUNTIFS($A$3:$A$1500,A26)</f>
        <v>25</v>
      </c>
      <c r="AM26" s="37">
        <f>SUMIFS($AC$3:$AC$1500,$A$3:$A$1500,A26)</f>
        <v>5625378</v>
      </c>
      <c r="AN26" s="37">
        <f>SUMIFS($AD$3:$AD$1500,$A$3:$A$1500,A26)</f>
        <v>884999</v>
      </c>
      <c r="AO26" s="37">
        <f>SUMIFS($AF$3:$AF$1500,$A$3:$A$1500,A26)</f>
        <v>30000</v>
      </c>
      <c r="AP26" s="37">
        <f>SUMIFS($AG$3:$AG$1500,$A$3:$A$1500,A26)+SUMIFS($AH$3:$AH$1500,$A$3:$A$1500,A26)</f>
        <v>36764</v>
      </c>
      <c r="AQ26" s="37">
        <f>SUMIFS($AJ$3:$AJ$1500,$A$3:$A$1500,A26)</f>
        <v>4673615</v>
      </c>
      <c r="AR26" s="37">
        <f>SUMIFS($AK$3:$AK$1500,$A$3:$A$1500,A26)</f>
        <v>5675378</v>
      </c>
      <c r="AS26" s="31" t="str">
        <f>IFERROR(AQ26/SUMIFS($AJ$3:$AJ$1500,$F$3:$F$1500,EDATE(F26,-1))-1,"N/A - first run")</f>
        <v>N/A - first run</v>
      </c>
      <c r="AT26" s="21" t="s">
        <v>4846</v>
      </c>
      <c r="AU26" s="21" t="str">
        <f>IF(P26&gt;0,"Unpaid leave "&amp;P26&amp;" day(s)",IF(R26&gt;40,"Overtime above 40 hrs","None"))</f>
        <v>Unpaid leave 2 day(s)</v>
      </c>
      <c r="AV26" s="29">
        <f>EOMONTH(H26,0)+15</f>
        <v>46188</v>
      </c>
      <c r="AW26" s="21" t="s">
        <v>4899</v>
      </c>
      <c r="AX26" s="21" t="s">
        <v>4848</v>
      </c>
      <c r="AY26" s="21" t="str">
        <f>IF(U26+V26+W26&gt;=40000,"Compliant","Below minimum wage")</f>
        <v>Compliant</v>
      </c>
    </row>
    <row r="27" spans="1:51" x14ac:dyDescent="0.3">
      <c r="A27" s="21" t="s">
        <v>4840</v>
      </c>
      <c r="B27" s="39">
        <v>46143</v>
      </c>
      <c r="C27" s="21" t="s">
        <v>4841</v>
      </c>
      <c r="D27" s="21" t="s">
        <v>4842</v>
      </c>
      <c r="E27" s="21" t="s">
        <v>743</v>
      </c>
      <c r="F27" s="29">
        <v>46167</v>
      </c>
      <c r="G27" s="21">
        <f>COUNTIFS($A$3:$A$1500,A27)</f>
        <v>25</v>
      </c>
      <c r="H27" s="29">
        <v>46173</v>
      </c>
      <c r="I27" s="21" t="s">
        <v>1797</v>
      </c>
      <c r="J27" s="21" t="s">
        <v>4357</v>
      </c>
      <c r="K27" s="21" t="s">
        <v>4900</v>
      </c>
      <c r="L27" s="21" t="s">
        <v>4885</v>
      </c>
      <c r="M27" s="21">
        <v>31</v>
      </c>
      <c r="N27" s="21">
        <v>25</v>
      </c>
      <c r="O27" s="21">
        <v>1</v>
      </c>
      <c r="P27" s="21">
        <v>0</v>
      </c>
      <c r="Q27" s="21" t="s">
        <v>4845</v>
      </c>
      <c r="R27" s="21">
        <v>29</v>
      </c>
      <c r="S27" s="21">
        <v>0</v>
      </c>
      <c r="T27" s="21" t="s">
        <v>1790</v>
      </c>
      <c r="U27" s="37">
        <f>_xlfn.XLOOKUP(LEFT(K27,7),'T07'!$A$3:$A$1500,'T07'!$AS$3:$AS$1500)</f>
        <v>37200</v>
      </c>
      <c r="V27" s="37">
        <f>_xlfn.XLOOKUP(LEFT(K27,7),'T07'!$A$3:$A$1500,'T07'!$AT$3:$AT$1500)</f>
        <v>16740</v>
      </c>
      <c r="W27" s="37">
        <v>5000</v>
      </c>
      <c r="X27" s="37">
        <f>ROUND(U27/M27/8*2*R27,0)</f>
        <v>8700</v>
      </c>
      <c r="Y27" s="37">
        <f>ROUND(U27/M27*2*S27,0)</f>
        <v>0</v>
      </c>
      <c r="Z27" s="37">
        <v>0</v>
      </c>
      <c r="AA27" s="37">
        <f>ROUND(U27*0.5,0)</f>
        <v>18600</v>
      </c>
      <c r="AB27" s="37">
        <v>0</v>
      </c>
      <c r="AC27" s="37">
        <f>U27+V27+W27+X27+Y27+Z27+AA27+AB27</f>
        <v>86240</v>
      </c>
      <c r="AD27" s="37">
        <f>_xlfn.LET(_xlpm.a,(AC27-AB27)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362</v>
      </c>
      <c r="AE27" s="37" cm="1">
        <f t="array" ref="AE27">SUMPRODUCT((LEFT($K$3:$K$1500,7)=LEFT(K27,7))*($F$3:$F$1500&lt;=F27)*($F$3:$F$1500&gt;=DATE(IF(MONTH(F27)&gt;=7,YEAR(F27),YEAR(F27)-1),7,1))*($AC$3:$AC$1500-$AB$3:$AB$1500))</f>
        <v>86240</v>
      </c>
      <c r="AF27" s="37">
        <v>0</v>
      </c>
      <c r="AG27" s="37">
        <f>ROUND((U27+V27)/M27*P27,0)</f>
        <v>0</v>
      </c>
      <c r="AH27" s="37">
        <v>0</v>
      </c>
      <c r="AI27" s="37">
        <f>AD27+AF27+AG27+AH27</f>
        <v>362</v>
      </c>
      <c r="AJ27" s="37">
        <f>AC27-AI27</f>
        <v>85878</v>
      </c>
      <c r="AK27" s="37">
        <f>AC27+2000</f>
        <v>88240</v>
      </c>
      <c r="AL27" s="21">
        <f>COUNTIFS($A$3:$A$1500,A27)</f>
        <v>25</v>
      </c>
      <c r="AM27" s="37">
        <f>SUMIFS($AC$3:$AC$1500,$A$3:$A$1500,A27)</f>
        <v>5625378</v>
      </c>
      <c r="AN27" s="37">
        <f>SUMIFS($AD$3:$AD$1500,$A$3:$A$1500,A27)</f>
        <v>884999</v>
      </c>
      <c r="AO27" s="37">
        <f>SUMIFS($AF$3:$AF$1500,$A$3:$A$1500,A27)</f>
        <v>30000</v>
      </c>
      <c r="AP27" s="37">
        <f>SUMIFS($AG$3:$AG$1500,$A$3:$A$1500,A27)+SUMIFS($AH$3:$AH$1500,$A$3:$A$1500,A27)</f>
        <v>36764</v>
      </c>
      <c r="AQ27" s="37">
        <f>SUMIFS($AJ$3:$AJ$1500,$A$3:$A$1500,A27)</f>
        <v>4673615</v>
      </c>
      <c r="AR27" s="37">
        <f>SUMIFS($AK$3:$AK$1500,$A$3:$A$1500,A27)</f>
        <v>5675378</v>
      </c>
      <c r="AS27" s="31" t="str">
        <f>IFERROR(AQ27/SUMIFS($AJ$3:$AJ$1500,$F$3:$F$1500,EDATE(F27,-1))-1,"N/A - first run")</f>
        <v>N/A - first run</v>
      </c>
      <c r="AT27" s="21" t="s">
        <v>4846</v>
      </c>
      <c r="AU27" s="21" t="str">
        <f>IF(P27&gt;0,"Unpaid leave "&amp;P27&amp;" day(s)",IF(R27&gt;40,"Overtime above 40 hrs","None"))</f>
        <v>None</v>
      </c>
      <c r="AV27" s="29">
        <f>EOMONTH(H27,0)+15</f>
        <v>46188</v>
      </c>
      <c r="AW27" s="21" t="s">
        <v>4901</v>
      </c>
      <c r="AX27" s="21" t="s">
        <v>4848</v>
      </c>
      <c r="AY27" s="21" t="str">
        <f>IF(U27+V27+W27&gt;=40000,"Compliant","Below minimum wage")</f>
        <v>Compliant</v>
      </c>
    </row>
    <row r="28" spans="1:51" x14ac:dyDescent="0.3">
      <c r="A28" s="21" t="s">
        <v>4902</v>
      </c>
      <c r="B28" s="39">
        <v>46174</v>
      </c>
      <c r="C28" s="21" t="s">
        <v>4903</v>
      </c>
      <c r="D28" s="21" t="s">
        <v>4842</v>
      </c>
      <c r="E28" s="21" t="s">
        <v>743</v>
      </c>
      <c r="F28" s="29">
        <v>46198</v>
      </c>
      <c r="G28" s="21">
        <f>COUNTIFS($A$3:$A$1500,A28)</f>
        <v>25</v>
      </c>
      <c r="H28" s="29">
        <v>46203</v>
      </c>
      <c r="I28" s="21" t="s">
        <v>1797</v>
      </c>
      <c r="J28" s="21" t="s">
        <v>4357</v>
      </c>
      <c r="K28" s="21" t="s">
        <v>4843</v>
      </c>
      <c r="L28" s="21" t="s">
        <v>4844</v>
      </c>
      <c r="M28" s="21">
        <v>30</v>
      </c>
      <c r="N28" s="21">
        <v>26</v>
      </c>
      <c r="O28" s="21">
        <v>0</v>
      </c>
      <c r="P28" s="21">
        <v>0</v>
      </c>
      <c r="Q28" s="21" t="s">
        <v>848</v>
      </c>
      <c r="R28" s="21">
        <v>0</v>
      </c>
      <c r="S28" s="21">
        <v>0</v>
      </c>
      <c r="T28" s="21" t="s">
        <v>1410</v>
      </c>
      <c r="U28" s="37">
        <f>_xlfn.XLOOKUP(LEFT(K28,7),'T07'!$A$3:$A$1500,'T07'!$AS$3:$AS$1500)</f>
        <v>720000</v>
      </c>
      <c r="V28" s="37">
        <f>_xlfn.XLOOKUP(LEFT(K28,7),'T07'!$A$3:$A$1500,'T07'!$AT$3:$AT$1500)</f>
        <v>324000</v>
      </c>
      <c r="W28" s="37">
        <v>0</v>
      </c>
      <c r="X28" s="37">
        <f>ROUND(U28/M28/8*2*R28,0)</f>
        <v>0</v>
      </c>
      <c r="Y28" s="37">
        <f>ROUND(U28/M28*2*S28,0)</f>
        <v>0</v>
      </c>
      <c r="Z28" s="37">
        <v>0</v>
      </c>
      <c r="AA28" s="37">
        <v>0</v>
      </c>
      <c r="AB28" s="37">
        <v>40000</v>
      </c>
      <c r="AC28" s="37">
        <f>U28+V28+W28+X28+Y28+Z28+AA28+AB28</f>
        <v>1084000</v>
      </c>
      <c r="AD28" s="37">
        <f>_xlfn.LET(_xlpm.a,(AC28-AB28)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297150</v>
      </c>
      <c r="AE28" s="37" cm="1">
        <f t="array" ref="AE28">SUMPRODUCT((LEFT($K$3:$K$1500,7)=LEFT(K28,7))*($F$3:$F$1500&lt;=F28)*($F$3:$F$1500&gt;=DATE(IF(MONTH(F28)&gt;=7,YEAR(F28),YEAR(F28)-1),7,1))*($AC$3:$AC$1500-$AB$3:$AB$1500))</f>
        <v>2448000</v>
      </c>
      <c r="AF28" s="37">
        <v>0</v>
      </c>
      <c r="AG28" s="37">
        <f>ROUND((U28+V28)/M28*P28,0)</f>
        <v>0</v>
      </c>
      <c r="AH28" s="37">
        <v>0</v>
      </c>
      <c r="AI28" s="37">
        <f>AD28+AF28+AG28+AH28</f>
        <v>297150</v>
      </c>
      <c r="AJ28" s="37">
        <f>AC28-AI28</f>
        <v>786850</v>
      </c>
      <c r="AK28" s="37">
        <f>AC28+2000</f>
        <v>1086000</v>
      </c>
      <c r="AL28" s="21">
        <f>COUNTIFS($A$3:$A$1500,A28)</f>
        <v>25</v>
      </c>
      <c r="AM28" s="37">
        <f>SUMIFS($AC$3:$AC$1500,$A$3:$A$1500,A28)</f>
        <v>4245665</v>
      </c>
      <c r="AN28" s="37">
        <f>SUMIFS($AD$3:$AD$1500,$A$3:$A$1500,A28)</f>
        <v>560825</v>
      </c>
      <c r="AO28" s="37">
        <f>SUMIFS($AF$3:$AF$1500,$A$3:$A$1500,A28)</f>
        <v>30000</v>
      </c>
      <c r="AP28" s="37">
        <f>SUMIFS($AG$3:$AG$1500,$A$3:$A$1500,A28)+SUMIFS($AH$3:$AH$1500,$A$3:$A$1500,A28)</f>
        <v>1218</v>
      </c>
      <c r="AQ28" s="37">
        <f>SUMIFS($AJ$3:$AJ$1500,$A$3:$A$1500,A28)</f>
        <v>3653622</v>
      </c>
      <c r="AR28" s="37">
        <f>SUMIFS($AK$3:$AK$1500,$A$3:$A$1500,A28)</f>
        <v>4295665</v>
      </c>
      <c r="AS28" s="31">
        <f>IFERROR(AQ28/SUMIFS($AJ$3:$AJ$1500,$F$3:$F$1500,EDATE(F28,-1))-1,"N/A - first run")</f>
        <v>-0.21824497738902326</v>
      </c>
      <c r="AT28" s="21" t="s">
        <v>4904</v>
      </c>
      <c r="AU28" s="21" t="str">
        <f>IF(P28&gt;0,"Unpaid leave "&amp;P28&amp;" day(s)",IF(R28&gt;40,"Overtime above 40 hrs","None"))</f>
        <v>None</v>
      </c>
      <c r="AV28" s="29">
        <f>EOMONTH(H28,0)+15</f>
        <v>46218</v>
      </c>
      <c r="AW28" s="21" t="s">
        <v>4905</v>
      </c>
      <c r="AX28" s="21" t="s">
        <v>4906</v>
      </c>
      <c r="AY28" s="21" t="str">
        <f>IF(U28+V28+W28&gt;=40000,"Compliant","Below minimum wage")</f>
        <v>Compliant</v>
      </c>
    </row>
    <row r="29" spans="1:51" x14ac:dyDescent="0.3">
      <c r="A29" s="21" t="s">
        <v>4902</v>
      </c>
      <c r="B29" s="39">
        <v>46174</v>
      </c>
      <c r="C29" s="21" t="s">
        <v>4903</v>
      </c>
      <c r="D29" s="21" t="s">
        <v>4842</v>
      </c>
      <c r="E29" s="21" t="s">
        <v>743</v>
      </c>
      <c r="F29" s="29">
        <v>46198</v>
      </c>
      <c r="G29" s="21">
        <f>COUNTIFS($A$3:$A$1500,A29)</f>
        <v>25</v>
      </c>
      <c r="H29" s="29">
        <v>46203</v>
      </c>
      <c r="I29" s="21" t="s">
        <v>1797</v>
      </c>
      <c r="J29" s="21" t="s">
        <v>4357</v>
      </c>
      <c r="K29" s="21" t="s">
        <v>4849</v>
      </c>
      <c r="L29" s="21" t="s">
        <v>4850</v>
      </c>
      <c r="M29" s="21">
        <v>30</v>
      </c>
      <c r="N29" s="21">
        <v>24</v>
      </c>
      <c r="O29" s="21">
        <v>2</v>
      </c>
      <c r="P29" s="21">
        <v>0</v>
      </c>
      <c r="Q29" s="21" t="s">
        <v>4845</v>
      </c>
      <c r="R29" s="21">
        <v>0</v>
      </c>
      <c r="S29" s="21">
        <v>0</v>
      </c>
      <c r="T29" s="21" t="s">
        <v>1433</v>
      </c>
      <c r="U29" s="37">
        <f>_xlfn.XLOOKUP(LEFT(K29,7),'T07'!$A$3:$A$1500,'T07'!$AS$3:$AS$1500)</f>
        <v>390000</v>
      </c>
      <c r="V29" s="37">
        <f>_xlfn.XLOOKUP(LEFT(K29,7),'T07'!$A$3:$A$1500,'T07'!$AT$3:$AT$1500)</f>
        <v>175500</v>
      </c>
      <c r="W29" s="37">
        <v>0</v>
      </c>
      <c r="X29" s="37">
        <f>ROUND(U29/M29/8*2*R29,0)</f>
        <v>0</v>
      </c>
      <c r="Y29" s="37">
        <f>ROUND(U29/M29*2*S29,0)</f>
        <v>0</v>
      </c>
      <c r="Z29" s="37">
        <v>0</v>
      </c>
      <c r="AA29" s="37">
        <v>0</v>
      </c>
      <c r="AB29" s="37">
        <v>15000</v>
      </c>
      <c r="AC29" s="37">
        <f>U29+V29+W29+X29+Y29+Z29+AA29+AB29</f>
        <v>580500</v>
      </c>
      <c r="AD29" s="37">
        <f>_xlfn.LET(_xlpm.a,(AC29-AB29)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129675</v>
      </c>
      <c r="AE29" s="37" cm="1">
        <f t="array" ref="AE29">SUMPRODUCT((LEFT($K$3:$K$1500,7)=LEFT(K29,7))*($F$3:$F$1500&lt;=F29)*($F$3:$F$1500&gt;=DATE(IF(MONTH(F29)&gt;=7,YEAR(F29),YEAR(F29)-1),7,1))*($AC$3:$AC$1500-$AB$3:$AB$1500))</f>
        <v>1326000</v>
      </c>
      <c r="AF29" s="37">
        <v>0</v>
      </c>
      <c r="AG29" s="37">
        <f>ROUND((U29+V29)/M29*P29,0)</f>
        <v>0</v>
      </c>
      <c r="AH29" s="37">
        <v>0</v>
      </c>
      <c r="AI29" s="37">
        <f>AD29+AF29+AG29+AH29</f>
        <v>129675</v>
      </c>
      <c r="AJ29" s="37">
        <f>AC29-AI29</f>
        <v>450825</v>
      </c>
      <c r="AK29" s="37">
        <f>AC29+2000</f>
        <v>582500</v>
      </c>
      <c r="AL29" s="21">
        <f>COUNTIFS($A$3:$A$1500,A29)</f>
        <v>25</v>
      </c>
      <c r="AM29" s="37">
        <f>SUMIFS($AC$3:$AC$1500,$A$3:$A$1500,A29)</f>
        <v>4245665</v>
      </c>
      <c r="AN29" s="37">
        <f>SUMIFS($AD$3:$AD$1500,$A$3:$A$1500,A29)</f>
        <v>560825</v>
      </c>
      <c r="AO29" s="37">
        <f>SUMIFS($AF$3:$AF$1500,$A$3:$A$1500,A29)</f>
        <v>30000</v>
      </c>
      <c r="AP29" s="37">
        <f>SUMIFS($AG$3:$AG$1500,$A$3:$A$1500,A29)+SUMIFS($AH$3:$AH$1500,$A$3:$A$1500,A29)</f>
        <v>1218</v>
      </c>
      <c r="AQ29" s="37">
        <f>SUMIFS($AJ$3:$AJ$1500,$A$3:$A$1500,A29)</f>
        <v>3653622</v>
      </c>
      <c r="AR29" s="37">
        <f>SUMIFS($AK$3:$AK$1500,$A$3:$A$1500,A29)</f>
        <v>4295665</v>
      </c>
      <c r="AS29" s="31">
        <f>IFERROR(AQ29/SUMIFS($AJ$3:$AJ$1500,$F$3:$F$1500,EDATE(F29,-1))-1,"N/A - first run")</f>
        <v>-0.21824497738902326</v>
      </c>
      <c r="AT29" s="21" t="s">
        <v>4904</v>
      </c>
      <c r="AU29" s="21" t="str">
        <f>IF(P29&gt;0,"Unpaid leave "&amp;P29&amp;" day(s)",IF(R29&gt;40,"Overtime above 40 hrs","None"))</f>
        <v>None</v>
      </c>
      <c r="AV29" s="29">
        <f>EOMONTH(H29,0)+15</f>
        <v>46218</v>
      </c>
      <c r="AW29" s="21" t="s">
        <v>4907</v>
      </c>
      <c r="AX29" s="21" t="s">
        <v>4906</v>
      </c>
      <c r="AY29" s="21" t="str">
        <f>IF(U29+V29+W29&gt;=40000,"Compliant","Below minimum wage")</f>
        <v>Compliant</v>
      </c>
    </row>
    <row r="30" spans="1:51" x14ac:dyDescent="0.3">
      <c r="A30" s="21" t="s">
        <v>4902</v>
      </c>
      <c r="B30" s="39">
        <v>46174</v>
      </c>
      <c r="C30" s="21" t="s">
        <v>4903</v>
      </c>
      <c r="D30" s="21" t="s">
        <v>4842</v>
      </c>
      <c r="E30" s="21" t="s">
        <v>743</v>
      </c>
      <c r="F30" s="29">
        <v>46198</v>
      </c>
      <c r="G30" s="21">
        <f>COUNTIFS($A$3:$A$1500,A30)</f>
        <v>25</v>
      </c>
      <c r="H30" s="29">
        <v>46203</v>
      </c>
      <c r="I30" s="21" t="s">
        <v>1797</v>
      </c>
      <c r="J30" s="21" t="s">
        <v>4357</v>
      </c>
      <c r="K30" s="21" t="s">
        <v>4852</v>
      </c>
      <c r="L30" s="21" t="s">
        <v>4850</v>
      </c>
      <c r="M30" s="21">
        <v>30</v>
      </c>
      <c r="N30" s="21">
        <v>25</v>
      </c>
      <c r="O30" s="21">
        <v>1</v>
      </c>
      <c r="P30" s="21">
        <v>0</v>
      </c>
      <c r="Q30" s="21" t="s">
        <v>848</v>
      </c>
      <c r="R30" s="21">
        <v>0</v>
      </c>
      <c r="S30" s="21">
        <v>0</v>
      </c>
      <c r="T30" s="21" t="s">
        <v>1456</v>
      </c>
      <c r="U30" s="37">
        <f>_xlfn.XLOOKUP(LEFT(K30,7),'T07'!$A$3:$A$1500,'T07'!$AS$3:$AS$1500)</f>
        <v>270000</v>
      </c>
      <c r="V30" s="37">
        <f>_xlfn.XLOOKUP(LEFT(K30,7),'T07'!$A$3:$A$1500,'T07'!$AT$3:$AT$1500)</f>
        <v>121500</v>
      </c>
      <c r="W30" s="37">
        <v>0</v>
      </c>
      <c r="X30" s="37">
        <f>ROUND(U30/M30/8*2*R30,0)</f>
        <v>0</v>
      </c>
      <c r="Y30" s="37">
        <f>ROUND(U30/M30*2*S30,0)</f>
        <v>0</v>
      </c>
      <c r="Z30" s="37">
        <v>0</v>
      </c>
      <c r="AA30" s="37">
        <v>0</v>
      </c>
      <c r="AB30" s="37">
        <v>3000</v>
      </c>
      <c r="AC30" s="37">
        <f>U30+V30+W30+X30+Y30+Z30+AA30+AB30</f>
        <v>394500</v>
      </c>
      <c r="AD30" s="37">
        <f>_xlfn.LET(_xlpm.a,(AC30-AB30)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68775</v>
      </c>
      <c r="AE30" s="37" cm="1">
        <f t="array" ref="AE30">SUMPRODUCT((LEFT($K$3:$K$1500,7)=LEFT(K30,7))*($F$3:$F$1500&lt;=F30)*($F$3:$F$1500&gt;=DATE(IF(MONTH(F30)&gt;=7,YEAR(F30),YEAR(F30)-1),7,1))*($AC$3:$AC$1500-$AB$3:$AB$1500))</f>
        <v>918000</v>
      </c>
      <c r="AF30" s="37">
        <v>0</v>
      </c>
      <c r="AG30" s="37">
        <f>ROUND((U30+V30)/M30*P30,0)</f>
        <v>0</v>
      </c>
      <c r="AH30" s="37">
        <v>0</v>
      </c>
      <c r="AI30" s="37">
        <f>AD30+AF30+AG30+AH30</f>
        <v>68775</v>
      </c>
      <c r="AJ30" s="37">
        <f>AC30-AI30</f>
        <v>325725</v>
      </c>
      <c r="AK30" s="37">
        <f>AC30+2000</f>
        <v>396500</v>
      </c>
      <c r="AL30" s="21">
        <f>COUNTIFS($A$3:$A$1500,A30)</f>
        <v>25</v>
      </c>
      <c r="AM30" s="37">
        <f>SUMIFS($AC$3:$AC$1500,$A$3:$A$1500,A30)</f>
        <v>4245665</v>
      </c>
      <c r="AN30" s="37">
        <f>SUMIFS($AD$3:$AD$1500,$A$3:$A$1500,A30)</f>
        <v>560825</v>
      </c>
      <c r="AO30" s="37">
        <f>SUMIFS($AF$3:$AF$1500,$A$3:$A$1500,A30)</f>
        <v>30000</v>
      </c>
      <c r="AP30" s="37">
        <f>SUMIFS($AG$3:$AG$1500,$A$3:$A$1500,A30)+SUMIFS($AH$3:$AH$1500,$A$3:$A$1500,A30)</f>
        <v>1218</v>
      </c>
      <c r="AQ30" s="37">
        <f>SUMIFS($AJ$3:$AJ$1500,$A$3:$A$1500,A30)</f>
        <v>3653622</v>
      </c>
      <c r="AR30" s="37">
        <f>SUMIFS($AK$3:$AK$1500,$A$3:$A$1500,A30)</f>
        <v>4295665</v>
      </c>
      <c r="AS30" s="31">
        <f>IFERROR(AQ30/SUMIFS($AJ$3:$AJ$1500,$F$3:$F$1500,EDATE(F30,-1))-1,"N/A - first run")</f>
        <v>-0.21824497738902326</v>
      </c>
      <c r="AT30" s="21" t="s">
        <v>4904</v>
      </c>
      <c r="AU30" s="21" t="str">
        <f>IF(P30&gt;0,"Unpaid leave "&amp;P30&amp;" day(s)",IF(R30&gt;40,"Overtime above 40 hrs","None"))</f>
        <v>None</v>
      </c>
      <c r="AV30" s="29">
        <f>EOMONTH(H30,0)+15</f>
        <v>46218</v>
      </c>
      <c r="AW30" s="21" t="s">
        <v>4908</v>
      </c>
      <c r="AX30" s="21" t="s">
        <v>4906</v>
      </c>
      <c r="AY30" s="21" t="str">
        <f>IF(U30+V30+W30&gt;=40000,"Compliant","Below minimum wage")</f>
        <v>Compliant</v>
      </c>
    </row>
    <row r="31" spans="1:51" x14ac:dyDescent="0.3">
      <c r="A31" s="21" t="s">
        <v>4902</v>
      </c>
      <c r="B31" s="39">
        <v>46174</v>
      </c>
      <c r="C31" s="21" t="s">
        <v>4903</v>
      </c>
      <c r="D31" s="21" t="s">
        <v>4842</v>
      </c>
      <c r="E31" s="21" t="s">
        <v>743</v>
      </c>
      <c r="F31" s="29">
        <v>46198</v>
      </c>
      <c r="G31" s="21">
        <f>COUNTIFS($A$3:$A$1500,A31)</f>
        <v>25</v>
      </c>
      <c r="H31" s="29">
        <v>46203</v>
      </c>
      <c r="I31" s="21" t="s">
        <v>1797</v>
      </c>
      <c r="J31" s="21" t="s">
        <v>4357</v>
      </c>
      <c r="K31" s="21" t="s">
        <v>4854</v>
      </c>
      <c r="L31" s="21" t="s">
        <v>4850</v>
      </c>
      <c r="M31" s="21">
        <v>30</v>
      </c>
      <c r="N31" s="21">
        <v>25</v>
      </c>
      <c r="O31" s="21">
        <v>1</v>
      </c>
      <c r="P31" s="21">
        <v>0</v>
      </c>
      <c r="Q31" s="21" t="s">
        <v>848</v>
      </c>
      <c r="R31" s="21">
        <v>0</v>
      </c>
      <c r="S31" s="21">
        <v>0</v>
      </c>
      <c r="T31" s="21" t="s">
        <v>1473</v>
      </c>
      <c r="U31" s="37">
        <f>_xlfn.XLOOKUP(LEFT(K31,7),'T07'!$A$3:$A$1500,'T07'!$AS$3:$AS$1500)</f>
        <v>108000</v>
      </c>
      <c r="V31" s="37">
        <f>_xlfn.XLOOKUP(LEFT(K31,7),'T07'!$A$3:$A$1500,'T07'!$AT$3:$AT$1500)</f>
        <v>48600</v>
      </c>
      <c r="W31" s="37">
        <v>0</v>
      </c>
      <c r="X31" s="37">
        <f>ROUND(U31/M31/8*2*R31,0)</f>
        <v>0</v>
      </c>
      <c r="Y31" s="37">
        <f>ROUND(U31/M31*2*S31,0)</f>
        <v>0</v>
      </c>
      <c r="Z31" s="37">
        <v>0</v>
      </c>
      <c r="AA31" s="37">
        <v>0</v>
      </c>
      <c r="AB31" s="37">
        <v>3000</v>
      </c>
      <c r="AC31" s="37">
        <f>U31+V31+W31+X31+Y31+Z31+AA31+AB31</f>
        <v>159600</v>
      </c>
      <c r="AD31" s="37">
        <f>_xlfn.LET(_xlpm.a,(AC31-AB31)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6726</v>
      </c>
      <c r="AE31" s="37" cm="1">
        <f t="array" ref="AE31">SUMPRODUCT((LEFT($K$3:$K$1500,7)=LEFT(K31,7))*($F$3:$F$1500&lt;=F31)*($F$3:$F$1500&gt;=DATE(IF(MONTH(F31)&gt;=7,YEAR(F31),YEAR(F31)-1),7,1))*($AC$3:$AC$1500-$AB$3:$AB$1500))</f>
        <v>367200</v>
      </c>
      <c r="AF31" s="37">
        <v>0</v>
      </c>
      <c r="AG31" s="37">
        <f>ROUND((U31+V31)/M31*P31,0)</f>
        <v>0</v>
      </c>
      <c r="AH31" s="37">
        <v>0</v>
      </c>
      <c r="AI31" s="37">
        <f>AD31+AF31+AG31+AH31</f>
        <v>6726</v>
      </c>
      <c r="AJ31" s="37">
        <f>AC31-AI31</f>
        <v>152874</v>
      </c>
      <c r="AK31" s="37">
        <f>AC31+2000</f>
        <v>161600</v>
      </c>
      <c r="AL31" s="21">
        <f>COUNTIFS($A$3:$A$1500,A31)</f>
        <v>25</v>
      </c>
      <c r="AM31" s="37">
        <f>SUMIFS($AC$3:$AC$1500,$A$3:$A$1500,A31)</f>
        <v>4245665</v>
      </c>
      <c r="AN31" s="37">
        <f>SUMIFS($AD$3:$AD$1500,$A$3:$A$1500,A31)</f>
        <v>560825</v>
      </c>
      <c r="AO31" s="37">
        <f>SUMIFS($AF$3:$AF$1500,$A$3:$A$1500,A31)</f>
        <v>30000</v>
      </c>
      <c r="AP31" s="37">
        <f>SUMIFS($AG$3:$AG$1500,$A$3:$A$1500,A31)+SUMIFS($AH$3:$AH$1500,$A$3:$A$1500,A31)</f>
        <v>1218</v>
      </c>
      <c r="AQ31" s="37">
        <f>SUMIFS($AJ$3:$AJ$1500,$A$3:$A$1500,A31)</f>
        <v>3653622</v>
      </c>
      <c r="AR31" s="37">
        <f>SUMIFS($AK$3:$AK$1500,$A$3:$A$1500,A31)</f>
        <v>4295665</v>
      </c>
      <c r="AS31" s="31">
        <f>IFERROR(AQ31/SUMIFS($AJ$3:$AJ$1500,$F$3:$F$1500,EDATE(F31,-1))-1,"N/A - first run")</f>
        <v>-0.21824497738902326</v>
      </c>
      <c r="AT31" s="21" t="s">
        <v>4904</v>
      </c>
      <c r="AU31" s="21" t="str">
        <f>IF(P31&gt;0,"Unpaid leave "&amp;P31&amp;" day(s)",IF(R31&gt;40,"Overtime above 40 hrs","None"))</f>
        <v>None</v>
      </c>
      <c r="AV31" s="29">
        <f>EOMONTH(H31,0)+15</f>
        <v>46218</v>
      </c>
      <c r="AW31" s="21" t="s">
        <v>4909</v>
      </c>
      <c r="AX31" s="21" t="s">
        <v>4906</v>
      </c>
      <c r="AY31" s="21" t="str">
        <f>IF(U31+V31+W31&gt;=40000,"Compliant","Below minimum wage")</f>
        <v>Compliant</v>
      </c>
    </row>
    <row r="32" spans="1:51" x14ac:dyDescent="0.3">
      <c r="A32" s="21" t="s">
        <v>4902</v>
      </c>
      <c r="B32" s="39">
        <v>46174</v>
      </c>
      <c r="C32" s="21" t="s">
        <v>4903</v>
      </c>
      <c r="D32" s="21" t="s">
        <v>4842</v>
      </c>
      <c r="E32" s="21" t="s">
        <v>743</v>
      </c>
      <c r="F32" s="29">
        <v>46198</v>
      </c>
      <c r="G32" s="21">
        <f>COUNTIFS($A$3:$A$1500,A32)</f>
        <v>25</v>
      </c>
      <c r="H32" s="29">
        <v>46203</v>
      </c>
      <c r="I32" s="21" t="s">
        <v>1797</v>
      </c>
      <c r="J32" s="21" t="s">
        <v>4357</v>
      </c>
      <c r="K32" s="21" t="s">
        <v>4856</v>
      </c>
      <c r="L32" s="21" t="s">
        <v>4850</v>
      </c>
      <c r="M32" s="21">
        <v>30</v>
      </c>
      <c r="N32" s="21">
        <v>24</v>
      </c>
      <c r="O32" s="21">
        <v>2</v>
      </c>
      <c r="P32" s="21">
        <v>0</v>
      </c>
      <c r="Q32" s="21" t="s">
        <v>848</v>
      </c>
      <c r="R32" s="21">
        <v>0</v>
      </c>
      <c r="S32" s="21">
        <v>0</v>
      </c>
      <c r="T32" s="21" t="s">
        <v>1492</v>
      </c>
      <c r="U32" s="37">
        <f>_xlfn.XLOOKUP(LEFT(K32,7),'T07'!$A$3:$A$1500,'T07'!$AS$3:$AS$1500)</f>
        <v>72000</v>
      </c>
      <c r="V32" s="37">
        <f>_xlfn.XLOOKUP(LEFT(K32,7),'T07'!$A$3:$A$1500,'T07'!$AT$3:$AT$1500)</f>
        <v>32400</v>
      </c>
      <c r="W32" s="37">
        <v>0</v>
      </c>
      <c r="X32" s="37">
        <f>ROUND(U32/M32/8*2*R32,0)</f>
        <v>0</v>
      </c>
      <c r="Y32" s="37">
        <f>ROUND(U32/M32*2*S32,0)</f>
        <v>0</v>
      </c>
      <c r="Z32" s="37">
        <v>0</v>
      </c>
      <c r="AA32" s="37">
        <v>0</v>
      </c>
      <c r="AB32" s="37">
        <v>3000</v>
      </c>
      <c r="AC32" s="37">
        <f>U32+V32+W32+X32+Y32+Z32+AA32+AB32</f>
        <v>107400</v>
      </c>
      <c r="AD32" s="37">
        <f>_xlfn.LET(_xlpm.a,(AC32-AB32)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984</v>
      </c>
      <c r="AE32" s="37" cm="1">
        <f t="array" ref="AE32">SUMPRODUCT((LEFT($K$3:$K$1500,7)=LEFT(K32,7))*($F$3:$F$1500&lt;=F32)*($F$3:$F$1500&gt;=DATE(IF(MONTH(F32)&gt;=7,YEAR(F32),YEAR(F32)-1),7,1))*($AC$3:$AC$1500-$AB$3:$AB$1500))</f>
        <v>244800</v>
      </c>
      <c r="AF32" s="37">
        <v>0</v>
      </c>
      <c r="AG32" s="37">
        <f>ROUND((U32+V32)/M32*P32,0)</f>
        <v>0</v>
      </c>
      <c r="AH32" s="37">
        <v>0</v>
      </c>
      <c r="AI32" s="37">
        <f>AD32+AF32+AG32+AH32</f>
        <v>984</v>
      </c>
      <c r="AJ32" s="37">
        <f>AC32-AI32</f>
        <v>106416</v>
      </c>
      <c r="AK32" s="37">
        <f>AC32+2000</f>
        <v>109400</v>
      </c>
      <c r="AL32" s="21">
        <f>COUNTIFS($A$3:$A$1500,A32)</f>
        <v>25</v>
      </c>
      <c r="AM32" s="37">
        <f>SUMIFS($AC$3:$AC$1500,$A$3:$A$1500,A32)</f>
        <v>4245665</v>
      </c>
      <c r="AN32" s="37">
        <f>SUMIFS($AD$3:$AD$1500,$A$3:$A$1500,A32)</f>
        <v>560825</v>
      </c>
      <c r="AO32" s="37">
        <f>SUMIFS($AF$3:$AF$1500,$A$3:$A$1500,A32)</f>
        <v>30000</v>
      </c>
      <c r="AP32" s="37">
        <f>SUMIFS($AG$3:$AG$1500,$A$3:$A$1500,A32)+SUMIFS($AH$3:$AH$1500,$A$3:$A$1500,A32)</f>
        <v>1218</v>
      </c>
      <c r="AQ32" s="37">
        <f>SUMIFS($AJ$3:$AJ$1500,$A$3:$A$1500,A32)</f>
        <v>3653622</v>
      </c>
      <c r="AR32" s="37">
        <f>SUMIFS($AK$3:$AK$1500,$A$3:$A$1500,A32)</f>
        <v>4295665</v>
      </c>
      <c r="AS32" s="31">
        <f>IFERROR(AQ32/SUMIFS($AJ$3:$AJ$1500,$F$3:$F$1500,EDATE(F32,-1))-1,"N/A - first run")</f>
        <v>-0.21824497738902326</v>
      </c>
      <c r="AT32" s="21" t="s">
        <v>4904</v>
      </c>
      <c r="AU32" s="21" t="str">
        <f>IF(P32&gt;0,"Unpaid leave "&amp;P32&amp;" day(s)",IF(R32&gt;40,"Overtime above 40 hrs","None"))</f>
        <v>None</v>
      </c>
      <c r="AV32" s="29">
        <f>EOMONTH(H32,0)+15</f>
        <v>46218</v>
      </c>
      <c r="AW32" s="21" t="s">
        <v>4910</v>
      </c>
      <c r="AX32" s="21" t="s">
        <v>4906</v>
      </c>
      <c r="AY32" s="21" t="str">
        <f>IF(U32+V32+W32&gt;=40000,"Compliant","Below minimum wage")</f>
        <v>Compliant</v>
      </c>
    </row>
    <row r="33" spans="1:51" x14ac:dyDescent="0.3">
      <c r="A33" s="21" t="s">
        <v>4902</v>
      </c>
      <c r="B33" s="39">
        <v>46174</v>
      </c>
      <c r="C33" s="21" t="s">
        <v>4903</v>
      </c>
      <c r="D33" s="21" t="s">
        <v>4842</v>
      </c>
      <c r="E33" s="21" t="s">
        <v>743</v>
      </c>
      <c r="F33" s="29">
        <v>46198</v>
      </c>
      <c r="G33" s="21">
        <f>COUNTIFS($A$3:$A$1500,A33)</f>
        <v>25</v>
      </c>
      <c r="H33" s="29">
        <v>46203</v>
      </c>
      <c r="I33" s="21" t="s">
        <v>1797</v>
      </c>
      <c r="J33" s="21" t="s">
        <v>4357</v>
      </c>
      <c r="K33" s="21" t="s">
        <v>4858</v>
      </c>
      <c r="L33" s="21" t="s">
        <v>4850</v>
      </c>
      <c r="M33" s="21">
        <v>30</v>
      </c>
      <c r="N33" s="21">
        <v>26</v>
      </c>
      <c r="O33" s="21">
        <v>0</v>
      </c>
      <c r="P33" s="21">
        <v>0</v>
      </c>
      <c r="Q33" s="21" t="s">
        <v>848</v>
      </c>
      <c r="R33" s="21">
        <v>0</v>
      </c>
      <c r="S33" s="21">
        <v>0</v>
      </c>
      <c r="T33" s="21" t="s">
        <v>1510</v>
      </c>
      <c r="U33" s="37">
        <f>_xlfn.XLOOKUP(LEFT(K33,7),'T07'!$A$3:$A$1500,'T07'!$AS$3:$AS$1500)</f>
        <v>51000</v>
      </c>
      <c r="V33" s="37">
        <f>_xlfn.XLOOKUP(LEFT(K33,7),'T07'!$A$3:$A$1500,'T07'!$AT$3:$AT$1500)</f>
        <v>22950</v>
      </c>
      <c r="W33" s="37">
        <v>0</v>
      </c>
      <c r="X33" s="37">
        <f>ROUND(U33/M33/8*2*R33,0)</f>
        <v>0</v>
      </c>
      <c r="Y33" s="37">
        <f>ROUND(U33/M33*2*S33,0)</f>
        <v>0</v>
      </c>
      <c r="Z33" s="37">
        <v>0</v>
      </c>
      <c r="AA33" s="37">
        <v>0</v>
      </c>
      <c r="AB33" s="37">
        <v>3000</v>
      </c>
      <c r="AC33" s="37">
        <f>U33+V33+W33+X33+Y33+Z33+AA33+AB33</f>
        <v>76950</v>
      </c>
      <c r="AD33" s="37">
        <f>_xlfn.LET(_xlpm.a,(AC33-AB33)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240</v>
      </c>
      <c r="AE33" s="37" cm="1">
        <f t="array" ref="AE33">SUMPRODUCT((LEFT($K$3:$K$1500,7)=LEFT(K33,7))*($F$3:$F$1500&lt;=F33)*($F$3:$F$1500&gt;=DATE(IF(MONTH(F33)&gt;=7,YEAR(F33),YEAR(F33)-1),7,1))*($AC$3:$AC$1500-$AB$3:$AB$1500))</f>
        <v>173400</v>
      </c>
      <c r="AF33" s="37">
        <v>0</v>
      </c>
      <c r="AG33" s="37">
        <f>ROUND((U33+V33)/M33*P33,0)</f>
        <v>0</v>
      </c>
      <c r="AH33" s="37">
        <v>0</v>
      </c>
      <c r="AI33" s="37">
        <f>AD33+AF33+AG33+AH33</f>
        <v>240</v>
      </c>
      <c r="AJ33" s="37">
        <f>AC33-AI33</f>
        <v>76710</v>
      </c>
      <c r="AK33" s="37">
        <f>AC33+2000</f>
        <v>78950</v>
      </c>
      <c r="AL33" s="21">
        <f>COUNTIFS($A$3:$A$1500,A33)</f>
        <v>25</v>
      </c>
      <c r="AM33" s="37">
        <f>SUMIFS($AC$3:$AC$1500,$A$3:$A$1500,A33)</f>
        <v>4245665</v>
      </c>
      <c r="AN33" s="37">
        <f>SUMIFS($AD$3:$AD$1500,$A$3:$A$1500,A33)</f>
        <v>560825</v>
      </c>
      <c r="AO33" s="37">
        <f>SUMIFS($AF$3:$AF$1500,$A$3:$A$1500,A33)</f>
        <v>30000</v>
      </c>
      <c r="AP33" s="37">
        <f>SUMIFS($AG$3:$AG$1500,$A$3:$A$1500,A33)+SUMIFS($AH$3:$AH$1500,$A$3:$A$1500,A33)</f>
        <v>1218</v>
      </c>
      <c r="AQ33" s="37">
        <f>SUMIFS($AJ$3:$AJ$1500,$A$3:$A$1500,A33)</f>
        <v>3653622</v>
      </c>
      <c r="AR33" s="37">
        <f>SUMIFS($AK$3:$AK$1500,$A$3:$A$1500,A33)</f>
        <v>4295665</v>
      </c>
      <c r="AS33" s="31">
        <f>IFERROR(AQ33/SUMIFS($AJ$3:$AJ$1500,$F$3:$F$1500,EDATE(F33,-1))-1,"N/A - first run")</f>
        <v>-0.21824497738902326</v>
      </c>
      <c r="AT33" s="21" t="s">
        <v>4904</v>
      </c>
      <c r="AU33" s="21" t="str">
        <f>IF(P33&gt;0,"Unpaid leave "&amp;P33&amp;" day(s)",IF(R33&gt;40,"Overtime above 40 hrs","None"))</f>
        <v>None</v>
      </c>
      <c r="AV33" s="29">
        <f>EOMONTH(H33,0)+15</f>
        <v>46218</v>
      </c>
      <c r="AW33" s="21" t="s">
        <v>4911</v>
      </c>
      <c r="AX33" s="21" t="s">
        <v>4906</v>
      </c>
      <c r="AY33" s="21" t="str">
        <f>IF(U33+V33+W33&gt;=40000,"Compliant","Below minimum wage")</f>
        <v>Compliant</v>
      </c>
    </row>
    <row r="34" spans="1:51" x14ac:dyDescent="0.3">
      <c r="A34" s="21" t="s">
        <v>4902</v>
      </c>
      <c r="B34" s="39">
        <v>46174</v>
      </c>
      <c r="C34" s="21" t="s">
        <v>4903</v>
      </c>
      <c r="D34" s="21" t="s">
        <v>4842</v>
      </c>
      <c r="E34" s="21" t="s">
        <v>743</v>
      </c>
      <c r="F34" s="29">
        <v>46198</v>
      </c>
      <c r="G34" s="21">
        <f>COUNTIFS($A$3:$A$1500,A34)</f>
        <v>25</v>
      </c>
      <c r="H34" s="29">
        <v>46203</v>
      </c>
      <c r="I34" s="21" t="s">
        <v>1797</v>
      </c>
      <c r="J34" s="21" t="s">
        <v>4357</v>
      </c>
      <c r="K34" s="21" t="s">
        <v>4860</v>
      </c>
      <c r="L34" s="21" t="s">
        <v>4850</v>
      </c>
      <c r="M34" s="21">
        <v>30</v>
      </c>
      <c r="N34" s="21">
        <v>25</v>
      </c>
      <c r="O34" s="21">
        <v>1</v>
      </c>
      <c r="P34" s="21">
        <v>0</v>
      </c>
      <c r="Q34" s="21" t="s">
        <v>848</v>
      </c>
      <c r="R34" s="21">
        <v>0</v>
      </c>
      <c r="S34" s="21">
        <v>0</v>
      </c>
      <c r="T34" s="21" t="s">
        <v>1523</v>
      </c>
      <c r="U34" s="37">
        <f>_xlfn.XLOOKUP(LEFT(K34,7),'T07'!$A$3:$A$1500,'T07'!$AS$3:$AS$1500)</f>
        <v>180000</v>
      </c>
      <c r="V34" s="37">
        <f>_xlfn.XLOOKUP(LEFT(K34,7),'T07'!$A$3:$A$1500,'T07'!$AT$3:$AT$1500)</f>
        <v>81000</v>
      </c>
      <c r="W34" s="37">
        <v>0</v>
      </c>
      <c r="X34" s="37">
        <f>ROUND(U34/M34/8*2*R34,0)</f>
        <v>0</v>
      </c>
      <c r="Y34" s="37">
        <f>ROUND(U34/M34*2*S34,0)</f>
        <v>0</v>
      </c>
      <c r="Z34" s="37">
        <v>0</v>
      </c>
      <c r="AA34" s="37">
        <v>0</v>
      </c>
      <c r="AB34" s="37">
        <v>15000</v>
      </c>
      <c r="AC34" s="37">
        <f>U34+V34+W34+X34+Y34+Z34+AA34+AB34</f>
        <v>276000</v>
      </c>
      <c r="AD34" s="37">
        <f>_xlfn.LET(_xlpm.a,(AC34-AB34)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27530</v>
      </c>
      <c r="AE34" s="37" cm="1">
        <f t="array" ref="AE34">SUMPRODUCT((LEFT($K$3:$K$1500,7)=LEFT(K34,7))*($F$3:$F$1500&lt;=F34)*($F$3:$F$1500&gt;=DATE(IF(MONTH(F34)&gt;=7,YEAR(F34),YEAR(F34)-1),7,1))*($AC$3:$AC$1500-$AB$3:$AB$1500))</f>
        <v>612000</v>
      </c>
      <c r="AF34" s="37">
        <v>0</v>
      </c>
      <c r="AG34" s="37">
        <f>ROUND((U34+V34)/M34*P34,0)</f>
        <v>0</v>
      </c>
      <c r="AH34" s="37">
        <v>0</v>
      </c>
      <c r="AI34" s="37">
        <f>AD34+AF34+AG34+AH34</f>
        <v>27530</v>
      </c>
      <c r="AJ34" s="37">
        <f>AC34-AI34</f>
        <v>248470</v>
      </c>
      <c r="AK34" s="37">
        <f>AC34+2000</f>
        <v>278000</v>
      </c>
      <c r="AL34" s="21">
        <f>COUNTIFS($A$3:$A$1500,A34)</f>
        <v>25</v>
      </c>
      <c r="AM34" s="37">
        <f>SUMIFS($AC$3:$AC$1500,$A$3:$A$1500,A34)</f>
        <v>4245665</v>
      </c>
      <c r="AN34" s="37">
        <f>SUMIFS($AD$3:$AD$1500,$A$3:$A$1500,A34)</f>
        <v>560825</v>
      </c>
      <c r="AO34" s="37">
        <f>SUMIFS($AF$3:$AF$1500,$A$3:$A$1500,A34)</f>
        <v>30000</v>
      </c>
      <c r="AP34" s="37">
        <f>SUMIFS($AG$3:$AG$1500,$A$3:$A$1500,A34)+SUMIFS($AH$3:$AH$1500,$A$3:$A$1500,A34)</f>
        <v>1218</v>
      </c>
      <c r="AQ34" s="37">
        <f>SUMIFS($AJ$3:$AJ$1500,$A$3:$A$1500,A34)</f>
        <v>3653622</v>
      </c>
      <c r="AR34" s="37">
        <f>SUMIFS($AK$3:$AK$1500,$A$3:$A$1500,A34)</f>
        <v>4295665</v>
      </c>
      <c r="AS34" s="31">
        <f>IFERROR(AQ34/SUMIFS($AJ$3:$AJ$1500,$F$3:$F$1500,EDATE(F34,-1))-1,"N/A - first run")</f>
        <v>-0.21824497738902326</v>
      </c>
      <c r="AT34" s="21" t="s">
        <v>4904</v>
      </c>
      <c r="AU34" s="21" t="str">
        <f>IF(P34&gt;0,"Unpaid leave "&amp;P34&amp;" day(s)",IF(R34&gt;40,"Overtime above 40 hrs","None"))</f>
        <v>None</v>
      </c>
      <c r="AV34" s="29">
        <f>EOMONTH(H34,0)+15</f>
        <v>46218</v>
      </c>
      <c r="AW34" s="21" t="s">
        <v>4912</v>
      </c>
      <c r="AX34" s="21" t="s">
        <v>4906</v>
      </c>
      <c r="AY34" s="21" t="str">
        <f>IF(U34+V34+W34&gt;=40000,"Compliant","Below minimum wage")</f>
        <v>Compliant</v>
      </c>
    </row>
    <row r="35" spans="1:51" x14ac:dyDescent="0.3">
      <c r="A35" s="21" t="s">
        <v>4902</v>
      </c>
      <c r="B35" s="39">
        <v>46174</v>
      </c>
      <c r="C35" s="21" t="s">
        <v>4903</v>
      </c>
      <c r="D35" s="21" t="s">
        <v>4842</v>
      </c>
      <c r="E35" s="21" t="s">
        <v>743</v>
      </c>
      <c r="F35" s="29">
        <v>46198</v>
      </c>
      <c r="G35" s="21">
        <f>COUNTIFS($A$3:$A$1500,A35)</f>
        <v>25</v>
      </c>
      <c r="H35" s="29">
        <v>46203</v>
      </c>
      <c r="I35" s="21" t="s">
        <v>1797</v>
      </c>
      <c r="J35" s="21" t="s">
        <v>4357</v>
      </c>
      <c r="K35" s="21" t="s">
        <v>4862</v>
      </c>
      <c r="L35" s="21" t="s">
        <v>4850</v>
      </c>
      <c r="M35" s="21">
        <v>30</v>
      </c>
      <c r="N35" s="21">
        <v>26</v>
      </c>
      <c r="O35" s="21">
        <v>0</v>
      </c>
      <c r="P35" s="21">
        <v>0</v>
      </c>
      <c r="Q35" s="21" t="s">
        <v>4845</v>
      </c>
      <c r="R35" s="21">
        <v>0</v>
      </c>
      <c r="S35" s="21">
        <v>0</v>
      </c>
      <c r="T35" s="21" t="s">
        <v>1538</v>
      </c>
      <c r="U35" s="37">
        <f>_xlfn.XLOOKUP(LEFT(K35,7),'T07'!$A$3:$A$1500,'T07'!$AS$3:$AS$1500)</f>
        <v>66000</v>
      </c>
      <c r="V35" s="37">
        <f>_xlfn.XLOOKUP(LEFT(K35,7),'T07'!$A$3:$A$1500,'T07'!$AT$3:$AT$1500)</f>
        <v>29700</v>
      </c>
      <c r="W35" s="37">
        <v>0</v>
      </c>
      <c r="X35" s="37">
        <f>ROUND(U35/M35/8*2*R35,0)</f>
        <v>0</v>
      </c>
      <c r="Y35" s="37">
        <f>ROUND(U35/M35*2*S35,0)</f>
        <v>0</v>
      </c>
      <c r="Z35" s="37">
        <v>0</v>
      </c>
      <c r="AA35" s="37">
        <v>0</v>
      </c>
      <c r="AB35" s="37">
        <v>15000</v>
      </c>
      <c r="AC35" s="37">
        <f>U35+V35+W35+X35+Y35+Z35+AA35+AB35</f>
        <v>110700</v>
      </c>
      <c r="AD35" s="37">
        <f>_xlfn.LET(_xlpm.a,(AC35-AB35)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457</v>
      </c>
      <c r="AE35" s="37" cm="1">
        <f t="array" ref="AE35">SUMPRODUCT((LEFT($K$3:$K$1500,7)=LEFT(K35,7))*($F$3:$F$1500&lt;=F35)*($F$3:$F$1500&gt;=DATE(IF(MONTH(F35)&gt;=7,YEAR(F35),YEAR(F35)-1),7,1))*($AC$3:$AC$1500-$AB$3:$AB$1500))</f>
        <v>224400</v>
      </c>
      <c r="AF35" s="37">
        <v>0</v>
      </c>
      <c r="AG35" s="37">
        <f>ROUND((U35+V35)/M35*P35,0)</f>
        <v>0</v>
      </c>
      <c r="AH35" s="37">
        <v>0</v>
      </c>
      <c r="AI35" s="37">
        <f>AD35+AF35+AG35+AH35</f>
        <v>457</v>
      </c>
      <c r="AJ35" s="37">
        <f>AC35-AI35</f>
        <v>110243</v>
      </c>
      <c r="AK35" s="37">
        <f>AC35+2000</f>
        <v>112700</v>
      </c>
      <c r="AL35" s="21">
        <f>COUNTIFS($A$3:$A$1500,A35)</f>
        <v>25</v>
      </c>
      <c r="AM35" s="37">
        <f>SUMIFS($AC$3:$AC$1500,$A$3:$A$1500,A35)</f>
        <v>4245665</v>
      </c>
      <c r="AN35" s="37">
        <f>SUMIFS($AD$3:$AD$1500,$A$3:$A$1500,A35)</f>
        <v>560825</v>
      </c>
      <c r="AO35" s="37">
        <f>SUMIFS($AF$3:$AF$1500,$A$3:$A$1500,A35)</f>
        <v>30000</v>
      </c>
      <c r="AP35" s="37">
        <f>SUMIFS($AG$3:$AG$1500,$A$3:$A$1500,A35)+SUMIFS($AH$3:$AH$1500,$A$3:$A$1500,A35)</f>
        <v>1218</v>
      </c>
      <c r="AQ35" s="37">
        <f>SUMIFS($AJ$3:$AJ$1500,$A$3:$A$1500,A35)</f>
        <v>3653622</v>
      </c>
      <c r="AR35" s="37">
        <f>SUMIFS($AK$3:$AK$1500,$A$3:$A$1500,A35)</f>
        <v>4295665</v>
      </c>
      <c r="AS35" s="31">
        <f>IFERROR(AQ35/SUMIFS($AJ$3:$AJ$1500,$F$3:$F$1500,EDATE(F35,-1))-1,"N/A - first run")</f>
        <v>-0.21824497738902326</v>
      </c>
      <c r="AT35" s="21" t="s">
        <v>4904</v>
      </c>
      <c r="AU35" s="21" t="str">
        <f>IF(P35&gt;0,"Unpaid leave "&amp;P35&amp;" day(s)",IF(R35&gt;40,"Overtime above 40 hrs","None"))</f>
        <v>None</v>
      </c>
      <c r="AV35" s="29">
        <f>EOMONTH(H35,0)+15</f>
        <v>46218</v>
      </c>
      <c r="AW35" s="21" t="s">
        <v>4913</v>
      </c>
      <c r="AX35" s="21" t="s">
        <v>4906</v>
      </c>
      <c r="AY35" s="21" t="str">
        <f>IF(U35+V35+W35&gt;=40000,"Compliant","Below minimum wage")</f>
        <v>Compliant</v>
      </c>
    </row>
    <row r="36" spans="1:51" x14ac:dyDescent="0.3">
      <c r="A36" s="21" t="s">
        <v>4902</v>
      </c>
      <c r="B36" s="39">
        <v>46174</v>
      </c>
      <c r="C36" s="21" t="s">
        <v>4903</v>
      </c>
      <c r="D36" s="21" t="s">
        <v>4842</v>
      </c>
      <c r="E36" s="21" t="s">
        <v>743</v>
      </c>
      <c r="F36" s="29">
        <v>46198</v>
      </c>
      <c r="G36" s="21">
        <f>COUNTIFS($A$3:$A$1500,A36)</f>
        <v>25</v>
      </c>
      <c r="H36" s="29">
        <v>46203</v>
      </c>
      <c r="I36" s="21" t="s">
        <v>1797</v>
      </c>
      <c r="J36" s="21" t="s">
        <v>4357</v>
      </c>
      <c r="K36" s="21" t="s">
        <v>4864</v>
      </c>
      <c r="L36" s="21" t="s">
        <v>4865</v>
      </c>
      <c r="M36" s="21">
        <v>30</v>
      </c>
      <c r="N36" s="21">
        <v>25</v>
      </c>
      <c r="O36" s="21">
        <v>1</v>
      </c>
      <c r="P36" s="21">
        <v>0</v>
      </c>
      <c r="Q36" s="21" t="s">
        <v>848</v>
      </c>
      <c r="R36" s="21">
        <v>0</v>
      </c>
      <c r="S36" s="21">
        <v>0</v>
      </c>
      <c r="T36" s="21" t="s">
        <v>1555</v>
      </c>
      <c r="U36" s="37">
        <f>_xlfn.XLOOKUP(LEFT(K36,7),'T07'!$A$3:$A$1500,'T07'!$AS$3:$AS$1500)</f>
        <v>66000</v>
      </c>
      <c r="V36" s="37">
        <f>_xlfn.XLOOKUP(LEFT(K36,7),'T07'!$A$3:$A$1500,'T07'!$AT$3:$AT$1500)</f>
        <v>29700</v>
      </c>
      <c r="W36" s="37">
        <v>0</v>
      </c>
      <c r="X36" s="37">
        <f>ROUND(U36/M36/8*2*R36,0)</f>
        <v>0</v>
      </c>
      <c r="Y36" s="37">
        <f>ROUND(U36/M36*2*S36,0)</f>
        <v>0</v>
      </c>
      <c r="Z36" s="37">
        <v>0</v>
      </c>
      <c r="AA36" s="37">
        <v>0</v>
      </c>
      <c r="AB36" s="37">
        <v>15000</v>
      </c>
      <c r="AC36" s="37">
        <f>U36+V36+W36+X36+Y36+Z36+AA36+AB36</f>
        <v>110700</v>
      </c>
      <c r="AD36" s="37">
        <f>_xlfn.LET(_xlpm.a,(AC36-AB36)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457</v>
      </c>
      <c r="AE36" s="37" cm="1">
        <f t="array" ref="AE36">SUMPRODUCT((LEFT($K$3:$K$1500,7)=LEFT(K36,7))*($F$3:$F$1500&lt;=F36)*($F$3:$F$1500&gt;=DATE(IF(MONTH(F36)&gt;=7,YEAR(F36),YEAR(F36)-1),7,1))*($AC$3:$AC$1500-$AB$3:$AB$1500))</f>
        <v>224400</v>
      </c>
      <c r="AF36" s="37">
        <v>0</v>
      </c>
      <c r="AG36" s="37">
        <f>ROUND((U36+V36)/M36*P36,0)</f>
        <v>0</v>
      </c>
      <c r="AH36" s="37">
        <v>0</v>
      </c>
      <c r="AI36" s="37">
        <f>AD36+AF36+AG36+AH36</f>
        <v>457</v>
      </c>
      <c r="AJ36" s="37">
        <f>AC36-AI36</f>
        <v>110243</v>
      </c>
      <c r="AK36" s="37">
        <f>AC36+2000</f>
        <v>112700</v>
      </c>
      <c r="AL36" s="21">
        <f>COUNTIFS($A$3:$A$1500,A36)</f>
        <v>25</v>
      </c>
      <c r="AM36" s="37">
        <f>SUMIFS($AC$3:$AC$1500,$A$3:$A$1500,A36)</f>
        <v>4245665</v>
      </c>
      <c r="AN36" s="37">
        <f>SUMIFS($AD$3:$AD$1500,$A$3:$A$1500,A36)</f>
        <v>560825</v>
      </c>
      <c r="AO36" s="37">
        <f>SUMIFS($AF$3:$AF$1500,$A$3:$A$1500,A36)</f>
        <v>30000</v>
      </c>
      <c r="AP36" s="37">
        <f>SUMIFS($AG$3:$AG$1500,$A$3:$A$1500,A36)+SUMIFS($AH$3:$AH$1500,$A$3:$A$1500,A36)</f>
        <v>1218</v>
      </c>
      <c r="AQ36" s="37">
        <f>SUMIFS($AJ$3:$AJ$1500,$A$3:$A$1500,A36)</f>
        <v>3653622</v>
      </c>
      <c r="AR36" s="37">
        <f>SUMIFS($AK$3:$AK$1500,$A$3:$A$1500,A36)</f>
        <v>4295665</v>
      </c>
      <c r="AS36" s="31">
        <f>IFERROR(AQ36/SUMIFS($AJ$3:$AJ$1500,$F$3:$F$1500,EDATE(F36,-1))-1,"N/A - first run")</f>
        <v>-0.21824497738902326</v>
      </c>
      <c r="AT36" s="21" t="s">
        <v>4904</v>
      </c>
      <c r="AU36" s="21" t="str">
        <f>IF(P36&gt;0,"Unpaid leave "&amp;P36&amp;" day(s)",IF(R36&gt;40,"Overtime above 40 hrs","None"))</f>
        <v>None</v>
      </c>
      <c r="AV36" s="29">
        <f>EOMONTH(H36,0)+15</f>
        <v>46218</v>
      </c>
      <c r="AW36" s="21" t="s">
        <v>4914</v>
      </c>
      <c r="AX36" s="21" t="s">
        <v>4906</v>
      </c>
      <c r="AY36" s="21" t="str">
        <f>IF(U36+V36+W36&gt;=40000,"Compliant","Below minimum wage")</f>
        <v>Compliant</v>
      </c>
    </row>
    <row r="37" spans="1:51" x14ac:dyDescent="0.3">
      <c r="A37" s="21" t="s">
        <v>4902</v>
      </c>
      <c r="B37" s="39">
        <v>46174</v>
      </c>
      <c r="C37" s="21" t="s">
        <v>4903</v>
      </c>
      <c r="D37" s="21" t="s">
        <v>4842</v>
      </c>
      <c r="E37" s="21" t="s">
        <v>743</v>
      </c>
      <c r="F37" s="29">
        <v>46198</v>
      </c>
      <c r="G37" s="21">
        <f>COUNTIFS($A$3:$A$1500,A37)</f>
        <v>25</v>
      </c>
      <c r="H37" s="29">
        <v>46203</v>
      </c>
      <c r="I37" s="21" t="s">
        <v>1797</v>
      </c>
      <c r="J37" s="21" t="s">
        <v>4357</v>
      </c>
      <c r="K37" s="21" t="s">
        <v>4867</v>
      </c>
      <c r="L37" s="21" t="s">
        <v>4850</v>
      </c>
      <c r="M37" s="21">
        <v>30</v>
      </c>
      <c r="N37" s="21">
        <v>26</v>
      </c>
      <c r="O37" s="21">
        <v>0</v>
      </c>
      <c r="P37" s="21">
        <v>0</v>
      </c>
      <c r="Q37" s="21" t="s">
        <v>848</v>
      </c>
      <c r="R37" s="21">
        <v>8</v>
      </c>
      <c r="S37" s="21">
        <v>0</v>
      </c>
      <c r="T37" s="21" t="s">
        <v>1569</v>
      </c>
      <c r="U37" s="37">
        <f>_xlfn.XLOOKUP(LEFT(K37,7),'T07'!$A$3:$A$1500,'T07'!$AS$3:$AS$1500)</f>
        <v>150000</v>
      </c>
      <c r="V37" s="37">
        <f>_xlfn.XLOOKUP(LEFT(K37,7),'T07'!$A$3:$A$1500,'T07'!$AT$3:$AT$1500)</f>
        <v>67500</v>
      </c>
      <c r="W37" s="37">
        <v>0</v>
      </c>
      <c r="X37" s="37">
        <f>ROUND(U37/M37/8*2*R37,0)</f>
        <v>10000</v>
      </c>
      <c r="Y37" s="37">
        <f>ROUND(U37/M37*2*S37,0)</f>
        <v>0</v>
      </c>
      <c r="Z37" s="37">
        <v>0</v>
      </c>
      <c r="AA37" s="37">
        <v>0</v>
      </c>
      <c r="AB37" s="37">
        <v>3000</v>
      </c>
      <c r="AC37" s="37">
        <f>U37+V37+W37+X37+Y37+Z37+AA37+AB37</f>
        <v>230500</v>
      </c>
      <c r="AD37" s="37">
        <f>_xlfn.LET(_xlpm.a,(AC37-AB37)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19825</v>
      </c>
      <c r="AE37" s="37" cm="1">
        <f t="array" ref="AE37">SUMPRODUCT((LEFT($K$3:$K$1500,7)=LEFT(K37,7))*($F$3:$F$1500&lt;=F37)*($F$3:$F$1500&gt;=DATE(IF(MONTH(F37)&gt;=7,YEAR(F37),YEAR(F37)-1),7,1))*($AC$3:$AC$1500-$AB$3:$AB$1500))</f>
        <v>533306</v>
      </c>
      <c r="AF37" s="37">
        <v>0</v>
      </c>
      <c r="AG37" s="37">
        <f>ROUND((U37+V37)/M37*P37,0)</f>
        <v>0</v>
      </c>
      <c r="AH37" s="37">
        <v>0</v>
      </c>
      <c r="AI37" s="37">
        <f>AD37+AF37+AG37+AH37</f>
        <v>19825</v>
      </c>
      <c r="AJ37" s="37">
        <f>AC37-AI37</f>
        <v>210675</v>
      </c>
      <c r="AK37" s="37">
        <f>AC37+2000</f>
        <v>232500</v>
      </c>
      <c r="AL37" s="21">
        <f>COUNTIFS($A$3:$A$1500,A37)</f>
        <v>25</v>
      </c>
      <c r="AM37" s="37">
        <f>SUMIFS($AC$3:$AC$1500,$A$3:$A$1500,A37)</f>
        <v>4245665</v>
      </c>
      <c r="AN37" s="37">
        <f>SUMIFS($AD$3:$AD$1500,$A$3:$A$1500,A37)</f>
        <v>560825</v>
      </c>
      <c r="AO37" s="37">
        <f>SUMIFS($AF$3:$AF$1500,$A$3:$A$1500,A37)</f>
        <v>30000</v>
      </c>
      <c r="AP37" s="37">
        <f>SUMIFS($AG$3:$AG$1500,$A$3:$A$1500,A37)+SUMIFS($AH$3:$AH$1500,$A$3:$A$1500,A37)</f>
        <v>1218</v>
      </c>
      <c r="AQ37" s="37">
        <f>SUMIFS($AJ$3:$AJ$1500,$A$3:$A$1500,A37)</f>
        <v>3653622</v>
      </c>
      <c r="AR37" s="37">
        <f>SUMIFS($AK$3:$AK$1500,$A$3:$A$1500,A37)</f>
        <v>4295665</v>
      </c>
      <c r="AS37" s="31">
        <f>IFERROR(AQ37/SUMIFS($AJ$3:$AJ$1500,$F$3:$F$1500,EDATE(F37,-1))-1,"N/A - first run")</f>
        <v>-0.21824497738902326</v>
      </c>
      <c r="AT37" s="21" t="s">
        <v>4904</v>
      </c>
      <c r="AU37" s="21" t="str">
        <f>IF(P37&gt;0,"Unpaid leave "&amp;P37&amp;" day(s)",IF(R37&gt;40,"Overtime above 40 hrs","None"))</f>
        <v>None</v>
      </c>
      <c r="AV37" s="29">
        <f>EOMONTH(H37,0)+15</f>
        <v>46218</v>
      </c>
      <c r="AW37" s="21" t="s">
        <v>4915</v>
      </c>
      <c r="AX37" s="21" t="s">
        <v>4906</v>
      </c>
      <c r="AY37" s="21" t="str">
        <f>IF(U37+V37+W37&gt;=40000,"Compliant","Below minimum wage")</f>
        <v>Compliant</v>
      </c>
    </row>
    <row r="38" spans="1:51" x14ac:dyDescent="0.3">
      <c r="A38" s="21" t="s">
        <v>4902</v>
      </c>
      <c r="B38" s="39">
        <v>46174</v>
      </c>
      <c r="C38" s="21" t="s">
        <v>4903</v>
      </c>
      <c r="D38" s="21" t="s">
        <v>4842</v>
      </c>
      <c r="E38" s="21" t="s">
        <v>743</v>
      </c>
      <c r="F38" s="29">
        <v>46198</v>
      </c>
      <c r="G38" s="21">
        <f>COUNTIFS($A$3:$A$1500,A38)</f>
        <v>25</v>
      </c>
      <c r="H38" s="29">
        <v>46203</v>
      </c>
      <c r="I38" s="21" t="s">
        <v>1797</v>
      </c>
      <c r="J38" s="21" t="s">
        <v>4357</v>
      </c>
      <c r="K38" s="21" t="s">
        <v>4869</v>
      </c>
      <c r="L38" s="21" t="s">
        <v>4850</v>
      </c>
      <c r="M38" s="21">
        <v>30</v>
      </c>
      <c r="N38" s="21">
        <v>25</v>
      </c>
      <c r="O38" s="21">
        <v>1</v>
      </c>
      <c r="P38" s="21">
        <v>0</v>
      </c>
      <c r="Q38" s="21" t="s">
        <v>848</v>
      </c>
      <c r="R38" s="21">
        <v>6</v>
      </c>
      <c r="S38" s="21">
        <v>0</v>
      </c>
      <c r="T38" s="21" t="s">
        <v>1583</v>
      </c>
      <c r="U38" s="37">
        <f>_xlfn.XLOOKUP(LEFT(K38,7),'T07'!$A$3:$A$1500,'T07'!$AS$3:$AS$1500)</f>
        <v>54000</v>
      </c>
      <c r="V38" s="37">
        <f>_xlfn.XLOOKUP(LEFT(K38,7),'T07'!$A$3:$A$1500,'T07'!$AT$3:$AT$1500)</f>
        <v>24300</v>
      </c>
      <c r="W38" s="37">
        <v>0</v>
      </c>
      <c r="X38" s="37">
        <f>ROUND(U38/M38/8*2*R38,0)</f>
        <v>2700</v>
      </c>
      <c r="Y38" s="37">
        <f>ROUND(U38/M38*2*S38,0)</f>
        <v>0</v>
      </c>
      <c r="Z38" s="37">
        <v>0</v>
      </c>
      <c r="AA38" s="37">
        <v>0</v>
      </c>
      <c r="AB38" s="37">
        <v>3000</v>
      </c>
      <c r="AC38" s="37">
        <f>U38+V38+W38+X38+Y38+Z38+AA38+AB38</f>
        <v>84000</v>
      </c>
      <c r="AD38" s="37">
        <f>_xlfn.LET(_xlpm.a,(AC38-AB38)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310</v>
      </c>
      <c r="AE38" s="37" cm="1">
        <f t="array" ref="AE38">SUMPRODUCT((LEFT($K$3:$K$1500,7)=LEFT(K38,7))*($F$3:$F$1500&lt;=F38)*($F$3:$F$1500&gt;=DATE(IF(MONTH(F38)&gt;=7,YEAR(F38),YEAR(F38)-1),7,1))*($AC$3:$AC$1500-$AB$3:$AB$1500))</f>
        <v>189784</v>
      </c>
      <c r="AF38" s="37">
        <v>10000</v>
      </c>
      <c r="AG38" s="37">
        <f>ROUND((U38+V38)/M38*P38,0)</f>
        <v>0</v>
      </c>
      <c r="AH38" s="37">
        <v>0</v>
      </c>
      <c r="AI38" s="37">
        <f>AD38+AF38+AG38+AH38</f>
        <v>10310</v>
      </c>
      <c r="AJ38" s="37">
        <f>AC38-AI38</f>
        <v>73690</v>
      </c>
      <c r="AK38" s="37">
        <f>AC38+2000</f>
        <v>86000</v>
      </c>
      <c r="AL38" s="21">
        <f>COUNTIFS($A$3:$A$1500,A38)</f>
        <v>25</v>
      </c>
      <c r="AM38" s="37">
        <f>SUMIFS($AC$3:$AC$1500,$A$3:$A$1500,A38)</f>
        <v>4245665</v>
      </c>
      <c r="AN38" s="37">
        <f>SUMIFS($AD$3:$AD$1500,$A$3:$A$1500,A38)</f>
        <v>560825</v>
      </c>
      <c r="AO38" s="37">
        <f>SUMIFS($AF$3:$AF$1500,$A$3:$A$1500,A38)</f>
        <v>30000</v>
      </c>
      <c r="AP38" s="37">
        <f>SUMIFS($AG$3:$AG$1500,$A$3:$A$1500,A38)+SUMIFS($AH$3:$AH$1500,$A$3:$A$1500,A38)</f>
        <v>1218</v>
      </c>
      <c r="AQ38" s="37">
        <f>SUMIFS($AJ$3:$AJ$1500,$A$3:$A$1500,A38)</f>
        <v>3653622</v>
      </c>
      <c r="AR38" s="37">
        <f>SUMIFS($AK$3:$AK$1500,$A$3:$A$1500,A38)</f>
        <v>4295665</v>
      </c>
      <c r="AS38" s="31">
        <f>IFERROR(AQ38/SUMIFS($AJ$3:$AJ$1500,$F$3:$F$1500,EDATE(F38,-1))-1,"N/A - first run")</f>
        <v>-0.21824497738902326</v>
      </c>
      <c r="AT38" s="21" t="s">
        <v>4904</v>
      </c>
      <c r="AU38" s="21" t="str">
        <f>IF(P38&gt;0,"Unpaid leave "&amp;P38&amp;" day(s)",IF(R38&gt;40,"Overtime above 40 hrs","None"))</f>
        <v>None</v>
      </c>
      <c r="AV38" s="29">
        <f>EOMONTH(H38,0)+15</f>
        <v>46218</v>
      </c>
      <c r="AW38" s="21" t="s">
        <v>4916</v>
      </c>
      <c r="AX38" s="21" t="s">
        <v>4906</v>
      </c>
      <c r="AY38" s="21" t="str">
        <f>IF(U38+V38+W38&gt;=40000,"Compliant","Below minimum wage")</f>
        <v>Compliant</v>
      </c>
    </row>
    <row r="39" spans="1:51" x14ac:dyDescent="0.3">
      <c r="A39" s="21" t="s">
        <v>4902</v>
      </c>
      <c r="B39" s="39">
        <v>46174</v>
      </c>
      <c r="C39" s="21" t="s">
        <v>4903</v>
      </c>
      <c r="D39" s="21" t="s">
        <v>4842</v>
      </c>
      <c r="E39" s="21" t="s">
        <v>743</v>
      </c>
      <c r="F39" s="29">
        <v>46198</v>
      </c>
      <c r="G39" s="21">
        <f>COUNTIFS($A$3:$A$1500,A39)</f>
        <v>25</v>
      </c>
      <c r="H39" s="29">
        <v>46203</v>
      </c>
      <c r="I39" s="21" t="s">
        <v>1797</v>
      </c>
      <c r="J39" s="21" t="s">
        <v>4357</v>
      </c>
      <c r="K39" s="21" t="s">
        <v>4871</v>
      </c>
      <c r="L39" s="21" t="s">
        <v>4850</v>
      </c>
      <c r="M39" s="21">
        <v>30</v>
      </c>
      <c r="N39" s="21">
        <v>24</v>
      </c>
      <c r="O39" s="21">
        <v>2</v>
      </c>
      <c r="P39" s="21">
        <v>0</v>
      </c>
      <c r="Q39" s="21" t="s">
        <v>848</v>
      </c>
      <c r="R39" s="21">
        <v>34</v>
      </c>
      <c r="S39" s="21">
        <v>0</v>
      </c>
      <c r="T39" s="21" t="s">
        <v>1598</v>
      </c>
      <c r="U39" s="37">
        <f>_xlfn.XLOOKUP(LEFT(K39,7),'T07'!$A$3:$A$1500,'T07'!$AS$3:$AS$1500)</f>
        <v>57000</v>
      </c>
      <c r="V39" s="37">
        <f>_xlfn.XLOOKUP(LEFT(K39,7),'T07'!$A$3:$A$1500,'T07'!$AT$3:$AT$1500)</f>
        <v>25650</v>
      </c>
      <c r="W39" s="37">
        <v>3000</v>
      </c>
      <c r="X39" s="37">
        <f>ROUND(U39/M39/8*2*R39,0)</f>
        <v>16150</v>
      </c>
      <c r="Y39" s="37">
        <f>ROUND(U39/M39*2*S39,0)</f>
        <v>0</v>
      </c>
      <c r="Z39" s="37">
        <v>0</v>
      </c>
      <c r="AA39" s="37">
        <v>0</v>
      </c>
      <c r="AB39" s="37">
        <v>3000</v>
      </c>
      <c r="AC39" s="37">
        <f>U39+V39+W39+X39+Y39+Z39+AA39+AB39</f>
        <v>104800</v>
      </c>
      <c r="AD39" s="37">
        <f>_xlfn.LET(_xlpm.a,(AC39-AB39)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698</v>
      </c>
      <c r="AE39" s="37" cm="1">
        <f t="array" ref="AE39">SUMPRODUCT((LEFT($K$3:$K$1500,7)=LEFT(K39,7))*($F$3:$F$1500&lt;=F39)*($F$3:$F$1500&gt;=DATE(IF(MONTH(F39)&gt;=7,YEAR(F39),YEAR(F39)-1),7,1))*($AC$3:$AC$1500-$AB$3:$AB$1500))</f>
        <v>225603</v>
      </c>
      <c r="AF39" s="37">
        <v>0</v>
      </c>
      <c r="AG39" s="37">
        <f>ROUND((U39+V39)/M39*P39,0)</f>
        <v>0</v>
      </c>
      <c r="AH39" s="37">
        <v>0</v>
      </c>
      <c r="AI39" s="37">
        <f>AD39+AF39+AG39+AH39</f>
        <v>698</v>
      </c>
      <c r="AJ39" s="37">
        <f>AC39-AI39</f>
        <v>104102</v>
      </c>
      <c r="AK39" s="37">
        <f>AC39+2000</f>
        <v>106800</v>
      </c>
      <c r="AL39" s="21">
        <f>COUNTIFS($A$3:$A$1500,A39)</f>
        <v>25</v>
      </c>
      <c r="AM39" s="37">
        <f>SUMIFS($AC$3:$AC$1500,$A$3:$A$1500,A39)</f>
        <v>4245665</v>
      </c>
      <c r="AN39" s="37">
        <f>SUMIFS($AD$3:$AD$1500,$A$3:$A$1500,A39)</f>
        <v>560825</v>
      </c>
      <c r="AO39" s="37">
        <f>SUMIFS($AF$3:$AF$1500,$A$3:$A$1500,A39)</f>
        <v>30000</v>
      </c>
      <c r="AP39" s="37">
        <f>SUMIFS($AG$3:$AG$1500,$A$3:$A$1500,A39)+SUMIFS($AH$3:$AH$1500,$A$3:$A$1500,A39)</f>
        <v>1218</v>
      </c>
      <c r="AQ39" s="37">
        <f>SUMIFS($AJ$3:$AJ$1500,$A$3:$A$1500,A39)</f>
        <v>3653622</v>
      </c>
      <c r="AR39" s="37">
        <f>SUMIFS($AK$3:$AK$1500,$A$3:$A$1500,A39)</f>
        <v>4295665</v>
      </c>
      <c r="AS39" s="31">
        <f>IFERROR(AQ39/SUMIFS($AJ$3:$AJ$1500,$F$3:$F$1500,EDATE(F39,-1))-1,"N/A - first run")</f>
        <v>-0.21824497738902326</v>
      </c>
      <c r="AT39" s="21" t="s">
        <v>4904</v>
      </c>
      <c r="AU39" s="21" t="str">
        <f>IF(P39&gt;0,"Unpaid leave "&amp;P39&amp;" day(s)",IF(R39&gt;40,"Overtime above 40 hrs","None"))</f>
        <v>None</v>
      </c>
      <c r="AV39" s="29">
        <f>EOMONTH(H39,0)+15</f>
        <v>46218</v>
      </c>
      <c r="AW39" s="21" t="s">
        <v>4917</v>
      </c>
      <c r="AX39" s="21" t="s">
        <v>4906</v>
      </c>
      <c r="AY39" s="21" t="str">
        <f>IF(U39+V39+W39&gt;=40000,"Compliant","Below minimum wage")</f>
        <v>Compliant</v>
      </c>
    </row>
    <row r="40" spans="1:51" x14ac:dyDescent="0.3">
      <c r="A40" s="21" t="s">
        <v>4902</v>
      </c>
      <c r="B40" s="39">
        <v>46174</v>
      </c>
      <c r="C40" s="21" t="s">
        <v>4903</v>
      </c>
      <c r="D40" s="21" t="s">
        <v>4842</v>
      </c>
      <c r="E40" s="21" t="s">
        <v>743</v>
      </c>
      <c r="F40" s="29">
        <v>46198</v>
      </c>
      <c r="G40" s="21">
        <f>COUNTIFS($A$3:$A$1500,A40)</f>
        <v>25</v>
      </c>
      <c r="H40" s="29">
        <v>46203</v>
      </c>
      <c r="I40" s="21" t="s">
        <v>1797</v>
      </c>
      <c r="J40" s="21" t="s">
        <v>4357</v>
      </c>
      <c r="K40" s="21" t="s">
        <v>4873</v>
      </c>
      <c r="L40" s="21" t="s">
        <v>4850</v>
      </c>
      <c r="M40" s="21">
        <v>30</v>
      </c>
      <c r="N40" s="21">
        <v>26</v>
      </c>
      <c r="O40" s="21">
        <v>0</v>
      </c>
      <c r="P40" s="21">
        <v>0</v>
      </c>
      <c r="Q40" s="21" t="s">
        <v>848</v>
      </c>
      <c r="R40" s="21">
        <v>19</v>
      </c>
      <c r="S40" s="21">
        <v>0</v>
      </c>
      <c r="T40" s="21" t="s">
        <v>1615</v>
      </c>
      <c r="U40" s="37">
        <f>_xlfn.XLOOKUP(LEFT(K40,7),'T07'!$A$3:$A$1500,'T07'!$AS$3:$AS$1500)</f>
        <v>36000</v>
      </c>
      <c r="V40" s="37">
        <f>_xlfn.XLOOKUP(LEFT(K40,7),'T07'!$A$3:$A$1500,'T07'!$AT$3:$AT$1500)</f>
        <v>16200</v>
      </c>
      <c r="W40" s="37">
        <v>3000</v>
      </c>
      <c r="X40" s="37">
        <f>ROUND(U40/M40/8*2*R40,0)</f>
        <v>5700</v>
      </c>
      <c r="Y40" s="37">
        <f>ROUND(U40/M40*2*S40,0)</f>
        <v>0</v>
      </c>
      <c r="Z40" s="37">
        <v>0</v>
      </c>
      <c r="AA40" s="37">
        <v>0</v>
      </c>
      <c r="AB40" s="37">
        <v>3000</v>
      </c>
      <c r="AC40" s="37">
        <f>U40+V40+W40+X40+Y40+Z40+AA40+AB40</f>
        <v>63900</v>
      </c>
      <c r="AD40" s="37">
        <f>_xlfn.LET(_xlpm.a,(AC40-AB40)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109</v>
      </c>
      <c r="AE40" s="37" cm="1">
        <f t="array" ref="AE40">SUMPRODUCT((LEFT($K$3:$K$1500,7)=LEFT(K40,7))*($F$3:$F$1500&lt;=F40)*($F$3:$F$1500&gt;=DATE(IF(MONTH(F40)&gt;=7,YEAR(F40),YEAR(F40)-1),7,1))*($AC$3:$AC$1500-$AB$3:$AB$1500))</f>
        <v>140197</v>
      </c>
      <c r="AF40" s="37">
        <v>10000</v>
      </c>
      <c r="AG40" s="37">
        <f>ROUND((U40+V40)/M40*P40,0)</f>
        <v>0</v>
      </c>
      <c r="AH40" s="37">
        <v>0</v>
      </c>
      <c r="AI40" s="37">
        <f>AD40+AF40+AG40+AH40</f>
        <v>10109</v>
      </c>
      <c r="AJ40" s="37">
        <f>AC40-AI40</f>
        <v>53791</v>
      </c>
      <c r="AK40" s="37">
        <f>AC40+2000</f>
        <v>65900</v>
      </c>
      <c r="AL40" s="21">
        <f>COUNTIFS($A$3:$A$1500,A40)</f>
        <v>25</v>
      </c>
      <c r="AM40" s="37">
        <f>SUMIFS($AC$3:$AC$1500,$A$3:$A$1500,A40)</f>
        <v>4245665</v>
      </c>
      <c r="AN40" s="37">
        <f>SUMIFS($AD$3:$AD$1500,$A$3:$A$1500,A40)</f>
        <v>560825</v>
      </c>
      <c r="AO40" s="37">
        <f>SUMIFS($AF$3:$AF$1500,$A$3:$A$1500,A40)</f>
        <v>30000</v>
      </c>
      <c r="AP40" s="37">
        <f>SUMIFS($AG$3:$AG$1500,$A$3:$A$1500,A40)+SUMIFS($AH$3:$AH$1500,$A$3:$A$1500,A40)</f>
        <v>1218</v>
      </c>
      <c r="AQ40" s="37">
        <f>SUMIFS($AJ$3:$AJ$1500,$A$3:$A$1500,A40)</f>
        <v>3653622</v>
      </c>
      <c r="AR40" s="37">
        <f>SUMIFS($AK$3:$AK$1500,$A$3:$A$1500,A40)</f>
        <v>4295665</v>
      </c>
      <c r="AS40" s="31">
        <f>IFERROR(AQ40/SUMIFS($AJ$3:$AJ$1500,$F$3:$F$1500,EDATE(F40,-1))-1,"N/A - first run")</f>
        <v>-0.21824497738902326</v>
      </c>
      <c r="AT40" s="21" t="s">
        <v>4904</v>
      </c>
      <c r="AU40" s="21" t="str">
        <f>IF(P40&gt;0,"Unpaid leave "&amp;P40&amp;" day(s)",IF(R40&gt;40,"Overtime above 40 hrs","None"))</f>
        <v>None</v>
      </c>
      <c r="AV40" s="29">
        <f>EOMONTH(H40,0)+15</f>
        <v>46218</v>
      </c>
      <c r="AW40" s="21" t="s">
        <v>4918</v>
      </c>
      <c r="AX40" s="21" t="s">
        <v>4906</v>
      </c>
      <c r="AY40" s="21" t="str">
        <f>IF(U40+V40+W40&gt;=40000,"Compliant","Below minimum wage")</f>
        <v>Compliant</v>
      </c>
    </row>
    <row r="41" spans="1:51" x14ac:dyDescent="0.3">
      <c r="A41" s="21" t="s">
        <v>4902</v>
      </c>
      <c r="B41" s="39">
        <v>46174</v>
      </c>
      <c r="C41" s="21" t="s">
        <v>4903</v>
      </c>
      <c r="D41" s="21" t="s">
        <v>4842</v>
      </c>
      <c r="E41" s="21" t="s">
        <v>743</v>
      </c>
      <c r="F41" s="29">
        <v>46198</v>
      </c>
      <c r="G41" s="21">
        <f>COUNTIFS($A$3:$A$1500,A41)</f>
        <v>25</v>
      </c>
      <c r="H41" s="29">
        <v>46203</v>
      </c>
      <c r="I41" s="21" t="s">
        <v>1797</v>
      </c>
      <c r="J41" s="21" t="s">
        <v>4357</v>
      </c>
      <c r="K41" s="21" t="s">
        <v>4875</v>
      </c>
      <c r="L41" s="21" t="s">
        <v>4850</v>
      </c>
      <c r="M41" s="21">
        <v>30</v>
      </c>
      <c r="N41" s="21">
        <v>25</v>
      </c>
      <c r="O41" s="21">
        <v>1</v>
      </c>
      <c r="P41" s="21">
        <v>0</v>
      </c>
      <c r="Q41" s="21" t="s">
        <v>4845</v>
      </c>
      <c r="R41" s="21">
        <v>0</v>
      </c>
      <c r="S41" s="21">
        <v>0</v>
      </c>
      <c r="T41" s="21" t="s">
        <v>1630</v>
      </c>
      <c r="U41" s="37">
        <f>_xlfn.XLOOKUP(LEFT(K41,7),'T07'!$A$3:$A$1500,'T07'!$AS$3:$AS$1500)</f>
        <v>84000</v>
      </c>
      <c r="V41" s="37">
        <f>_xlfn.XLOOKUP(LEFT(K41,7),'T07'!$A$3:$A$1500,'T07'!$AT$3:$AT$1500)</f>
        <v>37800</v>
      </c>
      <c r="W41" s="37">
        <v>0</v>
      </c>
      <c r="X41" s="37">
        <f>ROUND(U41/M41/8*2*R41,0)</f>
        <v>0</v>
      </c>
      <c r="Y41" s="37">
        <f>ROUND(U41/M41*2*S41,0)</f>
        <v>0</v>
      </c>
      <c r="Z41" s="37">
        <v>0</v>
      </c>
      <c r="AA41" s="37">
        <v>0</v>
      </c>
      <c r="AB41" s="37">
        <v>3000</v>
      </c>
      <c r="AC41" s="37">
        <f>U41+V41+W41+X41+Y41+Z41+AA41+AB41</f>
        <v>124800</v>
      </c>
      <c r="AD41" s="37">
        <f>_xlfn.LET(_xlpm.a,(AC41-AB41)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2898</v>
      </c>
      <c r="AE41" s="37" cm="1">
        <f t="array" ref="AE41">SUMPRODUCT((LEFT($K$3:$K$1500,7)=LEFT(K41,7))*($F$3:$F$1500&lt;=F41)*($F$3:$F$1500&gt;=DATE(IF(MONTH(F41)&gt;=7,YEAR(F41),YEAR(F41)-1),7,1))*($AC$3:$AC$1500-$AB$3:$AB$1500))</f>
        <v>285600</v>
      </c>
      <c r="AF41" s="37">
        <v>0</v>
      </c>
      <c r="AG41" s="37">
        <f>ROUND((U41+V41)/M41*P41,0)</f>
        <v>0</v>
      </c>
      <c r="AH41" s="37">
        <v>0</v>
      </c>
      <c r="AI41" s="37">
        <f>AD41+AF41+AG41+AH41</f>
        <v>2898</v>
      </c>
      <c r="AJ41" s="37">
        <f>AC41-AI41</f>
        <v>121902</v>
      </c>
      <c r="AK41" s="37">
        <f>AC41+2000</f>
        <v>126800</v>
      </c>
      <c r="AL41" s="21">
        <f>COUNTIFS($A$3:$A$1500,A41)</f>
        <v>25</v>
      </c>
      <c r="AM41" s="37">
        <f>SUMIFS($AC$3:$AC$1500,$A$3:$A$1500,A41)</f>
        <v>4245665</v>
      </c>
      <c r="AN41" s="37">
        <f>SUMIFS($AD$3:$AD$1500,$A$3:$A$1500,A41)</f>
        <v>560825</v>
      </c>
      <c r="AO41" s="37">
        <f>SUMIFS($AF$3:$AF$1500,$A$3:$A$1500,A41)</f>
        <v>30000</v>
      </c>
      <c r="AP41" s="37">
        <f>SUMIFS($AG$3:$AG$1500,$A$3:$A$1500,A41)+SUMIFS($AH$3:$AH$1500,$A$3:$A$1500,A41)</f>
        <v>1218</v>
      </c>
      <c r="AQ41" s="37">
        <f>SUMIFS($AJ$3:$AJ$1500,$A$3:$A$1500,A41)</f>
        <v>3653622</v>
      </c>
      <c r="AR41" s="37">
        <f>SUMIFS($AK$3:$AK$1500,$A$3:$A$1500,A41)</f>
        <v>4295665</v>
      </c>
      <c r="AS41" s="31">
        <f>IFERROR(AQ41/SUMIFS($AJ$3:$AJ$1500,$F$3:$F$1500,EDATE(F41,-1))-1,"N/A - first run")</f>
        <v>-0.21824497738902326</v>
      </c>
      <c r="AT41" s="21" t="s">
        <v>4904</v>
      </c>
      <c r="AU41" s="21" t="str">
        <f>IF(P41&gt;0,"Unpaid leave "&amp;P41&amp;" day(s)",IF(R41&gt;40,"Overtime above 40 hrs","None"))</f>
        <v>None</v>
      </c>
      <c r="AV41" s="29">
        <f>EOMONTH(H41,0)+15</f>
        <v>46218</v>
      </c>
      <c r="AW41" s="21" t="s">
        <v>4919</v>
      </c>
      <c r="AX41" s="21" t="s">
        <v>4906</v>
      </c>
      <c r="AY41" s="21" t="str">
        <f>IF(U41+V41+W41&gt;=40000,"Compliant","Below minimum wage")</f>
        <v>Compliant</v>
      </c>
    </row>
    <row r="42" spans="1:51" x14ac:dyDescent="0.3">
      <c r="A42" s="21" t="s">
        <v>4902</v>
      </c>
      <c r="B42" s="39">
        <v>46174</v>
      </c>
      <c r="C42" s="21" t="s">
        <v>4903</v>
      </c>
      <c r="D42" s="21" t="s">
        <v>4842</v>
      </c>
      <c r="E42" s="21" t="s">
        <v>743</v>
      </c>
      <c r="F42" s="29">
        <v>46198</v>
      </c>
      <c r="G42" s="21">
        <f>COUNTIFS($A$3:$A$1500,A42)</f>
        <v>25</v>
      </c>
      <c r="H42" s="29">
        <v>46203</v>
      </c>
      <c r="I42" s="21" t="s">
        <v>1797</v>
      </c>
      <c r="J42" s="21" t="s">
        <v>4357</v>
      </c>
      <c r="K42" s="21" t="s">
        <v>4877</v>
      </c>
      <c r="L42" s="21" t="s">
        <v>4865</v>
      </c>
      <c r="M42" s="21">
        <v>30</v>
      </c>
      <c r="N42" s="21">
        <v>26</v>
      </c>
      <c r="O42" s="21">
        <v>0</v>
      </c>
      <c r="P42" s="21">
        <v>0</v>
      </c>
      <c r="Q42" s="21" t="s">
        <v>848</v>
      </c>
      <c r="R42" s="21">
        <v>0</v>
      </c>
      <c r="S42" s="21">
        <v>0</v>
      </c>
      <c r="T42" s="21" t="s">
        <v>1644</v>
      </c>
      <c r="U42" s="37">
        <f>_xlfn.XLOOKUP(LEFT(K42,7),'T07'!$A$3:$A$1500,'T07'!$AS$3:$AS$1500)</f>
        <v>90000</v>
      </c>
      <c r="V42" s="37">
        <f>_xlfn.XLOOKUP(LEFT(K42,7),'T07'!$A$3:$A$1500,'T07'!$AT$3:$AT$1500)</f>
        <v>40500</v>
      </c>
      <c r="W42" s="37">
        <v>0</v>
      </c>
      <c r="X42" s="37">
        <f>ROUND(U42/M42/8*2*R42,0)</f>
        <v>0</v>
      </c>
      <c r="Y42" s="37">
        <f>ROUND(U42/M42*2*S42,0)</f>
        <v>0</v>
      </c>
      <c r="Z42" s="37">
        <v>0</v>
      </c>
      <c r="AA42" s="37">
        <v>0</v>
      </c>
      <c r="AB42" s="37">
        <v>3000</v>
      </c>
      <c r="AC42" s="37">
        <f>U42+V42+W42+X42+Y42+Z42+AA42+AB42</f>
        <v>133500</v>
      </c>
      <c r="AD42" s="37">
        <f>_xlfn.LET(_xlpm.a,(AC42-AB42)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3855</v>
      </c>
      <c r="AE42" s="37" cm="1">
        <f t="array" ref="AE42">SUMPRODUCT((LEFT($K$3:$K$1500,7)=LEFT(K42,7))*($F$3:$F$1500&lt;=F42)*($F$3:$F$1500&gt;=DATE(IF(MONTH(F42)&gt;=7,YEAR(F42),YEAR(F42)-1),7,1))*($AC$3:$AC$1500-$AB$3:$AB$1500))</f>
        <v>306000</v>
      </c>
      <c r="AF42" s="37">
        <v>0</v>
      </c>
      <c r="AG42" s="37">
        <f>ROUND((U42+V42)/M42*P42,0)</f>
        <v>0</v>
      </c>
      <c r="AH42" s="37">
        <v>0</v>
      </c>
      <c r="AI42" s="37">
        <f>AD42+AF42+AG42+AH42</f>
        <v>3855</v>
      </c>
      <c r="AJ42" s="37">
        <f>AC42-AI42</f>
        <v>129645</v>
      </c>
      <c r="AK42" s="37">
        <f>AC42+2000</f>
        <v>135500</v>
      </c>
      <c r="AL42" s="21">
        <f>COUNTIFS($A$3:$A$1500,A42)</f>
        <v>25</v>
      </c>
      <c r="AM42" s="37">
        <f>SUMIFS($AC$3:$AC$1500,$A$3:$A$1500,A42)</f>
        <v>4245665</v>
      </c>
      <c r="AN42" s="37">
        <f>SUMIFS($AD$3:$AD$1500,$A$3:$A$1500,A42)</f>
        <v>560825</v>
      </c>
      <c r="AO42" s="37">
        <f>SUMIFS($AF$3:$AF$1500,$A$3:$A$1500,A42)</f>
        <v>30000</v>
      </c>
      <c r="AP42" s="37">
        <f>SUMIFS($AG$3:$AG$1500,$A$3:$A$1500,A42)+SUMIFS($AH$3:$AH$1500,$A$3:$A$1500,A42)</f>
        <v>1218</v>
      </c>
      <c r="AQ42" s="37">
        <f>SUMIFS($AJ$3:$AJ$1500,$A$3:$A$1500,A42)</f>
        <v>3653622</v>
      </c>
      <c r="AR42" s="37">
        <f>SUMIFS($AK$3:$AK$1500,$A$3:$A$1500,A42)</f>
        <v>4295665</v>
      </c>
      <c r="AS42" s="31">
        <f>IFERROR(AQ42/SUMIFS($AJ$3:$AJ$1500,$F$3:$F$1500,EDATE(F42,-1))-1,"N/A - first run")</f>
        <v>-0.21824497738902326</v>
      </c>
      <c r="AT42" s="21" t="s">
        <v>4904</v>
      </c>
      <c r="AU42" s="21" t="str">
        <f>IF(P42&gt;0,"Unpaid leave "&amp;P42&amp;" day(s)",IF(R42&gt;40,"Overtime above 40 hrs","None"))</f>
        <v>None</v>
      </c>
      <c r="AV42" s="29">
        <f>EOMONTH(H42,0)+15</f>
        <v>46218</v>
      </c>
      <c r="AW42" s="21" t="s">
        <v>4920</v>
      </c>
      <c r="AX42" s="21" t="s">
        <v>4906</v>
      </c>
      <c r="AY42" s="21" t="str">
        <f>IF(U42+V42+W42&gt;=40000,"Compliant","Below minimum wage")</f>
        <v>Compliant</v>
      </c>
    </row>
    <row r="43" spans="1:51" x14ac:dyDescent="0.3">
      <c r="A43" s="21" t="s">
        <v>4902</v>
      </c>
      <c r="B43" s="39">
        <v>46174</v>
      </c>
      <c r="C43" s="21" t="s">
        <v>4903</v>
      </c>
      <c r="D43" s="21" t="s">
        <v>4842</v>
      </c>
      <c r="E43" s="21" t="s">
        <v>743</v>
      </c>
      <c r="F43" s="29">
        <v>46198</v>
      </c>
      <c r="G43" s="21">
        <f>COUNTIFS($A$3:$A$1500,A43)</f>
        <v>25</v>
      </c>
      <c r="H43" s="29">
        <v>46203</v>
      </c>
      <c r="I43" s="21" t="s">
        <v>1797</v>
      </c>
      <c r="J43" s="21" t="s">
        <v>4357</v>
      </c>
      <c r="K43" s="21" t="s">
        <v>4879</v>
      </c>
      <c r="L43" s="21" t="s">
        <v>4850</v>
      </c>
      <c r="M43" s="21">
        <v>30</v>
      </c>
      <c r="N43" s="21">
        <v>24</v>
      </c>
      <c r="O43" s="21">
        <v>2</v>
      </c>
      <c r="P43" s="21">
        <v>0</v>
      </c>
      <c r="Q43" s="21" t="s">
        <v>848</v>
      </c>
      <c r="R43" s="21">
        <v>0</v>
      </c>
      <c r="S43" s="21">
        <v>0</v>
      </c>
      <c r="T43" s="21" t="s">
        <v>1660</v>
      </c>
      <c r="U43" s="37">
        <f>_xlfn.XLOOKUP(LEFT(K43,7),'T07'!$A$3:$A$1500,'T07'!$AS$3:$AS$1500)</f>
        <v>33000</v>
      </c>
      <c r="V43" s="37">
        <f>_xlfn.XLOOKUP(LEFT(K43,7),'T07'!$A$3:$A$1500,'T07'!$AT$3:$AT$1500)</f>
        <v>14850</v>
      </c>
      <c r="W43" s="37">
        <v>0</v>
      </c>
      <c r="X43" s="37">
        <f>ROUND(U43/M43/8*2*R43,0)</f>
        <v>0</v>
      </c>
      <c r="Y43" s="37">
        <f>ROUND(U43/M43*2*S43,0)</f>
        <v>0</v>
      </c>
      <c r="Z43" s="37">
        <v>0</v>
      </c>
      <c r="AA43" s="37">
        <v>0</v>
      </c>
      <c r="AB43" s="37">
        <v>3000</v>
      </c>
      <c r="AC43" s="37">
        <f>U43+V43+W43+X43+Y43+Z43+AA43+AB43</f>
        <v>50850</v>
      </c>
      <c r="AD43" s="37">
        <f>_xlfn.LET(_xlpm.a,(AC43-AB43)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0</v>
      </c>
      <c r="AE43" s="37" cm="1">
        <f t="array" ref="AE43">SUMPRODUCT((LEFT($K$3:$K$1500,7)=LEFT(K43,7))*($F$3:$F$1500&lt;=F43)*($F$3:$F$1500&gt;=DATE(IF(MONTH(F43)&gt;=7,YEAR(F43),YEAR(F43)-1),7,1))*($AC$3:$AC$1500-$AB$3:$AB$1500))</f>
        <v>112200</v>
      </c>
      <c r="AF43" s="37">
        <v>0</v>
      </c>
      <c r="AG43" s="37">
        <f>ROUND((U43+V43)/M43*P43,0)</f>
        <v>0</v>
      </c>
      <c r="AH43" s="37">
        <v>0</v>
      </c>
      <c r="AI43" s="37">
        <f>AD43+AF43+AG43+AH43</f>
        <v>0</v>
      </c>
      <c r="AJ43" s="37">
        <f>AC43-AI43</f>
        <v>50850</v>
      </c>
      <c r="AK43" s="37">
        <f>AC43+2000</f>
        <v>52850</v>
      </c>
      <c r="AL43" s="21">
        <f>COUNTIFS($A$3:$A$1500,A43)</f>
        <v>25</v>
      </c>
      <c r="AM43" s="37">
        <f>SUMIFS($AC$3:$AC$1500,$A$3:$A$1500,A43)</f>
        <v>4245665</v>
      </c>
      <c r="AN43" s="37">
        <f>SUMIFS($AD$3:$AD$1500,$A$3:$A$1500,A43)</f>
        <v>560825</v>
      </c>
      <c r="AO43" s="37">
        <f>SUMIFS($AF$3:$AF$1500,$A$3:$A$1500,A43)</f>
        <v>30000</v>
      </c>
      <c r="AP43" s="37">
        <f>SUMIFS($AG$3:$AG$1500,$A$3:$A$1500,A43)+SUMIFS($AH$3:$AH$1500,$A$3:$A$1500,A43)</f>
        <v>1218</v>
      </c>
      <c r="AQ43" s="37">
        <f>SUMIFS($AJ$3:$AJ$1500,$A$3:$A$1500,A43)</f>
        <v>3653622</v>
      </c>
      <c r="AR43" s="37">
        <f>SUMIFS($AK$3:$AK$1500,$A$3:$A$1500,A43)</f>
        <v>4295665</v>
      </c>
      <c r="AS43" s="31">
        <f>IFERROR(AQ43/SUMIFS($AJ$3:$AJ$1500,$F$3:$F$1500,EDATE(F43,-1))-1,"N/A - first run")</f>
        <v>-0.21824497738902326</v>
      </c>
      <c r="AT43" s="21" t="s">
        <v>4904</v>
      </c>
      <c r="AU43" s="21" t="str">
        <f>IF(P43&gt;0,"Unpaid leave "&amp;P43&amp;" day(s)",IF(R43&gt;40,"Overtime above 40 hrs","None"))</f>
        <v>None</v>
      </c>
      <c r="AV43" s="29">
        <f>EOMONTH(H43,0)+15</f>
        <v>46218</v>
      </c>
      <c r="AW43" s="21" t="s">
        <v>4921</v>
      </c>
      <c r="AX43" s="21" t="s">
        <v>4906</v>
      </c>
      <c r="AY43" s="21" t="str">
        <f>IF(U43+V43+W43&gt;=40000,"Compliant","Below minimum wage")</f>
        <v>Compliant</v>
      </c>
    </row>
    <row r="44" spans="1:51" x14ac:dyDescent="0.3">
      <c r="A44" s="21" t="s">
        <v>4902</v>
      </c>
      <c r="B44" s="39">
        <v>46174</v>
      </c>
      <c r="C44" s="21" t="s">
        <v>4903</v>
      </c>
      <c r="D44" s="21" t="s">
        <v>4842</v>
      </c>
      <c r="E44" s="21" t="s">
        <v>743</v>
      </c>
      <c r="F44" s="29">
        <v>46198</v>
      </c>
      <c r="G44" s="21">
        <f>COUNTIFS($A$3:$A$1500,A44)</f>
        <v>25</v>
      </c>
      <c r="H44" s="29">
        <v>46203</v>
      </c>
      <c r="I44" s="21" t="s">
        <v>1797</v>
      </c>
      <c r="J44" s="21" t="s">
        <v>4357</v>
      </c>
      <c r="K44" s="21" t="s">
        <v>4881</v>
      </c>
      <c r="L44" s="21" t="s">
        <v>4882</v>
      </c>
      <c r="M44" s="21">
        <v>30</v>
      </c>
      <c r="N44" s="21">
        <v>24</v>
      </c>
      <c r="O44" s="21">
        <v>1</v>
      </c>
      <c r="P44" s="21">
        <v>1</v>
      </c>
      <c r="Q44" s="21" t="s">
        <v>848</v>
      </c>
      <c r="R44" s="21">
        <v>0</v>
      </c>
      <c r="S44" s="21">
        <v>0</v>
      </c>
      <c r="T44" s="21" t="s">
        <v>1674</v>
      </c>
      <c r="U44" s="37">
        <f>_xlfn.XLOOKUP(LEFT(K44,7),'T07'!$A$3:$A$1500,'T07'!$AS$3:$AS$1500)</f>
        <v>25200</v>
      </c>
      <c r="V44" s="37">
        <f>_xlfn.XLOOKUP(LEFT(K44,7),'T07'!$A$3:$A$1500,'T07'!$AT$3:$AT$1500)</f>
        <v>11340</v>
      </c>
      <c r="W44" s="37">
        <v>0</v>
      </c>
      <c r="X44" s="37">
        <f>ROUND(U44/M44/8*2*R44,0)</f>
        <v>0</v>
      </c>
      <c r="Y44" s="37">
        <f>ROUND(U44/M44*2*S44,0)</f>
        <v>0</v>
      </c>
      <c r="Z44" s="37">
        <v>0</v>
      </c>
      <c r="AA44" s="37">
        <v>0</v>
      </c>
      <c r="AB44" s="37">
        <v>3000</v>
      </c>
      <c r="AC44" s="37">
        <f>U44+V44+W44+X44+Y44+Z44+AA44+AB44</f>
        <v>39540</v>
      </c>
      <c r="AD44" s="37">
        <f>_xlfn.LET(_xlpm.a,(AC44-AB44)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0</v>
      </c>
      <c r="AE44" s="37" cm="1">
        <f t="array" ref="AE44">SUMPRODUCT((LEFT($K$3:$K$1500,7)=LEFT(K44,7))*($F$3:$F$1500&lt;=F44)*($F$3:$F$1500&gt;=DATE(IF(MONTH(F44)&gt;=7,YEAR(F44),YEAR(F44)-1),7,1))*($AC$3:$AC$1500-$AB$3:$AB$1500))</f>
        <v>85680</v>
      </c>
      <c r="AF44" s="37">
        <v>0</v>
      </c>
      <c r="AG44" s="37">
        <f>ROUND((U44+V44)/M44*P44,0)</f>
        <v>1218</v>
      </c>
      <c r="AH44" s="37">
        <v>0</v>
      </c>
      <c r="AI44" s="37">
        <f>AD44+AF44+AG44+AH44</f>
        <v>1218</v>
      </c>
      <c r="AJ44" s="37">
        <f>AC44-AI44</f>
        <v>38322</v>
      </c>
      <c r="AK44" s="37">
        <f>AC44+2000</f>
        <v>41540</v>
      </c>
      <c r="AL44" s="21">
        <f>COUNTIFS($A$3:$A$1500,A44)</f>
        <v>25</v>
      </c>
      <c r="AM44" s="37">
        <f>SUMIFS($AC$3:$AC$1500,$A$3:$A$1500,A44)</f>
        <v>4245665</v>
      </c>
      <c r="AN44" s="37">
        <f>SUMIFS($AD$3:$AD$1500,$A$3:$A$1500,A44)</f>
        <v>560825</v>
      </c>
      <c r="AO44" s="37">
        <f>SUMIFS($AF$3:$AF$1500,$A$3:$A$1500,A44)</f>
        <v>30000</v>
      </c>
      <c r="AP44" s="37">
        <f>SUMIFS($AG$3:$AG$1500,$A$3:$A$1500,A44)+SUMIFS($AH$3:$AH$1500,$A$3:$A$1500,A44)</f>
        <v>1218</v>
      </c>
      <c r="AQ44" s="37">
        <f>SUMIFS($AJ$3:$AJ$1500,$A$3:$A$1500,A44)</f>
        <v>3653622</v>
      </c>
      <c r="AR44" s="37">
        <f>SUMIFS($AK$3:$AK$1500,$A$3:$A$1500,A44)</f>
        <v>4295665</v>
      </c>
      <c r="AS44" s="31">
        <f>IFERROR(AQ44/SUMIFS($AJ$3:$AJ$1500,$F$3:$F$1500,EDATE(F44,-1))-1,"N/A - first run")</f>
        <v>-0.21824497738902326</v>
      </c>
      <c r="AT44" s="21" t="s">
        <v>4904</v>
      </c>
      <c r="AU44" s="21" t="str">
        <f>IF(P44&gt;0,"Unpaid leave "&amp;P44&amp;" day(s)",IF(R44&gt;40,"Overtime above 40 hrs","None"))</f>
        <v>Unpaid leave 1 day(s)</v>
      </c>
      <c r="AV44" s="29">
        <f>EOMONTH(H44,0)+15</f>
        <v>46218</v>
      </c>
      <c r="AW44" s="21" t="s">
        <v>4922</v>
      </c>
      <c r="AX44" s="21" t="s">
        <v>4906</v>
      </c>
      <c r="AY44" s="21" t="str">
        <f>IF(U44+V44+W44&gt;=40000,"Compliant","Below minimum wage")</f>
        <v>Below minimum wage</v>
      </c>
    </row>
    <row r="45" spans="1:51" x14ac:dyDescent="0.3">
      <c r="A45" s="21" t="s">
        <v>4902</v>
      </c>
      <c r="B45" s="39">
        <v>46174</v>
      </c>
      <c r="C45" s="21" t="s">
        <v>4903</v>
      </c>
      <c r="D45" s="21" t="s">
        <v>4842</v>
      </c>
      <c r="E45" s="21" t="s">
        <v>743</v>
      </c>
      <c r="F45" s="29">
        <v>46198</v>
      </c>
      <c r="G45" s="21">
        <f>COUNTIFS($A$3:$A$1500,A45)</f>
        <v>25</v>
      </c>
      <c r="H45" s="29">
        <v>46203</v>
      </c>
      <c r="I45" s="21" t="s">
        <v>1797</v>
      </c>
      <c r="J45" s="21" t="s">
        <v>4357</v>
      </c>
      <c r="K45" s="21" t="s">
        <v>4884</v>
      </c>
      <c r="L45" s="21" t="s">
        <v>4885</v>
      </c>
      <c r="M45" s="21">
        <v>30</v>
      </c>
      <c r="N45" s="21">
        <v>24</v>
      </c>
      <c r="O45" s="21">
        <v>2</v>
      </c>
      <c r="P45" s="21">
        <v>0</v>
      </c>
      <c r="Q45" s="21" t="s">
        <v>848</v>
      </c>
      <c r="R45" s="21">
        <v>33</v>
      </c>
      <c r="S45" s="21">
        <v>0</v>
      </c>
      <c r="T45" s="21" t="s">
        <v>1690</v>
      </c>
      <c r="U45" s="37">
        <f>_xlfn.XLOOKUP(LEFT(K45,7),'T07'!$A$3:$A$1500,'T07'!$AS$3:$AS$1500)</f>
        <v>39000</v>
      </c>
      <c r="V45" s="37">
        <f>_xlfn.XLOOKUP(LEFT(K45,7),'T07'!$A$3:$A$1500,'T07'!$AT$3:$AT$1500)</f>
        <v>17550</v>
      </c>
      <c r="W45" s="37">
        <v>5000</v>
      </c>
      <c r="X45" s="37">
        <f>ROUND(U45/M45/8*2*R45,0)</f>
        <v>10725</v>
      </c>
      <c r="Y45" s="37">
        <f>ROUND(U45/M45*2*S45,0)</f>
        <v>0</v>
      </c>
      <c r="Z45" s="37">
        <v>0</v>
      </c>
      <c r="AA45" s="37">
        <v>0</v>
      </c>
      <c r="AB45" s="37">
        <v>0</v>
      </c>
      <c r="AC45" s="37">
        <f>U45+V45+W45+X45+Y45+Z45+AA45+AB45</f>
        <v>72275</v>
      </c>
      <c r="AD45" s="37">
        <f>_xlfn.LET(_xlpm.a,(AC45-AB45)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223</v>
      </c>
      <c r="AE45" s="37" cm="1">
        <f t="array" ref="AE45">SUMPRODUCT((LEFT($K$3:$K$1500,7)=LEFT(K45,7))*($F$3:$F$1500&lt;=F45)*($F$3:$F$1500&gt;=DATE(IF(MONTH(F45)&gt;=7,YEAR(F45),YEAR(F45)-1),7,1))*($AC$3:$AC$1500-$AB$3:$AB$1500))</f>
        <v>158986</v>
      </c>
      <c r="AF45" s="37">
        <v>0</v>
      </c>
      <c r="AG45" s="37">
        <f>ROUND((U45+V45)/M45*P45,0)</f>
        <v>0</v>
      </c>
      <c r="AH45" s="37">
        <v>0</v>
      </c>
      <c r="AI45" s="37">
        <f>AD45+AF45+AG45+AH45</f>
        <v>223</v>
      </c>
      <c r="AJ45" s="37">
        <f>AC45-AI45</f>
        <v>72052</v>
      </c>
      <c r="AK45" s="37">
        <f>AC45+2000</f>
        <v>74275</v>
      </c>
      <c r="AL45" s="21">
        <f>COUNTIFS($A$3:$A$1500,A45)</f>
        <v>25</v>
      </c>
      <c r="AM45" s="37">
        <f>SUMIFS($AC$3:$AC$1500,$A$3:$A$1500,A45)</f>
        <v>4245665</v>
      </c>
      <c r="AN45" s="37">
        <f>SUMIFS($AD$3:$AD$1500,$A$3:$A$1500,A45)</f>
        <v>560825</v>
      </c>
      <c r="AO45" s="37">
        <f>SUMIFS($AF$3:$AF$1500,$A$3:$A$1500,A45)</f>
        <v>30000</v>
      </c>
      <c r="AP45" s="37">
        <f>SUMIFS($AG$3:$AG$1500,$A$3:$A$1500,A45)+SUMIFS($AH$3:$AH$1500,$A$3:$A$1500,A45)</f>
        <v>1218</v>
      </c>
      <c r="AQ45" s="37">
        <f>SUMIFS($AJ$3:$AJ$1500,$A$3:$A$1500,A45)</f>
        <v>3653622</v>
      </c>
      <c r="AR45" s="37">
        <f>SUMIFS($AK$3:$AK$1500,$A$3:$A$1500,A45)</f>
        <v>4295665</v>
      </c>
      <c r="AS45" s="31">
        <f>IFERROR(AQ45/SUMIFS($AJ$3:$AJ$1500,$F$3:$F$1500,EDATE(F45,-1))-1,"N/A - first run")</f>
        <v>-0.21824497738902326</v>
      </c>
      <c r="AT45" s="21" t="s">
        <v>4904</v>
      </c>
      <c r="AU45" s="21" t="str">
        <f>IF(P45&gt;0,"Unpaid leave "&amp;P45&amp;" day(s)",IF(R45&gt;40,"Overtime above 40 hrs","None"))</f>
        <v>None</v>
      </c>
      <c r="AV45" s="29">
        <f>EOMONTH(H45,0)+15</f>
        <v>46218</v>
      </c>
      <c r="AW45" s="21" t="s">
        <v>4923</v>
      </c>
      <c r="AX45" s="21" t="s">
        <v>4906</v>
      </c>
      <c r="AY45" s="21" t="str">
        <f>IF(U45+V45+W45&gt;=40000,"Compliant","Below minimum wage")</f>
        <v>Compliant</v>
      </c>
    </row>
    <row r="46" spans="1:51" x14ac:dyDescent="0.3">
      <c r="A46" s="21" t="s">
        <v>4902</v>
      </c>
      <c r="B46" s="39">
        <v>46174</v>
      </c>
      <c r="C46" s="21" t="s">
        <v>4903</v>
      </c>
      <c r="D46" s="21" t="s">
        <v>4842</v>
      </c>
      <c r="E46" s="21" t="s">
        <v>743</v>
      </c>
      <c r="F46" s="29">
        <v>46198</v>
      </c>
      <c r="G46" s="21">
        <f>COUNTIFS($A$3:$A$1500,A46)</f>
        <v>25</v>
      </c>
      <c r="H46" s="29">
        <v>46203</v>
      </c>
      <c r="I46" s="21" t="s">
        <v>1797</v>
      </c>
      <c r="J46" s="21" t="s">
        <v>4357</v>
      </c>
      <c r="K46" s="21" t="s">
        <v>4887</v>
      </c>
      <c r="L46" s="21" t="s">
        <v>4885</v>
      </c>
      <c r="M46" s="21">
        <v>30</v>
      </c>
      <c r="N46" s="21">
        <v>25</v>
      </c>
      <c r="O46" s="21">
        <v>1</v>
      </c>
      <c r="P46" s="21">
        <v>0</v>
      </c>
      <c r="Q46" s="21" t="s">
        <v>848</v>
      </c>
      <c r="R46" s="21">
        <v>11</v>
      </c>
      <c r="S46" s="21">
        <v>0</v>
      </c>
      <c r="T46" s="21" t="s">
        <v>1706</v>
      </c>
      <c r="U46" s="37">
        <f>_xlfn.XLOOKUP(LEFT(K46,7),'T07'!$A$3:$A$1500,'T07'!$AS$3:$AS$1500)</f>
        <v>37200</v>
      </c>
      <c r="V46" s="37">
        <f>_xlfn.XLOOKUP(LEFT(K46,7),'T07'!$A$3:$A$1500,'T07'!$AT$3:$AT$1500)</f>
        <v>16740</v>
      </c>
      <c r="W46" s="37">
        <v>5000</v>
      </c>
      <c r="X46" s="37">
        <f>ROUND(U46/M46/8*2*R46,0)</f>
        <v>3410</v>
      </c>
      <c r="Y46" s="37">
        <f>ROUND(U46/M46*2*S46,0)</f>
        <v>0</v>
      </c>
      <c r="Z46" s="37">
        <v>0</v>
      </c>
      <c r="AA46" s="37">
        <v>0</v>
      </c>
      <c r="AB46" s="37">
        <v>0</v>
      </c>
      <c r="AC46" s="37">
        <f>U46+V46+W46+X46+Y46+Z46+AA46+AB46</f>
        <v>62350</v>
      </c>
      <c r="AD46" s="37">
        <f>_xlfn.LET(_xlpm.a,(AC46-AB46)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124</v>
      </c>
      <c r="AE46" s="37" cm="1">
        <f t="array" ref="AE46">SUMPRODUCT((LEFT($K$3:$K$1500,7)=LEFT(K46,7))*($F$3:$F$1500&lt;=F46)*($F$3:$F$1500&gt;=DATE(IF(MONTH(F46)&gt;=7,YEAR(F46),YEAR(F46)-1),7,1))*($AC$3:$AC$1500-$AB$3:$AB$1500))</f>
        <v>145890</v>
      </c>
      <c r="AF46" s="37">
        <v>10000</v>
      </c>
      <c r="AG46" s="37">
        <f>ROUND((U46+V46)/M46*P46,0)</f>
        <v>0</v>
      </c>
      <c r="AH46" s="37">
        <v>0</v>
      </c>
      <c r="AI46" s="37">
        <f>AD46+AF46+AG46+AH46</f>
        <v>10124</v>
      </c>
      <c r="AJ46" s="37">
        <f>AC46-AI46</f>
        <v>52226</v>
      </c>
      <c r="AK46" s="37">
        <f>AC46+2000</f>
        <v>64350</v>
      </c>
      <c r="AL46" s="21">
        <f>COUNTIFS($A$3:$A$1500,A46)</f>
        <v>25</v>
      </c>
      <c r="AM46" s="37">
        <f>SUMIFS($AC$3:$AC$1500,$A$3:$A$1500,A46)</f>
        <v>4245665</v>
      </c>
      <c r="AN46" s="37">
        <f>SUMIFS($AD$3:$AD$1500,$A$3:$A$1500,A46)</f>
        <v>560825</v>
      </c>
      <c r="AO46" s="37">
        <f>SUMIFS($AF$3:$AF$1500,$A$3:$A$1500,A46)</f>
        <v>30000</v>
      </c>
      <c r="AP46" s="37">
        <f>SUMIFS($AG$3:$AG$1500,$A$3:$A$1500,A46)+SUMIFS($AH$3:$AH$1500,$A$3:$A$1500,A46)</f>
        <v>1218</v>
      </c>
      <c r="AQ46" s="37">
        <f>SUMIFS($AJ$3:$AJ$1500,$A$3:$A$1500,A46)</f>
        <v>3653622</v>
      </c>
      <c r="AR46" s="37">
        <f>SUMIFS($AK$3:$AK$1500,$A$3:$A$1500,A46)</f>
        <v>4295665</v>
      </c>
      <c r="AS46" s="31">
        <f>IFERROR(AQ46/SUMIFS($AJ$3:$AJ$1500,$F$3:$F$1500,EDATE(F46,-1))-1,"N/A - first run")</f>
        <v>-0.21824497738902326</v>
      </c>
      <c r="AT46" s="21" t="s">
        <v>4904</v>
      </c>
      <c r="AU46" s="21" t="str">
        <f>IF(P46&gt;0,"Unpaid leave "&amp;P46&amp;" day(s)",IF(R46&gt;40,"Overtime above 40 hrs","None"))</f>
        <v>None</v>
      </c>
      <c r="AV46" s="29">
        <f>EOMONTH(H46,0)+15</f>
        <v>46218</v>
      </c>
      <c r="AW46" s="21" t="s">
        <v>4924</v>
      </c>
      <c r="AX46" s="21" t="s">
        <v>4906</v>
      </c>
      <c r="AY46" s="21" t="str">
        <f>IF(U46+V46+W46&gt;=40000,"Compliant","Below minimum wage")</f>
        <v>Compliant</v>
      </c>
    </row>
    <row r="47" spans="1:51" x14ac:dyDescent="0.3">
      <c r="A47" s="21" t="s">
        <v>4902</v>
      </c>
      <c r="B47" s="39">
        <v>46174</v>
      </c>
      <c r="C47" s="21" t="s">
        <v>4903</v>
      </c>
      <c r="D47" s="21" t="s">
        <v>4842</v>
      </c>
      <c r="E47" s="21" t="s">
        <v>743</v>
      </c>
      <c r="F47" s="29">
        <v>46198</v>
      </c>
      <c r="G47" s="21">
        <f>COUNTIFS($A$3:$A$1500,A47)</f>
        <v>25</v>
      </c>
      <c r="H47" s="29">
        <v>46203</v>
      </c>
      <c r="I47" s="21" t="s">
        <v>1797</v>
      </c>
      <c r="J47" s="21" t="s">
        <v>4357</v>
      </c>
      <c r="K47" s="21" t="s">
        <v>4889</v>
      </c>
      <c r="L47" s="21" t="s">
        <v>4885</v>
      </c>
      <c r="M47" s="21">
        <v>30</v>
      </c>
      <c r="N47" s="21">
        <v>26</v>
      </c>
      <c r="O47" s="21">
        <v>0</v>
      </c>
      <c r="P47" s="21">
        <v>0</v>
      </c>
      <c r="Q47" s="21" t="s">
        <v>4845</v>
      </c>
      <c r="R47" s="21">
        <v>33</v>
      </c>
      <c r="S47" s="21">
        <v>0</v>
      </c>
      <c r="T47" s="21" t="s">
        <v>1719</v>
      </c>
      <c r="U47" s="37">
        <f>_xlfn.XLOOKUP(LEFT(K47,7),'T07'!$A$3:$A$1500,'T07'!$AS$3:$AS$1500)</f>
        <v>37200</v>
      </c>
      <c r="V47" s="37">
        <f>_xlfn.XLOOKUP(LEFT(K47,7),'T07'!$A$3:$A$1500,'T07'!$AT$3:$AT$1500)</f>
        <v>16740</v>
      </c>
      <c r="W47" s="37">
        <v>5000</v>
      </c>
      <c r="X47" s="37">
        <f>ROUND(U47/M47/8*2*R47,0)</f>
        <v>10230</v>
      </c>
      <c r="Y47" s="37">
        <f>ROUND(U47/M47*2*S47,0)</f>
        <v>0</v>
      </c>
      <c r="Z47" s="37">
        <v>0</v>
      </c>
      <c r="AA47" s="37">
        <v>0</v>
      </c>
      <c r="AB47" s="37">
        <v>0</v>
      </c>
      <c r="AC47" s="37">
        <f>U47+V47+W47+X47+Y47+Z47+AA47+AB47</f>
        <v>69170</v>
      </c>
      <c r="AD47" s="37">
        <f>_xlfn.LET(_xlpm.a,(AC47-AB47)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192</v>
      </c>
      <c r="AE47" s="37" cm="1">
        <f t="array" ref="AE47">SUMPRODUCT((LEFT($K$3:$K$1500,7)=LEFT(K47,7))*($F$3:$F$1500&lt;=F47)*($F$3:$F$1500&gt;=DATE(IF(MONTH(F47)&gt;=7,YEAR(F47),YEAR(F47)-1),7,1))*($AC$3:$AC$1500-$AB$3:$AB$1500))</f>
        <v>157210</v>
      </c>
      <c r="AF47" s="37">
        <v>0</v>
      </c>
      <c r="AG47" s="37">
        <f>ROUND((U47+V47)/M47*P47,0)</f>
        <v>0</v>
      </c>
      <c r="AH47" s="37">
        <v>0</v>
      </c>
      <c r="AI47" s="37">
        <f>AD47+AF47+AG47+AH47</f>
        <v>192</v>
      </c>
      <c r="AJ47" s="37">
        <f>AC47-AI47</f>
        <v>68978</v>
      </c>
      <c r="AK47" s="37">
        <f>AC47+2000</f>
        <v>71170</v>
      </c>
      <c r="AL47" s="21">
        <f>COUNTIFS($A$3:$A$1500,A47)</f>
        <v>25</v>
      </c>
      <c r="AM47" s="37">
        <f>SUMIFS($AC$3:$AC$1500,$A$3:$A$1500,A47)</f>
        <v>4245665</v>
      </c>
      <c r="AN47" s="37">
        <f>SUMIFS($AD$3:$AD$1500,$A$3:$A$1500,A47)</f>
        <v>560825</v>
      </c>
      <c r="AO47" s="37">
        <f>SUMIFS($AF$3:$AF$1500,$A$3:$A$1500,A47)</f>
        <v>30000</v>
      </c>
      <c r="AP47" s="37">
        <f>SUMIFS($AG$3:$AG$1500,$A$3:$A$1500,A47)+SUMIFS($AH$3:$AH$1500,$A$3:$A$1500,A47)</f>
        <v>1218</v>
      </c>
      <c r="AQ47" s="37">
        <f>SUMIFS($AJ$3:$AJ$1500,$A$3:$A$1500,A47)</f>
        <v>3653622</v>
      </c>
      <c r="AR47" s="37">
        <f>SUMIFS($AK$3:$AK$1500,$A$3:$A$1500,A47)</f>
        <v>4295665</v>
      </c>
      <c r="AS47" s="31">
        <f>IFERROR(AQ47/SUMIFS($AJ$3:$AJ$1500,$F$3:$F$1500,EDATE(F47,-1))-1,"N/A - first run")</f>
        <v>-0.21824497738902326</v>
      </c>
      <c r="AT47" s="21" t="s">
        <v>4904</v>
      </c>
      <c r="AU47" s="21" t="str">
        <f>IF(P47&gt;0,"Unpaid leave "&amp;P47&amp;" day(s)",IF(R47&gt;40,"Overtime above 40 hrs","None"))</f>
        <v>None</v>
      </c>
      <c r="AV47" s="29">
        <f>EOMONTH(H47,0)+15</f>
        <v>46218</v>
      </c>
      <c r="AW47" s="21" t="s">
        <v>4925</v>
      </c>
      <c r="AX47" s="21" t="s">
        <v>4906</v>
      </c>
      <c r="AY47" s="21" t="str">
        <f>IF(U47+V47+W47&gt;=40000,"Compliant","Below minimum wage")</f>
        <v>Compliant</v>
      </c>
    </row>
    <row r="48" spans="1:51" x14ac:dyDescent="0.3">
      <c r="A48" s="21" t="s">
        <v>4902</v>
      </c>
      <c r="B48" s="39">
        <v>46174</v>
      </c>
      <c r="C48" s="21" t="s">
        <v>4903</v>
      </c>
      <c r="D48" s="21" t="s">
        <v>4842</v>
      </c>
      <c r="E48" s="21" t="s">
        <v>743</v>
      </c>
      <c r="F48" s="29">
        <v>46198</v>
      </c>
      <c r="G48" s="21">
        <f>COUNTIFS($A$3:$A$1500,A48)</f>
        <v>25</v>
      </c>
      <c r="H48" s="29">
        <v>46203</v>
      </c>
      <c r="I48" s="21" t="s">
        <v>1797</v>
      </c>
      <c r="J48" s="21" t="s">
        <v>4357</v>
      </c>
      <c r="K48" s="21" t="s">
        <v>4891</v>
      </c>
      <c r="L48" s="21" t="s">
        <v>4892</v>
      </c>
      <c r="M48" s="21">
        <v>30</v>
      </c>
      <c r="N48" s="21">
        <v>26</v>
      </c>
      <c r="O48" s="21">
        <v>0</v>
      </c>
      <c r="P48" s="21">
        <v>0</v>
      </c>
      <c r="Q48" s="21" t="s">
        <v>848</v>
      </c>
      <c r="R48" s="21">
        <v>20</v>
      </c>
      <c r="S48" s="21">
        <v>0</v>
      </c>
      <c r="T48" s="21" t="s">
        <v>1734</v>
      </c>
      <c r="U48" s="37">
        <f>_xlfn.XLOOKUP(LEFT(K48,7),'T07'!$A$3:$A$1500,'T07'!$AS$3:$AS$1500)</f>
        <v>34800</v>
      </c>
      <c r="V48" s="37">
        <f>_xlfn.XLOOKUP(LEFT(K48,7),'T07'!$A$3:$A$1500,'T07'!$AT$3:$AT$1500)</f>
        <v>15660</v>
      </c>
      <c r="W48" s="37">
        <v>5000</v>
      </c>
      <c r="X48" s="37">
        <f>ROUND(U48/M48/8*2*R48,0)</f>
        <v>5800</v>
      </c>
      <c r="Y48" s="37">
        <f>ROUND(U48/M48*2*S48,0)</f>
        <v>0</v>
      </c>
      <c r="Z48" s="37">
        <v>0</v>
      </c>
      <c r="AA48" s="37">
        <v>0</v>
      </c>
      <c r="AB48" s="37">
        <v>0</v>
      </c>
      <c r="AC48" s="37">
        <f>U48+V48+W48+X48+Y48+Z48+AA48+AB48</f>
        <v>61260</v>
      </c>
      <c r="AD48" s="37">
        <f>_xlfn.LET(_xlpm.a,(AC48-AB48)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113</v>
      </c>
      <c r="AE48" s="37" cm="1">
        <f t="array" ref="AE48">SUMPRODUCT((LEFT($K$3:$K$1500,7)=LEFT(K48,7))*($F$3:$F$1500&lt;=F48)*($F$3:$F$1500&gt;=DATE(IF(MONTH(F48)&gt;=7,YEAR(F48),YEAR(F48)-1),7,1))*($AC$3:$AC$1500-$AB$3:$AB$1500))</f>
        <v>139172</v>
      </c>
      <c r="AF48" s="37">
        <v>0</v>
      </c>
      <c r="AG48" s="37">
        <f>ROUND((U48+V48)/M48*P48,0)</f>
        <v>0</v>
      </c>
      <c r="AH48" s="37">
        <v>0</v>
      </c>
      <c r="AI48" s="37">
        <f>AD48+AF48+AG48+AH48</f>
        <v>113</v>
      </c>
      <c r="AJ48" s="37">
        <f>AC48-AI48</f>
        <v>61147</v>
      </c>
      <c r="AK48" s="37">
        <f>AC48+2000</f>
        <v>63260</v>
      </c>
      <c r="AL48" s="21">
        <f>COUNTIFS($A$3:$A$1500,A48)</f>
        <v>25</v>
      </c>
      <c r="AM48" s="37">
        <f>SUMIFS($AC$3:$AC$1500,$A$3:$A$1500,A48)</f>
        <v>4245665</v>
      </c>
      <c r="AN48" s="37">
        <f>SUMIFS($AD$3:$AD$1500,$A$3:$A$1500,A48)</f>
        <v>560825</v>
      </c>
      <c r="AO48" s="37">
        <f>SUMIFS($AF$3:$AF$1500,$A$3:$A$1500,A48)</f>
        <v>30000</v>
      </c>
      <c r="AP48" s="37">
        <f>SUMIFS($AG$3:$AG$1500,$A$3:$A$1500,A48)+SUMIFS($AH$3:$AH$1500,$A$3:$A$1500,A48)</f>
        <v>1218</v>
      </c>
      <c r="AQ48" s="37">
        <f>SUMIFS($AJ$3:$AJ$1500,$A$3:$A$1500,A48)</f>
        <v>3653622</v>
      </c>
      <c r="AR48" s="37">
        <f>SUMIFS($AK$3:$AK$1500,$A$3:$A$1500,A48)</f>
        <v>4295665</v>
      </c>
      <c r="AS48" s="31">
        <f>IFERROR(AQ48/SUMIFS($AJ$3:$AJ$1500,$F$3:$F$1500,EDATE(F48,-1))-1,"N/A - first run")</f>
        <v>-0.21824497738902326</v>
      </c>
      <c r="AT48" s="21" t="s">
        <v>4904</v>
      </c>
      <c r="AU48" s="21" t="str">
        <f>IF(P48&gt;0,"Unpaid leave "&amp;P48&amp;" day(s)",IF(R48&gt;40,"Overtime above 40 hrs","None"))</f>
        <v>None</v>
      </c>
      <c r="AV48" s="29">
        <f>EOMONTH(H48,0)+15</f>
        <v>46218</v>
      </c>
      <c r="AW48" s="21" t="s">
        <v>4926</v>
      </c>
      <c r="AX48" s="21" t="s">
        <v>4906</v>
      </c>
      <c r="AY48" s="21" t="str">
        <f>IF(U48+V48+W48&gt;=40000,"Compliant","Below minimum wage")</f>
        <v>Compliant</v>
      </c>
    </row>
    <row r="49" spans="1:51" x14ac:dyDescent="0.3">
      <c r="A49" s="21" t="s">
        <v>4902</v>
      </c>
      <c r="B49" s="39">
        <v>46174</v>
      </c>
      <c r="C49" s="21" t="s">
        <v>4903</v>
      </c>
      <c r="D49" s="21" t="s">
        <v>4842</v>
      </c>
      <c r="E49" s="21" t="s">
        <v>743</v>
      </c>
      <c r="F49" s="29">
        <v>46198</v>
      </c>
      <c r="G49" s="21">
        <f>COUNTIFS($A$3:$A$1500,A49)</f>
        <v>25</v>
      </c>
      <c r="H49" s="29">
        <v>46203</v>
      </c>
      <c r="I49" s="21" t="s">
        <v>1797</v>
      </c>
      <c r="J49" s="21" t="s">
        <v>4357</v>
      </c>
      <c r="K49" s="21" t="s">
        <v>4894</v>
      </c>
      <c r="L49" s="21" t="s">
        <v>4885</v>
      </c>
      <c r="M49" s="21">
        <v>30</v>
      </c>
      <c r="N49" s="21">
        <v>26</v>
      </c>
      <c r="O49" s="21">
        <v>0</v>
      </c>
      <c r="P49" s="21">
        <v>0</v>
      </c>
      <c r="Q49" s="21" t="s">
        <v>848</v>
      </c>
      <c r="R49" s="21">
        <v>20</v>
      </c>
      <c r="S49" s="21">
        <v>0</v>
      </c>
      <c r="T49" s="21" t="s">
        <v>1748</v>
      </c>
      <c r="U49" s="37">
        <f>_xlfn.XLOOKUP(LEFT(K49,7),'T07'!$A$3:$A$1500,'T07'!$AS$3:$AS$1500)</f>
        <v>36000</v>
      </c>
      <c r="V49" s="37">
        <f>_xlfn.XLOOKUP(LEFT(K49,7),'T07'!$A$3:$A$1500,'T07'!$AT$3:$AT$1500)</f>
        <v>16200</v>
      </c>
      <c r="W49" s="37">
        <v>5000</v>
      </c>
      <c r="X49" s="37">
        <f>ROUND(U49/M49/8*2*R49,0)</f>
        <v>6000</v>
      </c>
      <c r="Y49" s="37">
        <f>ROUND(U49/M49*2*S49,0)</f>
        <v>0</v>
      </c>
      <c r="Z49" s="37">
        <v>0</v>
      </c>
      <c r="AA49" s="37">
        <v>0</v>
      </c>
      <c r="AB49" s="37">
        <v>0</v>
      </c>
      <c r="AC49" s="37">
        <f>U49+V49+W49+X49+Y49+Z49+AA49+AB49</f>
        <v>63200</v>
      </c>
      <c r="AD49" s="37">
        <f>_xlfn.LET(_xlpm.a,(AC49-AB49)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132</v>
      </c>
      <c r="AE49" s="37" cm="1">
        <f t="array" ref="AE49">SUMPRODUCT((LEFT($K$3:$K$1500,7)=LEFT(K49,7))*($F$3:$F$1500&lt;=F49)*($F$3:$F$1500&gt;=DATE(IF(MONTH(F49)&gt;=7,YEAR(F49),YEAR(F49)-1),7,1))*($AC$3:$AC$1500-$AB$3:$AB$1500))</f>
        <v>150013</v>
      </c>
      <c r="AF49" s="37">
        <v>0</v>
      </c>
      <c r="AG49" s="37">
        <f>ROUND((U49+V49)/M49*P49,0)</f>
        <v>0</v>
      </c>
      <c r="AH49" s="37">
        <v>0</v>
      </c>
      <c r="AI49" s="37">
        <f>AD49+AF49+AG49+AH49</f>
        <v>132</v>
      </c>
      <c r="AJ49" s="37">
        <f>AC49-AI49</f>
        <v>63068</v>
      </c>
      <c r="AK49" s="37">
        <f>AC49+2000</f>
        <v>65200</v>
      </c>
      <c r="AL49" s="21">
        <f>COUNTIFS($A$3:$A$1500,A49)</f>
        <v>25</v>
      </c>
      <c r="AM49" s="37">
        <f>SUMIFS($AC$3:$AC$1500,$A$3:$A$1500,A49)</f>
        <v>4245665</v>
      </c>
      <c r="AN49" s="37">
        <f>SUMIFS($AD$3:$AD$1500,$A$3:$A$1500,A49)</f>
        <v>560825</v>
      </c>
      <c r="AO49" s="37">
        <f>SUMIFS($AF$3:$AF$1500,$A$3:$A$1500,A49)</f>
        <v>30000</v>
      </c>
      <c r="AP49" s="37">
        <f>SUMIFS($AG$3:$AG$1500,$A$3:$A$1500,A49)+SUMIFS($AH$3:$AH$1500,$A$3:$A$1500,A49)</f>
        <v>1218</v>
      </c>
      <c r="AQ49" s="37">
        <f>SUMIFS($AJ$3:$AJ$1500,$A$3:$A$1500,A49)</f>
        <v>3653622</v>
      </c>
      <c r="AR49" s="37">
        <f>SUMIFS($AK$3:$AK$1500,$A$3:$A$1500,A49)</f>
        <v>4295665</v>
      </c>
      <c r="AS49" s="31">
        <f>IFERROR(AQ49/SUMIFS($AJ$3:$AJ$1500,$F$3:$F$1500,EDATE(F49,-1))-1,"N/A - first run")</f>
        <v>-0.21824497738902326</v>
      </c>
      <c r="AT49" s="21" t="s">
        <v>4904</v>
      </c>
      <c r="AU49" s="21" t="str">
        <f>IF(P49&gt;0,"Unpaid leave "&amp;P49&amp;" day(s)",IF(R49&gt;40,"Overtime above 40 hrs","None"))</f>
        <v>None</v>
      </c>
      <c r="AV49" s="29">
        <f>EOMONTH(H49,0)+15</f>
        <v>46218</v>
      </c>
      <c r="AW49" s="21" t="s">
        <v>4927</v>
      </c>
      <c r="AX49" s="21" t="s">
        <v>4906</v>
      </c>
      <c r="AY49" s="21" t="str">
        <f>IF(U49+V49+W49&gt;=40000,"Compliant","Below minimum wage")</f>
        <v>Compliant</v>
      </c>
    </row>
    <row r="50" spans="1:51" x14ac:dyDescent="0.3">
      <c r="A50" s="21" t="s">
        <v>4902</v>
      </c>
      <c r="B50" s="39">
        <v>46174</v>
      </c>
      <c r="C50" s="21" t="s">
        <v>4903</v>
      </c>
      <c r="D50" s="21" t="s">
        <v>4842</v>
      </c>
      <c r="E50" s="21" t="s">
        <v>743</v>
      </c>
      <c r="F50" s="29">
        <v>46198</v>
      </c>
      <c r="G50" s="21">
        <f>COUNTIFS($A$3:$A$1500,A50)</f>
        <v>25</v>
      </c>
      <c r="H50" s="29">
        <v>46203</v>
      </c>
      <c r="I50" s="21" t="s">
        <v>1797</v>
      </c>
      <c r="J50" s="21" t="s">
        <v>4357</v>
      </c>
      <c r="K50" s="21" t="s">
        <v>4896</v>
      </c>
      <c r="L50" s="21" t="s">
        <v>4885</v>
      </c>
      <c r="M50" s="21">
        <v>30</v>
      </c>
      <c r="N50" s="21">
        <v>24</v>
      </c>
      <c r="O50" s="21">
        <v>2</v>
      </c>
      <c r="P50" s="21">
        <v>0</v>
      </c>
      <c r="Q50" s="21" t="s">
        <v>848</v>
      </c>
      <c r="R50" s="21">
        <v>20</v>
      </c>
      <c r="S50" s="21">
        <v>0</v>
      </c>
      <c r="T50" s="21" t="s">
        <v>1761</v>
      </c>
      <c r="U50" s="37">
        <f>_xlfn.XLOOKUP(LEFT(K50,7),'T07'!$A$3:$A$1500,'T07'!$AS$3:$AS$1500)</f>
        <v>36000</v>
      </c>
      <c r="V50" s="37">
        <f>_xlfn.XLOOKUP(LEFT(K50,7),'T07'!$A$3:$A$1500,'T07'!$AT$3:$AT$1500)</f>
        <v>16200</v>
      </c>
      <c r="W50" s="37">
        <v>5000</v>
      </c>
      <c r="X50" s="37">
        <f>ROUND(U50/M50/8*2*R50,0)</f>
        <v>6000</v>
      </c>
      <c r="Y50" s="37">
        <f>ROUND(U50/M50*2*S50,0)</f>
        <v>0</v>
      </c>
      <c r="Z50" s="37">
        <v>0</v>
      </c>
      <c r="AA50" s="37">
        <v>0</v>
      </c>
      <c r="AB50" s="37">
        <v>0</v>
      </c>
      <c r="AC50" s="37">
        <f>U50+V50+W50+X50+Y50+Z50+AA50+AB50</f>
        <v>63200</v>
      </c>
      <c r="AD50" s="37">
        <f>_xlfn.LET(_xlpm.a,(AC50-AB50)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132</v>
      </c>
      <c r="AE50" s="37" cm="1">
        <f t="array" ref="AE50">SUMPRODUCT((LEFT($K$3:$K$1500,7)=LEFT(K50,7))*($F$3:$F$1500&lt;=F50)*($F$3:$F$1500&gt;=DATE(IF(MONTH(F50)&gt;=7,YEAR(F50),YEAR(F50)-1),7,1))*($AC$3:$AC$1500-$AB$3:$AB$1500))</f>
        <v>145658</v>
      </c>
      <c r="AF50" s="37">
        <v>0</v>
      </c>
      <c r="AG50" s="37">
        <f>ROUND((U50+V50)/M50*P50,0)</f>
        <v>0</v>
      </c>
      <c r="AH50" s="37">
        <v>0</v>
      </c>
      <c r="AI50" s="37">
        <f>AD50+AF50+AG50+AH50</f>
        <v>132</v>
      </c>
      <c r="AJ50" s="37">
        <f>AC50-AI50</f>
        <v>63068</v>
      </c>
      <c r="AK50" s="37">
        <f>AC50+2000</f>
        <v>65200</v>
      </c>
      <c r="AL50" s="21">
        <f>COUNTIFS($A$3:$A$1500,A50)</f>
        <v>25</v>
      </c>
      <c r="AM50" s="37">
        <f>SUMIFS($AC$3:$AC$1500,$A$3:$A$1500,A50)</f>
        <v>4245665</v>
      </c>
      <c r="AN50" s="37">
        <f>SUMIFS($AD$3:$AD$1500,$A$3:$A$1500,A50)</f>
        <v>560825</v>
      </c>
      <c r="AO50" s="37">
        <f>SUMIFS($AF$3:$AF$1500,$A$3:$A$1500,A50)</f>
        <v>30000</v>
      </c>
      <c r="AP50" s="37">
        <f>SUMIFS($AG$3:$AG$1500,$A$3:$A$1500,A50)+SUMIFS($AH$3:$AH$1500,$A$3:$A$1500,A50)</f>
        <v>1218</v>
      </c>
      <c r="AQ50" s="37">
        <f>SUMIFS($AJ$3:$AJ$1500,$A$3:$A$1500,A50)</f>
        <v>3653622</v>
      </c>
      <c r="AR50" s="37">
        <f>SUMIFS($AK$3:$AK$1500,$A$3:$A$1500,A50)</f>
        <v>4295665</v>
      </c>
      <c r="AS50" s="31">
        <f>IFERROR(AQ50/SUMIFS($AJ$3:$AJ$1500,$F$3:$F$1500,EDATE(F50,-1))-1,"N/A - first run")</f>
        <v>-0.21824497738902326</v>
      </c>
      <c r="AT50" s="21" t="s">
        <v>4904</v>
      </c>
      <c r="AU50" s="21" t="str">
        <f>IF(P50&gt;0,"Unpaid leave "&amp;P50&amp;" day(s)",IF(R50&gt;40,"Overtime above 40 hrs","None"))</f>
        <v>None</v>
      </c>
      <c r="AV50" s="29">
        <f>EOMONTH(H50,0)+15</f>
        <v>46218</v>
      </c>
      <c r="AW50" s="21" t="s">
        <v>4928</v>
      </c>
      <c r="AX50" s="21" t="s">
        <v>4906</v>
      </c>
      <c r="AY50" s="21" t="str">
        <f>IF(U50+V50+W50&gt;=40000,"Compliant","Below minimum wage")</f>
        <v>Compliant</v>
      </c>
    </row>
    <row r="51" spans="1:51" x14ac:dyDescent="0.3">
      <c r="A51" s="21" t="s">
        <v>4902</v>
      </c>
      <c r="B51" s="39">
        <v>46174</v>
      </c>
      <c r="C51" s="21" t="s">
        <v>4903</v>
      </c>
      <c r="D51" s="21" t="s">
        <v>4842</v>
      </c>
      <c r="E51" s="21" t="s">
        <v>743</v>
      </c>
      <c r="F51" s="29">
        <v>46198</v>
      </c>
      <c r="G51" s="21">
        <f>COUNTIFS($A$3:$A$1500,A51)</f>
        <v>25</v>
      </c>
      <c r="H51" s="29">
        <v>46203</v>
      </c>
      <c r="I51" s="21" t="s">
        <v>1797</v>
      </c>
      <c r="J51" s="21" t="s">
        <v>4357</v>
      </c>
      <c r="K51" s="21" t="s">
        <v>4898</v>
      </c>
      <c r="L51" s="21" t="s">
        <v>4892</v>
      </c>
      <c r="M51" s="21">
        <v>30</v>
      </c>
      <c r="N51" s="21">
        <v>24</v>
      </c>
      <c r="O51" s="21">
        <v>2</v>
      </c>
      <c r="P51" s="21">
        <v>0</v>
      </c>
      <c r="Q51" s="21" t="s">
        <v>848</v>
      </c>
      <c r="R51" s="21">
        <v>28</v>
      </c>
      <c r="S51" s="21">
        <v>0</v>
      </c>
      <c r="T51" s="21" t="s">
        <v>1776</v>
      </c>
      <c r="U51" s="37">
        <f>_xlfn.XLOOKUP(LEFT(K51,7),'T07'!$A$3:$A$1500,'T07'!$AS$3:$AS$1500)</f>
        <v>33000</v>
      </c>
      <c r="V51" s="37">
        <f>_xlfn.XLOOKUP(LEFT(K51,7),'T07'!$A$3:$A$1500,'T07'!$AT$3:$AT$1500)</f>
        <v>14850</v>
      </c>
      <c r="W51" s="37">
        <v>5000</v>
      </c>
      <c r="X51" s="37">
        <f>ROUND(U51/M51/8*2*R51,0)</f>
        <v>7700</v>
      </c>
      <c r="Y51" s="37">
        <f>ROUND(U51/M51*2*S51,0)</f>
        <v>0</v>
      </c>
      <c r="Z51" s="37">
        <v>0</v>
      </c>
      <c r="AA51" s="37">
        <v>0</v>
      </c>
      <c r="AB51" s="37">
        <v>0</v>
      </c>
      <c r="AC51" s="37">
        <f>U51+V51+W51+X51+Y51+Z51+AA51+AB51</f>
        <v>60550</v>
      </c>
      <c r="AD51" s="37">
        <f>_xlfn.LET(_xlpm.a,(AC51-AB51)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106</v>
      </c>
      <c r="AE51" s="37" cm="1">
        <f t="array" ref="AE51">SUMPRODUCT((LEFT($K$3:$K$1500,7)=LEFT(K51,7))*($F$3:$F$1500&lt;=F51)*($F$3:$F$1500&gt;=DATE(IF(MONTH(F51)&gt;=7,YEAR(F51),YEAR(F51)-1),7,1))*($AC$3:$AC$1500-$AB$3:$AB$1500))</f>
        <v>137884</v>
      </c>
      <c r="AF51" s="37">
        <v>0</v>
      </c>
      <c r="AG51" s="37">
        <f>ROUND((U51+V51)/M51*P51,0)</f>
        <v>0</v>
      </c>
      <c r="AH51" s="37">
        <v>0</v>
      </c>
      <c r="AI51" s="37">
        <f>AD51+AF51+AG51+AH51</f>
        <v>106</v>
      </c>
      <c r="AJ51" s="37">
        <f>AC51-AI51</f>
        <v>60444</v>
      </c>
      <c r="AK51" s="37">
        <f>AC51+2000</f>
        <v>62550</v>
      </c>
      <c r="AL51" s="21">
        <f>COUNTIFS($A$3:$A$1500,A51)</f>
        <v>25</v>
      </c>
      <c r="AM51" s="37">
        <f>SUMIFS($AC$3:$AC$1500,$A$3:$A$1500,A51)</f>
        <v>4245665</v>
      </c>
      <c r="AN51" s="37">
        <f>SUMIFS($AD$3:$AD$1500,$A$3:$A$1500,A51)</f>
        <v>560825</v>
      </c>
      <c r="AO51" s="37">
        <f>SUMIFS($AF$3:$AF$1500,$A$3:$A$1500,A51)</f>
        <v>30000</v>
      </c>
      <c r="AP51" s="37">
        <f>SUMIFS($AG$3:$AG$1500,$A$3:$A$1500,A51)+SUMIFS($AH$3:$AH$1500,$A$3:$A$1500,A51)</f>
        <v>1218</v>
      </c>
      <c r="AQ51" s="37">
        <f>SUMIFS($AJ$3:$AJ$1500,$A$3:$A$1500,A51)</f>
        <v>3653622</v>
      </c>
      <c r="AR51" s="37">
        <f>SUMIFS($AK$3:$AK$1500,$A$3:$A$1500,A51)</f>
        <v>4295665</v>
      </c>
      <c r="AS51" s="31">
        <f>IFERROR(AQ51/SUMIFS($AJ$3:$AJ$1500,$F$3:$F$1500,EDATE(F51,-1))-1,"N/A - first run")</f>
        <v>-0.21824497738902326</v>
      </c>
      <c r="AT51" s="21" t="s">
        <v>4904</v>
      </c>
      <c r="AU51" s="21" t="str">
        <f>IF(P51&gt;0,"Unpaid leave "&amp;P51&amp;" day(s)",IF(R51&gt;40,"Overtime above 40 hrs","None"))</f>
        <v>None</v>
      </c>
      <c r="AV51" s="29">
        <f>EOMONTH(H51,0)+15</f>
        <v>46218</v>
      </c>
      <c r="AW51" s="21" t="s">
        <v>4929</v>
      </c>
      <c r="AX51" s="21" t="s">
        <v>4906</v>
      </c>
      <c r="AY51" s="21" t="str">
        <f>IF(U51+V51+W51&gt;=40000,"Compliant","Below minimum wage")</f>
        <v>Compliant</v>
      </c>
    </row>
    <row r="52" spans="1:51" x14ac:dyDescent="0.3">
      <c r="A52" s="21" t="s">
        <v>4902</v>
      </c>
      <c r="B52" s="39">
        <v>46174</v>
      </c>
      <c r="C52" s="21" t="s">
        <v>4903</v>
      </c>
      <c r="D52" s="21" t="s">
        <v>4842</v>
      </c>
      <c r="E52" s="21" t="s">
        <v>743</v>
      </c>
      <c r="F52" s="29">
        <v>46198</v>
      </c>
      <c r="G52" s="21">
        <f>COUNTIFS($A$3:$A$1500,A52)</f>
        <v>25</v>
      </c>
      <c r="H52" s="29">
        <v>46203</v>
      </c>
      <c r="I52" s="21" t="s">
        <v>1797</v>
      </c>
      <c r="J52" s="21" t="s">
        <v>4357</v>
      </c>
      <c r="K52" s="21" t="s">
        <v>4900</v>
      </c>
      <c r="L52" s="21" t="s">
        <v>4885</v>
      </c>
      <c r="M52" s="21">
        <v>30</v>
      </c>
      <c r="N52" s="21">
        <v>25</v>
      </c>
      <c r="O52" s="21">
        <v>1</v>
      </c>
      <c r="P52" s="21">
        <v>0</v>
      </c>
      <c r="Q52" s="21" t="s">
        <v>848</v>
      </c>
      <c r="R52" s="21">
        <v>8</v>
      </c>
      <c r="S52" s="21">
        <v>0</v>
      </c>
      <c r="T52" s="21" t="s">
        <v>1790</v>
      </c>
      <c r="U52" s="37">
        <f>_xlfn.XLOOKUP(LEFT(K52,7),'T07'!$A$3:$A$1500,'T07'!$AS$3:$AS$1500)</f>
        <v>37200</v>
      </c>
      <c r="V52" s="37">
        <f>_xlfn.XLOOKUP(LEFT(K52,7),'T07'!$A$3:$A$1500,'T07'!$AT$3:$AT$1500)</f>
        <v>16740</v>
      </c>
      <c r="W52" s="37">
        <v>5000</v>
      </c>
      <c r="X52" s="37">
        <f>ROUND(U52/M52/8*2*R52,0)</f>
        <v>2480</v>
      </c>
      <c r="Y52" s="37">
        <f>ROUND(U52/M52*2*S52,0)</f>
        <v>0</v>
      </c>
      <c r="Z52" s="37">
        <v>0</v>
      </c>
      <c r="AA52" s="37">
        <v>0</v>
      </c>
      <c r="AB52" s="37">
        <v>0</v>
      </c>
      <c r="AC52" s="37">
        <f>U52+V52+W52+X52+Y52+Z52+AA52+AB52</f>
        <v>61420</v>
      </c>
      <c r="AD52" s="37">
        <f>_xlfn.LET(_xlpm.a,(AC52-AB52)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114</v>
      </c>
      <c r="AE52" s="37" cm="1">
        <f t="array" ref="AE52">SUMPRODUCT((LEFT($K$3:$K$1500,7)=LEFT(K52,7))*($F$3:$F$1500&lt;=F52)*($F$3:$F$1500&gt;=DATE(IF(MONTH(F52)&gt;=7,YEAR(F52),YEAR(F52)-1),7,1))*($AC$3:$AC$1500-$AB$3:$AB$1500))</f>
        <v>147660</v>
      </c>
      <c r="AF52" s="37">
        <v>0</v>
      </c>
      <c r="AG52" s="37">
        <f>ROUND((U52+V52)/M52*P52,0)</f>
        <v>0</v>
      </c>
      <c r="AH52" s="37">
        <v>0</v>
      </c>
      <c r="AI52" s="37">
        <f>AD52+AF52+AG52+AH52</f>
        <v>114</v>
      </c>
      <c r="AJ52" s="37">
        <f>AC52-AI52</f>
        <v>61306</v>
      </c>
      <c r="AK52" s="37">
        <f>AC52+2000</f>
        <v>63420</v>
      </c>
      <c r="AL52" s="21">
        <f>COUNTIFS($A$3:$A$1500,A52)</f>
        <v>25</v>
      </c>
      <c r="AM52" s="37">
        <f>SUMIFS($AC$3:$AC$1500,$A$3:$A$1500,A52)</f>
        <v>4245665</v>
      </c>
      <c r="AN52" s="37">
        <f>SUMIFS($AD$3:$AD$1500,$A$3:$A$1500,A52)</f>
        <v>560825</v>
      </c>
      <c r="AO52" s="37">
        <f>SUMIFS($AF$3:$AF$1500,$A$3:$A$1500,A52)</f>
        <v>30000</v>
      </c>
      <c r="AP52" s="37">
        <f>SUMIFS($AG$3:$AG$1500,$A$3:$A$1500,A52)+SUMIFS($AH$3:$AH$1500,$A$3:$A$1500,A52)</f>
        <v>1218</v>
      </c>
      <c r="AQ52" s="37">
        <f>SUMIFS($AJ$3:$AJ$1500,$A$3:$A$1500,A52)</f>
        <v>3653622</v>
      </c>
      <c r="AR52" s="37">
        <f>SUMIFS($AK$3:$AK$1500,$A$3:$A$1500,A52)</f>
        <v>4295665</v>
      </c>
      <c r="AS52" s="31">
        <f>IFERROR(AQ52/SUMIFS($AJ$3:$AJ$1500,$F$3:$F$1500,EDATE(F52,-1))-1,"N/A - first run")</f>
        <v>-0.21824497738902326</v>
      </c>
      <c r="AT52" s="21" t="s">
        <v>4904</v>
      </c>
      <c r="AU52" s="21" t="str">
        <f>IF(P52&gt;0,"Unpaid leave "&amp;P52&amp;" day(s)",IF(R52&gt;40,"Overtime above 40 hrs","None"))</f>
        <v>None</v>
      </c>
      <c r="AV52" s="29">
        <f>EOMONTH(H52,0)+15</f>
        <v>46218</v>
      </c>
      <c r="AW52" s="21" t="s">
        <v>4930</v>
      </c>
      <c r="AX52" s="21" t="s">
        <v>4906</v>
      </c>
      <c r="AY52" s="21" t="str">
        <f>IF(U52+V52+W52&gt;=40000,"Compliant","Below minimum wage")</f>
        <v>Compliant</v>
      </c>
    </row>
    <row r="53" spans="1:51" x14ac:dyDescent="0.3">
      <c r="A53" s="21" t="s">
        <v>4931</v>
      </c>
      <c r="B53" s="39">
        <v>46204</v>
      </c>
      <c r="C53" s="21" t="s">
        <v>4932</v>
      </c>
      <c r="D53" s="21" t="s">
        <v>4842</v>
      </c>
      <c r="E53" s="21" t="s">
        <v>743</v>
      </c>
      <c r="F53" s="29">
        <v>46228</v>
      </c>
      <c r="G53" s="21">
        <f>COUNTIFS($A$3:$A$1500,A53)</f>
        <v>25</v>
      </c>
      <c r="H53" s="29">
        <v>46234</v>
      </c>
      <c r="I53" s="21" t="s">
        <v>1797</v>
      </c>
      <c r="J53" s="21" t="s">
        <v>4357</v>
      </c>
      <c r="K53" s="21" t="s">
        <v>4843</v>
      </c>
      <c r="L53" s="21" t="s">
        <v>4844</v>
      </c>
      <c r="M53" s="21">
        <v>31</v>
      </c>
      <c r="N53" s="21">
        <v>24</v>
      </c>
      <c r="O53" s="21">
        <v>2</v>
      </c>
      <c r="P53" s="21">
        <v>0</v>
      </c>
      <c r="Q53" s="21" t="s">
        <v>848</v>
      </c>
      <c r="R53" s="21">
        <v>0</v>
      </c>
      <c r="S53" s="21">
        <v>0</v>
      </c>
      <c r="T53" s="21" t="s">
        <v>1410</v>
      </c>
      <c r="U53" s="37">
        <f>_xlfn.XLOOKUP(LEFT(K53,7),'T07'!$A$3:$A$1500,'T07'!$AS$3:$AS$1500)</f>
        <v>720000</v>
      </c>
      <c r="V53" s="37">
        <f>_xlfn.XLOOKUP(LEFT(K53,7),'T07'!$A$3:$A$1500,'T07'!$AT$3:$AT$1500)</f>
        <v>324000</v>
      </c>
      <c r="W53" s="37">
        <v>0</v>
      </c>
      <c r="X53" s="37">
        <f>ROUND(U53/M53/8*2*R53,0)</f>
        <v>0</v>
      </c>
      <c r="Y53" s="37">
        <f>ROUND(U53/M53*2*S53,0)</f>
        <v>0</v>
      </c>
      <c r="Z53" s="37">
        <v>0</v>
      </c>
      <c r="AA53" s="37">
        <v>0</v>
      </c>
      <c r="AB53" s="37">
        <v>40000</v>
      </c>
      <c r="AC53" s="37">
        <f>U53+V53+W53+X53+Y53+Z53+AA53+AB53</f>
        <v>1084000</v>
      </c>
      <c r="AD53" s="37">
        <f>_xlfn.LET(_xlpm.a,(AC53-AB53)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297150</v>
      </c>
      <c r="AE53" s="37" cm="1">
        <f t="array" ref="AE53">SUMPRODUCT((LEFT($K$3:$K$1500,7)=LEFT(K53,7))*($F$3:$F$1500&lt;=F53)*($F$3:$F$1500&gt;=DATE(IF(MONTH(F53)&gt;=7,YEAR(F53),YEAR(F53)-1),7,1))*($AC$3:$AC$1500-$AB$3:$AB$1500))</f>
        <v>1044000</v>
      </c>
      <c r="AF53" s="37">
        <v>0</v>
      </c>
      <c r="AG53" s="37">
        <f>ROUND((U53+V53)/M53*P53,0)</f>
        <v>0</v>
      </c>
      <c r="AH53" s="37">
        <v>0</v>
      </c>
      <c r="AI53" s="37">
        <f>AD53+AF53+AG53+AH53</f>
        <v>297150</v>
      </c>
      <c r="AJ53" s="37">
        <f>AC53-AI53</f>
        <v>786850</v>
      </c>
      <c r="AK53" s="37">
        <f>AC53+2000</f>
        <v>1086000</v>
      </c>
      <c r="AL53" s="21">
        <f>COUNTIFS($A$3:$A$1500,A53)</f>
        <v>25</v>
      </c>
      <c r="AM53" s="37">
        <f>SUMIFS($AC$3:$AC$1500,$A$3:$A$1500,A53)</f>
        <v>4224388</v>
      </c>
      <c r="AN53" s="37">
        <f>SUMIFS($AD$3:$AD$1500,$A$3:$A$1500,A53)</f>
        <v>559560</v>
      </c>
      <c r="AO53" s="37">
        <f>SUMIFS($AF$3:$AF$1500,$A$3:$A$1500,A53)</f>
        <v>30000</v>
      </c>
      <c r="AP53" s="37">
        <f>SUMIFS($AG$3:$AG$1500,$A$3:$A$1500,A53)+SUMIFS($AH$3:$AH$1500,$A$3:$A$1500,A53)</f>
        <v>16032</v>
      </c>
      <c r="AQ53" s="37">
        <f>SUMIFS($AJ$3:$AJ$1500,$A$3:$A$1500,A53)</f>
        <v>3618796</v>
      </c>
      <c r="AR53" s="37">
        <f>SUMIFS($AK$3:$AK$1500,$A$3:$A$1500,A53)</f>
        <v>4274388</v>
      </c>
      <c r="AS53" s="31">
        <f>IFERROR(AQ53/SUMIFS($AJ$3:$AJ$1500,$F$3:$F$1500,EDATE(F53,-1))-1,"N/A - first run")</f>
        <v>-9.5319110734498613E-3</v>
      </c>
      <c r="AT53" s="21" t="s">
        <v>4933</v>
      </c>
      <c r="AU53" s="21" t="str">
        <f>IF(P53&gt;0,"Unpaid leave "&amp;P53&amp;" day(s)",IF(R53&gt;40,"Overtime above 40 hrs","None"))</f>
        <v>None</v>
      </c>
      <c r="AV53" s="29">
        <f>EOMONTH(H53,0)+15</f>
        <v>46249</v>
      </c>
      <c r="AW53" s="21" t="s">
        <v>4934</v>
      </c>
      <c r="AX53" s="21" t="s">
        <v>4935</v>
      </c>
      <c r="AY53" s="21" t="str">
        <f>IF(U53+V53+W53&gt;=40000,"Compliant","Below minimum wage")</f>
        <v>Compliant</v>
      </c>
    </row>
    <row r="54" spans="1:51" x14ac:dyDescent="0.3">
      <c r="A54" s="21" t="s">
        <v>4931</v>
      </c>
      <c r="B54" s="39">
        <v>46204</v>
      </c>
      <c r="C54" s="21" t="s">
        <v>4932</v>
      </c>
      <c r="D54" s="21" t="s">
        <v>4842</v>
      </c>
      <c r="E54" s="21" t="s">
        <v>743</v>
      </c>
      <c r="F54" s="29">
        <v>46228</v>
      </c>
      <c r="G54" s="21">
        <f>COUNTIFS($A$3:$A$1500,A54)</f>
        <v>25</v>
      </c>
      <c r="H54" s="29">
        <v>46234</v>
      </c>
      <c r="I54" s="21" t="s">
        <v>1797</v>
      </c>
      <c r="J54" s="21" t="s">
        <v>4357</v>
      </c>
      <c r="K54" s="21" t="s">
        <v>4849</v>
      </c>
      <c r="L54" s="21" t="s">
        <v>4850</v>
      </c>
      <c r="M54" s="21">
        <v>31</v>
      </c>
      <c r="N54" s="21">
        <v>24</v>
      </c>
      <c r="O54" s="21">
        <v>2</v>
      </c>
      <c r="P54" s="21">
        <v>0</v>
      </c>
      <c r="Q54" s="21" t="s">
        <v>848</v>
      </c>
      <c r="R54" s="21">
        <v>0</v>
      </c>
      <c r="S54" s="21">
        <v>0</v>
      </c>
      <c r="T54" s="21" t="s">
        <v>1433</v>
      </c>
      <c r="U54" s="37">
        <f>_xlfn.XLOOKUP(LEFT(K54,7),'T07'!$A$3:$A$1500,'T07'!$AS$3:$AS$1500)</f>
        <v>390000</v>
      </c>
      <c r="V54" s="37">
        <f>_xlfn.XLOOKUP(LEFT(K54,7),'T07'!$A$3:$A$1500,'T07'!$AT$3:$AT$1500)</f>
        <v>175500</v>
      </c>
      <c r="W54" s="37">
        <v>0</v>
      </c>
      <c r="X54" s="37">
        <f>ROUND(U54/M54/8*2*R54,0)</f>
        <v>0</v>
      </c>
      <c r="Y54" s="37">
        <f>ROUND(U54/M54*2*S54,0)</f>
        <v>0</v>
      </c>
      <c r="Z54" s="37">
        <v>0</v>
      </c>
      <c r="AA54" s="37">
        <v>0</v>
      </c>
      <c r="AB54" s="37">
        <v>15000</v>
      </c>
      <c r="AC54" s="37">
        <f>U54+V54+W54+X54+Y54+Z54+AA54+AB54</f>
        <v>580500</v>
      </c>
      <c r="AD54" s="37">
        <f>_xlfn.LET(_xlpm.a,(AC54-AB54)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129675</v>
      </c>
      <c r="AE54" s="37" cm="1">
        <f t="array" ref="AE54">SUMPRODUCT((LEFT($K$3:$K$1500,7)=LEFT(K54,7))*($F$3:$F$1500&lt;=F54)*($F$3:$F$1500&gt;=DATE(IF(MONTH(F54)&gt;=7,YEAR(F54),YEAR(F54)-1),7,1))*($AC$3:$AC$1500-$AB$3:$AB$1500))</f>
        <v>565500</v>
      </c>
      <c r="AF54" s="37">
        <v>0</v>
      </c>
      <c r="AG54" s="37">
        <f>ROUND((U54+V54)/M54*P54,0)</f>
        <v>0</v>
      </c>
      <c r="AH54" s="37">
        <v>0</v>
      </c>
      <c r="AI54" s="37">
        <f>AD54+AF54+AG54+AH54</f>
        <v>129675</v>
      </c>
      <c r="AJ54" s="37">
        <f>AC54-AI54</f>
        <v>450825</v>
      </c>
      <c r="AK54" s="37">
        <f>AC54+2000</f>
        <v>582500</v>
      </c>
      <c r="AL54" s="21">
        <f>COUNTIFS($A$3:$A$1500,A54)</f>
        <v>25</v>
      </c>
      <c r="AM54" s="37">
        <f>SUMIFS($AC$3:$AC$1500,$A$3:$A$1500,A54)</f>
        <v>4224388</v>
      </c>
      <c r="AN54" s="37">
        <f>SUMIFS($AD$3:$AD$1500,$A$3:$A$1500,A54)</f>
        <v>559560</v>
      </c>
      <c r="AO54" s="37">
        <f>SUMIFS($AF$3:$AF$1500,$A$3:$A$1500,A54)</f>
        <v>30000</v>
      </c>
      <c r="AP54" s="37">
        <f>SUMIFS($AG$3:$AG$1500,$A$3:$A$1500,A54)+SUMIFS($AH$3:$AH$1500,$A$3:$A$1500,A54)</f>
        <v>16032</v>
      </c>
      <c r="AQ54" s="37">
        <f>SUMIFS($AJ$3:$AJ$1500,$A$3:$A$1500,A54)</f>
        <v>3618796</v>
      </c>
      <c r="AR54" s="37">
        <f>SUMIFS($AK$3:$AK$1500,$A$3:$A$1500,A54)</f>
        <v>4274388</v>
      </c>
      <c r="AS54" s="31">
        <f>IFERROR(AQ54/SUMIFS($AJ$3:$AJ$1500,$F$3:$F$1500,EDATE(F54,-1))-1,"N/A - first run")</f>
        <v>-9.5319110734498613E-3</v>
      </c>
      <c r="AT54" s="21" t="s">
        <v>4933</v>
      </c>
      <c r="AU54" s="21" t="str">
        <f>IF(P54&gt;0,"Unpaid leave "&amp;P54&amp;" day(s)",IF(R54&gt;40,"Overtime above 40 hrs","None"))</f>
        <v>None</v>
      </c>
      <c r="AV54" s="29">
        <f>EOMONTH(H54,0)+15</f>
        <v>46249</v>
      </c>
      <c r="AW54" s="21" t="s">
        <v>4936</v>
      </c>
      <c r="AX54" s="21" t="s">
        <v>4935</v>
      </c>
      <c r="AY54" s="21" t="str">
        <f>IF(U54+V54+W54&gt;=40000,"Compliant","Below minimum wage")</f>
        <v>Compliant</v>
      </c>
    </row>
    <row r="55" spans="1:51" x14ac:dyDescent="0.3">
      <c r="A55" s="21" t="s">
        <v>4931</v>
      </c>
      <c r="B55" s="39">
        <v>46204</v>
      </c>
      <c r="C55" s="21" t="s">
        <v>4932</v>
      </c>
      <c r="D55" s="21" t="s">
        <v>4842</v>
      </c>
      <c r="E55" s="21" t="s">
        <v>743</v>
      </c>
      <c r="F55" s="29">
        <v>46228</v>
      </c>
      <c r="G55" s="21">
        <f>COUNTIFS($A$3:$A$1500,A55)</f>
        <v>25</v>
      </c>
      <c r="H55" s="29">
        <v>46234</v>
      </c>
      <c r="I55" s="21" t="s">
        <v>1797</v>
      </c>
      <c r="J55" s="21" t="s">
        <v>4357</v>
      </c>
      <c r="K55" s="21" t="s">
        <v>4852</v>
      </c>
      <c r="L55" s="21" t="s">
        <v>4850</v>
      </c>
      <c r="M55" s="21">
        <v>31</v>
      </c>
      <c r="N55" s="21">
        <v>26</v>
      </c>
      <c r="O55" s="21">
        <v>0</v>
      </c>
      <c r="P55" s="21">
        <v>0</v>
      </c>
      <c r="Q55" s="21" t="s">
        <v>4845</v>
      </c>
      <c r="R55" s="21">
        <v>0</v>
      </c>
      <c r="S55" s="21">
        <v>0</v>
      </c>
      <c r="T55" s="21" t="s">
        <v>1456</v>
      </c>
      <c r="U55" s="37">
        <f>_xlfn.XLOOKUP(LEFT(K55,7),'T07'!$A$3:$A$1500,'T07'!$AS$3:$AS$1500)</f>
        <v>270000</v>
      </c>
      <c r="V55" s="37">
        <f>_xlfn.XLOOKUP(LEFT(K55,7),'T07'!$A$3:$A$1500,'T07'!$AT$3:$AT$1500)</f>
        <v>121500</v>
      </c>
      <c r="W55" s="37">
        <v>0</v>
      </c>
      <c r="X55" s="37">
        <f>ROUND(U55/M55/8*2*R55,0)</f>
        <v>0</v>
      </c>
      <c r="Y55" s="37">
        <f>ROUND(U55/M55*2*S55,0)</f>
        <v>0</v>
      </c>
      <c r="Z55" s="37">
        <v>0</v>
      </c>
      <c r="AA55" s="37">
        <v>0</v>
      </c>
      <c r="AB55" s="37">
        <v>3000</v>
      </c>
      <c r="AC55" s="37">
        <f>U55+V55+W55+X55+Y55+Z55+AA55+AB55</f>
        <v>394500</v>
      </c>
      <c r="AD55" s="37">
        <f>_xlfn.LET(_xlpm.a,(AC55-AB55)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68775</v>
      </c>
      <c r="AE55" s="37" cm="1">
        <f t="array" ref="AE55">SUMPRODUCT((LEFT($K$3:$K$1500,7)=LEFT(K55,7))*($F$3:$F$1500&lt;=F55)*($F$3:$F$1500&gt;=DATE(IF(MONTH(F55)&gt;=7,YEAR(F55),YEAR(F55)-1),7,1))*($AC$3:$AC$1500-$AB$3:$AB$1500))</f>
        <v>391500</v>
      </c>
      <c r="AF55" s="37">
        <v>0</v>
      </c>
      <c r="AG55" s="37">
        <f>ROUND((U55+V55)/M55*P55,0)</f>
        <v>0</v>
      </c>
      <c r="AH55" s="37">
        <v>0</v>
      </c>
      <c r="AI55" s="37">
        <f>AD55+AF55+AG55+AH55</f>
        <v>68775</v>
      </c>
      <c r="AJ55" s="37">
        <f>AC55-AI55</f>
        <v>325725</v>
      </c>
      <c r="AK55" s="37">
        <f>AC55+2000</f>
        <v>396500</v>
      </c>
      <c r="AL55" s="21">
        <f>COUNTIFS($A$3:$A$1500,A55)</f>
        <v>25</v>
      </c>
      <c r="AM55" s="37">
        <f>SUMIFS($AC$3:$AC$1500,$A$3:$A$1500,A55)</f>
        <v>4224388</v>
      </c>
      <c r="AN55" s="37">
        <f>SUMIFS($AD$3:$AD$1500,$A$3:$A$1500,A55)</f>
        <v>559560</v>
      </c>
      <c r="AO55" s="37">
        <f>SUMIFS($AF$3:$AF$1500,$A$3:$A$1500,A55)</f>
        <v>30000</v>
      </c>
      <c r="AP55" s="37">
        <f>SUMIFS($AG$3:$AG$1500,$A$3:$A$1500,A55)+SUMIFS($AH$3:$AH$1500,$A$3:$A$1500,A55)</f>
        <v>16032</v>
      </c>
      <c r="AQ55" s="37">
        <f>SUMIFS($AJ$3:$AJ$1500,$A$3:$A$1500,A55)</f>
        <v>3618796</v>
      </c>
      <c r="AR55" s="37">
        <f>SUMIFS($AK$3:$AK$1500,$A$3:$A$1500,A55)</f>
        <v>4274388</v>
      </c>
      <c r="AS55" s="31">
        <f>IFERROR(AQ55/SUMIFS($AJ$3:$AJ$1500,$F$3:$F$1500,EDATE(F55,-1))-1,"N/A - first run")</f>
        <v>-9.5319110734498613E-3</v>
      </c>
      <c r="AT55" s="21" t="s">
        <v>4933</v>
      </c>
      <c r="AU55" s="21" t="str">
        <f>IF(P55&gt;0,"Unpaid leave "&amp;P55&amp;" day(s)",IF(R55&gt;40,"Overtime above 40 hrs","None"))</f>
        <v>None</v>
      </c>
      <c r="AV55" s="29">
        <f>EOMONTH(H55,0)+15</f>
        <v>46249</v>
      </c>
      <c r="AW55" s="21" t="s">
        <v>4937</v>
      </c>
      <c r="AX55" s="21" t="s">
        <v>4935</v>
      </c>
      <c r="AY55" s="21" t="str">
        <f>IF(U55+V55+W55&gt;=40000,"Compliant","Below minimum wage")</f>
        <v>Compliant</v>
      </c>
    </row>
    <row r="56" spans="1:51" x14ac:dyDescent="0.3">
      <c r="A56" s="21" t="s">
        <v>4931</v>
      </c>
      <c r="B56" s="39">
        <v>46204</v>
      </c>
      <c r="C56" s="21" t="s">
        <v>4932</v>
      </c>
      <c r="D56" s="21" t="s">
        <v>4842</v>
      </c>
      <c r="E56" s="21" t="s">
        <v>743</v>
      </c>
      <c r="F56" s="29">
        <v>46228</v>
      </c>
      <c r="G56" s="21">
        <f>COUNTIFS($A$3:$A$1500,A56)</f>
        <v>25</v>
      </c>
      <c r="H56" s="29">
        <v>46234</v>
      </c>
      <c r="I56" s="21" t="s">
        <v>1797</v>
      </c>
      <c r="J56" s="21" t="s">
        <v>4357</v>
      </c>
      <c r="K56" s="21" t="s">
        <v>4854</v>
      </c>
      <c r="L56" s="21" t="s">
        <v>4850</v>
      </c>
      <c r="M56" s="21">
        <v>31</v>
      </c>
      <c r="N56" s="21">
        <v>26</v>
      </c>
      <c r="O56" s="21">
        <v>0</v>
      </c>
      <c r="P56" s="21">
        <v>0</v>
      </c>
      <c r="Q56" s="21" t="s">
        <v>848</v>
      </c>
      <c r="R56" s="21">
        <v>0</v>
      </c>
      <c r="S56" s="21">
        <v>0</v>
      </c>
      <c r="T56" s="21" t="s">
        <v>1473</v>
      </c>
      <c r="U56" s="37">
        <f>_xlfn.XLOOKUP(LEFT(K56,7),'T07'!$A$3:$A$1500,'T07'!$AS$3:$AS$1500)</f>
        <v>108000</v>
      </c>
      <c r="V56" s="37">
        <f>_xlfn.XLOOKUP(LEFT(K56,7),'T07'!$A$3:$A$1500,'T07'!$AT$3:$AT$1500)</f>
        <v>48600</v>
      </c>
      <c r="W56" s="37">
        <v>0</v>
      </c>
      <c r="X56" s="37">
        <f>ROUND(U56/M56/8*2*R56,0)</f>
        <v>0</v>
      </c>
      <c r="Y56" s="37">
        <f>ROUND(U56/M56*2*S56,0)</f>
        <v>0</v>
      </c>
      <c r="Z56" s="37">
        <v>0</v>
      </c>
      <c r="AA56" s="37">
        <v>0</v>
      </c>
      <c r="AB56" s="37">
        <v>3000</v>
      </c>
      <c r="AC56" s="37">
        <f>U56+V56+W56+X56+Y56+Z56+AA56+AB56</f>
        <v>159600</v>
      </c>
      <c r="AD56" s="37">
        <f>_xlfn.LET(_xlpm.a,(AC56-AB56)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6726</v>
      </c>
      <c r="AE56" s="37" cm="1">
        <f t="array" ref="AE56">SUMPRODUCT((LEFT($K$3:$K$1500,7)=LEFT(K56,7))*($F$3:$F$1500&lt;=F56)*($F$3:$F$1500&gt;=DATE(IF(MONTH(F56)&gt;=7,YEAR(F56),YEAR(F56)-1),7,1))*($AC$3:$AC$1500-$AB$3:$AB$1500))</f>
        <v>156600</v>
      </c>
      <c r="AF56" s="37">
        <v>0</v>
      </c>
      <c r="AG56" s="37">
        <f>ROUND((U56+V56)/M56*P56,0)</f>
        <v>0</v>
      </c>
      <c r="AH56" s="37">
        <v>0</v>
      </c>
      <c r="AI56" s="37">
        <f>AD56+AF56+AG56+AH56</f>
        <v>6726</v>
      </c>
      <c r="AJ56" s="37">
        <f>AC56-AI56</f>
        <v>152874</v>
      </c>
      <c r="AK56" s="37">
        <f>AC56+2000</f>
        <v>161600</v>
      </c>
      <c r="AL56" s="21">
        <f>COUNTIFS($A$3:$A$1500,A56)</f>
        <v>25</v>
      </c>
      <c r="AM56" s="37">
        <f>SUMIFS($AC$3:$AC$1500,$A$3:$A$1500,A56)</f>
        <v>4224388</v>
      </c>
      <c r="AN56" s="37">
        <f>SUMIFS($AD$3:$AD$1500,$A$3:$A$1500,A56)</f>
        <v>559560</v>
      </c>
      <c r="AO56" s="37">
        <f>SUMIFS($AF$3:$AF$1500,$A$3:$A$1500,A56)</f>
        <v>30000</v>
      </c>
      <c r="AP56" s="37">
        <f>SUMIFS($AG$3:$AG$1500,$A$3:$A$1500,A56)+SUMIFS($AH$3:$AH$1500,$A$3:$A$1500,A56)</f>
        <v>16032</v>
      </c>
      <c r="AQ56" s="37">
        <f>SUMIFS($AJ$3:$AJ$1500,$A$3:$A$1500,A56)</f>
        <v>3618796</v>
      </c>
      <c r="AR56" s="37">
        <f>SUMIFS($AK$3:$AK$1500,$A$3:$A$1500,A56)</f>
        <v>4274388</v>
      </c>
      <c r="AS56" s="31">
        <f>IFERROR(AQ56/SUMIFS($AJ$3:$AJ$1500,$F$3:$F$1500,EDATE(F56,-1))-1,"N/A - first run")</f>
        <v>-9.5319110734498613E-3</v>
      </c>
      <c r="AT56" s="21" t="s">
        <v>4933</v>
      </c>
      <c r="AU56" s="21" t="str">
        <f>IF(P56&gt;0,"Unpaid leave "&amp;P56&amp;" day(s)",IF(R56&gt;40,"Overtime above 40 hrs","None"))</f>
        <v>None</v>
      </c>
      <c r="AV56" s="29">
        <f>EOMONTH(H56,0)+15</f>
        <v>46249</v>
      </c>
      <c r="AW56" s="21" t="s">
        <v>4938</v>
      </c>
      <c r="AX56" s="21" t="s">
        <v>4935</v>
      </c>
      <c r="AY56" s="21" t="str">
        <f>IF(U56+V56+W56&gt;=40000,"Compliant","Below minimum wage")</f>
        <v>Compliant</v>
      </c>
    </row>
    <row r="57" spans="1:51" x14ac:dyDescent="0.3">
      <c r="A57" s="21" t="s">
        <v>4931</v>
      </c>
      <c r="B57" s="39">
        <v>46204</v>
      </c>
      <c r="C57" s="21" t="s">
        <v>4932</v>
      </c>
      <c r="D57" s="21" t="s">
        <v>4842</v>
      </c>
      <c r="E57" s="21" t="s">
        <v>743</v>
      </c>
      <c r="F57" s="29">
        <v>46228</v>
      </c>
      <c r="G57" s="21">
        <f>COUNTIFS($A$3:$A$1500,A57)</f>
        <v>25</v>
      </c>
      <c r="H57" s="29">
        <v>46234</v>
      </c>
      <c r="I57" s="21" t="s">
        <v>1797</v>
      </c>
      <c r="J57" s="21" t="s">
        <v>4357</v>
      </c>
      <c r="K57" s="21" t="s">
        <v>4856</v>
      </c>
      <c r="L57" s="21" t="s">
        <v>4850</v>
      </c>
      <c r="M57" s="21">
        <v>31</v>
      </c>
      <c r="N57" s="21">
        <v>24</v>
      </c>
      <c r="O57" s="21">
        <v>2</v>
      </c>
      <c r="P57" s="21">
        <v>0</v>
      </c>
      <c r="Q57" s="21" t="s">
        <v>848</v>
      </c>
      <c r="R57" s="21">
        <v>0</v>
      </c>
      <c r="S57" s="21">
        <v>0</v>
      </c>
      <c r="T57" s="21" t="s">
        <v>1492</v>
      </c>
      <c r="U57" s="37">
        <f>_xlfn.XLOOKUP(LEFT(K57,7),'T07'!$A$3:$A$1500,'T07'!$AS$3:$AS$1500)</f>
        <v>72000</v>
      </c>
      <c r="V57" s="37">
        <f>_xlfn.XLOOKUP(LEFT(K57,7),'T07'!$A$3:$A$1500,'T07'!$AT$3:$AT$1500)</f>
        <v>32400</v>
      </c>
      <c r="W57" s="37">
        <v>0</v>
      </c>
      <c r="X57" s="37">
        <f>ROUND(U57/M57/8*2*R57,0)</f>
        <v>0</v>
      </c>
      <c r="Y57" s="37">
        <f>ROUND(U57/M57*2*S57,0)</f>
        <v>0</v>
      </c>
      <c r="Z57" s="37">
        <v>0</v>
      </c>
      <c r="AA57" s="37">
        <v>0</v>
      </c>
      <c r="AB57" s="37">
        <v>3000</v>
      </c>
      <c r="AC57" s="37">
        <f>U57+V57+W57+X57+Y57+Z57+AA57+AB57</f>
        <v>107400</v>
      </c>
      <c r="AD57" s="37">
        <f>_xlfn.LET(_xlpm.a,(AC57-AB57)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984</v>
      </c>
      <c r="AE57" s="37" cm="1">
        <f t="array" ref="AE57">SUMPRODUCT((LEFT($K$3:$K$1500,7)=LEFT(K57,7))*($F$3:$F$1500&lt;=F57)*($F$3:$F$1500&gt;=DATE(IF(MONTH(F57)&gt;=7,YEAR(F57),YEAR(F57)-1),7,1))*($AC$3:$AC$1500-$AB$3:$AB$1500))</f>
        <v>104400</v>
      </c>
      <c r="AF57" s="37">
        <v>0</v>
      </c>
      <c r="AG57" s="37">
        <f>ROUND((U57+V57)/M57*P57,0)</f>
        <v>0</v>
      </c>
      <c r="AH57" s="37">
        <v>0</v>
      </c>
      <c r="AI57" s="37">
        <f>AD57+AF57+AG57+AH57</f>
        <v>984</v>
      </c>
      <c r="AJ57" s="37">
        <f>AC57-AI57</f>
        <v>106416</v>
      </c>
      <c r="AK57" s="37">
        <f>AC57+2000</f>
        <v>109400</v>
      </c>
      <c r="AL57" s="21">
        <f>COUNTIFS($A$3:$A$1500,A57)</f>
        <v>25</v>
      </c>
      <c r="AM57" s="37">
        <f>SUMIFS($AC$3:$AC$1500,$A$3:$A$1500,A57)</f>
        <v>4224388</v>
      </c>
      <c r="AN57" s="37">
        <f>SUMIFS($AD$3:$AD$1500,$A$3:$A$1500,A57)</f>
        <v>559560</v>
      </c>
      <c r="AO57" s="37">
        <f>SUMIFS($AF$3:$AF$1500,$A$3:$A$1500,A57)</f>
        <v>30000</v>
      </c>
      <c r="AP57" s="37">
        <f>SUMIFS($AG$3:$AG$1500,$A$3:$A$1500,A57)+SUMIFS($AH$3:$AH$1500,$A$3:$A$1500,A57)</f>
        <v>16032</v>
      </c>
      <c r="AQ57" s="37">
        <f>SUMIFS($AJ$3:$AJ$1500,$A$3:$A$1500,A57)</f>
        <v>3618796</v>
      </c>
      <c r="AR57" s="37">
        <f>SUMIFS($AK$3:$AK$1500,$A$3:$A$1500,A57)</f>
        <v>4274388</v>
      </c>
      <c r="AS57" s="31">
        <f>IFERROR(AQ57/SUMIFS($AJ$3:$AJ$1500,$F$3:$F$1500,EDATE(F57,-1))-1,"N/A - first run")</f>
        <v>-9.5319110734498613E-3</v>
      </c>
      <c r="AT57" s="21" t="s">
        <v>4933</v>
      </c>
      <c r="AU57" s="21" t="str">
        <f>IF(P57&gt;0,"Unpaid leave "&amp;P57&amp;" day(s)",IF(R57&gt;40,"Overtime above 40 hrs","None"))</f>
        <v>None</v>
      </c>
      <c r="AV57" s="29">
        <f>EOMONTH(H57,0)+15</f>
        <v>46249</v>
      </c>
      <c r="AW57" s="21" t="s">
        <v>4939</v>
      </c>
      <c r="AX57" s="21" t="s">
        <v>4935</v>
      </c>
      <c r="AY57" s="21" t="str">
        <f>IF(U57+V57+W57&gt;=40000,"Compliant","Below minimum wage")</f>
        <v>Compliant</v>
      </c>
    </row>
    <row r="58" spans="1:51" x14ac:dyDescent="0.3">
      <c r="A58" s="21" t="s">
        <v>4931</v>
      </c>
      <c r="B58" s="39">
        <v>46204</v>
      </c>
      <c r="C58" s="21" t="s">
        <v>4932</v>
      </c>
      <c r="D58" s="21" t="s">
        <v>4842</v>
      </c>
      <c r="E58" s="21" t="s">
        <v>743</v>
      </c>
      <c r="F58" s="29">
        <v>46228</v>
      </c>
      <c r="G58" s="21">
        <f>COUNTIFS($A$3:$A$1500,A58)</f>
        <v>25</v>
      </c>
      <c r="H58" s="29">
        <v>46234</v>
      </c>
      <c r="I58" s="21" t="s">
        <v>1797</v>
      </c>
      <c r="J58" s="21" t="s">
        <v>4357</v>
      </c>
      <c r="K58" s="21" t="s">
        <v>4858</v>
      </c>
      <c r="L58" s="21" t="s">
        <v>4850</v>
      </c>
      <c r="M58" s="21">
        <v>31</v>
      </c>
      <c r="N58" s="21">
        <v>26</v>
      </c>
      <c r="O58" s="21">
        <v>0</v>
      </c>
      <c r="P58" s="21">
        <v>0</v>
      </c>
      <c r="Q58" s="21" t="s">
        <v>848</v>
      </c>
      <c r="R58" s="21">
        <v>0</v>
      </c>
      <c r="S58" s="21">
        <v>0</v>
      </c>
      <c r="T58" s="21" t="s">
        <v>1510</v>
      </c>
      <c r="U58" s="37">
        <f>_xlfn.XLOOKUP(LEFT(K58,7),'T07'!$A$3:$A$1500,'T07'!$AS$3:$AS$1500)</f>
        <v>51000</v>
      </c>
      <c r="V58" s="37">
        <f>_xlfn.XLOOKUP(LEFT(K58,7),'T07'!$A$3:$A$1500,'T07'!$AT$3:$AT$1500)</f>
        <v>22950</v>
      </c>
      <c r="W58" s="37">
        <v>0</v>
      </c>
      <c r="X58" s="37">
        <f>ROUND(U58/M58/8*2*R58,0)</f>
        <v>0</v>
      </c>
      <c r="Y58" s="37">
        <f>ROUND(U58/M58*2*S58,0)</f>
        <v>0</v>
      </c>
      <c r="Z58" s="37">
        <v>0</v>
      </c>
      <c r="AA58" s="37">
        <v>0</v>
      </c>
      <c r="AB58" s="37">
        <v>3000</v>
      </c>
      <c r="AC58" s="37">
        <f>U58+V58+W58+X58+Y58+Z58+AA58+AB58</f>
        <v>76950</v>
      </c>
      <c r="AD58" s="37">
        <f>_xlfn.LET(_xlpm.a,(AC58-AB58)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240</v>
      </c>
      <c r="AE58" s="37" cm="1">
        <f t="array" ref="AE58">SUMPRODUCT((LEFT($K$3:$K$1500,7)=LEFT(K58,7))*($F$3:$F$1500&lt;=F58)*($F$3:$F$1500&gt;=DATE(IF(MONTH(F58)&gt;=7,YEAR(F58),YEAR(F58)-1),7,1))*($AC$3:$AC$1500-$AB$3:$AB$1500))</f>
        <v>73950</v>
      </c>
      <c r="AF58" s="37">
        <v>0</v>
      </c>
      <c r="AG58" s="37">
        <f>ROUND((U58+V58)/M58*P58,0)</f>
        <v>0</v>
      </c>
      <c r="AH58" s="37">
        <v>0</v>
      </c>
      <c r="AI58" s="37">
        <f>AD58+AF58+AG58+AH58</f>
        <v>240</v>
      </c>
      <c r="AJ58" s="37">
        <f>AC58-AI58</f>
        <v>76710</v>
      </c>
      <c r="AK58" s="37">
        <f>AC58+2000</f>
        <v>78950</v>
      </c>
      <c r="AL58" s="21">
        <f>COUNTIFS($A$3:$A$1500,A58)</f>
        <v>25</v>
      </c>
      <c r="AM58" s="37">
        <f>SUMIFS($AC$3:$AC$1500,$A$3:$A$1500,A58)</f>
        <v>4224388</v>
      </c>
      <c r="AN58" s="37">
        <f>SUMIFS($AD$3:$AD$1500,$A$3:$A$1500,A58)</f>
        <v>559560</v>
      </c>
      <c r="AO58" s="37">
        <f>SUMIFS($AF$3:$AF$1500,$A$3:$A$1500,A58)</f>
        <v>30000</v>
      </c>
      <c r="AP58" s="37">
        <f>SUMIFS($AG$3:$AG$1500,$A$3:$A$1500,A58)+SUMIFS($AH$3:$AH$1500,$A$3:$A$1500,A58)</f>
        <v>16032</v>
      </c>
      <c r="AQ58" s="37">
        <f>SUMIFS($AJ$3:$AJ$1500,$A$3:$A$1500,A58)</f>
        <v>3618796</v>
      </c>
      <c r="AR58" s="37">
        <f>SUMIFS($AK$3:$AK$1500,$A$3:$A$1500,A58)</f>
        <v>4274388</v>
      </c>
      <c r="AS58" s="31">
        <f>IFERROR(AQ58/SUMIFS($AJ$3:$AJ$1500,$F$3:$F$1500,EDATE(F58,-1))-1,"N/A - first run")</f>
        <v>-9.5319110734498613E-3</v>
      </c>
      <c r="AT58" s="21" t="s">
        <v>4933</v>
      </c>
      <c r="AU58" s="21" t="str">
        <f>IF(P58&gt;0,"Unpaid leave "&amp;P58&amp;" day(s)",IF(R58&gt;40,"Overtime above 40 hrs","None"))</f>
        <v>None</v>
      </c>
      <c r="AV58" s="29">
        <f>EOMONTH(H58,0)+15</f>
        <v>46249</v>
      </c>
      <c r="AW58" s="21" t="s">
        <v>4940</v>
      </c>
      <c r="AX58" s="21" t="s">
        <v>4935</v>
      </c>
      <c r="AY58" s="21" t="str">
        <f>IF(U58+V58+W58&gt;=40000,"Compliant","Below minimum wage")</f>
        <v>Compliant</v>
      </c>
    </row>
    <row r="59" spans="1:51" x14ac:dyDescent="0.3">
      <c r="A59" s="21" t="s">
        <v>4931</v>
      </c>
      <c r="B59" s="39">
        <v>46204</v>
      </c>
      <c r="C59" s="21" t="s">
        <v>4932</v>
      </c>
      <c r="D59" s="21" t="s">
        <v>4842</v>
      </c>
      <c r="E59" s="21" t="s">
        <v>743</v>
      </c>
      <c r="F59" s="29">
        <v>46228</v>
      </c>
      <c r="G59" s="21">
        <f>COUNTIFS($A$3:$A$1500,A59)</f>
        <v>25</v>
      </c>
      <c r="H59" s="29">
        <v>46234</v>
      </c>
      <c r="I59" s="21" t="s">
        <v>1797</v>
      </c>
      <c r="J59" s="21" t="s">
        <v>4357</v>
      </c>
      <c r="K59" s="21" t="s">
        <v>4860</v>
      </c>
      <c r="L59" s="21" t="s">
        <v>4850</v>
      </c>
      <c r="M59" s="21">
        <v>31</v>
      </c>
      <c r="N59" s="21">
        <v>25</v>
      </c>
      <c r="O59" s="21">
        <v>1</v>
      </c>
      <c r="P59" s="21">
        <v>0</v>
      </c>
      <c r="Q59" s="21" t="s">
        <v>848</v>
      </c>
      <c r="R59" s="21">
        <v>0</v>
      </c>
      <c r="S59" s="21">
        <v>0</v>
      </c>
      <c r="T59" s="21" t="s">
        <v>1523</v>
      </c>
      <c r="U59" s="37">
        <f>_xlfn.XLOOKUP(LEFT(K59,7),'T07'!$A$3:$A$1500,'T07'!$AS$3:$AS$1500)</f>
        <v>180000</v>
      </c>
      <c r="V59" s="37">
        <f>_xlfn.XLOOKUP(LEFT(K59,7),'T07'!$A$3:$A$1500,'T07'!$AT$3:$AT$1500)</f>
        <v>81000</v>
      </c>
      <c r="W59" s="37">
        <v>0</v>
      </c>
      <c r="X59" s="37">
        <f>ROUND(U59/M59/8*2*R59,0)</f>
        <v>0</v>
      </c>
      <c r="Y59" s="37">
        <f>ROUND(U59/M59*2*S59,0)</f>
        <v>0</v>
      </c>
      <c r="Z59" s="37">
        <v>0</v>
      </c>
      <c r="AA59" s="37">
        <v>0</v>
      </c>
      <c r="AB59" s="37">
        <v>15000</v>
      </c>
      <c r="AC59" s="37">
        <f>U59+V59+W59+X59+Y59+Z59+AA59+AB59</f>
        <v>276000</v>
      </c>
      <c r="AD59" s="37">
        <f>_xlfn.LET(_xlpm.a,(AC59-AB59)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27530</v>
      </c>
      <c r="AE59" s="37" cm="1">
        <f t="array" ref="AE59">SUMPRODUCT((LEFT($K$3:$K$1500,7)=LEFT(K59,7))*($F$3:$F$1500&lt;=F59)*($F$3:$F$1500&gt;=DATE(IF(MONTH(F59)&gt;=7,YEAR(F59),YEAR(F59)-1),7,1))*($AC$3:$AC$1500-$AB$3:$AB$1500))</f>
        <v>261000</v>
      </c>
      <c r="AF59" s="37">
        <v>0</v>
      </c>
      <c r="AG59" s="37">
        <f>ROUND((U59+V59)/M59*P59,0)</f>
        <v>0</v>
      </c>
      <c r="AH59" s="37">
        <v>0</v>
      </c>
      <c r="AI59" s="37">
        <f>AD59+AF59+AG59+AH59</f>
        <v>27530</v>
      </c>
      <c r="AJ59" s="37">
        <f>AC59-AI59</f>
        <v>248470</v>
      </c>
      <c r="AK59" s="37">
        <f>AC59+2000</f>
        <v>278000</v>
      </c>
      <c r="AL59" s="21">
        <f>COUNTIFS($A$3:$A$1500,A59)</f>
        <v>25</v>
      </c>
      <c r="AM59" s="37">
        <f>SUMIFS($AC$3:$AC$1500,$A$3:$A$1500,A59)</f>
        <v>4224388</v>
      </c>
      <c r="AN59" s="37">
        <f>SUMIFS($AD$3:$AD$1500,$A$3:$A$1500,A59)</f>
        <v>559560</v>
      </c>
      <c r="AO59" s="37">
        <f>SUMIFS($AF$3:$AF$1500,$A$3:$A$1500,A59)</f>
        <v>30000</v>
      </c>
      <c r="AP59" s="37">
        <f>SUMIFS($AG$3:$AG$1500,$A$3:$A$1500,A59)+SUMIFS($AH$3:$AH$1500,$A$3:$A$1500,A59)</f>
        <v>16032</v>
      </c>
      <c r="AQ59" s="37">
        <f>SUMIFS($AJ$3:$AJ$1500,$A$3:$A$1500,A59)</f>
        <v>3618796</v>
      </c>
      <c r="AR59" s="37">
        <f>SUMIFS($AK$3:$AK$1500,$A$3:$A$1500,A59)</f>
        <v>4274388</v>
      </c>
      <c r="AS59" s="31">
        <f>IFERROR(AQ59/SUMIFS($AJ$3:$AJ$1500,$F$3:$F$1500,EDATE(F59,-1))-1,"N/A - first run")</f>
        <v>-9.5319110734498613E-3</v>
      </c>
      <c r="AT59" s="21" t="s">
        <v>4933</v>
      </c>
      <c r="AU59" s="21" t="str">
        <f>IF(P59&gt;0,"Unpaid leave "&amp;P59&amp;" day(s)",IF(R59&gt;40,"Overtime above 40 hrs","None"))</f>
        <v>None</v>
      </c>
      <c r="AV59" s="29">
        <f>EOMONTH(H59,0)+15</f>
        <v>46249</v>
      </c>
      <c r="AW59" s="21" t="s">
        <v>4941</v>
      </c>
      <c r="AX59" s="21" t="s">
        <v>4935</v>
      </c>
      <c r="AY59" s="21" t="str">
        <f>IF(U59+V59+W59&gt;=40000,"Compliant","Below minimum wage")</f>
        <v>Compliant</v>
      </c>
    </row>
    <row r="60" spans="1:51" x14ac:dyDescent="0.3">
      <c r="A60" s="21" t="s">
        <v>4931</v>
      </c>
      <c r="B60" s="39">
        <v>46204</v>
      </c>
      <c r="C60" s="21" t="s">
        <v>4932</v>
      </c>
      <c r="D60" s="21" t="s">
        <v>4842</v>
      </c>
      <c r="E60" s="21" t="s">
        <v>743</v>
      </c>
      <c r="F60" s="29">
        <v>46228</v>
      </c>
      <c r="G60" s="21">
        <f>COUNTIFS($A$3:$A$1500,A60)</f>
        <v>25</v>
      </c>
      <c r="H60" s="29">
        <v>46234</v>
      </c>
      <c r="I60" s="21" t="s">
        <v>1797</v>
      </c>
      <c r="J60" s="21" t="s">
        <v>4357</v>
      </c>
      <c r="K60" s="21" t="s">
        <v>4862</v>
      </c>
      <c r="L60" s="21" t="s">
        <v>4850</v>
      </c>
      <c r="M60" s="21">
        <v>31</v>
      </c>
      <c r="N60" s="21">
        <v>24</v>
      </c>
      <c r="O60" s="21">
        <v>2</v>
      </c>
      <c r="P60" s="21">
        <v>0</v>
      </c>
      <c r="Q60" s="21" t="s">
        <v>848</v>
      </c>
      <c r="R60" s="21">
        <v>0</v>
      </c>
      <c r="S60" s="21">
        <v>0</v>
      </c>
      <c r="T60" s="21" t="s">
        <v>1538</v>
      </c>
      <c r="U60" s="37">
        <f>_xlfn.XLOOKUP(LEFT(K60,7),'T07'!$A$3:$A$1500,'T07'!$AS$3:$AS$1500)</f>
        <v>66000</v>
      </c>
      <c r="V60" s="37">
        <f>_xlfn.XLOOKUP(LEFT(K60,7),'T07'!$A$3:$A$1500,'T07'!$AT$3:$AT$1500)</f>
        <v>29700</v>
      </c>
      <c r="W60" s="37">
        <v>0</v>
      </c>
      <c r="X60" s="37">
        <f>ROUND(U60/M60/8*2*R60,0)</f>
        <v>0</v>
      </c>
      <c r="Y60" s="37">
        <f>ROUND(U60/M60*2*S60,0)</f>
        <v>0</v>
      </c>
      <c r="Z60" s="37">
        <v>0</v>
      </c>
      <c r="AA60" s="37">
        <v>0</v>
      </c>
      <c r="AB60" s="37">
        <v>15000</v>
      </c>
      <c r="AC60" s="37">
        <f>U60+V60+W60+X60+Y60+Z60+AA60+AB60</f>
        <v>110700</v>
      </c>
      <c r="AD60" s="37">
        <f>_xlfn.LET(_xlpm.a,(AC60-AB60)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457</v>
      </c>
      <c r="AE60" s="37" cm="1">
        <f t="array" ref="AE60">SUMPRODUCT((LEFT($K$3:$K$1500,7)=LEFT(K60,7))*($F$3:$F$1500&lt;=F60)*($F$3:$F$1500&gt;=DATE(IF(MONTH(F60)&gt;=7,YEAR(F60),YEAR(F60)-1),7,1))*($AC$3:$AC$1500-$AB$3:$AB$1500))</f>
        <v>95700</v>
      </c>
      <c r="AF60" s="37">
        <v>0</v>
      </c>
      <c r="AG60" s="37">
        <f>ROUND((U60+V60)/M60*P60,0)</f>
        <v>0</v>
      </c>
      <c r="AH60" s="37">
        <v>0</v>
      </c>
      <c r="AI60" s="37">
        <f>AD60+AF60+AG60+AH60</f>
        <v>457</v>
      </c>
      <c r="AJ60" s="37">
        <f>AC60-AI60</f>
        <v>110243</v>
      </c>
      <c r="AK60" s="37">
        <f>AC60+2000</f>
        <v>112700</v>
      </c>
      <c r="AL60" s="21">
        <f>COUNTIFS($A$3:$A$1500,A60)</f>
        <v>25</v>
      </c>
      <c r="AM60" s="37">
        <f>SUMIFS($AC$3:$AC$1500,$A$3:$A$1500,A60)</f>
        <v>4224388</v>
      </c>
      <c r="AN60" s="37">
        <f>SUMIFS($AD$3:$AD$1500,$A$3:$A$1500,A60)</f>
        <v>559560</v>
      </c>
      <c r="AO60" s="37">
        <f>SUMIFS($AF$3:$AF$1500,$A$3:$A$1500,A60)</f>
        <v>30000</v>
      </c>
      <c r="AP60" s="37">
        <f>SUMIFS($AG$3:$AG$1500,$A$3:$A$1500,A60)+SUMIFS($AH$3:$AH$1500,$A$3:$A$1500,A60)</f>
        <v>16032</v>
      </c>
      <c r="AQ60" s="37">
        <f>SUMIFS($AJ$3:$AJ$1500,$A$3:$A$1500,A60)</f>
        <v>3618796</v>
      </c>
      <c r="AR60" s="37">
        <f>SUMIFS($AK$3:$AK$1500,$A$3:$A$1500,A60)</f>
        <v>4274388</v>
      </c>
      <c r="AS60" s="31">
        <f>IFERROR(AQ60/SUMIFS($AJ$3:$AJ$1500,$F$3:$F$1500,EDATE(F60,-1))-1,"N/A - first run")</f>
        <v>-9.5319110734498613E-3</v>
      </c>
      <c r="AT60" s="21" t="s">
        <v>4933</v>
      </c>
      <c r="AU60" s="21" t="str">
        <f>IF(P60&gt;0,"Unpaid leave "&amp;P60&amp;" day(s)",IF(R60&gt;40,"Overtime above 40 hrs","None"))</f>
        <v>None</v>
      </c>
      <c r="AV60" s="29">
        <f>EOMONTH(H60,0)+15</f>
        <v>46249</v>
      </c>
      <c r="AW60" s="21" t="s">
        <v>4942</v>
      </c>
      <c r="AX60" s="21" t="s">
        <v>4935</v>
      </c>
      <c r="AY60" s="21" t="str">
        <f>IF(U60+V60+W60&gt;=40000,"Compliant","Below minimum wage")</f>
        <v>Compliant</v>
      </c>
    </row>
    <row r="61" spans="1:51" x14ac:dyDescent="0.3">
      <c r="A61" s="21" t="s">
        <v>4931</v>
      </c>
      <c r="B61" s="39">
        <v>46204</v>
      </c>
      <c r="C61" s="21" t="s">
        <v>4932</v>
      </c>
      <c r="D61" s="21" t="s">
        <v>4842</v>
      </c>
      <c r="E61" s="21" t="s">
        <v>743</v>
      </c>
      <c r="F61" s="29">
        <v>46228</v>
      </c>
      <c r="G61" s="21">
        <f>COUNTIFS($A$3:$A$1500,A61)</f>
        <v>25</v>
      </c>
      <c r="H61" s="29">
        <v>46234</v>
      </c>
      <c r="I61" s="21" t="s">
        <v>1797</v>
      </c>
      <c r="J61" s="21" t="s">
        <v>4357</v>
      </c>
      <c r="K61" s="21" t="s">
        <v>4864</v>
      </c>
      <c r="L61" s="21" t="s">
        <v>4865</v>
      </c>
      <c r="M61" s="21">
        <v>31</v>
      </c>
      <c r="N61" s="21">
        <v>24</v>
      </c>
      <c r="O61" s="21">
        <v>2</v>
      </c>
      <c r="P61" s="21">
        <v>0</v>
      </c>
      <c r="Q61" s="21" t="s">
        <v>4845</v>
      </c>
      <c r="R61" s="21">
        <v>0</v>
      </c>
      <c r="S61" s="21">
        <v>0</v>
      </c>
      <c r="T61" s="21" t="s">
        <v>1555</v>
      </c>
      <c r="U61" s="37">
        <f>_xlfn.XLOOKUP(LEFT(K61,7),'T07'!$A$3:$A$1500,'T07'!$AS$3:$AS$1500)</f>
        <v>66000</v>
      </c>
      <c r="V61" s="37">
        <f>_xlfn.XLOOKUP(LEFT(K61,7),'T07'!$A$3:$A$1500,'T07'!$AT$3:$AT$1500)</f>
        <v>29700</v>
      </c>
      <c r="W61" s="37">
        <v>0</v>
      </c>
      <c r="X61" s="37">
        <f>ROUND(U61/M61/8*2*R61,0)</f>
        <v>0</v>
      </c>
      <c r="Y61" s="37">
        <f>ROUND(U61/M61*2*S61,0)</f>
        <v>0</v>
      </c>
      <c r="Z61" s="37">
        <v>0</v>
      </c>
      <c r="AA61" s="37">
        <v>0</v>
      </c>
      <c r="AB61" s="37">
        <v>15000</v>
      </c>
      <c r="AC61" s="37">
        <f>U61+V61+W61+X61+Y61+Z61+AA61+AB61</f>
        <v>110700</v>
      </c>
      <c r="AD61" s="37">
        <f>_xlfn.LET(_xlpm.a,(AC61-AB61)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457</v>
      </c>
      <c r="AE61" s="37" cm="1">
        <f t="array" ref="AE61">SUMPRODUCT((LEFT($K$3:$K$1500,7)=LEFT(K61,7))*($F$3:$F$1500&lt;=F61)*($F$3:$F$1500&gt;=DATE(IF(MONTH(F61)&gt;=7,YEAR(F61),YEAR(F61)-1),7,1))*($AC$3:$AC$1500-$AB$3:$AB$1500))</f>
        <v>95700</v>
      </c>
      <c r="AF61" s="37">
        <v>0</v>
      </c>
      <c r="AG61" s="37">
        <f>ROUND((U61+V61)/M61*P61,0)</f>
        <v>0</v>
      </c>
      <c r="AH61" s="37">
        <v>0</v>
      </c>
      <c r="AI61" s="37">
        <f>AD61+AF61+AG61+AH61</f>
        <v>457</v>
      </c>
      <c r="AJ61" s="37">
        <f>AC61-AI61</f>
        <v>110243</v>
      </c>
      <c r="AK61" s="37">
        <f>AC61+2000</f>
        <v>112700</v>
      </c>
      <c r="AL61" s="21">
        <f>COUNTIFS($A$3:$A$1500,A61)</f>
        <v>25</v>
      </c>
      <c r="AM61" s="37">
        <f>SUMIFS($AC$3:$AC$1500,$A$3:$A$1500,A61)</f>
        <v>4224388</v>
      </c>
      <c r="AN61" s="37">
        <f>SUMIFS($AD$3:$AD$1500,$A$3:$A$1500,A61)</f>
        <v>559560</v>
      </c>
      <c r="AO61" s="37">
        <f>SUMIFS($AF$3:$AF$1500,$A$3:$A$1500,A61)</f>
        <v>30000</v>
      </c>
      <c r="AP61" s="37">
        <f>SUMIFS($AG$3:$AG$1500,$A$3:$A$1500,A61)+SUMIFS($AH$3:$AH$1500,$A$3:$A$1500,A61)</f>
        <v>16032</v>
      </c>
      <c r="AQ61" s="37">
        <f>SUMIFS($AJ$3:$AJ$1500,$A$3:$A$1500,A61)</f>
        <v>3618796</v>
      </c>
      <c r="AR61" s="37">
        <f>SUMIFS($AK$3:$AK$1500,$A$3:$A$1500,A61)</f>
        <v>4274388</v>
      </c>
      <c r="AS61" s="31">
        <f>IFERROR(AQ61/SUMIFS($AJ$3:$AJ$1500,$F$3:$F$1500,EDATE(F61,-1))-1,"N/A - first run")</f>
        <v>-9.5319110734498613E-3</v>
      </c>
      <c r="AT61" s="21" t="s">
        <v>4933</v>
      </c>
      <c r="AU61" s="21" t="str">
        <f>IF(P61&gt;0,"Unpaid leave "&amp;P61&amp;" day(s)",IF(R61&gt;40,"Overtime above 40 hrs","None"))</f>
        <v>None</v>
      </c>
      <c r="AV61" s="29">
        <f>EOMONTH(H61,0)+15</f>
        <v>46249</v>
      </c>
      <c r="AW61" s="21" t="s">
        <v>4943</v>
      </c>
      <c r="AX61" s="21" t="s">
        <v>4935</v>
      </c>
      <c r="AY61" s="21" t="str">
        <f>IF(U61+V61+W61&gt;=40000,"Compliant","Below minimum wage")</f>
        <v>Compliant</v>
      </c>
    </row>
    <row r="62" spans="1:51" x14ac:dyDescent="0.3">
      <c r="A62" s="21" t="s">
        <v>4931</v>
      </c>
      <c r="B62" s="39">
        <v>46204</v>
      </c>
      <c r="C62" s="21" t="s">
        <v>4932</v>
      </c>
      <c r="D62" s="21" t="s">
        <v>4842</v>
      </c>
      <c r="E62" s="21" t="s">
        <v>743</v>
      </c>
      <c r="F62" s="29">
        <v>46228</v>
      </c>
      <c r="G62" s="21">
        <f>COUNTIFS($A$3:$A$1500,A62)</f>
        <v>25</v>
      </c>
      <c r="H62" s="29">
        <v>46234</v>
      </c>
      <c r="I62" s="21" t="s">
        <v>1797</v>
      </c>
      <c r="J62" s="21" t="s">
        <v>4357</v>
      </c>
      <c r="K62" s="21" t="s">
        <v>4867</v>
      </c>
      <c r="L62" s="21" t="s">
        <v>4850</v>
      </c>
      <c r="M62" s="21">
        <v>31</v>
      </c>
      <c r="N62" s="21">
        <v>24</v>
      </c>
      <c r="O62" s="21">
        <v>0</v>
      </c>
      <c r="P62" s="21">
        <v>2</v>
      </c>
      <c r="Q62" s="21" t="s">
        <v>848</v>
      </c>
      <c r="R62" s="21">
        <v>5</v>
      </c>
      <c r="S62" s="21">
        <v>0</v>
      </c>
      <c r="T62" s="21" t="s">
        <v>1569</v>
      </c>
      <c r="U62" s="37">
        <f>_xlfn.XLOOKUP(LEFT(K62,7),'T07'!$A$3:$A$1500,'T07'!$AS$3:$AS$1500)</f>
        <v>150000</v>
      </c>
      <c r="V62" s="37">
        <f>_xlfn.XLOOKUP(LEFT(K62,7),'T07'!$A$3:$A$1500,'T07'!$AT$3:$AT$1500)</f>
        <v>67500</v>
      </c>
      <c r="W62" s="37">
        <v>0</v>
      </c>
      <c r="X62" s="37">
        <f>ROUND(U62/M62/8*2*R62,0)</f>
        <v>6048</v>
      </c>
      <c r="Y62" s="37">
        <f>ROUND(U62/M62*2*S62,0)</f>
        <v>0</v>
      </c>
      <c r="Z62" s="37">
        <v>0</v>
      </c>
      <c r="AA62" s="37">
        <v>0</v>
      </c>
      <c r="AB62" s="37">
        <v>3000</v>
      </c>
      <c r="AC62" s="37">
        <f>U62+V62+W62+X62+Y62+Z62+AA62+AB62</f>
        <v>226548</v>
      </c>
      <c r="AD62" s="37">
        <f>_xlfn.LET(_xlpm.a,(AC62-AB62)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18916</v>
      </c>
      <c r="AE62" s="37" cm="1">
        <f t="array" ref="AE62">SUMPRODUCT((LEFT($K$3:$K$1500,7)=LEFT(K62,7))*($F$3:$F$1500&lt;=F62)*($F$3:$F$1500&gt;=DATE(IF(MONTH(F62)&gt;=7,YEAR(F62),YEAR(F62)-1),7,1))*($AC$3:$AC$1500-$AB$3:$AB$1500))</f>
        <v>223548</v>
      </c>
      <c r="AF62" s="37">
        <v>0</v>
      </c>
      <c r="AG62" s="37">
        <f>ROUND((U62+V62)/M62*P62,0)</f>
        <v>14032</v>
      </c>
      <c r="AH62" s="37">
        <v>0</v>
      </c>
      <c r="AI62" s="37">
        <f>AD62+AF62+AG62+AH62</f>
        <v>32948</v>
      </c>
      <c r="AJ62" s="37">
        <f>AC62-AI62</f>
        <v>193600</v>
      </c>
      <c r="AK62" s="37">
        <f>AC62+2000</f>
        <v>228548</v>
      </c>
      <c r="AL62" s="21">
        <f>COUNTIFS($A$3:$A$1500,A62)</f>
        <v>25</v>
      </c>
      <c r="AM62" s="37">
        <f>SUMIFS($AC$3:$AC$1500,$A$3:$A$1500,A62)</f>
        <v>4224388</v>
      </c>
      <c r="AN62" s="37">
        <f>SUMIFS($AD$3:$AD$1500,$A$3:$A$1500,A62)</f>
        <v>559560</v>
      </c>
      <c r="AO62" s="37">
        <f>SUMIFS($AF$3:$AF$1500,$A$3:$A$1500,A62)</f>
        <v>30000</v>
      </c>
      <c r="AP62" s="37">
        <f>SUMIFS($AG$3:$AG$1500,$A$3:$A$1500,A62)+SUMIFS($AH$3:$AH$1500,$A$3:$A$1500,A62)</f>
        <v>16032</v>
      </c>
      <c r="AQ62" s="37">
        <f>SUMIFS($AJ$3:$AJ$1500,$A$3:$A$1500,A62)</f>
        <v>3618796</v>
      </c>
      <c r="AR62" s="37">
        <f>SUMIFS($AK$3:$AK$1500,$A$3:$A$1500,A62)</f>
        <v>4274388</v>
      </c>
      <c r="AS62" s="31">
        <f>IFERROR(AQ62/SUMIFS($AJ$3:$AJ$1500,$F$3:$F$1500,EDATE(F62,-1))-1,"N/A - first run")</f>
        <v>-9.5319110734498613E-3</v>
      </c>
      <c r="AT62" s="21" t="s">
        <v>4933</v>
      </c>
      <c r="AU62" s="21" t="str">
        <f>IF(P62&gt;0,"Unpaid leave "&amp;P62&amp;" day(s)",IF(R62&gt;40,"Overtime above 40 hrs","None"))</f>
        <v>Unpaid leave 2 day(s)</v>
      </c>
      <c r="AV62" s="29">
        <f>EOMONTH(H62,0)+15</f>
        <v>46249</v>
      </c>
      <c r="AW62" s="21" t="s">
        <v>4944</v>
      </c>
      <c r="AX62" s="21" t="s">
        <v>4935</v>
      </c>
      <c r="AY62" s="21" t="str">
        <f>IF(U62+V62+W62&gt;=40000,"Compliant","Below minimum wage")</f>
        <v>Compliant</v>
      </c>
    </row>
    <row r="63" spans="1:51" x14ac:dyDescent="0.3">
      <c r="A63" s="21" t="s">
        <v>4931</v>
      </c>
      <c r="B63" s="39">
        <v>46204</v>
      </c>
      <c r="C63" s="21" t="s">
        <v>4932</v>
      </c>
      <c r="D63" s="21" t="s">
        <v>4842</v>
      </c>
      <c r="E63" s="21" t="s">
        <v>743</v>
      </c>
      <c r="F63" s="29">
        <v>46228</v>
      </c>
      <c r="G63" s="21">
        <f>COUNTIFS($A$3:$A$1500,A63)</f>
        <v>25</v>
      </c>
      <c r="H63" s="29">
        <v>46234</v>
      </c>
      <c r="I63" s="21" t="s">
        <v>1797</v>
      </c>
      <c r="J63" s="21" t="s">
        <v>4357</v>
      </c>
      <c r="K63" s="21" t="s">
        <v>4869</v>
      </c>
      <c r="L63" s="21" t="s">
        <v>4850</v>
      </c>
      <c r="M63" s="21">
        <v>31</v>
      </c>
      <c r="N63" s="21">
        <v>26</v>
      </c>
      <c r="O63" s="21">
        <v>0</v>
      </c>
      <c r="P63" s="21">
        <v>0</v>
      </c>
      <c r="Q63" s="21" t="s">
        <v>848</v>
      </c>
      <c r="R63" s="21">
        <v>10</v>
      </c>
      <c r="S63" s="21">
        <v>0</v>
      </c>
      <c r="T63" s="21" t="s">
        <v>1583</v>
      </c>
      <c r="U63" s="37">
        <f>_xlfn.XLOOKUP(LEFT(K63,7),'T07'!$A$3:$A$1500,'T07'!$AS$3:$AS$1500)</f>
        <v>54000</v>
      </c>
      <c r="V63" s="37">
        <f>_xlfn.XLOOKUP(LEFT(K63,7),'T07'!$A$3:$A$1500,'T07'!$AT$3:$AT$1500)</f>
        <v>24300</v>
      </c>
      <c r="W63" s="37">
        <v>0</v>
      </c>
      <c r="X63" s="37">
        <f>ROUND(U63/M63/8*2*R63,0)</f>
        <v>4355</v>
      </c>
      <c r="Y63" s="37">
        <f>ROUND(U63/M63*2*S63,0)</f>
        <v>0</v>
      </c>
      <c r="Z63" s="37">
        <v>0</v>
      </c>
      <c r="AA63" s="37">
        <v>0</v>
      </c>
      <c r="AB63" s="37">
        <v>3000</v>
      </c>
      <c r="AC63" s="37">
        <f>U63+V63+W63+X63+Y63+Z63+AA63+AB63</f>
        <v>85655</v>
      </c>
      <c r="AD63" s="37">
        <f>_xlfn.LET(_xlpm.a,(AC63-AB63)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327</v>
      </c>
      <c r="AE63" s="37" cm="1">
        <f t="array" ref="AE63">SUMPRODUCT((LEFT($K$3:$K$1500,7)=LEFT(K63,7))*($F$3:$F$1500&lt;=F63)*($F$3:$F$1500&gt;=DATE(IF(MONTH(F63)&gt;=7,YEAR(F63),YEAR(F63)-1),7,1))*($AC$3:$AC$1500-$AB$3:$AB$1500))</f>
        <v>82655</v>
      </c>
      <c r="AF63" s="37">
        <v>10000</v>
      </c>
      <c r="AG63" s="37">
        <f>ROUND((U63+V63)/M63*P63,0)</f>
        <v>0</v>
      </c>
      <c r="AH63" s="37">
        <v>0</v>
      </c>
      <c r="AI63" s="37">
        <f>AD63+AF63+AG63+AH63</f>
        <v>10327</v>
      </c>
      <c r="AJ63" s="37">
        <f>AC63-AI63</f>
        <v>75328</v>
      </c>
      <c r="AK63" s="37">
        <f>AC63+2000</f>
        <v>87655</v>
      </c>
      <c r="AL63" s="21">
        <f>COUNTIFS($A$3:$A$1500,A63)</f>
        <v>25</v>
      </c>
      <c r="AM63" s="37">
        <f>SUMIFS($AC$3:$AC$1500,$A$3:$A$1500,A63)</f>
        <v>4224388</v>
      </c>
      <c r="AN63" s="37">
        <f>SUMIFS($AD$3:$AD$1500,$A$3:$A$1500,A63)</f>
        <v>559560</v>
      </c>
      <c r="AO63" s="37">
        <f>SUMIFS($AF$3:$AF$1500,$A$3:$A$1500,A63)</f>
        <v>30000</v>
      </c>
      <c r="AP63" s="37">
        <f>SUMIFS($AG$3:$AG$1500,$A$3:$A$1500,A63)+SUMIFS($AH$3:$AH$1500,$A$3:$A$1500,A63)</f>
        <v>16032</v>
      </c>
      <c r="AQ63" s="37">
        <f>SUMIFS($AJ$3:$AJ$1500,$A$3:$A$1500,A63)</f>
        <v>3618796</v>
      </c>
      <c r="AR63" s="37">
        <f>SUMIFS($AK$3:$AK$1500,$A$3:$A$1500,A63)</f>
        <v>4274388</v>
      </c>
      <c r="AS63" s="31">
        <f>IFERROR(AQ63/SUMIFS($AJ$3:$AJ$1500,$F$3:$F$1500,EDATE(F63,-1))-1,"N/A - first run")</f>
        <v>-9.5319110734498613E-3</v>
      </c>
      <c r="AT63" s="21" t="s">
        <v>4933</v>
      </c>
      <c r="AU63" s="21" t="str">
        <f>IF(P63&gt;0,"Unpaid leave "&amp;P63&amp;" day(s)",IF(R63&gt;40,"Overtime above 40 hrs","None"))</f>
        <v>None</v>
      </c>
      <c r="AV63" s="29">
        <f>EOMONTH(H63,0)+15</f>
        <v>46249</v>
      </c>
      <c r="AW63" s="21" t="s">
        <v>4945</v>
      </c>
      <c r="AX63" s="21" t="s">
        <v>4935</v>
      </c>
      <c r="AY63" s="21" t="str">
        <f>IF(U63+V63+W63&gt;=40000,"Compliant","Below minimum wage")</f>
        <v>Compliant</v>
      </c>
    </row>
    <row r="64" spans="1:51" x14ac:dyDescent="0.3">
      <c r="A64" s="21" t="s">
        <v>4931</v>
      </c>
      <c r="B64" s="39">
        <v>46204</v>
      </c>
      <c r="C64" s="21" t="s">
        <v>4932</v>
      </c>
      <c r="D64" s="21" t="s">
        <v>4842</v>
      </c>
      <c r="E64" s="21" t="s">
        <v>743</v>
      </c>
      <c r="F64" s="29">
        <v>46228</v>
      </c>
      <c r="G64" s="21">
        <f>COUNTIFS($A$3:$A$1500,A64)</f>
        <v>25</v>
      </c>
      <c r="H64" s="29">
        <v>46234</v>
      </c>
      <c r="I64" s="21" t="s">
        <v>1797</v>
      </c>
      <c r="J64" s="21" t="s">
        <v>4357</v>
      </c>
      <c r="K64" s="21" t="s">
        <v>4871</v>
      </c>
      <c r="L64" s="21" t="s">
        <v>4850</v>
      </c>
      <c r="M64" s="21">
        <v>31</v>
      </c>
      <c r="N64" s="21">
        <v>25</v>
      </c>
      <c r="O64" s="21">
        <v>1</v>
      </c>
      <c r="P64" s="21">
        <v>0</v>
      </c>
      <c r="Q64" s="21" t="s">
        <v>848</v>
      </c>
      <c r="R64" s="21">
        <v>8</v>
      </c>
      <c r="S64" s="21">
        <v>0</v>
      </c>
      <c r="T64" s="21" t="s">
        <v>1598</v>
      </c>
      <c r="U64" s="37">
        <f>_xlfn.XLOOKUP(LEFT(K64,7),'T07'!$A$3:$A$1500,'T07'!$AS$3:$AS$1500)</f>
        <v>57000</v>
      </c>
      <c r="V64" s="37">
        <f>_xlfn.XLOOKUP(LEFT(K64,7),'T07'!$A$3:$A$1500,'T07'!$AT$3:$AT$1500)</f>
        <v>25650</v>
      </c>
      <c r="W64" s="37">
        <v>3000</v>
      </c>
      <c r="X64" s="37">
        <f>ROUND(U64/M64/8*2*R64,0)</f>
        <v>3677</v>
      </c>
      <c r="Y64" s="37">
        <f>ROUND(U64/M64*2*S64,0)</f>
        <v>0</v>
      </c>
      <c r="Z64" s="37">
        <v>0</v>
      </c>
      <c r="AA64" s="37">
        <v>0</v>
      </c>
      <c r="AB64" s="37">
        <v>3000</v>
      </c>
      <c r="AC64" s="37">
        <f>U64+V64+W64+X64+Y64+Z64+AA64+AB64</f>
        <v>92327</v>
      </c>
      <c r="AD64" s="37">
        <f>_xlfn.LET(_xlpm.a,(AC64-AB64)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393</v>
      </c>
      <c r="AE64" s="37" cm="1">
        <f t="array" ref="AE64">SUMPRODUCT((LEFT($K$3:$K$1500,7)=LEFT(K64,7))*($F$3:$F$1500&lt;=F64)*($F$3:$F$1500&gt;=DATE(IF(MONTH(F64)&gt;=7,YEAR(F64),YEAR(F64)-1),7,1))*($AC$3:$AC$1500-$AB$3:$AB$1500))</f>
        <v>89327</v>
      </c>
      <c r="AF64" s="37">
        <v>0</v>
      </c>
      <c r="AG64" s="37">
        <f>ROUND((U64+V64)/M64*P64,0)</f>
        <v>0</v>
      </c>
      <c r="AH64" s="37">
        <v>0</v>
      </c>
      <c r="AI64" s="37">
        <f>AD64+AF64+AG64+AH64</f>
        <v>393</v>
      </c>
      <c r="AJ64" s="37">
        <f>AC64-AI64</f>
        <v>91934</v>
      </c>
      <c r="AK64" s="37">
        <f>AC64+2000</f>
        <v>94327</v>
      </c>
      <c r="AL64" s="21">
        <f>COUNTIFS($A$3:$A$1500,A64)</f>
        <v>25</v>
      </c>
      <c r="AM64" s="37">
        <f>SUMIFS($AC$3:$AC$1500,$A$3:$A$1500,A64)</f>
        <v>4224388</v>
      </c>
      <c r="AN64" s="37">
        <f>SUMIFS($AD$3:$AD$1500,$A$3:$A$1500,A64)</f>
        <v>559560</v>
      </c>
      <c r="AO64" s="37">
        <f>SUMIFS($AF$3:$AF$1500,$A$3:$A$1500,A64)</f>
        <v>30000</v>
      </c>
      <c r="AP64" s="37">
        <f>SUMIFS($AG$3:$AG$1500,$A$3:$A$1500,A64)+SUMIFS($AH$3:$AH$1500,$A$3:$A$1500,A64)</f>
        <v>16032</v>
      </c>
      <c r="AQ64" s="37">
        <f>SUMIFS($AJ$3:$AJ$1500,$A$3:$A$1500,A64)</f>
        <v>3618796</v>
      </c>
      <c r="AR64" s="37">
        <f>SUMIFS($AK$3:$AK$1500,$A$3:$A$1500,A64)</f>
        <v>4274388</v>
      </c>
      <c r="AS64" s="31">
        <f>IFERROR(AQ64/SUMIFS($AJ$3:$AJ$1500,$F$3:$F$1500,EDATE(F64,-1))-1,"N/A - first run")</f>
        <v>-9.5319110734498613E-3</v>
      </c>
      <c r="AT64" s="21" t="s">
        <v>4933</v>
      </c>
      <c r="AU64" s="21" t="str">
        <f>IF(P64&gt;0,"Unpaid leave "&amp;P64&amp;" day(s)",IF(R64&gt;40,"Overtime above 40 hrs","None"))</f>
        <v>None</v>
      </c>
      <c r="AV64" s="29">
        <f>EOMONTH(H64,0)+15</f>
        <v>46249</v>
      </c>
      <c r="AW64" s="21" t="s">
        <v>4946</v>
      </c>
      <c r="AX64" s="21" t="s">
        <v>4935</v>
      </c>
      <c r="AY64" s="21" t="str">
        <f>IF(U64+V64+W64&gt;=40000,"Compliant","Below minimum wage")</f>
        <v>Compliant</v>
      </c>
    </row>
    <row r="65" spans="1:51" x14ac:dyDescent="0.3">
      <c r="A65" s="21" t="s">
        <v>4931</v>
      </c>
      <c r="B65" s="39">
        <v>46204</v>
      </c>
      <c r="C65" s="21" t="s">
        <v>4932</v>
      </c>
      <c r="D65" s="21" t="s">
        <v>4842</v>
      </c>
      <c r="E65" s="21" t="s">
        <v>743</v>
      </c>
      <c r="F65" s="29">
        <v>46228</v>
      </c>
      <c r="G65" s="21">
        <f>COUNTIFS($A$3:$A$1500,A65)</f>
        <v>25</v>
      </c>
      <c r="H65" s="29">
        <v>46234</v>
      </c>
      <c r="I65" s="21" t="s">
        <v>1797</v>
      </c>
      <c r="J65" s="21" t="s">
        <v>4357</v>
      </c>
      <c r="K65" s="21" t="s">
        <v>4873</v>
      </c>
      <c r="L65" s="21" t="s">
        <v>4850</v>
      </c>
      <c r="M65" s="21">
        <v>31</v>
      </c>
      <c r="N65" s="21">
        <v>25</v>
      </c>
      <c r="O65" s="21">
        <v>1</v>
      </c>
      <c r="P65" s="21">
        <v>0</v>
      </c>
      <c r="Q65" s="21" t="s">
        <v>848</v>
      </c>
      <c r="R65" s="21">
        <v>11</v>
      </c>
      <c r="S65" s="21">
        <v>0</v>
      </c>
      <c r="T65" s="21" t="s">
        <v>1615</v>
      </c>
      <c r="U65" s="37">
        <f>_xlfn.XLOOKUP(LEFT(K65,7),'T07'!$A$3:$A$1500,'T07'!$AS$3:$AS$1500)</f>
        <v>36000</v>
      </c>
      <c r="V65" s="37">
        <f>_xlfn.XLOOKUP(LEFT(K65,7),'T07'!$A$3:$A$1500,'T07'!$AT$3:$AT$1500)</f>
        <v>16200</v>
      </c>
      <c r="W65" s="37">
        <v>3000</v>
      </c>
      <c r="X65" s="37">
        <f>ROUND(U65/M65/8*2*R65,0)</f>
        <v>3194</v>
      </c>
      <c r="Y65" s="37">
        <f>ROUND(U65/M65*2*S65,0)</f>
        <v>0</v>
      </c>
      <c r="Z65" s="37">
        <v>0</v>
      </c>
      <c r="AA65" s="37">
        <v>0</v>
      </c>
      <c r="AB65" s="37">
        <v>3000</v>
      </c>
      <c r="AC65" s="37">
        <f>U65+V65+W65+X65+Y65+Z65+AA65+AB65</f>
        <v>61394</v>
      </c>
      <c r="AD65" s="37">
        <f>_xlfn.LET(_xlpm.a,(AC65-AB65)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84</v>
      </c>
      <c r="AE65" s="37" cm="1">
        <f t="array" ref="AE65">SUMPRODUCT((LEFT($K$3:$K$1500,7)=LEFT(K65,7))*($F$3:$F$1500&lt;=F65)*($F$3:$F$1500&gt;=DATE(IF(MONTH(F65)&gt;=7,YEAR(F65),YEAR(F65)-1),7,1))*($AC$3:$AC$1500-$AB$3:$AB$1500))</f>
        <v>58394</v>
      </c>
      <c r="AF65" s="37">
        <v>10000</v>
      </c>
      <c r="AG65" s="37">
        <f>ROUND((U65+V65)/M65*P65,0)</f>
        <v>0</v>
      </c>
      <c r="AH65" s="37">
        <v>2000</v>
      </c>
      <c r="AI65" s="37">
        <f>AD65+AF65+AG65+AH65</f>
        <v>12084</v>
      </c>
      <c r="AJ65" s="37">
        <f>AC65-AI65</f>
        <v>49310</v>
      </c>
      <c r="AK65" s="37">
        <f>AC65+2000</f>
        <v>63394</v>
      </c>
      <c r="AL65" s="21">
        <f>COUNTIFS($A$3:$A$1500,A65)</f>
        <v>25</v>
      </c>
      <c r="AM65" s="37">
        <f>SUMIFS($AC$3:$AC$1500,$A$3:$A$1500,A65)</f>
        <v>4224388</v>
      </c>
      <c r="AN65" s="37">
        <f>SUMIFS($AD$3:$AD$1500,$A$3:$A$1500,A65)</f>
        <v>559560</v>
      </c>
      <c r="AO65" s="37">
        <f>SUMIFS($AF$3:$AF$1500,$A$3:$A$1500,A65)</f>
        <v>30000</v>
      </c>
      <c r="AP65" s="37">
        <f>SUMIFS($AG$3:$AG$1500,$A$3:$A$1500,A65)+SUMIFS($AH$3:$AH$1500,$A$3:$A$1500,A65)</f>
        <v>16032</v>
      </c>
      <c r="AQ65" s="37">
        <f>SUMIFS($AJ$3:$AJ$1500,$A$3:$A$1500,A65)</f>
        <v>3618796</v>
      </c>
      <c r="AR65" s="37">
        <f>SUMIFS($AK$3:$AK$1500,$A$3:$A$1500,A65)</f>
        <v>4274388</v>
      </c>
      <c r="AS65" s="31">
        <f>IFERROR(AQ65/SUMIFS($AJ$3:$AJ$1500,$F$3:$F$1500,EDATE(F65,-1))-1,"N/A - first run")</f>
        <v>-9.5319110734498613E-3</v>
      </c>
      <c r="AT65" s="21" t="s">
        <v>4933</v>
      </c>
      <c r="AU65" s="21" t="str">
        <f>IF(P65&gt;0,"Unpaid leave "&amp;P65&amp;" day(s)",IF(R65&gt;40,"Overtime above 40 hrs","None"))</f>
        <v>None</v>
      </c>
      <c r="AV65" s="29">
        <f>EOMONTH(H65,0)+15</f>
        <v>46249</v>
      </c>
      <c r="AW65" s="21" t="s">
        <v>4947</v>
      </c>
      <c r="AX65" s="21" t="s">
        <v>4935</v>
      </c>
      <c r="AY65" s="21" t="str">
        <f>IF(U65+V65+W65&gt;=40000,"Compliant","Below minimum wage")</f>
        <v>Compliant</v>
      </c>
    </row>
    <row r="66" spans="1:51" x14ac:dyDescent="0.3">
      <c r="A66" s="21" t="s">
        <v>4931</v>
      </c>
      <c r="B66" s="39">
        <v>46204</v>
      </c>
      <c r="C66" s="21" t="s">
        <v>4932</v>
      </c>
      <c r="D66" s="21" t="s">
        <v>4842</v>
      </c>
      <c r="E66" s="21" t="s">
        <v>743</v>
      </c>
      <c r="F66" s="29">
        <v>46228</v>
      </c>
      <c r="G66" s="21">
        <f>COUNTIFS($A$3:$A$1500,A66)</f>
        <v>25</v>
      </c>
      <c r="H66" s="29">
        <v>46234</v>
      </c>
      <c r="I66" s="21" t="s">
        <v>1797</v>
      </c>
      <c r="J66" s="21" t="s">
        <v>4357</v>
      </c>
      <c r="K66" s="21" t="s">
        <v>4875</v>
      </c>
      <c r="L66" s="21" t="s">
        <v>4850</v>
      </c>
      <c r="M66" s="21">
        <v>31</v>
      </c>
      <c r="N66" s="21">
        <v>25</v>
      </c>
      <c r="O66" s="21">
        <v>1</v>
      </c>
      <c r="P66" s="21">
        <v>0</v>
      </c>
      <c r="Q66" s="21" t="s">
        <v>848</v>
      </c>
      <c r="R66" s="21">
        <v>0</v>
      </c>
      <c r="S66" s="21">
        <v>0</v>
      </c>
      <c r="T66" s="21" t="s">
        <v>1630</v>
      </c>
      <c r="U66" s="37">
        <f>_xlfn.XLOOKUP(LEFT(K66,7),'T07'!$A$3:$A$1500,'T07'!$AS$3:$AS$1500)</f>
        <v>84000</v>
      </c>
      <c r="V66" s="37">
        <f>_xlfn.XLOOKUP(LEFT(K66,7),'T07'!$A$3:$A$1500,'T07'!$AT$3:$AT$1500)</f>
        <v>37800</v>
      </c>
      <c r="W66" s="37">
        <v>0</v>
      </c>
      <c r="X66" s="37">
        <f>ROUND(U66/M66/8*2*R66,0)</f>
        <v>0</v>
      </c>
      <c r="Y66" s="37">
        <f>ROUND(U66/M66*2*S66,0)</f>
        <v>0</v>
      </c>
      <c r="Z66" s="37">
        <v>0</v>
      </c>
      <c r="AA66" s="37">
        <v>0</v>
      </c>
      <c r="AB66" s="37">
        <v>3000</v>
      </c>
      <c r="AC66" s="37">
        <f>U66+V66+W66+X66+Y66+Z66+AA66+AB66</f>
        <v>124800</v>
      </c>
      <c r="AD66" s="37">
        <f>_xlfn.LET(_xlpm.a,(AC66-AB66)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2898</v>
      </c>
      <c r="AE66" s="37" cm="1">
        <f t="array" ref="AE66">SUMPRODUCT((LEFT($K$3:$K$1500,7)=LEFT(K66,7))*($F$3:$F$1500&lt;=F66)*($F$3:$F$1500&gt;=DATE(IF(MONTH(F66)&gt;=7,YEAR(F66),YEAR(F66)-1),7,1))*($AC$3:$AC$1500-$AB$3:$AB$1500))</f>
        <v>121800</v>
      </c>
      <c r="AF66" s="37">
        <v>0</v>
      </c>
      <c r="AG66" s="37">
        <f>ROUND((U66+V66)/M66*P66,0)</f>
        <v>0</v>
      </c>
      <c r="AH66" s="37">
        <v>0</v>
      </c>
      <c r="AI66" s="37">
        <f>AD66+AF66+AG66+AH66</f>
        <v>2898</v>
      </c>
      <c r="AJ66" s="37">
        <f>AC66-AI66</f>
        <v>121902</v>
      </c>
      <c r="AK66" s="37">
        <f>AC66+2000</f>
        <v>126800</v>
      </c>
      <c r="AL66" s="21">
        <f>COUNTIFS($A$3:$A$1500,A66)</f>
        <v>25</v>
      </c>
      <c r="AM66" s="37">
        <f>SUMIFS($AC$3:$AC$1500,$A$3:$A$1500,A66)</f>
        <v>4224388</v>
      </c>
      <c r="AN66" s="37">
        <f>SUMIFS($AD$3:$AD$1500,$A$3:$A$1500,A66)</f>
        <v>559560</v>
      </c>
      <c r="AO66" s="37">
        <f>SUMIFS($AF$3:$AF$1500,$A$3:$A$1500,A66)</f>
        <v>30000</v>
      </c>
      <c r="AP66" s="37">
        <f>SUMIFS($AG$3:$AG$1500,$A$3:$A$1500,A66)+SUMIFS($AH$3:$AH$1500,$A$3:$A$1500,A66)</f>
        <v>16032</v>
      </c>
      <c r="AQ66" s="37">
        <f>SUMIFS($AJ$3:$AJ$1500,$A$3:$A$1500,A66)</f>
        <v>3618796</v>
      </c>
      <c r="AR66" s="37">
        <f>SUMIFS($AK$3:$AK$1500,$A$3:$A$1500,A66)</f>
        <v>4274388</v>
      </c>
      <c r="AS66" s="31">
        <f>IFERROR(AQ66/SUMIFS($AJ$3:$AJ$1500,$F$3:$F$1500,EDATE(F66,-1))-1,"N/A - first run")</f>
        <v>-9.5319110734498613E-3</v>
      </c>
      <c r="AT66" s="21" t="s">
        <v>4933</v>
      </c>
      <c r="AU66" s="21" t="str">
        <f>IF(P66&gt;0,"Unpaid leave "&amp;P66&amp;" day(s)",IF(R66&gt;40,"Overtime above 40 hrs","None"))</f>
        <v>None</v>
      </c>
      <c r="AV66" s="29">
        <f>EOMONTH(H66,0)+15</f>
        <v>46249</v>
      </c>
      <c r="AW66" s="21" t="s">
        <v>4948</v>
      </c>
      <c r="AX66" s="21" t="s">
        <v>4935</v>
      </c>
      <c r="AY66" s="21" t="str">
        <f>IF(U66+V66+W66&gt;=40000,"Compliant","Below minimum wage")</f>
        <v>Compliant</v>
      </c>
    </row>
    <row r="67" spans="1:51" x14ac:dyDescent="0.3">
      <c r="A67" s="21" t="s">
        <v>4931</v>
      </c>
      <c r="B67" s="39">
        <v>46204</v>
      </c>
      <c r="C67" s="21" t="s">
        <v>4932</v>
      </c>
      <c r="D67" s="21" t="s">
        <v>4842</v>
      </c>
      <c r="E67" s="21" t="s">
        <v>743</v>
      </c>
      <c r="F67" s="29">
        <v>46228</v>
      </c>
      <c r="G67" s="21">
        <f>COUNTIFS($A$3:$A$1500,A67)</f>
        <v>25</v>
      </c>
      <c r="H67" s="29">
        <v>46234</v>
      </c>
      <c r="I67" s="21" t="s">
        <v>1797</v>
      </c>
      <c r="J67" s="21" t="s">
        <v>4357</v>
      </c>
      <c r="K67" s="21" t="s">
        <v>4877</v>
      </c>
      <c r="L67" s="21" t="s">
        <v>4865</v>
      </c>
      <c r="M67" s="21">
        <v>31</v>
      </c>
      <c r="N67" s="21">
        <v>24</v>
      </c>
      <c r="O67" s="21">
        <v>2</v>
      </c>
      <c r="P67" s="21">
        <v>0</v>
      </c>
      <c r="Q67" s="21" t="s">
        <v>4845</v>
      </c>
      <c r="R67" s="21">
        <v>0</v>
      </c>
      <c r="S67" s="21">
        <v>0</v>
      </c>
      <c r="T67" s="21" t="s">
        <v>1644</v>
      </c>
      <c r="U67" s="37">
        <f>_xlfn.XLOOKUP(LEFT(K67,7),'T07'!$A$3:$A$1500,'T07'!$AS$3:$AS$1500)</f>
        <v>90000</v>
      </c>
      <c r="V67" s="37">
        <f>_xlfn.XLOOKUP(LEFT(K67,7),'T07'!$A$3:$A$1500,'T07'!$AT$3:$AT$1500)</f>
        <v>40500</v>
      </c>
      <c r="W67" s="37">
        <v>0</v>
      </c>
      <c r="X67" s="37">
        <f>ROUND(U67/M67/8*2*R67,0)</f>
        <v>0</v>
      </c>
      <c r="Y67" s="37">
        <f>ROUND(U67/M67*2*S67,0)</f>
        <v>0</v>
      </c>
      <c r="Z67" s="37">
        <v>0</v>
      </c>
      <c r="AA67" s="37">
        <v>0</v>
      </c>
      <c r="AB67" s="37">
        <v>3000</v>
      </c>
      <c r="AC67" s="37">
        <f>U67+V67+W67+X67+Y67+Z67+AA67+AB67</f>
        <v>133500</v>
      </c>
      <c r="AD67" s="37">
        <f>_xlfn.LET(_xlpm.a,(AC67-AB67)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3855</v>
      </c>
      <c r="AE67" s="37" cm="1">
        <f t="array" ref="AE67">SUMPRODUCT((LEFT($K$3:$K$1500,7)=LEFT(K67,7))*($F$3:$F$1500&lt;=F67)*($F$3:$F$1500&gt;=DATE(IF(MONTH(F67)&gt;=7,YEAR(F67),YEAR(F67)-1),7,1))*($AC$3:$AC$1500-$AB$3:$AB$1500))</f>
        <v>130500</v>
      </c>
      <c r="AF67" s="37">
        <v>0</v>
      </c>
      <c r="AG67" s="37">
        <f>ROUND((U67+V67)/M67*P67,0)</f>
        <v>0</v>
      </c>
      <c r="AH67" s="37">
        <v>0</v>
      </c>
      <c r="AI67" s="37">
        <f>AD67+AF67+AG67+AH67</f>
        <v>3855</v>
      </c>
      <c r="AJ67" s="37">
        <f>AC67-AI67</f>
        <v>129645</v>
      </c>
      <c r="AK67" s="37">
        <f>AC67+2000</f>
        <v>135500</v>
      </c>
      <c r="AL67" s="21">
        <f>COUNTIFS($A$3:$A$1500,A67)</f>
        <v>25</v>
      </c>
      <c r="AM67" s="37">
        <f>SUMIFS($AC$3:$AC$1500,$A$3:$A$1500,A67)</f>
        <v>4224388</v>
      </c>
      <c r="AN67" s="37">
        <f>SUMIFS($AD$3:$AD$1500,$A$3:$A$1500,A67)</f>
        <v>559560</v>
      </c>
      <c r="AO67" s="37">
        <f>SUMIFS($AF$3:$AF$1500,$A$3:$A$1500,A67)</f>
        <v>30000</v>
      </c>
      <c r="AP67" s="37">
        <f>SUMIFS($AG$3:$AG$1500,$A$3:$A$1500,A67)+SUMIFS($AH$3:$AH$1500,$A$3:$A$1500,A67)</f>
        <v>16032</v>
      </c>
      <c r="AQ67" s="37">
        <f>SUMIFS($AJ$3:$AJ$1500,$A$3:$A$1500,A67)</f>
        <v>3618796</v>
      </c>
      <c r="AR67" s="37">
        <f>SUMIFS($AK$3:$AK$1500,$A$3:$A$1500,A67)</f>
        <v>4274388</v>
      </c>
      <c r="AS67" s="31">
        <f>IFERROR(AQ67/SUMIFS($AJ$3:$AJ$1500,$F$3:$F$1500,EDATE(F67,-1))-1,"N/A - first run")</f>
        <v>-9.5319110734498613E-3</v>
      </c>
      <c r="AT67" s="21" t="s">
        <v>4933</v>
      </c>
      <c r="AU67" s="21" t="str">
        <f>IF(P67&gt;0,"Unpaid leave "&amp;P67&amp;" day(s)",IF(R67&gt;40,"Overtime above 40 hrs","None"))</f>
        <v>None</v>
      </c>
      <c r="AV67" s="29">
        <f>EOMONTH(H67,0)+15</f>
        <v>46249</v>
      </c>
      <c r="AW67" s="21" t="s">
        <v>4949</v>
      </c>
      <c r="AX67" s="21" t="s">
        <v>4935</v>
      </c>
      <c r="AY67" s="21" t="str">
        <f>IF(U67+V67+W67&gt;=40000,"Compliant","Below minimum wage")</f>
        <v>Compliant</v>
      </c>
    </row>
    <row r="68" spans="1:51" x14ac:dyDescent="0.3">
      <c r="A68" s="21" t="s">
        <v>4931</v>
      </c>
      <c r="B68" s="39">
        <v>46204</v>
      </c>
      <c r="C68" s="21" t="s">
        <v>4932</v>
      </c>
      <c r="D68" s="21" t="s">
        <v>4842</v>
      </c>
      <c r="E68" s="21" t="s">
        <v>743</v>
      </c>
      <c r="F68" s="29">
        <v>46228</v>
      </c>
      <c r="G68" s="21">
        <f>COUNTIFS($A$3:$A$1500,A68)</f>
        <v>25</v>
      </c>
      <c r="H68" s="29">
        <v>46234</v>
      </c>
      <c r="I68" s="21" t="s">
        <v>1797</v>
      </c>
      <c r="J68" s="21" t="s">
        <v>4357</v>
      </c>
      <c r="K68" s="21" t="s">
        <v>4879</v>
      </c>
      <c r="L68" s="21" t="s">
        <v>4850</v>
      </c>
      <c r="M68" s="21">
        <v>31</v>
      </c>
      <c r="N68" s="21">
        <v>25</v>
      </c>
      <c r="O68" s="21">
        <v>1</v>
      </c>
      <c r="P68" s="21">
        <v>0</v>
      </c>
      <c r="Q68" s="21" t="s">
        <v>848</v>
      </c>
      <c r="R68" s="21">
        <v>0</v>
      </c>
      <c r="S68" s="21">
        <v>0</v>
      </c>
      <c r="T68" s="21" t="s">
        <v>1660</v>
      </c>
      <c r="U68" s="37">
        <f>_xlfn.XLOOKUP(LEFT(K68,7),'T07'!$A$3:$A$1500,'T07'!$AS$3:$AS$1500)</f>
        <v>33000</v>
      </c>
      <c r="V68" s="37">
        <f>_xlfn.XLOOKUP(LEFT(K68,7),'T07'!$A$3:$A$1500,'T07'!$AT$3:$AT$1500)</f>
        <v>14850</v>
      </c>
      <c r="W68" s="37">
        <v>0</v>
      </c>
      <c r="X68" s="37">
        <f>ROUND(U68/M68/8*2*R68,0)</f>
        <v>0</v>
      </c>
      <c r="Y68" s="37">
        <f>ROUND(U68/M68*2*S68,0)</f>
        <v>0</v>
      </c>
      <c r="Z68" s="37">
        <v>0</v>
      </c>
      <c r="AA68" s="37">
        <v>0</v>
      </c>
      <c r="AB68" s="37">
        <v>3000</v>
      </c>
      <c r="AC68" s="37">
        <f>U68+V68+W68+X68+Y68+Z68+AA68+AB68</f>
        <v>50850</v>
      </c>
      <c r="AD68" s="37">
        <f>_xlfn.LET(_xlpm.a,(AC68-AB68)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0</v>
      </c>
      <c r="AE68" s="37" cm="1">
        <f t="array" ref="AE68">SUMPRODUCT((LEFT($K$3:$K$1500,7)=LEFT(K68,7))*($F$3:$F$1500&lt;=F68)*($F$3:$F$1500&gt;=DATE(IF(MONTH(F68)&gt;=7,YEAR(F68),YEAR(F68)-1),7,1))*($AC$3:$AC$1500-$AB$3:$AB$1500))</f>
        <v>47850</v>
      </c>
      <c r="AF68" s="37">
        <v>0</v>
      </c>
      <c r="AG68" s="37">
        <f>ROUND((U68+V68)/M68*P68,0)</f>
        <v>0</v>
      </c>
      <c r="AH68" s="37">
        <v>0</v>
      </c>
      <c r="AI68" s="37">
        <f>AD68+AF68+AG68+AH68</f>
        <v>0</v>
      </c>
      <c r="AJ68" s="37">
        <f>AC68-AI68</f>
        <v>50850</v>
      </c>
      <c r="AK68" s="37">
        <f>AC68+2000</f>
        <v>52850</v>
      </c>
      <c r="AL68" s="21">
        <f>COUNTIFS($A$3:$A$1500,A68)</f>
        <v>25</v>
      </c>
      <c r="AM68" s="37">
        <f>SUMIFS($AC$3:$AC$1500,$A$3:$A$1500,A68)</f>
        <v>4224388</v>
      </c>
      <c r="AN68" s="37">
        <f>SUMIFS($AD$3:$AD$1500,$A$3:$A$1500,A68)</f>
        <v>559560</v>
      </c>
      <c r="AO68" s="37">
        <f>SUMIFS($AF$3:$AF$1500,$A$3:$A$1500,A68)</f>
        <v>30000</v>
      </c>
      <c r="AP68" s="37">
        <f>SUMIFS($AG$3:$AG$1500,$A$3:$A$1500,A68)+SUMIFS($AH$3:$AH$1500,$A$3:$A$1500,A68)</f>
        <v>16032</v>
      </c>
      <c r="AQ68" s="37">
        <f>SUMIFS($AJ$3:$AJ$1500,$A$3:$A$1500,A68)</f>
        <v>3618796</v>
      </c>
      <c r="AR68" s="37">
        <f>SUMIFS($AK$3:$AK$1500,$A$3:$A$1500,A68)</f>
        <v>4274388</v>
      </c>
      <c r="AS68" s="31">
        <f>IFERROR(AQ68/SUMIFS($AJ$3:$AJ$1500,$F$3:$F$1500,EDATE(F68,-1))-1,"N/A - first run")</f>
        <v>-9.5319110734498613E-3</v>
      </c>
      <c r="AT68" s="21" t="s">
        <v>4933</v>
      </c>
      <c r="AU68" s="21" t="str">
        <f>IF(P68&gt;0,"Unpaid leave "&amp;P68&amp;" day(s)",IF(R68&gt;40,"Overtime above 40 hrs","None"))</f>
        <v>None</v>
      </c>
      <c r="AV68" s="29">
        <f>EOMONTH(H68,0)+15</f>
        <v>46249</v>
      </c>
      <c r="AW68" s="21" t="s">
        <v>4950</v>
      </c>
      <c r="AX68" s="21" t="s">
        <v>4935</v>
      </c>
      <c r="AY68" s="21" t="str">
        <f>IF(U68+V68+W68&gt;=40000,"Compliant","Below minimum wage")</f>
        <v>Compliant</v>
      </c>
    </row>
    <row r="69" spans="1:51" x14ac:dyDescent="0.3">
      <c r="A69" s="21" t="s">
        <v>4931</v>
      </c>
      <c r="B69" s="39">
        <v>46204</v>
      </c>
      <c r="C69" s="21" t="s">
        <v>4932</v>
      </c>
      <c r="D69" s="21" t="s">
        <v>4842</v>
      </c>
      <c r="E69" s="21" t="s">
        <v>743</v>
      </c>
      <c r="F69" s="29">
        <v>46228</v>
      </c>
      <c r="G69" s="21">
        <f>COUNTIFS($A$3:$A$1500,A69)</f>
        <v>25</v>
      </c>
      <c r="H69" s="29">
        <v>46234</v>
      </c>
      <c r="I69" s="21" t="s">
        <v>1797</v>
      </c>
      <c r="J69" s="21" t="s">
        <v>4357</v>
      </c>
      <c r="K69" s="21" t="s">
        <v>4881</v>
      </c>
      <c r="L69" s="21" t="s">
        <v>4882</v>
      </c>
      <c r="M69" s="21">
        <v>31</v>
      </c>
      <c r="N69" s="21">
        <v>25</v>
      </c>
      <c r="O69" s="21">
        <v>1</v>
      </c>
      <c r="P69" s="21">
        <v>0</v>
      </c>
      <c r="Q69" s="21" t="s">
        <v>848</v>
      </c>
      <c r="R69" s="21">
        <v>0</v>
      </c>
      <c r="S69" s="21">
        <v>0</v>
      </c>
      <c r="T69" s="21" t="s">
        <v>1674</v>
      </c>
      <c r="U69" s="37">
        <f>_xlfn.XLOOKUP(LEFT(K69,7),'T07'!$A$3:$A$1500,'T07'!$AS$3:$AS$1500)</f>
        <v>25200</v>
      </c>
      <c r="V69" s="37">
        <f>_xlfn.XLOOKUP(LEFT(K69,7),'T07'!$A$3:$A$1500,'T07'!$AT$3:$AT$1500)</f>
        <v>11340</v>
      </c>
      <c r="W69" s="37">
        <v>0</v>
      </c>
      <c r="X69" s="37">
        <f>ROUND(U69/M69/8*2*R69,0)</f>
        <v>0</v>
      </c>
      <c r="Y69" s="37">
        <f>ROUND(U69/M69*2*S69,0)</f>
        <v>0</v>
      </c>
      <c r="Z69" s="37">
        <v>0</v>
      </c>
      <c r="AA69" s="37">
        <v>0</v>
      </c>
      <c r="AB69" s="37">
        <v>3000</v>
      </c>
      <c r="AC69" s="37">
        <f>U69+V69+W69+X69+Y69+Z69+AA69+AB69</f>
        <v>39540</v>
      </c>
      <c r="AD69" s="37">
        <f>_xlfn.LET(_xlpm.a,(AC69-AB69)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0</v>
      </c>
      <c r="AE69" s="37" cm="1">
        <f t="array" ref="AE69">SUMPRODUCT((LEFT($K$3:$K$1500,7)=LEFT(K69,7))*($F$3:$F$1500&lt;=F69)*($F$3:$F$1500&gt;=DATE(IF(MONTH(F69)&gt;=7,YEAR(F69),YEAR(F69)-1),7,1))*($AC$3:$AC$1500-$AB$3:$AB$1500))</f>
        <v>36540</v>
      </c>
      <c r="AF69" s="37">
        <v>0</v>
      </c>
      <c r="AG69" s="37">
        <f>ROUND((U69+V69)/M69*P69,0)</f>
        <v>0</v>
      </c>
      <c r="AH69" s="37">
        <v>0</v>
      </c>
      <c r="AI69" s="37">
        <f>AD69+AF69+AG69+AH69</f>
        <v>0</v>
      </c>
      <c r="AJ69" s="37">
        <f>AC69-AI69</f>
        <v>39540</v>
      </c>
      <c r="AK69" s="37">
        <f>AC69+2000</f>
        <v>41540</v>
      </c>
      <c r="AL69" s="21">
        <f>COUNTIFS($A$3:$A$1500,A69)</f>
        <v>25</v>
      </c>
      <c r="AM69" s="37">
        <f>SUMIFS($AC$3:$AC$1500,$A$3:$A$1500,A69)</f>
        <v>4224388</v>
      </c>
      <c r="AN69" s="37">
        <f>SUMIFS($AD$3:$AD$1500,$A$3:$A$1500,A69)</f>
        <v>559560</v>
      </c>
      <c r="AO69" s="37">
        <f>SUMIFS($AF$3:$AF$1500,$A$3:$A$1500,A69)</f>
        <v>30000</v>
      </c>
      <c r="AP69" s="37">
        <f>SUMIFS($AG$3:$AG$1500,$A$3:$A$1500,A69)+SUMIFS($AH$3:$AH$1500,$A$3:$A$1500,A69)</f>
        <v>16032</v>
      </c>
      <c r="AQ69" s="37">
        <f>SUMIFS($AJ$3:$AJ$1500,$A$3:$A$1500,A69)</f>
        <v>3618796</v>
      </c>
      <c r="AR69" s="37">
        <f>SUMIFS($AK$3:$AK$1500,$A$3:$A$1500,A69)</f>
        <v>4274388</v>
      </c>
      <c r="AS69" s="31">
        <f>IFERROR(AQ69/SUMIFS($AJ$3:$AJ$1500,$F$3:$F$1500,EDATE(F69,-1))-1,"N/A - first run")</f>
        <v>-9.5319110734498613E-3</v>
      </c>
      <c r="AT69" s="21" t="s">
        <v>4933</v>
      </c>
      <c r="AU69" s="21" t="str">
        <f>IF(P69&gt;0,"Unpaid leave "&amp;P69&amp;" day(s)",IF(R69&gt;40,"Overtime above 40 hrs","None"))</f>
        <v>None</v>
      </c>
      <c r="AV69" s="29">
        <f>EOMONTH(H69,0)+15</f>
        <v>46249</v>
      </c>
      <c r="AW69" s="21" t="s">
        <v>4951</v>
      </c>
      <c r="AX69" s="21" t="s">
        <v>4935</v>
      </c>
      <c r="AY69" s="21" t="str">
        <f>IF(U69+V69+W69&gt;=40000,"Compliant","Below minimum wage")</f>
        <v>Below minimum wage</v>
      </c>
    </row>
    <row r="70" spans="1:51" x14ac:dyDescent="0.3">
      <c r="A70" s="21" t="s">
        <v>4931</v>
      </c>
      <c r="B70" s="39">
        <v>46204</v>
      </c>
      <c r="C70" s="21" t="s">
        <v>4932</v>
      </c>
      <c r="D70" s="21" t="s">
        <v>4842</v>
      </c>
      <c r="E70" s="21" t="s">
        <v>743</v>
      </c>
      <c r="F70" s="29">
        <v>46228</v>
      </c>
      <c r="G70" s="21">
        <f>COUNTIFS($A$3:$A$1500,A70)</f>
        <v>25</v>
      </c>
      <c r="H70" s="29">
        <v>46234</v>
      </c>
      <c r="I70" s="21" t="s">
        <v>1797</v>
      </c>
      <c r="J70" s="21" t="s">
        <v>4357</v>
      </c>
      <c r="K70" s="21" t="s">
        <v>4884</v>
      </c>
      <c r="L70" s="21" t="s">
        <v>4885</v>
      </c>
      <c r="M70" s="21">
        <v>31</v>
      </c>
      <c r="N70" s="21">
        <v>24</v>
      </c>
      <c r="O70" s="21">
        <v>2</v>
      </c>
      <c r="P70" s="21">
        <v>0</v>
      </c>
      <c r="Q70" s="21" t="s">
        <v>848</v>
      </c>
      <c r="R70" s="21">
        <v>15</v>
      </c>
      <c r="S70" s="21">
        <v>0</v>
      </c>
      <c r="T70" s="21" t="s">
        <v>1690</v>
      </c>
      <c r="U70" s="37">
        <f>_xlfn.XLOOKUP(LEFT(K70,7),'T07'!$A$3:$A$1500,'T07'!$AS$3:$AS$1500)</f>
        <v>39000</v>
      </c>
      <c r="V70" s="37">
        <f>_xlfn.XLOOKUP(LEFT(K70,7),'T07'!$A$3:$A$1500,'T07'!$AT$3:$AT$1500)</f>
        <v>17550</v>
      </c>
      <c r="W70" s="37">
        <v>5000</v>
      </c>
      <c r="X70" s="37">
        <f>ROUND(U70/M70/8*2*R70,0)</f>
        <v>4718</v>
      </c>
      <c r="Y70" s="37">
        <f>ROUND(U70/M70*2*S70,0)</f>
        <v>0</v>
      </c>
      <c r="Z70" s="37">
        <v>0</v>
      </c>
      <c r="AA70" s="37">
        <v>0</v>
      </c>
      <c r="AB70" s="37">
        <v>0</v>
      </c>
      <c r="AC70" s="37">
        <f>U70+V70+W70+X70+Y70+Z70+AA70+AB70</f>
        <v>66268</v>
      </c>
      <c r="AD70" s="37">
        <f>_xlfn.LET(_xlpm.a,(AC70-AB70)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163</v>
      </c>
      <c r="AE70" s="37" cm="1">
        <f t="array" ref="AE70">SUMPRODUCT((LEFT($K$3:$K$1500,7)=LEFT(K70,7))*($F$3:$F$1500&lt;=F70)*($F$3:$F$1500&gt;=DATE(IF(MONTH(F70)&gt;=7,YEAR(F70),YEAR(F70)-1),7,1))*($AC$3:$AC$1500-$AB$3:$AB$1500))</f>
        <v>66268</v>
      </c>
      <c r="AF70" s="37">
        <v>0</v>
      </c>
      <c r="AG70" s="37">
        <f>ROUND((U70+V70)/M70*P70,0)</f>
        <v>0</v>
      </c>
      <c r="AH70" s="37">
        <v>0</v>
      </c>
      <c r="AI70" s="37">
        <f>AD70+AF70+AG70+AH70</f>
        <v>163</v>
      </c>
      <c r="AJ70" s="37">
        <f>AC70-AI70</f>
        <v>66105</v>
      </c>
      <c r="AK70" s="37">
        <f>AC70+2000</f>
        <v>68268</v>
      </c>
      <c r="AL70" s="21">
        <f>COUNTIFS($A$3:$A$1500,A70)</f>
        <v>25</v>
      </c>
      <c r="AM70" s="37">
        <f>SUMIFS($AC$3:$AC$1500,$A$3:$A$1500,A70)</f>
        <v>4224388</v>
      </c>
      <c r="AN70" s="37">
        <f>SUMIFS($AD$3:$AD$1500,$A$3:$A$1500,A70)</f>
        <v>559560</v>
      </c>
      <c r="AO70" s="37">
        <f>SUMIFS($AF$3:$AF$1500,$A$3:$A$1500,A70)</f>
        <v>30000</v>
      </c>
      <c r="AP70" s="37">
        <f>SUMIFS($AG$3:$AG$1500,$A$3:$A$1500,A70)+SUMIFS($AH$3:$AH$1500,$A$3:$A$1500,A70)</f>
        <v>16032</v>
      </c>
      <c r="AQ70" s="37">
        <f>SUMIFS($AJ$3:$AJ$1500,$A$3:$A$1500,A70)</f>
        <v>3618796</v>
      </c>
      <c r="AR70" s="37">
        <f>SUMIFS($AK$3:$AK$1500,$A$3:$A$1500,A70)</f>
        <v>4274388</v>
      </c>
      <c r="AS70" s="31">
        <f>IFERROR(AQ70/SUMIFS($AJ$3:$AJ$1500,$F$3:$F$1500,EDATE(F70,-1))-1,"N/A - first run")</f>
        <v>-9.5319110734498613E-3</v>
      </c>
      <c r="AT70" s="21" t="s">
        <v>4933</v>
      </c>
      <c r="AU70" s="21" t="str">
        <f>IF(P70&gt;0,"Unpaid leave "&amp;P70&amp;" day(s)",IF(R70&gt;40,"Overtime above 40 hrs","None"))</f>
        <v>None</v>
      </c>
      <c r="AV70" s="29">
        <f>EOMONTH(H70,0)+15</f>
        <v>46249</v>
      </c>
      <c r="AW70" s="21" t="s">
        <v>4952</v>
      </c>
      <c r="AX70" s="21" t="s">
        <v>4935</v>
      </c>
      <c r="AY70" s="21" t="str">
        <f>IF(U70+V70+W70&gt;=40000,"Compliant","Below minimum wage")</f>
        <v>Compliant</v>
      </c>
    </row>
    <row r="71" spans="1:51" x14ac:dyDescent="0.3">
      <c r="A71" s="21" t="s">
        <v>4931</v>
      </c>
      <c r="B71" s="39">
        <v>46204</v>
      </c>
      <c r="C71" s="21" t="s">
        <v>4932</v>
      </c>
      <c r="D71" s="21" t="s">
        <v>4842</v>
      </c>
      <c r="E71" s="21" t="s">
        <v>743</v>
      </c>
      <c r="F71" s="29">
        <v>46228</v>
      </c>
      <c r="G71" s="21">
        <f>COUNTIFS($A$3:$A$1500,A71)</f>
        <v>25</v>
      </c>
      <c r="H71" s="29">
        <v>46234</v>
      </c>
      <c r="I71" s="21" t="s">
        <v>1797</v>
      </c>
      <c r="J71" s="21" t="s">
        <v>4357</v>
      </c>
      <c r="K71" s="21" t="s">
        <v>4887</v>
      </c>
      <c r="L71" s="21" t="s">
        <v>4885</v>
      </c>
      <c r="M71" s="21">
        <v>31</v>
      </c>
      <c r="N71" s="21">
        <v>26</v>
      </c>
      <c r="O71" s="21">
        <v>0</v>
      </c>
      <c r="P71" s="21">
        <v>0</v>
      </c>
      <c r="Q71" s="21" t="s">
        <v>848</v>
      </c>
      <c r="R71" s="21">
        <v>23</v>
      </c>
      <c r="S71" s="21">
        <v>0</v>
      </c>
      <c r="T71" s="21" t="s">
        <v>1706</v>
      </c>
      <c r="U71" s="37">
        <f>_xlfn.XLOOKUP(LEFT(K71,7),'T07'!$A$3:$A$1500,'T07'!$AS$3:$AS$1500)</f>
        <v>37200</v>
      </c>
      <c r="V71" s="37">
        <f>_xlfn.XLOOKUP(LEFT(K71,7),'T07'!$A$3:$A$1500,'T07'!$AT$3:$AT$1500)</f>
        <v>16740</v>
      </c>
      <c r="W71" s="37">
        <v>5000</v>
      </c>
      <c r="X71" s="37">
        <f>ROUND(U71/M71/8*2*R71,0)</f>
        <v>6900</v>
      </c>
      <c r="Y71" s="37">
        <f>ROUND(U71/M71*2*S71,0)</f>
        <v>0</v>
      </c>
      <c r="Z71" s="37">
        <v>0</v>
      </c>
      <c r="AA71" s="37">
        <v>0</v>
      </c>
      <c r="AB71" s="37">
        <v>0</v>
      </c>
      <c r="AC71" s="37">
        <f>U71+V71+W71+X71+Y71+Z71+AA71+AB71</f>
        <v>65840</v>
      </c>
      <c r="AD71" s="37">
        <f>_xlfn.LET(_xlpm.a,(AC71-AB71)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158</v>
      </c>
      <c r="AE71" s="37" cm="1">
        <f t="array" ref="AE71">SUMPRODUCT((LEFT($K$3:$K$1500,7)=LEFT(K71,7))*($F$3:$F$1500&lt;=F71)*($F$3:$F$1500&gt;=DATE(IF(MONTH(F71)&gt;=7,YEAR(F71),YEAR(F71)-1),7,1))*($AC$3:$AC$1500-$AB$3:$AB$1500))</f>
        <v>65840</v>
      </c>
      <c r="AF71" s="37">
        <v>10000</v>
      </c>
      <c r="AG71" s="37">
        <f>ROUND((U71+V71)/M71*P71,0)</f>
        <v>0</v>
      </c>
      <c r="AH71" s="37">
        <v>0</v>
      </c>
      <c r="AI71" s="37">
        <f>AD71+AF71+AG71+AH71</f>
        <v>10158</v>
      </c>
      <c r="AJ71" s="37">
        <f>AC71-AI71</f>
        <v>55682</v>
      </c>
      <c r="AK71" s="37">
        <f>AC71+2000</f>
        <v>67840</v>
      </c>
      <c r="AL71" s="21">
        <f>COUNTIFS($A$3:$A$1500,A71)</f>
        <v>25</v>
      </c>
      <c r="AM71" s="37">
        <f>SUMIFS($AC$3:$AC$1500,$A$3:$A$1500,A71)</f>
        <v>4224388</v>
      </c>
      <c r="AN71" s="37">
        <f>SUMIFS($AD$3:$AD$1500,$A$3:$A$1500,A71)</f>
        <v>559560</v>
      </c>
      <c r="AO71" s="37">
        <f>SUMIFS($AF$3:$AF$1500,$A$3:$A$1500,A71)</f>
        <v>30000</v>
      </c>
      <c r="AP71" s="37">
        <f>SUMIFS($AG$3:$AG$1500,$A$3:$A$1500,A71)+SUMIFS($AH$3:$AH$1500,$A$3:$A$1500,A71)</f>
        <v>16032</v>
      </c>
      <c r="AQ71" s="37">
        <f>SUMIFS($AJ$3:$AJ$1500,$A$3:$A$1500,A71)</f>
        <v>3618796</v>
      </c>
      <c r="AR71" s="37">
        <f>SUMIFS($AK$3:$AK$1500,$A$3:$A$1500,A71)</f>
        <v>4274388</v>
      </c>
      <c r="AS71" s="31">
        <f>IFERROR(AQ71/SUMIFS($AJ$3:$AJ$1500,$F$3:$F$1500,EDATE(F71,-1))-1,"N/A - first run")</f>
        <v>-9.5319110734498613E-3</v>
      </c>
      <c r="AT71" s="21" t="s">
        <v>4933</v>
      </c>
      <c r="AU71" s="21" t="str">
        <f>IF(P71&gt;0,"Unpaid leave "&amp;P71&amp;" day(s)",IF(R71&gt;40,"Overtime above 40 hrs","None"))</f>
        <v>None</v>
      </c>
      <c r="AV71" s="29">
        <f>EOMONTH(H71,0)+15</f>
        <v>46249</v>
      </c>
      <c r="AW71" s="21" t="s">
        <v>4953</v>
      </c>
      <c r="AX71" s="21" t="s">
        <v>4935</v>
      </c>
      <c r="AY71" s="21" t="str">
        <f>IF(U71+V71+W71&gt;=40000,"Compliant","Below minimum wage")</f>
        <v>Compliant</v>
      </c>
    </row>
    <row r="72" spans="1:51" x14ac:dyDescent="0.3">
      <c r="A72" s="21" t="s">
        <v>4931</v>
      </c>
      <c r="B72" s="39">
        <v>46204</v>
      </c>
      <c r="C72" s="21" t="s">
        <v>4932</v>
      </c>
      <c r="D72" s="21" t="s">
        <v>4842</v>
      </c>
      <c r="E72" s="21" t="s">
        <v>743</v>
      </c>
      <c r="F72" s="29">
        <v>46228</v>
      </c>
      <c r="G72" s="21">
        <f>COUNTIFS($A$3:$A$1500,A72)</f>
        <v>25</v>
      </c>
      <c r="H72" s="29">
        <v>46234</v>
      </c>
      <c r="I72" s="21" t="s">
        <v>1797</v>
      </c>
      <c r="J72" s="21" t="s">
        <v>4357</v>
      </c>
      <c r="K72" s="21" t="s">
        <v>4889</v>
      </c>
      <c r="L72" s="21" t="s">
        <v>4885</v>
      </c>
      <c r="M72" s="21">
        <v>31</v>
      </c>
      <c r="N72" s="21">
        <v>25</v>
      </c>
      <c r="O72" s="21">
        <v>1</v>
      </c>
      <c r="P72" s="21">
        <v>0</v>
      </c>
      <c r="Q72" s="21" t="s">
        <v>848</v>
      </c>
      <c r="R72" s="21">
        <v>9</v>
      </c>
      <c r="S72" s="21">
        <v>0</v>
      </c>
      <c r="T72" s="21" t="s">
        <v>1719</v>
      </c>
      <c r="U72" s="37">
        <f>_xlfn.XLOOKUP(LEFT(K72,7),'T07'!$A$3:$A$1500,'T07'!$AS$3:$AS$1500)</f>
        <v>37200</v>
      </c>
      <c r="V72" s="37">
        <f>_xlfn.XLOOKUP(LEFT(K72,7),'T07'!$A$3:$A$1500,'T07'!$AT$3:$AT$1500)</f>
        <v>16740</v>
      </c>
      <c r="W72" s="37">
        <v>5000</v>
      </c>
      <c r="X72" s="37">
        <f>ROUND(U72/M72/8*2*R72,0)</f>
        <v>2700</v>
      </c>
      <c r="Y72" s="37">
        <f>ROUND(U72/M72*2*S72,0)</f>
        <v>0</v>
      </c>
      <c r="Z72" s="37">
        <v>0</v>
      </c>
      <c r="AA72" s="37">
        <v>0</v>
      </c>
      <c r="AB72" s="37">
        <v>0</v>
      </c>
      <c r="AC72" s="37">
        <f>U72+V72+W72+X72+Y72+Z72+AA72+AB72</f>
        <v>61640</v>
      </c>
      <c r="AD72" s="37">
        <f>_xlfn.LET(_xlpm.a,(AC72-AB72)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116</v>
      </c>
      <c r="AE72" s="37" cm="1">
        <f t="array" ref="AE72">SUMPRODUCT((LEFT($K$3:$K$1500,7)=LEFT(K72,7))*($F$3:$F$1500&lt;=F72)*($F$3:$F$1500&gt;=DATE(IF(MONTH(F72)&gt;=7,YEAR(F72),YEAR(F72)-1),7,1))*($AC$3:$AC$1500-$AB$3:$AB$1500))</f>
        <v>61640</v>
      </c>
      <c r="AF72" s="37">
        <v>0</v>
      </c>
      <c r="AG72" s="37">
        <f>ROUND((U72+V72)/M72*P72,0)</f>
        <v>0</v>
      </c>
      <c r="AH72" s="37">
        <v>0</v>
      </c>
      <c r="AI72" s="37">
        <f>AD72+AF72+AG72+AH72</f>
        <v>116</v>
      </c>
      <c r="AJ72" s="37">
        <f>AC72-AI72</f>
        <v>61524</v>
      </c>
      <c r="AK72" s="37">
        <f>AC72+2000</f>
        <v>63640</v>
      </c>
      <c r="AL72" s="21">
        <f>COUNTIFS($A$3:$A$1500,A72)</f>
        <v>25</v>
      </c>
      <c r="AM72" s="37">
        <f>SUMIFS($AC$3:$AC$1500,$A$3:$A$1500,A72)</f>
        <v>4224388</v>
      </c>
      <c r="AN72" s="37">
        <f>SUMIFS($AD$3:$AD$1500,$A$3:$A$1500,A72)</f>
        <v>559560</v>
      </c>
      <c r="AO72" s="37">
        <f>SUMIFS($AF$3:$AF$1500,$A$3:$A$1500,A72)</f>
        <v>30000</v>
      </c>
      <c r="AP72" s="37">
        <f>SUMIFS($AG$3:$AG$1500,$A$3:$A$1500,A72)+SUMIFS($AH$3:$AH$1500,$A$3:$A$1500,A72)</f>
        <v>16032</v>
      </c>
      <c r="AQ72" s="37">
        <f>SUMIFS($AJ$3:$AJ$1500,$A$3:$A$1500,A72)</f>
        <v>3618796</v>
      </c>
      <c r="AR72" s="37">
        <f>SUMIFS($AK$3:$AK$1500,$A$3:$A$1500,A72)</f>
        <v>4274388</v>
      </c>
      <c r="AS72" s="31">
        <f>IFERROR(AQ72/SUMIFS($AJ$3:$AJ$1500,$F$3:$F$1500,EDATE(F72,-1))-1,"N/A - first run")</f>
        <v>-9.5319110734498613E-3</v>
      </c>
      <c r="AT72" s="21" t="s">
        <v>4933</v>
      </c>
      <c r="AU72" s="21" t="str">
        <f>IF(P72&gt;0,"Unpaid leave "&amp;P72&amp;" day(s)",IF(R72&gt;40,"Overtime above 40 hrs","None"))</f>
        <v>None</v>
      </c>
      <c r="AV72" s="29">
        <f>EOMONTH(H72,0)+15</f>
        <v>46249</v>
      </c>
      <c r="AW72" s="21" t="s">
        <v>4954</v>
      </c>
      <c r="AX72" s="21" t="s">
        <v>4935</v>
      </c>
      <c r="AY72" s="21" t="str">
        <f>IF(U72+V72+W72&gt;=40000,"Compliant","Below minimum wage")</f>
        <v>Compliant</v>
      </c>
    </row>
    <row r="73" spans="1:51" x14ac:dyDescent="0.3">
      <c r="A73" s="21" t="s">
        <v>4931</v>
      </c>
      <c r="B73" s="39">
        <v>46204</v>
      </c>
      <c r="C73" s="21" t="s">
        <v>4932</v>
      </c>
      <c r="D73" s="21" t="s">
        <v>4842</v>
      </c>
      <c r="E73" s="21" t="s">
        <v>743</v>
      </c>
      <c r="F73" s="29">
        <v>46228</v>
      </c>
      <c r="G73" s="21">
        <f>COUNTIFS($A$3:$A$1500,A73)</f>
        <v>25</v>
      </c>
      <c r="H73" s="29">
        <v>46234</v>
      </c>
      <c r="I73" s="21" t="s">
        <v>1797</v>
      </c>
      <c r="J73" s="21" t="s">
        <v>4357</v>
      </c>
      <c r="K73" s="21" t="s">
        <v>4891</v>
      </c>
      <c r="L73" s="21" t="s">
        <v>4892</v>
      </c>
      <c r="M73" s="21">
        <v>31</v>
      </c>
      <c r="N73" s="21">
        <v>25</v>
      </c>
      <c r="O73" s="21">
        <v>1</v>
      </c>
      <c r="P73" s="21">
        <v>0</v>
      </c>
      <c r="Q73" s="21" t="s">
        <v>4845</v>
      </c>
      <c r="R73" s="21">
        <v>19</v>
      </c>
      <c r="S73" s="21">
        <v>0</v>
      </c>
      <c r="T73" s="21" t="s">
        <v>1734</v>
      </c>
      <c r="U73" s="37">
        <f>_xlfn.XLOOKUP(LEFT(K73,7),'T07'!$A$3:$A$1500,'T07'!$AS$3:$AS$1500)</f>
        <v>34800</v>
      </c>
      <c r="V73" s="37">
        <f>_xlfn.XLOOKUP(LEFT(K73,7),'T07'!$A$3:$A$1500,'T07'!$AT$3:$AT$1500)</f>
        <v>15660</v>
      </c>
      <c r="W73" s="37">
        <v>5000</v>
      </c>
      <c r="X73" s="37">
        <f>ROUND(U73/M73/8*2*R73,0)</f>
        <v>5332</v>
      </c>
      <c r="Y73" s="37">
        <f>ROUND(U73/M73*2*S73,0)</f>
        <v>0</v>
      </c>
      <c r="Z73" s="37">
        <v>0</v>
      </c>
      <c r="AA73" s="37">
        <v>0</v>
      </c>
      <c r="AB73" s="37">
        <v>0</v>
      </c>
      <c r="AC73" s="37">
        <f>U73+V73+W73+X73+Y73+Z73+AA73+AB73</f>
        <v>60792</v>
      </c>
      <c r="AD73" s="37">
        <f>_xlfn.LET(_xlpm.a,(AC73-AB73)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108</v>
      </c>
      <c r="AE73" s="37" cm="1">
        <f t="array" ref="AE73">SUMPRODUCT((LEFT($K$3:$K$1500,7)=LEFT(K73,7))*($F$3:$F$1500&lt;=F73)*($F$3:$F$1500&gt;=DATE(IF(MONTH(F73)&gt;=7,YEAR(F73),YEAR(F73)-1),7,1))*($AC$3:$AC$1500-$AB$3:$AB$1500))</f>
        <v>60792</v>
      </c>
      <c r="AF73" s="37">
        <v>0</v>
      </c>
      <c r="AG73" s="37">
        <f>ROUND((U73+V73)/M73*P73,0)</f>
        <v>0</v>
      </c>
      <c r="AH73" s="37">
        <v>0</v>
      </c>
      <c r="AI73" s="37">
        <f>AD73+AF73+AG73+AH73</f>
        <v>108</v>
      </c>
      <c r="AJ73" s="37">
        <f>AC73-AI73</f>
        <v>60684</v>
      </c>
      <c r="AK73" s="37">
        <f>AC73+2000</f>
        <v>62792</v>
      </c>
      <c r="AL73" s="21">
        <f>COUNTIFS($A$3:$A$1500,A73)</f>
        <v>25</v>
      </c>
      <c r="AM73" s="37">
        <f>SUMIFS($AC$3:$AC$1500,$A$3:$A$1500,A73)</f>
        <v>4224388</v>
      </c>
      <c r="AN73" s="37">
        <f>SUMIFS($AD$3:$AD$1500,$A$3:$A$1500,A73)</f>
        <v>559560</v>
      </c>
      <c r="AO73" s="37">
        <f>SUMIFS($AF$3:$AF$1500,$A$3:$A$1500,A73)</f>
        <v>30000</v>
      </c>
      <c r="AP73" s="37">
        <f>SUMIFS($AG$3:$AG$1500,$A$3:$A$1500,A73)+SUMIFS($AH$3:$AH$1500,$A$3:$A$1500,A73)</f>
        <v>16032</v>
      </c>
      <c r="AQ73" s="37">
        <f>SUMIFS($AJ$3:$AJ$1500,$A$3:$A$1500,A73)</f>
        <v>3618796</v>
      </c>
      <c r="AR73" s="37">
        <f>SUMIFS($AK$3:$AK$1500,$A$3:$A$1500,A73)</f>
        <v>4274388</v>
      </c>
      <c r="AS73" s="31">
        <f>IFERROR(AQ73/SUMIFS($AJ$3:$AJ$1500,$F$3:$F$1500,EDATE(F73,-1))-1,"N/A - first run")</f>
        <v>-9.5319110734498613E-3</v>
      </c>
      <c r="AT73" s="21" t="s">
        <v>4933</v>
      </c>
      <c r="AU73" s="21" t="str">
        <f>IF(P73&gt;0,"Unpaid leave "&amp;P73&amp;" day(s)",IF(R73&gt;40,"Overtime above 40 hrs","None"))</f>
        <v>None</v>
      </c>
      <c r="AV73" s="29">
        <f>EOMONTH(H73,0)+15</f>
        <v>46249</v>
      </c>
      <c r="AW73" s="21" t="s">
        <v>4955</v>
      </c>
      <c r="AX73" s="21" t="s">
        <v>4935</v>
      </c>
      <c r="AY73" s="21" t="str">
        <f>IF(U73+V73+W73&gt;=40000,"Compliant","Below minimum wage")</f>
        <v>Compliant</v>
      </c>
    </row>
    <row r="74" spans="1:51" x14ac:dyDescent="0.3">
      <c r="A74" s="21" t="s">
        <v>4931</v>
      </c>
      <c r="B74" s="39">
        <v>46204</v>
      </c>
      <c r="C74" s="21" t="s">
        <v>4932</v>
      </c>
      <c r="D74" s="21" t="s">
        <v>4842</v>
      </c>
      <c r="E74" s="21" t="s">
        <v>743</v>
      </c>
      <c r="F74" s="29">
        <v>46228</v>
      </c>
      <c r="G74" s="21">
        <f>COUNTIFS($A$3:$A$1500,A74)</f>
        <v>25</v>
      </c>
      <c r="H74" s="29">
        <v>46234</v>
      </c>
      <c r="I74" s="21" t="s">
        <v>1797</v>
      </c>
      <c r="J74" s="21" t="s">
        <v>4357</v>
      </c>
      <c r="K74" s="21" t="s">
        <v>4894</v>
      </c>
      <c r="L74" s="21" t="s">
        <v>4885</v>
      </c>
      <c r="M74" s="21">
        <v>31</v>
      </c>
      <c r="N74" s="21">
        <v>26</v>
      </c>
      <c r="O74" s="21">
        <v>0</v>
      </c>
      <c r="P74" s="21">
        <v>0</v>
      </c>
      <c r="Q74" s="21" t="s">
        <v>848</v>
      </c>
      <c r="R74" s="21">
        <v>10</v>
      </c>
      <c r="S74" s="21">
        <v>0</v>
      </c>
      <c r="T74" s="21" t="s">
        <v>1748</v>
      </c>
      <c r="U74" s="37">
        <f>_xlfn.XLOOKUP(LEFT(K74,7),'T07'!$A$3:$A$1500,'T07'!$AS$3:$AS$1500)</f>
        <v>36000</v>
      </c>
      <c r="V74" s="37">
        <f>_xlfn.XLOOKUP(LEFT(K74,7),'T07'!$A$3:$A$1500,'T07'!$AT$3:$AT$1500)</f>
        <v>16200</v>
      </c>
      <c r="W74" s="37">
        <v>5000</v>
      </c>
      <c r="X74" s="37">
        <f>ROUND(U74/M74/8*2*R74,0)</f>
        <v>2903</v>
      </c>
      <c r="Y74" s="37">
        <f>ROUND(U74/M74*2*S74,0)</f>
        <v>0</v>
      </c>
      <c r="Z74" s="37">
        <v>0</v>
      </c>
      <c r="AA74" s="37">
        <v>0</v>
      </c>
      <c r="AB74" s="37">
        <v>0</v>
      </c>
      <c r="AC74" s="37">
        <f>U74+V74+W74+X74+Y74+Z74+AA74+AB74</f>
        <v>60103</v>
      </c>
      <c r="AD74" s="37">
        <f>_xlfn.LET(_xlpm.a,(AC74-AB74)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101</v>
      </c>
      <c r="AE74" s="37" cm="1">
        <f t="array" ref="AE74">SUMPRODUCT((LEFT($K$3:$K$1500,7)=LEFT(K74,7))*($F$3:$F$1500&lt;=F74)*($F$3:$F$1500&gt;=DATE(IF(MONTH(F74)&gt;=7,YEAR(F74),YEAR(F74)-1),7,1))*($AC$3:$AC$1500-$AB$3:$AB$1500))</f>
        <v>60103</v>
      </c>
      <c r="AF74" s="37">
        <v>0</v>
      </c>
      <c r="AG74" s="37">
        <f>ROUND((U74+V74)/M74*P74,0)</f>
        <v>0</v>
      </c>
      <c r="AH74" s="37">
        <v>0</v>
      </c>
      <c r="AI74" s="37">
        <f>AD74+AF74+AG74+AH74</f>
        <v>101</v>
      </c>
      <c r="AJ74" s="37">
        <f>AC74-AI74</f>
        <v>60002</v>
      </c>
      <c r="AK74" s="37">
        <f>AC74+2000</f>
        <v>62103</v>
      </c>
      <c r="AL74" s="21">
        <f>COUNTIFS($A$3:$A$1500,A74)</f>
        <v>25</v>
      </c>
      <c r="AM74" s="37">
        <f>SUMIFS($AC$3:$AC$1500,$A$3:$A$1500,A74)</f>
        <v>4224388</v>
      </c>
      <c r="AN74" s="37">
        <f>SUMIFS($AD$3:$AD$1500,$A$3:$A$1500,A74)</f>
        <v>559560</v>
      </c>
      <c r="AO74" s="37">
        <f>SUMIFS($AF$3:$AF$1500,$A$3:$A$1500,A74)</f>
        <v>30000</v>
      </c>
      <c r="AP74" s="37">
        <f>SUMIFS($AG$3:$AG$1500,$A$3:$A$1500,A74)+SUMIFS($AH$3:$AH$1500,$A$3:$A$1500,A74)</f>
        <v>16032</v>
      </c>
      <c r="AQ74" s="37">
        <f>SUMIFS($AJ$3:$AJ$1500,$A$3:$A$1500,A74)</f>
        <v>3618796</v>
      </c>
      <c r="AR74" s="37">
        <f>SUMIFS($AK$3:$AK$1500,$A$3:$A$1500,A74)</f>
        <v>4274388</v>
      </c>
      <c r="AS74" s="31">
        <f>IFERROR(AQ74/SUMIFS($AJ$3:$AJ$1500,$F$3:$F$1500,EDATE(F74,-1))-1,"N/A - first run")</f>
        <v>-9.5319110734498613E-3</v>
      </c>
      <c r="AT74" s="21" t="s">
        <v>4933</v>
      </c>
      <c r="AU74" s="21" t="str">
        <f>IF(P74&gt;0,"Unpaid leave "&amp;P74&amp;" day(s)",IF(R74&gt;40,"Overtime above 40 hrs","None"))</f>
        <v>None</v>
      </c>
      <c r="AV74" s="29">
        <f>EOMONTH(H74,0)+15</f>
        <v>46249</v>
      </c>
      <c r="AW74" s="21" t="s">
        <v>4956</v>
      </c>
      <c r="AX74" s="21" t="s">
        <v>4935</v>
      </c>
      <c r="AY74" s="21" t="str">
        <f>IF(U74+V74+W74&gt;=40000,"Compliant","Below minimum wage")</f>
        <v>Compliant</v>
      </c>
    </row>
    <row r="75" spans="1:51" x14ac:dyDescent="0.3">
      <c r="A75" s="21" t="s">
        <v>4931</v>
      </c>
      <c r="B75" s="39">
        <v>46204</v>
      </c>
      <c r="C75" s="21" t="s">
        <v>4932</v>
      </c>
      <c r="D75" s="21" t="s">
        <v>4842</v>
      </c>
      <c r="E75" s="21" t="s">
        <v>743</v>
      </c>
      <c r="F75" s="29">
        <v>46228</v>
      </c>
      <c r="G75" s="21">
        <f>COUNTIFS($A$3:$A$1500,A75)</f>
        <v>25</v>
      </c>
      <c r="H75" s="29">
        <v>46234</v>
      </c>
      <c r="I75" s="21" t="s">
        <v>1797</v>
      </c>
      <c r="J75" s="21" t="s">
        <v>4357</v>
      </c>
      <c r="K75" s="21" t="s">
        <v>4896</v>
      </c>
      <c r="L75" s="21" t="s">
        <v>4885</v>
      </c>
      <c r="M75" s="21">
        <v>31</v>
      </c>
      <c r="N75" s="21">
        <v>26</v>
      </c>
      <c r="O75" s="21">
        <v>0</v>
      </c>
      <c r="P75" s="21">
        <v>0</v>
      </c>
      <c r="Q75" s="21" t="s">
        <v>848</v>
      </c>
      <c r="R75" s="21">
        <v>27</v>
      </c>
      <c r="S75" s="21">
        <v>0</v>
      </c>
      <c r="T75" s="21" t="s">
        <v>1761</v>
      </c>
      <c r="U75" s="37">
        <f>_xlfn.XLOOKUP(LEFT(K75,7),'T07'!$A$3:$A$1500,'T07'!$AS$3:$AS$1500)</f>
        <v>36000</v>
      </c>
      <c r="V75" s="37">
        <f>_xlfn.XLOOKUP(LEFT(K75,7),'T07'!$A$3:$A$1500,'T07'!$AT$3:$AT$1500)</f>
        <v>16200</v>
      </c>
      <c r="W75" s="37">
        <v>5000</v>
      </c>
      <c r="X75" s="37">
        <f>ROUND(U75/M75/8*2*R75,0)</f>
        <v>7839</v>
      </c>
      <c r="Y75" s="37">
        <f>ROUND(U75/M75*2*S75,0)</f>
        <v>0</v>
      </c>
      <c r="Z75" s="37">
        <v>0</v>
      </c>
      <c r="AA75" s="37">
        <v>0</v>
      </c>
      <c r="AB75" s="37">
        <v>0</v>
      </c>
      <c r="AC75" s="37">
        <f>U75+V75+W75+X75+Y75+Z75+AA75+AB75</f>
        <v>65039</v>
      </c>
      <c r="AD75" s="37">
        <f>_xlfn.LET(_xlpm.a,(AC75-AB75)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150</v>
      </c>
      <c r="AE75" s="37" cm="1">
        <f t="array" ref="AE75">SUMPRODUCT((LEFT($K$3:$K$1500,7)=LEFT(K75,7))*($F$3:$F$1500&lt;=F75)*($F$3:$F$1500&gt;=DATE(IF(MONTH(F75)&gt;=7,YEAR(F75),YEAR(F75)-1),7,1))*($AC$3:$AC$1500-$AB$3:$AB$1500))</f>
        <v>65039</v>
      </c>
      <c r="AF75" s="37">
        <v>0</v>
      </c>
      <c r="AG75" s="37">
        <f>ROUND((U75+V75)/M75*P75,0)</f>
        <v>0</v>
      </c>
      <c r="AH75" s="37">
        <v>0</v>
      </c>
      <c r="AI75" s="37">
        <f>AD75+AF75+AG75+AH75</f>
        <v>150</v>
      </c>
      <c r="AJ75" s="37">
        <f>AC75-AI75</f>
        <v>64889</v>
      </c>
      <c r="AK75" s="37">
        <f>AC75+2000</f>
        <v>67039</v>
      </c>
      <c r="AL75" s="21">
        <f>COUNTIFS($A$3:$A$1500,A75)</f>
        <v>25</v>
      </c>
      <c r="AM75" s="37">
        <f>SUMIFS($AC$3:$AC$1500,$A$3:$A$1500,A75)</f>
        <v>4224388</v>
      </c>
      <c r="AN75" s="37">
        <f>SUMIFS($AD$3:$AD$1500,$A$3:$A$1500,A75)</f>
        <v>559560</v>
      </c>
      <c r="AO75" s="37">
        <f>SUMIFS($AF$3:$AF$1500,$A$3:$A$1500,A75)</f>
        <v>30000</v>
      </c>
      <c r="AP75" s="37">
        <f>SUMIFS($AG$3:$AG$1500,$A$3:$A$1500,A75)+SUMIFS($AH$3:$AH$1500,$A$3:$A$1500,A75)</f>
        <v>16032</v>
      </c>
      <c r="AQ75" s="37">
        <f>SUMIFS($AJ$3:$AJ$1500,$A$3:$A$1500,A75)</f>
        <v>3618796</v>
      </c>
      <c r="AR75" s="37">
        <f>SUMIFS($AK$3:$AK$1500,$A$3:$A$1500,A75)</f>
        <v>4274388</v>
      </c>
      <c r="AS75" s="31">
        <f>IFERROR(AQ75/SUMIFS($AJ$3:$AJ$1500,$F$3:$F$1500,EDATE(F75,-1))-1,"N/A - first run")</f>
        <v>-9.5319110734498613E-3</v>
      </c>
      <c r="AT75" s="21" t="s">
        <v>4933</v>
      </c>
      <c r="AU75" s="21" t="str">
        <f>IF(P75&gt;0,"Unpaid leave "&amp;P75&amp;" day(s)",IF(R75&gt;40,"Overtime above 40 hrs","None"))</f>
        <v>None</v>
      </c>
      <c r="AV75" s="29">
        <f>EOMONTH(H75,0)+15</f>
        <v>46249</v>
      </c>
      <c r="AW75" s="21" t="s">
        <v>4957</v>
      </c>
      <c r="AX75" s="21" t="s">
        <v>4935</v>
      </c>
      <c r="AY75" s="21" t="str">
        <f>IF(U75+V75+W75&gt;=40000,"Compliant","Below minimum wage")</f>
        <v>Compliant</v>
      </c>
    </row>
    <row r="76" spans="1:51" x14ac:dyDescent="0.3">
      <c r="A76" s="21" t="s">
        <v>4931</v>
      </c>
      <c r="B76" s="39">
        <v>46204</v>
      </c>
      <c r="C76" s="21" t="s">
        <v>4932</v>
      </c>
      <c r="D76" s="21" t="s">
        <v>4842</v>
      </c>
      <c r="E76" s="21" t="s">
        <v>743</v>
      </c>
      <c r="F76" s="29">
        <v>46228</v>
      </c>
      <c r="G76" s="21">
        <f>COUNTIFS($A$3:$A$1500,A76)</f>
        <v>25</v>
      </c>
      <c r="H76" s="29">
        <v>46234</v>
      </c>
      <c r="I76" s="21" t="s">
        <v>1797</v>
      </c>
      <c r="J76" s="21" t="s">
        <v>4357</v>
      </c>
      <c r="K76" s="21" t="s">
        <v>4898</v>
      </c>
      <c r="L76" s="21" t="s">
        <v>4892</v>
      </c>
      <c r="M76" s="21">
        <v>31</v>
      </c>
      <c r="N76" s="21">
        <v>24</v>
      </c>
      <c r="O76" s="21">
        <v>2</v>
      </c>
      <c r="P76" s="21">
        <v>0</v>
      </c>
      <c r="Q76" s="21" t="s">
        <v>848</v>
      </c>
      <c r="R76" s="21">
        <v>28</v>
      </c>
      <c r="S76" s="21">
        <v>0</v>
      </c>
      <c r="T76" s="21" t="s">
        <v>1776</v>
      </c>
      <c r="U76" s="37">
        <f>_xlfn.XLOOKUP(LEFT(K76,7),'T07'!$A$3:$A$1500,'T07'!$AS$3:$AS$1500)</f>
        <v>33000</v>
      </c>
      <c r="V76" s="37">
        <f>_xlfn.XLOOKUP(LEFT(K76,7),'T07'!$A$3:$A$1500,'T07'!$AT$3:$AT$1500)</f>
        <v>14850</v>
      </c>
      <c r="W76" s="37">
        <v>5000</v>
      </c>
      <c r="X76" s="37">
        <f>ROUND(U76/M76/8*2*R76,0)</f>
        <v>7452</v>
      </c>
      <c r="Y76" s="37">
        <f>ROUND(U76/M76*2*S76,0)</f>
        <v>0</v>
      </c>
      <c r="Z76" s="37">
        <v>0</v>
      </c>
      <c r="AA76" s="37">
        <v>0</v>
      </c>
      <c r="AB76" s="37">
        <v>0</v>
      </c>
      <c r="AC76" s="37">
        <f>U76+V76+W76+X76+Y76+Z76+AA76+AB76</f>
        <v>60302</v>
      </c>
      <c r="AD76" s="37">
        <f>_xlfn.LET(_xlpm.a,(AC76-AB76)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103</v>
      </c>
      <c r="AE76" s="37" cm="1">
        <f t="array" ref="AE76">SUMPRODUCT((LEFT($K$3:$K$1500,7)=LEFT(K76,7))*($F$3:$F$1500&lt;=F76)*($F$3:$F$1500&gt;=DATE(IF(MONTH(F76)&gt;=7,YEAR(F76),YEAR(F76)-1),7,1))*($AC$3:$AC$1500-$AB$3:$AB$1500))</f>
        <v>60302</v>
      </c>
      <c r="AF76" s="37">
        <v>0</v>
      </c>
      <c r="AG76" s="37">
        <f>ROUND((U76+V76)/M76*P76,0)</f>
        <v>0</v>
      </c>
      <c r="AH76" s="37">
        <v>0</v>
      </c>
      <c r="AI76" s="37">
        <f>AD76+AF76+AG76+AH76</f>
        <v>103</v>
      </c>
      <c r="AJ76" s="37">
        <f>AC76-AI76</f>
        <v>60199</v>
      </c>
      <c r="AK76" s="37">
        <f>AC76+2000</f>
        <v>62302</v>
      </c>
      <c r="AL76" s="21">
        <f>COUNTIFS($A$3:$A$1500,A76)</f>
        <v>25</v>
      </c>
      <c r="AM76" s="37">
        <f>SUMIFS($AC$3:$AC$1500,$A$3:$A$1500,A76)</f>
        <v>4224388</v>
      </c>
      <c r="AN76" s="37">
        <f>SUMIFS($AD$3:$AD$1500,$A$3:$A$1500,A76)</f>
        <v>559560</v>
      </c>
      <c r="AO76" s="37">
        <f>SUMIFS($AF$3:$AF$1500,$A$3:$A$1500,A76)</f>
        <v>30000</v>
      </c>
      <c r="AP76" s="37">
        <f>SUMIFS($AG$3:$AG$1500,$A$3:$A$1500,A76)+SUMIFS($AH$3:$AH$1500,$A$3:$A$1500,A76)</f>
        <v>16032</v>
      </c>
      <c r="AQ76" s="37">
        <f>SUMIFS($AJ$3:$AJ$1500,$A$3:$A$1500,A76)</f>
        <v>3618796</v>
      </c>
      <c r="AR76" s="37">
        <f>SUMIFS($AK$3:$AK$1500,$A$3:$A$1500,A76)</f>
        <v>4274388</v>
      </c>
      <c r="AS76" s="31">
        <f>IFERROR(AQ76/SUMIFS($AJ$3:$AJ$1500,$F$3:$F$1500,EDATE(F76,-1))-1,"N/A - first run")</f>
        <v>-9.5319110734498613E-3</v>
      </c>
      <c r="AT76" s="21" t="s">
        <v>4933</v>
      </c>
      <c r="AU76" s="21" t="str">
        <f>IF(P76&gt;0,"Unpaid leave "&amp;P76&amp;" day(s)",IF(R76&gt;40,"Overtime above 40 hrs","None"))</f>
        <v>None</v>
      </c>
      <c r="AV76" s="29">
        <f>EOMONTH(H76,0)+15</f>
        <v>46249</v>
      </c>
      <c r="AW76" s="21" t="s">
        <v>4958</v>
      </c>
      <c r="AX76" s="21" t="s">
        <v>4935</v>
      </c>
      <c r="AY76" s="21" t="str">
        <f>IF(U76+V76+W76&gt;=40000,"Compliant","Below minimum wage")</f>
        <v>Compliant</v>
      </c>
    </row>
    <row r="77" spans="1:51" x14ac:dyDescent="0.3">
      <c r="A77" s="21" t="s">
        <v>4931</v>
      </c>
      <c r="B77" s="39">
        <v>46204</v>
      </c>
      <c r="C77" s="21" t="s">
        <v>4932</v>
      </c>
      <c r="D77" s="21" t="s">
        <v>4842</v>
      </c>
      <c r="E77" s="21" t="s">
        <v>743</v>
      </c>
      <c r="F77" s="29">
        <v>46228</v>
      </c>
      <c r="G77" s="21">
        <f>COUNTIFS($A$3:$A$1500,A77)</f>
        <v>25</v>
      </c>
      <c r="H77" s="29">
        <v>46234</v>
      </c>
      <c r="I77" s="21" t="s">
        <v>1797</v>
      </c>
      <c r="J77" s="21" t="s">
        <v>4357</v>
      </c>
      <c r="K77" s="21" t="s">
        <v>4900</v>
      </c>
      <c r="L77" s="21" t="s">
        <v>4885</v>
      </c>
      <c r="M77" s="21">
        <v>31</v>
      </c>
      <c r="N77" s="21">
        <v>25</v>
      </c>
      <c r="O77" s="21">
        <v>1</v>
      </c>
      <c r="P77" s="21">
        <v>0</v>
      </c>
      <c r="Q77" s="21" t="s">
        <v>848</v>
      </c>
      <c r="R77" s="21">
        <v>35</v>
      </c>
      <c r="S77" s="21">
        <v>0</v>
      </c>
      <c r="T77" s="21" t="s">
        <v>1790</v>
      </c>
      <c r="U77" s="37">
        <f>_xlfn.XLOOKUP(LEFT(K77,7),'T07'!$A$3:$A$1500,'T07'!$AS$3:$AS$1500)</f>
        <v>37200</v>
      </c>
      <c r="V77" s="37">
        <f>_xlfn.XLOOKUP(LEFT(K77,7),'T07'!$A$3:$A$1500,'T07'!$AT$3:$AT$1500)</f>
        <v>16740</v>
      </c>
      <c r="W77" s="37">
        <v>5000</v>
      </c>
      <c r="X77" s="37">
        <f>ROUND(U77/M77/8*2*R77,0)</f>
        <v>10500</v>
      </c>
      <c r="Y77" s="37">
        <f>ROUND(U77/M77*2*S77,0)</f>
        <v>0</v>
      </c>
      <c r="Z77" s="37">
        <v>0</v>
      </c>
      <c r="AA77" s="37">
        <v>0</v>
      </c>
      <c r="AB77" s="37">
        <v>0</v>
      </c>
      <c r="AC77" s="37">
        <f>U77+V77+W77+X77+Y77+Z77+AA77+AB77</f>
        <v>69440</v>
      </c>
      <c r="AD77" s="37">
        <f>_xlfn.LET(_xlpm.a,(AC77-AB77)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194</v>
      </c>
      <c r="AE77" s="37" cm="1">
        <f t="array" ref="AE77">SUMPRODUCT((LEFT($K$3:$K$1500,7)=LEFT(K77,7))*($F$3:$F$1500&lt;=F77)*($F$3:$F$1500&gt;=DATE(IF(MONTH(F77)&gt;=7,YEAR(F77),YEAR(F77)-1),7,1))*($AC$3:$AC$1500-$AB$3:$AB$1500))</f>
        <v>69440</v>
      </c>
      <c r="AF77" s="37">
        <v>0</v>
      </c>
      <c r="AG77" s="37">
        <f>ROUND((U77+V77)/M77*P77,0)</f>
        <v>0</v>
      </c>
      <c r="AH77" s="37">
        <v>0</v>
      </c>
      <c r="AI77" s="37">
        <f>AD77+AF77+AG77+AH77</f>
        <v>194</v>
      </c>
      <c r="AJ77" s="37">
        <f>AC77-AI77</f>
        <v>69246</v>
      </c>
      <c r="AK77" s="37">
        <f>AC77+2000</f>
        <v>71440</v>
      </c>
      <c r="AL77" s="21">
        <f>COUNTIFS($A$3:$A$1500,A77)</f>
        <v>25</v>
      </c>
      <c r="AM77" s="37">
        <f>SUMIFS($AC$3:$AC$1500,$A$3:$A$1500,A77)</f>
        <v>4224388</v>
      </c>
      <c r="AN77" s="37">
        <f>SUMIFS($AD$3:$AD$1500,$A$3:$A$1500,A77)</f>
        <v>559560</v>
      </c>
      <c r="AO77" s="37">
        <f>SUMIFS($AF$3:$AF$1500,$A$3:$A$1500,A77)</f>
        <v>30000</v>
      </c>
      <c r="AP77" s="37">
        <f>SUMIFS($AG$3:$AG$1500,$A$3:$A$1500,A77)+SUMIFS($AH$3:$AH$1500,$A$3:$A$1500,A77)</f>
        <v>16032</v>
      </c>
      <c r="AQ77" s="37">
        <f>SUMIFS($AJ$3:$AJ$1500,$A$3:$A$1500,A77)</f>
        <v>3618796</v>
      </c>
      <c r="AR77" s="37">
        <f>SUMIFS($AK$3:$AK$1500,$A$3:$A$1500,A77)</f>
        <v>4274388</v>
      </c>
      <c r="AS77" s="31">
        <f>IFERROR(AQ77/SUMIFS($AJ$3:$AJ$1500,$F$3:$F$1500,EDATE(F77,-1))-1,"N/A - first run")</f>
        <v>-9.5319110734498613E-3</v>
      </c>
      <c r="AT77" s="21" t="s">
        <v>4933</v>
      </c>
      <c r="AU77" s="21" t="str">
        <f>IF(P77&gt;0,"Unpaid leave "&amp;P77&amp;" day(s)",IF(R77&gt;40,"Overtime above 40 hrs","None"))</f>
        <v>None</v>
      </c>
      <c r="AV77" s="29">
        <f>EOMONTH(H77,0)+15</f>
        <v>46249</v>
      </c>
      <c r="AW77" s="21" t="s">
        <v>4959</v>
      </c>
      <c r="AX77" s="21" t="s">
        <v>4935</v>
      </c>
      <c r="AY77" s="21" t="str">
        <f>IF(U77+V77+W77&gt;=40000,"Compliant","Below minimum wage")</f>
        <v>Compliant</v>
      </c>
    </row>
    <row r="78" spans="1:51" x14ac:dyDescent="0.3">
      <c r="A78" s="21" t="s">
        <v>4960</v>
      </c>
      <c r="B78" s="39">
        <v>46235</v>
      </c>
      <c r="C78" s="21" t="s">
        <v>4961</v>
      </c>
      <c r="D78" s="21" t="s">
        <v>4842</v>
      </c>
      <c r="E78" s="21" t="s">
        <v>743</v>
      </c>
      <c r="F78" s="29">
        <v>46259</v>
      </c>
      <c r="G78" s="21">
        <f>COUNTIFS($A$3:$A$1500,A78)</f>
        <v>25</v>
      </c>
      <c r="H78" s="29">
        <v>46265</v>
      </c>
      <c r="I78" s="21" t="s">
        <v>1797</v>
      </c>
      <c r="J78" s="21" t="s">
        <v>4357</v>
      </c>
      <c r="K78" s="21" t="s">
        <v>4843</v>
      </c>
      <c r="L78" s="21" t="s">
        <v>4844</v>
      </c>
      <c r="M78" s="21">
        <v>31</v>
      </c>
      <c r="N78" s="21">
        <v>25</v>
      </c>
      <c r="O78" s="21">
        <v>1</v>
      </c>
      <c r="P78" s="21">
        <v>0</v>
      </c>
      <c r="Q78" s="21" t="s">
        <v>848</v>
      </c>
      <c r="R78" s="21">
        <v>0</v>
      </c>
      <c r="S78" s="21">
        <v>0</v>
      </c>
      <c r="T78" s="21" t="s">
        <v>1410</v>
      </c>
      <c r="U78" s="37">
        <f>_xlfn.XLOOKUP(LEFT(K78,7),'T07'!$A$3:$A$1500,'T07'!$AS$3:$AS$1500)</f>
        <v>720000</v>
      </c>
      <c r="V78" s="37">
        <f>_xlfn.XLOOKUP(LEFT(K78,7),'T07'!$A$3:$A$1500,'T07'!$AT$3:$AT$1500)</f>
        <v>324000</v>
      </c>
      <c r="W78" s="37">
        <v>0</v>
      </c>
      <c r="X78" s="37">
        <f>ROUND(U78/M78/8*2*R78,0)</f>
        <v>0</v>
      </c>
      <c r="Y78" s="37">
        <f>ROUND(U78/M78*2*S78,0)</f>
        <v>0</v>
      </c>
      <c r="Z78" s="37">
        <v>0</v>
      </c>
      <c r="AA78" s="37">
        <v>0</v>
      </c>
      <c r="AB78" s="37">
        <v>40000</v>
      </c>
      <c r="AC78" s="37">
        <f>U78+V78+W78+X78+Y78+Z78+AA78+AB78</f>
        <v>1084000</v>
      </c>
      <c r="AD78" s="37">
        <f>_xlfn.LET(_xlpm.a,(AC78-AB78)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297150</v>
      </c>
      <c r="AE78" s="37" cm="1">
        <f t="array" ref="AE78">SUMPRODUCT((LEFT($K$3:$K$1500,7)=LEFT(K78,7))*($F$3:$F$1500&lt;=F78)*($F$3:$F$1500&gt;=DATE(IF(MONTH(F78)&gt;=7,YEAR(F78),YEAR(F78)-1),7,1))*($AC$3:$AC$1500-$AB$3:$AB$1500))</f>
        <v>2088000</v>
      </c>
      <c r="AF78" s="37">
        <v>0</v>
      </c>
      <c r="AG78" s="37">
        <f>ROUND((U78+V78)/M78*P78,0)</f>
        <v>0</v>
      </c>
      <c r="AH78" s="37">
        <v>0</v>
      </c>
      <c r="AI78" s="37">
        <f>AD78+AF78+AG78+AH78</f>
        <v>297150</v>
      </c>
      <c r="AJ78" s="37">
        <f>AC78-AI78</f>
        <v>786850</v>
      </c>
      <c r="AK78" s="37">
        <f>AC78+2000</f>
        <v>1086000</v>
      </c>
      <c r="AL78" s="21">
        <f>COUNTIFS($A$3:$A$1500,A78)</f>
        <v>25</v>
      </c>
      <c r="AM78" s="37">
        <f>SUMIFS($AC$3:$AC$1500,$A$3:$A$1500,A78)</f>
        <v>4248832</v>
      </c>
      <c r="AN78" s="37">
        <f>SUMIFS($AD$3:$AD$1500,$A$3:$A$1500,A78)</f>
        <v>561319</v>
      </c>
      <c r="AO78" s="37">
        <f>SUMIFS($AF$3:$AF$1500,$A$3:$A$1500,A78)</f>
        <v>30000</v>
      </c>
      <c r="AP78" s="37">
        <f>SUMIFS($AG$3:$AG$1500,$A$3:$A$1500,A78)+SUMIFS($AH$3:$AH$1500,$A$3:$A$1500,A78)</f>
        <v>37887</v>
      </c>
      <c r="AQ78" s="37">
        <f>SUMIFS($AJ$3:$AJ$1500,$A$3:$A$1500,A78)</f>
        <v>3619626</v>
      </c>
      <c r="AR78" s="37">
        <f>SUMIFS($AK$3:$AK$1500,$A$3:$A$1500,A78)</f>
        <v>4298832</v>
      </c>
      <c r="AS78" s="31">
        <f>IFERROR(AQ78/SUMIFS($AJ$3:$AJ$1500,$F$3:$F$1500,EDATE(F78,-1))-1,"N/A - first run")</f>
        <v>2.2935805168344814E-4</v>
      </c>
      <c r="AT78" s="21" t="s">
        <v>4962</v>
      </c>
      <c r="AU78" s="21" t="str">
        <f>IF(P78&gt;0,"Unpaid leave "&amp;P78&amp;" day(s)",IF(R78&gt;40,"Overtime above 40 hrs","None"))</f>
        <v>None</v>
      </c>
      <c r="AV78" s="29">
        <f>EOMONTH(H78,0)+15</f>
        <v>46280</v>
      </c>
      <c r="AW78" s="21" t="s">
        <v>4963</v>
      </c>
      <c r="AX78" s="21" t="s">
        <v>4964</v>
      </c>
      <c r="AY78" s="21" t="str">
        <f>IF(U78+V78+W78&gt;=40000,"Compliant","Below minimum wage")</f>
        <v>Compliant</v>
      </c>
    </row>
    <row r="79" spans="1:51" x14ac:dyDescent="0.3">
      <c r="A79" s="21" t="s">
        <v>4960</v>
      </c>
      <c r="B79" s="39">
        <v>46235</v>
      </c>
      <c r="C79" s="21" t="s">
        <v>4961</v>
      </c>
      <c r="D79" s="21" t="s">
        <v>4842</v>
      </c>
      <c r="E79" s="21" t="s">
        <v>743</v>
      </c>
      <c r="F79" s="29">
        <v>46259</v>
      </c>
      <c r="G79" s="21">
        <f>COUNTIFS($A$3:$A$1500,A79)</f>
        <v>25</v>
      </c>
      <c r="H79" s="29">
        <v>46265</v>
      </c>
      <c r="I79" s="21" t="s">
        <v>1797</v>
      </c>
      <c r="J79" s="21" t="s">
        <v>4357</v>
      </c>
      <c r="K79" s="21" t="s">
        <v>4849</v>
      </c>
      <c r="L79" s="21" t="s">
        <v>4850</v>
      </c>
      <c r="M79" s="21">
        <v>31</v>
      </c>
      <c r="N79" s="21">
        <v>24</v>
      </c>
      <c r="O79" s="21">
        <v>2</v>
      </c>
      <c r="P79" s="21">
        <v>0</v>
      </c>
      <c r="Q79" s="21" t="s">
        <v>848</v>
      </c>
      <c r="R79" s="21">
        <v>0</v>
      </c>
      <c r="S79" s="21">
        <v>0</v>
      </c>
      <c r="T79" s="21" t="s">
        <v>1433</v>
      </c>
      <c r="U79" s="37">
        <f>_xlfn.XLOOKUP(LEFT(K79,7),'T07'!$A$3:$A$1500,'T07'!$AS$3:$AS$1500)</f>
        <v>390000</v>
      </c>
      <c r="V79" s="37">
        <f>_xlfn.XLOOKUP(LEFT(K79,7),'T07'!$A$3:$A$1500,'T07'!$AT$3:$AT$1500)</f>
        <v>175500</v>
      </c>
      <c r="W79" s="37">
        <v>0</v>
      </c>
      <c r="X79" s="37">
        <f>ROUND(U79/M79/8*2*R79,0)</f>
        <v>0</v>
      </c>
      <c r="Y79" s="37">
        <f>ROUND(U79/M79*2*S79,0)</f>
        <v>0</v>
      </c>
      <c r="Z79" s="37">
        <v>0</v>
      </c>
      <c r="AA79" s="37">
        <v>0</v>
      </c>
      <c r="AB79" s="37">
        <v>15000</v>
      </c>
      <c r="AC79" s="37">
        <f>U79+V79+W79+X79+Y79+Z79+AA79+AB79</f>
        <v>580500</v>
      </c>
      <c r="AD79" s="37">
        <f>_xlfn.LET(_xlpm.a,(AC79-AB79)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129675</v>
      </c>
      <c r="AE79" s="37" cm="1">
        <f t="array" ref="AE79">SUMPRODUCT((LEFT($K$3:$K$1500,7)=LEFT(K79,7))*($F$3:$F$1500&lt;=F79)*($F$3:$F$1500&gt;=DATE(IF(MONTH(F79)&gt;=7,YEAR(F79),YEAR(F79)-1),7,1))*($AC$3:$AC$1500-$AB$3:$AB$1500))</f>
        <v>1131000</v>
      </c>
      <c r="AF79" s="37">
        <v>0</v>
      </c>
      <c r="AG79" s="37">
        <f>ROUND((U79+V79)/M79*P79,0)</f>
        <v>0</v>
      </c>
      <c r="AH79" s="37">
        <v>0</v>
      </c>
      <c r="AI79" s="37">
        <f>AD79+AF79+AG79+AH79</f>
        <v>129675</v>
      </c>
      <c r="AJ79" s="37">
        <f>AC79-AI79</f>
        <v>450825</v>
      </c>
      <c r="AK79" s="37">
        <f>AC79+2000</f>
        <v>582500</v>
      </c>
      <c r="AL79" s="21">
        <f>COUNTIFS($A$3:$A$1500,A79)</f>
        <v>25</v>
      </c>
      <c r="AM79" s="37">
        <f>SUMIFS($AC$3:$AC$1500,$A$3:$A$1500,A79)</f>
        <v>4248832</v>
      </c>
      <c r="AN79" s="37">
        <f>SUMIFS($AD$3:$AD$1500,$A$3:$A$1500,A79)</f>
        <v>561319</v>
      </c>
      <c r="AO79" s="37">
        <f>SUMIFS($AF$3:$AF$1500,$A$3:$A$1500,A79)</f>
        <v>30000</v>
      </c>
      <c r="AP79" s="37">
        <f>SUMIFS($AG$3:$AG$1500,$A$3:$A$1500,A79)+SUMIFS($AH$3:$AH$1500,$A$3:$A$1500,A79)</f>
        <v>37887</v>
      </c>
      <c r="AQ79" s="37">
        <f>SUMIFS($AJ$3:$AJ$1500,$A$3:$A$1500,A79)</f>
        <v>3619626</v>
      </c>
      <c r="AR79" s="37">
        <f>SUMIFS($AK$3:$AK$1500,$A$3:$A$1500,A79)</f>
        <v>4298832</v>
      </c>
      <c r="AS79" s="31">
        <f>IFERROR(AQ79/SUMIFS($AJ$3:$AJ$1500,$F$3:$F$1500,EDATE(F79,-1))-1,"N/A - first run")</f>
        <v>2.2935805168344814E-4</v>
      </c>
      <c r="AT79" s="21" t="s">
        <v>4962</v>
      </c>
      <c r="AU79" s="21" t="str">
        <f>IF(P79&gt;0,"Unpaid leave "&amp;P79&amp;" day(s)",IF(R79&gt;40,"Overtime above 40 hrs","None"))</f>
        <v>None</v>
      </c>
      <c r="AV79" s="29">
        <f>EOMONTH(H79,0)+15</f>
        <v>46280</v>
      </c>
      <c r="AW79" s="21" t="s">
        <v>4965</v>
      </c>
      <c r="AX79" s="21" t="s">
        <v>4964</v>
      </c>
      <c r="AY79" s="21" t="str">
        <f>IF(U79+V79+W79&gt;=40000,"Compliant","Below minimum wage")</f>
        <v>Compliant</v>
      </c>
    </row>
    <row r="80" spans="1:51" x14ac:dyDescent="0.3">
      <c r="A80" s="21" t="s">
        <v>4960</v>
      </c>
      <c r="B80" s="39">
        <v>46235</v>
      </c>
      <c r="C80" s="21" t="s">
        <v>4961</v>
      </c>
      <c r="D80" s="21" t="s">
        <v>4842</v>
      </c>
      <c r="E80" s="21" t="s">
        <v>743</v>
      </c>
      <c r="F80" s="29">
        <v>46259</v>
      </c>
      <c r="G80" s="21">
        <f>COUNTIFS($A$3:$A$1500,A80)</f>
        <v>25</v>
      </c>
      <c r="H80" s="29">
        <v>46265</v>
      </c>
      <c r="I80" s="21" t="s">
        <v>1797</v>
      </c>
      <c r="J80" s="21" t="s">
        <v>4357</v>
      </c>
      <c r="K80" s="21" t="s">
        <v>4852</v>
      </c>
      <c r="L80" s="21" t="s">
        <v>4850</v>
      </c>
      <c r="M80" s="21">
        <v>31</v>
      </c>
      <c r="N80" s="21">
        <v>22</v>
      </c>
      <c r="O80" s="21">
        <v>1</v>
      </c>
      <c r="P80" s="21">
        <v>3</v>
      </c>
      <c r="Q80" s="21" t="s">
        <v>848</v>
      </c>
      <c r="R80" s="21">
        <v>0</v>
      </c>
      <c r="S80" s="21">
        <v>0</v>
      </c>
      <c r="T80" s="21" t="s">
        <v>1456</v>
      </c>
      <c r="U80" s="37">
        <f>_xlfn.XLOOKUP(LEFT(K80,7),'T07'!$A$3:$A$1500,'T07'!$AS$3:$AS$1500)</f>
        <v>270000</v>
      </c>
      <c r="V80" s="37">
        <f>_xlfn.XLOOKUP(LEFT(K80,7),'T07'!$A$3:$A$1500,'T07'!$AT$3:$AT$1500)</f>
        <v>121500</v>
      </c>
      <c r="W80" s="37">
        <v>0</v>
      </c>
      <c r="X80" s="37">
        <f>ROUND(U80/M80/8*2*R80,0)</f>
        <v>0</v>
      </c>
      <c r="Y80" s="37">
        <f>ROUND(U80/M80*2*S80,0)</f>
        <v>0</v>
      </c>
      <c r="Z80" s="37">
        <v>0</v>
      </c>
      <c r="AA80" s="37">
        <v>0</v>
      </c>
      <c r="AB80" s="37">
        <v>3000</v>
      </c>
      <c r="AC80" s="37">
        <f>U80+V80+W80+X80+Y80+Z80+AA80+AB80</f>
        <v>394500</v>
      </c>
      <c r="AD80" s="37">
        <f>_xlfn.LET(_xlpm.a,(AC80-AB80)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68775</v>
      </c>
      <c r="AE80" s="37" cm="1">
        <f t="array" ref="AE80">SUMPRODUCT((LEFT($K$3:$K$1500,7)=LEFT(K80,7))*($F$3:$F$1500&lt;=F80)*($F$3:$F$1500&gt;=DATE(IF(MONTH(F80)&gt;=7,YEAR(F80),YEAR(F80)-1),7,1))*($AC$3:$AC$1500-$AB$3:$AB$1500))</f>
        <v>783000</v>
      </c>
      <c r="AF80" s="37">
        <v>0</v>
      </c>
      <c r="AG80" s="37">
        <f>ROUND((U80+V80)/M80*P80,0)</f>
        <v>37887</v>
      </c>
      <c r="AH80" s="37">
        <v>0</v>
      </c>
      <c r="AI80" s="37">
        <f>AD80+AF80+AG80+AH80</f>
        <v>106662</v>
      </c>
      <c r="AJ80" s="37">
        <f>AC80-AI80</f>
        <v>287838</v>
      </c>
      <c r="AK80" s="37">
        <f>AC80+2000</f>
        <v>396500</v>
      </c>
      <c r="AL80" s="21">
        <f>COUNTIFS($A$3:$A$1500,A80)</f>
        <v>25</v>
      </c>
      <c r="AM80" s="37">
        <f>SUMIFS($AC$3:$AC$1500,$A$3:$A$1500,A80)</f>
        <v>4248832</v>
      </c>
      <c r="AN80" s="37">
        <f>SUMIFS($AD$3:$AD$1500,$A$3:$A$1500,A80)</f>
        <v>561319</v>
      </c>
      <c r="AO80" s="37">
        <f>SUMIFS($AF$3:$AF$1500,$A$3:$A$1500,A80)</f>
        <v>30000</v>
      </c>
      <c r="AP80" s="37">
        <f>SUMIFS($AG$3:$AG$1500,$A$3:$A$1500,A80)+SUMIFS($AH$3:$AH$1500,$A$3:$A$1500,A80)</f>
        <v>37887</v>
      </c>
      <c r="AQ80" s="37">
        <f>SUMIFS($AJ$3:$AJ$1500,$A$3:$A$1500,A80)</f>
        <v>3619626</v>
      </c>
      <c r="AR80" s="37">
        <f>SUMIFS($AK$3:$AK$1500,$A$3:$A$1500,A80)</f>
        <v>4298832</v>
      </c>
      <c r="AS80" s="31">
        <f>IFERROR(AQ80/SUMIFS($AJ$3:$AJ$1500,$F$3:$F$1500,EDATE(F80,-1))-1,"N/A - first run")</f>
        <v>2.2935805168344814E-4</v>
      </c>
      <c r="AT80" s="21" t="s">
        <v>4962</v>
      </c>
      <c r="AU80" s="21" t="str">
        <f>IF(P80&gt;0,"Unpaid leave "&amp;P80&amp;" day(s)",IF(R80&gt;40,"Overtime above 40 hrs","None"))</f>
        <v>Unpaid leave 3 day(s)</v>
      </c>
      <c r="AV80" s="29">
        <f>EOMONTH(H80,0)+15</f>
        <v>46280</v>
      </c>
      <c r="AW80" s="21" t="s">
        <v>4966</v>
      </c>
      <c r="AX80" s="21" t="s">
        <v>4964</v>
      </c>
      <c r="AY80" s="21" t="str">
        <f>IF(U80+V80+W80&gt;=40000,"Compliant","Below minimum wage")</f>
        <v>Compliant</v>
      </c>
    </row>
    <row r="81" spans="1:51" x14ac:dyDescent="0.3">
      <c r="A81" s="21" t="s">
        <v>4960</v>
      </c>
      <c r="B81" s="39">
        <v>46235</v>
      </c>
      <c r="C81" s="21" t="s">
        <v>4961</v>
      </c>
      <c r="D81" s="21" t="s">
        <v>4842</v>
      </c>
      <c r="E81" s="21" t="s">
        <v>743</v>
      </c>
      <c r="F81" s="29">
        <v>46259</v>
      </c>
      <c r="G81" s="21">
        <f>COUNTIFS($A$3:$A$1500,A81)</f>
        <v>25</v>
      </c>
      <c r="H81" s="29">
        <v>46265</v>
      </c>
      <c r="I81" s="21" t="s">
        <v>1797</v>
      </c>
      <c r="J81" s="21" t="s">
        <v>4357</v>
      </c>
      <c r="K81" s="21" t="s">
        <v>4854</v>
      </c>
      <c r="L81" s="21" t="s">
        <v>4850</v>
      </c>
      <c r="M81" s="21">
        <v>31</v>
      </c>
      <c r="N81" s="21">
        <v>25</v>
      </c>
      <c r="O81" s="21">
        <v>1</v>
      </c>
      <c r="P81" s="21">
        <v>0</v>
      </c>
      <c r="Q81" s="21" t="s">
        <v>4845</v>
      </c>
      <c r="R81" s="21">
        <v>0</v>
      </c>
      <c r="S81" s="21">
        <v>0</v>
      </c>
      <c r="T81" s="21" t="s">
        <v>1473</v>
      </c>
      <c r="U81" s="37">
        <f>_xlfn.XLOOKUP(LEFT(K81,7),'T07'!$A$3:$A$1500,'T07'!$AS$3:$AS$1500)</f>
        <v>108000</v>
      </c>
      <c r="V81" s="37">
        <f>_xlfn.XLOOKUP(LEFT(K81,7),'T07'!$A$3:$A$1500,'T07'!$AT$3:$AT$1500)</f>
        <v>48600</v>
      </c>
      <c r="W81" s="37">
        <v>0</v>
      </c>
      <c r="X81" s="37">
        <f>ROUND(U81/M81/8*2*R81,0)</f>
        <v>0</v>
      </c>
      <c r="Y81" s="37">
        <f>ROUND(U81/M81*2*S81,0)</f>
        <v>0</v>
      </c>
      <c r="Z81" s="37">
        <v>0</v>
      </c>
      <c r="AA81" s="37">
        <v>0</v>
      </c>
      <c r="AB81" s="37">
        <v>3000</v>
      </c>
      <c r="AC81" s="37">
        <f>U81+V81+W81+X81+Y81+Z81+AA81+AB81</f>
        <v>159600</v>
      </c>
      <c r="AD81" s="37">
        <f>_xlfn.LET(_xlpm.a,(AC81-AB81)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6726</v>
      </c>
      <c r="AE81" s="37" cm="1">
        <f t="array" ref="AE81">SUMPRODUCT((LEFT($K$3:$K$1500,7)=LEFT(K81,7))*($F$3:$F$1500&lt;=F81)*($F$3:$F$1500&gt;=DATE(IF(MONTH(F81)&gt;=7,YEAR(F81),YEAR(F81)-1),7,1))*($AC$3:$AC$1500-$AB$3:$AB$1500))</f>
        <v>313200</v>
      </c>
      <c r="AF81" s="37">
        <v>0</v>
      </c>
      <c r="AG81" s="37">
        <f>ROUND((U81+V81)/M81*P81,0)</f>
        <v>0</v>
      </c>
      <c r="AH81" s="37">
        <v>0</v>
      </c>
      <c r="AI81" s="37">
        <f>AD81+AF81+AG81+AH81</f>
        <v>6726</v>
      </c>
      <c r="AJ81" s="37">
        <f>AC81-AI81</f>
        <v>152874</v>
      </c>
      <c r="AK81" s="37">
        <f>AC81+2000</f>
        <v>161600</v>
      </c>
      <c r="AL81" s="21">
        <f>COUNTIFS($A$3:$A$1500,A81)</f>
        <v>25</v>
      </c>
      <c r="AM81" s="37">
        <f>SUMIFS($AC$3:$AC$1500,$A$3:$A$1500,A81)</f>
        <v>4248832</v>
      </c>
      <c r="AN81" s="37">
        <f>SUMIFS($AD$3:$AD$1500,$A$3:$A$1500,A81)</f>
        <v>561319</v>
      </c>
      <c r="AO81" s="37">
        <f>SUMIFS($AF$3:$AF$1500,$A$3:$A$1500,A81)</f>
        <v>30000</v>
      </c>
      <c r="AP81" s="37">
        <f>SUMIFS($AG$3:$AG$1500,$A$3:$A$1500,A81)+SUMIFS($AH$3:$AH$1500,$A$3:$A$1500,A81)</f>
        <v>37887</v>
      </c>
      <c r="AQ81" s="37">
        <f>SUMIFS($AJ$3:$AJ$1500,$A$3:$A$1500,A81)</f>
        <v>3619626</v>
      </c>
      <c r="AR81" s="37">
        <f>SUMIFS($AK$3:$AK$1500,$A$3:$A$1500,A81)</f>
        <v>4298832</v>
      </c>
      <c r="AS81" s="31">
        <f>IFERROR(AQ81/SUMIFS($AJ$3:$AJ$1500,$F$3:$F$1500,EDATE(F81,-1))-1,"N/A - first run")</f>
        <v>2.2935805168344814E-4</v>
      </c>
      <c r="AT81" s="21" t="s">
        <v>4962</v>
      </c>
      <c r="AU81" s="21" t="str">
        <f>IF(P81&gt;0,"Unpaid leave "&amp;P81&amp;" day(s)",IF(R81&gt;40,"Overtime above 40 hrs","None"))</f>
        <v>None</v>
      </c>
      <c r="AV81" s="29">
        <f>EOMONTH(H81,0)+15</f>
        <v>46280</v>
      </c>
      <c r="AW81" s="21" t="s">
        <v>4967</v>
      </c>
      <c r="AX81" s="21" t="s">
        <v>4964</v>
      </c>
      <c r="AY81" s="21" t="str">
        <f>IF(U81+V81+W81&gt;=40000,"Compliant","Below minimum wage")</f>
        <v>Compliant</v>
      </c>
    </row>
    <row r="82" spans="1:51" x14ac:dyDescent="0.3">
      <c r="A82" s="21" t="s">
        <v>4960</v>
      </c>
      <c r="B82" s="39">
        <v>46235</v>
      </c>
      <c r="C82" s="21" t="s">
        <v>4961</v>
      </c>
      <c r="D82" s="21" t="s">
        <v>4842</v>
      </c>
      <c r="E82" s="21" t="s">
        <v>743</v>
      </c>
      <c r="F82" s="29">
        <v>46259</v>
      </c>
      <c r="G82" s="21">
        <f>COUNTIFS($A$3:$A$1500,A82)</f>
        <v>25</v>
      </c>
      <c r="H82" s="29">
        <v>46265</v>
      </c>
      <c r="I82" s="21" t="s">
        <v>1797</v>
      </c>
      <c r="J82" s="21" t="s">
        <v>4357</v>
      </c>
      <c r="K82" s="21" t="s">
        <v>4856</v>
      </c>
      <c r="L82" s="21" t="s">
        <v>4850</v>
      </c>
      <c r="M82" s="21">
        <v>31</v>
      </c>
      <c r="N82" s="21">
        <v>25</v>
      </c>
      <c r="O82" s="21">
        <v>1</v>
      </c>
      <c r="P82" s="21">
        <v>0</v>
      </c>
      <c r="Q82" s="21" t="s">
        <v>848</v>
      </c>
      <c r="R82" s="21">
        <v>0</v>
      </c>
      <c r="S82" s="21">
        <v>0</v>
      </c>
      <c r="T82" s="21" t="s">
        <v>1492</v>
      </c>
      <c r="U82" s="37">
        <f>_xlfn.XLOOKUP(LEFT(K82,7),'T07'!$A$3:$A$1500,'T07'!$AS$3:$AS$1500)</f>
        <v>72000</v>
      </c>
      <c r="V82" s="37">
        <f>_xlfn.XLOOKUP(LEFT(K82,7),'T07'!$A$3:$A$1500,'T07'!$AT$3:$AT$1500)</f>
        <v>32400</v>
      </c>
      <c r="W82" s="37">
        <v>0</v>
      </c>
      <c r="X82" s="37">
        <f>ROUND(U82/M82/8*2*R82,0)</f>
        <v>0</v>
      </c>
      <c r="Y82" s="37">
        <f>ROUND(U82/M82*2*S82,0)</f>
        <v>0</v>
      </c>
      <c r="Z82" s="37">
        <v>0</v>
      </c>
      <c r="AA82" s="37">
        <v>0</v>
      </c>
      <c r="AB82" s="37">
        <v>3000</v>
      </c>
      <c r="AC82" s="37">
        <f>U82+V82+W82+X82+Y82+Z82+AA82+AB82</f>
        <v>107400</v>
      </c>
      <c r="AD82" s="37">
        <f>_xlfn.LET(_xlpm.a,(AC82-AB82)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984</v>
      </c>
      <c r="AE82" s="37" cm="1">
        <f t="array" ref="AE82">SUMPRODUCT((LEFT($K$3:$K$1500,7)=LEFT(K82,7))*($F$3:$F$1500&lt;=F82)*($F$3:$F$1500&gt;=DATE(IF(MONTH(F82)&gt;=7,YEAR(F82),YEAR(F82)-1),7,1))*($AC$3:$AC$1500-$AB$3:$AB$1500))</f>
        <v>208800</v>
      </c>
      <c r="AF82" s="37">
        <v>0</v>
      </c>
      <c r="AG82" s="37">
        <f>ROUND((U82+V82)/M82*P82,0)</f>
        <v>0</v>
      </c>
      <c r="AH82" s="37">
        <v>0</v>
      </c>
      <c r="AI82" s="37">
        <f>AD82+AF82+AG82+AH82</f>
        <v>984</v>
      </c>
      <c r="AJ82" s="37">
        <f>AC82-AI82</f>
        <v>106416</v>
      </c>
      <c r="AK82" s="37">
        <f>AC82+2000</f>
        <v>109400</v>
      </c>
      <c r="AL82" s="21">
        <f>COUNTIFS($A$3:$A$1500,A82)</f>
        <v>25</v>
      </c>
      <c r="AM82" s="37">
        <f>SUMIFS($AC$3:$AC$1500,$A$3:$A$1500,A82)</f>
        <v>4248832</v>
      </c>
      <c r="AN82" s="37">
        <f>SUMIFS($AD$3:$AD$1500,$A$3:$A$1500,A82)</f>
        <v>561319</v>
      </c>
      <c r="AO82" s="37">
        <f>SUMIFS($AF$3:$AF$1500,$A$3:$A$1500,A82)</f>
        <v>30000</v>
      </c>
      <c r="AP82" s="37">
        <f>SUMIFS($AG$3:$AG$1500,$A$3:$A$1500,A82)+SUMIFS($AH$3:$AH$1500,$A$3:$A$1500,A82)</f>
        <v>37887</v>
      </c>
      <c r="AQ82" s="37">
        <f>SUMIFS($AJ$3:$AJ$1500,$A$3:$A$1500,A82)</f>
        <v>3619626</v>
      </c>
      <c r="AR82" s="37">
        <f>SUMIFS($AK$3:$AK$1500,$A$3:$A$1500,A82)</f>
        <v>4298832</v>
      </c>
      <c r="AS82" s="31">
        <f>IFERROR(AQ82/SUMIFS($AJ$3:$AJ$1500,$F$3:$F$1500,EDATE(F82,-1))-1,"N/A - first run")</f>
        <v>2.2935805168344814E-4</v>
      </c>
      <c r="AT82" s="21" t="s">
        <v>4962</v>
      </c>
      <c r="AU82" s="21" t="str">
        <f>IF(P82&gt;0,"Unpaid leave "&amp;P82&amp;" day(s)",IF(R82&gt;40,"Overtime above 40 hrs","None"))</f>
        <v>None</v>
      </c>
      <c r="AV82" s="29">
        <f>EOMONTH(H82,0)+15</f>
        <v>46280</v>
      </c>
      <c r="AW82" s="21" t="s">
        <v>4968</v>
      </c>
      <c r="AX82" s="21" t="s">
        <v>4964</v>
      </c>
      <c r="AY82" s="21" t="str">
        <f>IF(U82+V82+W82&gt;=40000,"Compliant","Below minimum wage")</f>
        <v>Compliant</v>
      </c>
    </row>
    <row r="83" spans="1:51" x14ac:dyDescent="0.3">
      <c r="A83" s="21" t="s">
        <v>4960</v>
      </c>
      <c r="B83" s="39">
        <v>46235</v>
      </c>
      <c r="C83" s="21" t="s">
        <v>4961</v>
      </c>
      <c r="D83" s="21" t="s">
        <v>4842</v>
      </c>
      <c r="E83" s="21" t="s">
        <v>743</v>
      </c>
      <c r="F83" s="29">
        <v>46259</v>
      </c>
      <c r="G83" s="21">
        <f>COUNTIFS($A$3:$A$1500,A83)</f>
        <v>25</v>
      </c>
      <c r="H83" s="29">
        <v>46265</v>
      </c>
      <c r="I83" s="21" t="s">
        <v>1797</v>
      </c>
      <c r="J83" s="21" t="s">
        <v>4357</v>
      </c>
      <c r="K83" s="21" t="s">
        <v>4858</v>
      </c>
      <c r="L83" s="21" t="s">
        <v>4850</v>
      </c>
      <c r="M83" s="21">
        <v>31</v>
      </c>
      <c r="N83" s="21">
        <v>26</v>
      </c>
      <c r="O83" s="21">
        <v>0</v>
      </c>
      <c r="P83" s="21">
        <v>0</v>
      </c>
      <c r="Q83" s="21" t="s">
        <v>848</v>
      </c>
      <c r="R83" s="21">
        <v>0</v>
      </c>
      <c r="S83" s="21">
        <v>0</v>
      </c>
      <c r="T83" s="21" t="s">
        <v>1510</v>
      </c>
      <c r="U83" s="37">
        <f>_xlfn.XLOOKUP(LEFT(K83,7),'T07'!$A$3:$A$1500,'T07'!$AS$3:$AS$1500)</f>
        <v>51000</v>
      </c>
      <c r="V83" s="37">
        <f>_xlfn.XLOOKUP(LEFT(K83,7),'T07'!$A$3:$A$1500,'T07'!$AT$3:$AT$1500)</f>
        <v>22950</v>
      </c>
      <c r="W83" s="37">
        <v>0</v>
      </c>
      <c r="X83" s="37">
        <f>ROUND(U83/M83/8*2*R83,0)</f>
        <v>0</v>
      </c>
      <c r="Y83" s="37">
        <f>ROUND(U83/M83*2*S83,0)</f>
        <v>0</v>
      </c>
      <c r="Z83" s="37">
        <v>0</v>
      </c>
      <c r="AA83" s="37">
        <v>0</v>
      </c>
      <c r="AB83" s="37">
        <v>3000</v>
      </c>
      <c r="AC83" s="37">
        <f>U83+V83+W83+X83+Y83+Z83+AA83+AB83</f>
        <v>76950</v>
      </c>
      <c r="AD83" s="37">
        <f>_xlfn.LET(_xlpm.a,(AC83-AB83)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240</v>
      </c>
      <c r="AE83" s="37" cm="1">
        <f t="array" ref="AE83">SUMPRODUCT((LEFT($K$3:$K$1500,7)=LEFT(K83,7))*($F$3:$F$1500&lt;=F83)*($F$3:$F$1500&gt;=DATE(IF(MONTH(F83)&gt;=7,YEAR(F83),YEAR(F83)-1),7,1))*($AC$3:$AC$1500-$AB$3:$AB$1500))</f>
        <v>147900</v>
      </c>
      <c r="AF83" s="37">
        <v>0</v>
      </c>
      <c r="AG83" s="37">
        <f>ROUND((U83+V83)/M83*P83,0)</f>
        <v>0</v>
      </c>
      <c r="AH83" s="37">
        <v>0</v>
      </c>
      <c r="AI83" s="37">
        <f>AD83+AF83+AG83+AH83</f>
        <v>240</v>
      </c>
      <c r="AJ83" s="37">
        <f>AC83-AI83</f>
        <v>76710</v>
      </c>
      <c r="AK83" s="37">
        <f>AC83+2000</f>
        <v>78950</v>
      </c>
      <c r="AL83" s="21">
        <f>COUNTIFS($A$3:$A$1500,A83)</f>
        <v>25</v>
      </c>
      <c r="AM83" s="37">
        <f>SUMIFS($AC$3:$AC$1500,$A$3:$A$1500,A83)</f>
        <v>4248832</v>
      </c>
      <c r="AN83" s="37">
        <f>SUMIFS($AD$3:$AD$1500,$A$3:$A$1500,A83)</f>
        <v>561319</v>
      </c>
      <c r="AO83" s="37">
        <f>SUMIFS($AF$3:$AF$1500,$A$3:$A$1500,A83)</f>
        <v>30000</v>
      </c>
      <c r="AP83" s="37">
        <f>SUMIFS($AG$3:$AG$1500,$A$3:$A$1500,A83)+SUMIFS($AH$3:$AH$1500,$A$3:$A$1500,A83)</f>
        <v>37887</v>
      </c>
      <c r="AQ83" s="37">
        <f>SUMIFS($AJ$3:$AJ$1500,$A$3:$A$1500,A83)</f>
        <v>3619626</v>
      </c>
      <c r="AR83" s="37">
        <f>SUMIFS($AK$3:$AK$1500,$A$3:$A$1500,A83)</f>
        <v>4298832</v>
      </c>
      <c r="AS83" s="31">
        <f>IFERROR(AQ83/SUMIFS($AJ$3:$AJ$1500,$F$3:$F$1500,EDATE(F83,-1))-1,"N/A - first run")</f>
        <v>2.2935805168344814E-4</v>
      </c>
      <c r="AT83" s="21" t="s">
        <v>4962</v>
      </c>
      <c r="AU83" s="21" t="str">
        <f>IF(P83&gt;0,"Unpaid leave "&amp;P83&amp;" day(s)",IF(R83&gt;40,"Overtime above 40 hrs","None"))</f>
        <v>None</v>
      </c>
      <c r="AV83" s="29">
        <f>EOMONTH(H83,0)+15</f>
        <v>46280</v>
      </c>
      <c r="AW83" s="21" t="s">
        <v>4969</v>
      </c>
      <c r="AX83" s="21" t="s">
        <v>4964</v>
      </c>
      <c r="AY83" s="21" t="str">
        <f>IF(U83+V83+W83&gt;=40000,"Compliant","Below minimum wage")</f>
        <v>Compliant</v>
      </c>
    </row>
    <row r="84" spans="1:51" x14ac:dyDescent="0.3">
      <c r="A84" s="21" t="s">
        <v>4960</v>
      </c>
      <c r="B84" s="39">
        <v>46235</v>
      </c>
      <c r="C84" s="21" t="s">
        <v>4961</v>
      </c>
      <c r="D84" s="21" t="s">
        <v>4842</v>
      </c>
      <c r="E84" s="21" t="s">
        <v>743</v>
      </c>
      <c r="F84" s="29">
        <v>46259</v>
      </c>
      <c r="G84" s="21">
        <f>COUNTIFS($A$3:$A$1500,A84)</f>
        <v>25</v>
      </c>
      <c r="H84" s="29">
        <v>46265</v>
      </c>
      <c r="I84" s="21" t="s">
        <v>1797</v>
      </c>
      <c r="J84" s="21" t="s">
        <v>4357</v>
      </c>
      <c r="K84" s="21" t="s">
        <v>4860</v>
      </c>
      <c r="L84" s="21" t="s">
        <v>4850</v>
      </c>
      <c r="M84" s="21">
        <v>31</v>
      </c>
      <c r="N84" s="21">
        <v>25</v>
      </c>
      <c r="O84" s="21">
        <v>1</v>
      </c>
      <c r="P84" s="21">
        <v>0</v>
      </c>
      <c r="Q84" s="21" t="s">
        <v>848</v>
      </c>
      <c r="R84" s="21">
        <v>0</v>
      </c>
      <c r="S84" s="21">
        <v>0</v>
      </c>
      <c r="T84" s="21" t="s">
        <v>1523</v>
      </c>
      <c r="U84" s="37">
        <f>_xlfn.XLOOKUP(LEFT(K84,7),'T07'!$A$3:$A$1500,'T07'!$AS$3:$AS$1500)</f>
        <v>180000</v>
      </c>
      <c r="V84" s="37">
        <f>_xlfn.XLOOKUP(LEFT(K84,7),'T07'!$A$3:$A$1500,'T07'!$AT$3:$AT$1500)</f>
        <v>81000</v>
      </c>
      <c r="W84" s="37">
        <v>0</v>
      </c>
      <c r="X84" s="37">
        <f>ROUND(U84/M84/8*2*R84,0)</f>
        <v>0</v>
      </c>
      <c r="Y84" s="37">
        <f>ROUND(U84/M84*2*S84,0)</f>
        <v>0</v>
      </c>
      <c r="Z84" s="37">
        <v>0</v>
      </c>
      <c r="AA84" s="37">
        <v>0</v>
      </c>
      <c r="AB84" s="37">
        <v>15000</v>
      </c>
      <c r="AC84" s="37">
        <f>U84+V84+W84+X84+Y84+Z84+AA84+AB84</f>
        <v>276000</v>
      </c>
      <c r="AD84" s="37">
        <f>_xlfn.LET(_xlpm.a,(AC84-AB84)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27530</v>
      </c>
      <c r="AE84" s="37" cm="1">
        <f t="array" ref="AE84">SUMPRODUCT((LEFT($K$3:$K$1500,7)=LEFT(K84,7))*($F$3:$F$1500&lt;=F84)*($F$3:$F$1500&gt;=DATE(IF(MONTH(F84)&gt;=7,YEAR(F84),YEAR(F84)-1),7,1))*($AC$3:$AC$1500-$AB$3:$AB$1500))</f>
        <v>522000</v>
      </c>
      <c r="AF84" s="37">
        <v>0</v>
      </c>
      <c r="AG84" s="37">
        <f>ROUND((U84+V84)/M84*P84,0)</f>
        <v>0</v>
      </c>
      <c r="AH84" s="37">
        <v>0</v>
      </c>
      <c r="AI84" s="37">
        <f>AD84+AF84+AG84+AH84</f>
        <v>27530</v>
      </c>
      <c r="AJ84" s="37">
        <f>AC84-AI84</f>
        <v>248470</v>
      </c>
      <c r="AK84" s="37">
        <f>AC84+2000</f>
        <v>278000</v>
      </c>
      <c r="AL84" s="21">
        <f>COUNTIFS($A$3:$A$1500,A84)</f>
        <v>25</v>
      </c>
      <c r="AM84" s="37">
        <f>SUMIFS($AC$3:$AC$1500,$A$3:$A$1500,A84)</f>
        <v>4248832</v>
      </c>
      <c r="AN84" s="37">
        <f>SUMIFS($AD$3:$AD$1500,$A$3:$A$1500,A84)</f>
        <v>561319</v>
      </c>
      <c r="AO84" s="37">
        <f>SUMIFS($AF$3:$AF$1500,$A$3:$A$1500,A84)</f>
        <v>30000</v>
      </c>
      <c r="AP84" s="37">
        <f>SUMIFS($AG$3:$AG$1500,$A$3:$A$1500,A84)+SUMIFS($AH$3:$AH$1500,$A$3:$A$1500,A84)</f>
        <v>37887</v>
      </c>
      <c r="AQ84" s="37">
        <f>SUMIFS($AJ$3:$AJ$1500,$A$3:$A$1500,A84)</f>
        <v>3619626</v>
      </c>
      <c r="AR84" s="37">
        <f>SUMIFS($AK$3:$AK$1500,$A$3:$A$1500,A84)</f>
        <v>4298832</v>
      </c>
      <c r="AS84" s="31">
        <f>IFERROR(AQ84/SUMIFS($AJ$3:$AJ$1500,$F$3:$F$1500,EDATE(F84,-1))-1,"N/A - first run")</f>
        <v>2.2935805168344814E-4</v>
      </c>
      <c r="AT84" s="21" t="s">
        <v>4962</v>
      </c>
      <c r="AU84" s="21" t="str">
        <f>IF(P84&gt;0,"Unpaid leave "&amp;P84&amp;" day(s)",IF(R84&gt;40,"Overtime above 40 hrs","None"))</f>
        <v>None</v>
      </c>
      <c r="AV84" s="29">
        <f>EOMONTH(H84,0)+15</f>
        <v>46280</v>
      </c>
      <c r="AW84" s="21" t="s">
        <v>4970</v>
      </c>
      <c r="AX84" s="21" t="s">
        <v>4964</v>
      </c>
      <c r="AY84" s="21" t="str">
        <f>IF(U84+V84+W84&gt;=40000,"Compliant","Below minimum wage")</f>
        <v>Compliant</v>
      </c>
    </row>
    <row r="85" spans="1:51" x14ac:dyDescent="0.3">
      <c r="A85" s="21" t="s">
        <v>4960</v>
      </c>
      <c r="B85" s="39">
        <v>46235</v>
      </c>
      <c r="C85" s="21" t="s">
        <v>4961</v>
      </c>
      <c r="D85" s="21" t="s">
        <v>4842</v>
      </c>
      <c r="E85" s="21" t="s">
        <v>743</v>
      </c>
      <c r="F85" s="29">
        <v>46259</v>
      </c>
      <c r="G85" s="21">
        <f>COUNTIFS($A$3:$A$1500,A85)</f>
        <v>25</v>
      </c>
      <c r="H85" s="29">
        <v>46265</v>
      </c>
      <c r="I85" s="21" t="s">
        <v>1797</v>
      </c>
      <c r="J85" s="21" t="s">
        <v>4357</v>
      </c>
      <c r="K85" s="21" t="s">
        <v>4862</v>
      </c>
      <c r="L85" s="21" t="s">
        <v>4850</v>
      </c>
      <c r="M85" s="21">
        <v>31</v>
      </c>
      <c r="N85" s="21">
        <v>24</v>
      </c>
      <c r="O85" s="21">
        <v>2</v>
      </c>
      <c r="P85" s="21">
        <v>0</v>
      </c>
      <c r="Q85" s="21" t="s">
        <v>848</v>
      </c>
      <c r="R85" s="21">
        <v>0</v>
      </c>
      <c r="S85" s="21">
        <v>0</v>
      </c>
      <c r="T85" s="21" t="s">
        <v>1538</v>
      </c>
      <c r="U85" s="37">
        <f>_xlfn.XLOOKUP(LEFT(K85,7),'T07'!$A$3:$A$1500,'T07'!$AS$3:$AS$1500)</f>
        <v>66000</v>
      </c>
      <c r="V85" s="37">
        <f>_xlfn.XLOOKUP(LEFT(K85,7),'T07'!$A$3:$A$1500,'T07'!$AT$3:$AT$1500)</f>
        <v>29700</v>
      </c>
      <c r="W85" s="37">
        <v>0</v>
      </c>
      <c r="X85" s="37">
        <f>ROUND(U85/M85/8*2*R85,0)</f>
        <v>0</v>
      </c>
      <c r="Y85" s="37">
        <f>ROUND(U85/M85*2*S85,0)</f>
        <v>0</v>
      </c>
      <c r="Z85" s="37">
        <v>0</v>
      </c>
      <c r="AA85" s="37">
        <v>0</v>
      </c>
      <c r="AB85" s="37">
        <v>15000</v>
      </c>
      <c r="AC85" s="37">
        <f>U85+V85+W85+X85+Y85+Z85+AA85+AB85</f>
        <v>110700</v>
      </c>
      <c r="AD85" s="37">
        <f>_xlfn.LET(_xlpm.a,(AC85-AB85)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457</v>
      </c>
      <c r="AE85" s="37" cm="1">
        <f t="array" ref="AE85">SUMPRODUCT((LEFT($K$3:$K$1500,7)=LEFT(K85,7))*($F$3:$F$1500&lt;=F85)*($F$3:$F$1500&gt;=DATE(IF(MONTH(F85)&gt;=7,YEAR(F85),YEAR(F85)-1),7,1))*($AC$3:$AC$1500-$AB$3:$AB$1500))</f>
        <v>191400</v>
      </c>
      <c r="AF85" s="37">
        <v>0</v>
      </c>
      <c r="AG85" s="37">
        <f>ROUND((U85+V85)/M85*P85,0)</f>
        <v>0</v>
      </c>
      <c r="AH85" s="37">
        <v>0</v>
      </c>
      <c r="AI85" s="37">
        <f>AD85+AF85+AG85+AH85</f>
        <v>457</v>
      </c>
      <c r="AJ85" s="37">
        <f>AC85-AI85</f>
        <v>110243</v>
      </c>
      <c r="AK85" s="37">
        <f>AC85+2000</f>
        <v>112700</v>
      </c>
      <c r="AL85" s="21">
        <f>COUNTIFS($A$3:$A$1500,A85)</f>
        <v>25</v>
      </c>
      <c r="AM85" s="37">
        <f>SUMIFS($AC$3:$AC$1500,$A$3:$A$1500,A85)</f>
        <v>4248832</v>
      </c>
      <c r="AN85" s="37">
        <f>SUMIFS($AD$3:$AD$1500,$A$3:$A$1500,A85)</f>
        <v>561319</v>
      </c>
      <c r="AO85" s="37">
        <f>SUMIFS($AF$3:$AF$1500,$A$3:$A$1500,A85)</f>
        <v>30000</v>
      </c>
      <c r="AP85" s="37">
        <f>SUMIFS($AG$3:$AG$1500,$A$3:$A$1500,A85)+SUMIFS($AH$3:$AH$1500,$A$3:$A$1500,A85)</f>
        <v>37887</v>
      </c>
      <c r="AQ85" s="37">
        <f>SUMIFS($AJ$3:$AJ$1500,$A$3:$A$1500,A85)</f>
        <v>3619626</v>
      </c>
      <c r="AR85" s="37">
        <f>SUMIFS($AK$3:$AK$1500,$A$3:$A$1500,A85)</f>
        <v>4298832</v>
      </c>
      <c r="AS85" s="31">
        <f>IFERROR(AQ85/SUMIFS($AJ$3:$AJ$1500,$F$3:$F$1500,EDATE(F85,-1))-1,"N/A - first run")</f>
        <v>2.2935805168344814E-4</v>
      </c>
      <c r="AT85" s="21" t="s">
        <v>4962</v>
      </c>
      <c r="AU85" s="21" t="str">
        <f>IF(P85&gt;0,"Unpaid leave "&amp;P85&amp;" day(s)",IF(R85&gt;40,"Overtime above 40 hrs","None"))</f>
        <v>None</v>
      </c>
      <c r="AV85" s="29">
        <f>EOMONTH(H85,0)+15</f>
        <v>46280</v>
      </c>
      <c r="AW85" s="21" t="s">
        <v>4971</v>
      </c>
      <c r="AX85" s="21" t="s">
        <v>4964</v>
      </c>
      <c r="AY85" s="21" t="str">
        <f>IF(U85+V85+W85&gt;=40000,"Compliant","Below minimum wage")</f>
        <v>Compliant</v>
      </c>
    </row>
    <row r="86" spans="1:51" x14ac:dyDescent="0.3">
      <c r="A86" s="21" t="s">
        <v>4960</v>
      </c>
      <c r="B86" s="39">
        <v>46235</v>
      </c>
      <c r="C86" s="21" t="s">
        <v>4961</v>
      </c>
      <c r="D86" s="21" t="s">
        <v>4842</v>
      </c>
      <c r="E86" s="21" t="s">
        <v>743</v>
      </c>
      <c r="F86" s="29">
        <v>46259</v>
      </c>
      <c r="G86" s="21">
        <f>COUNTIFS($A$3:$A$1500,A86)</f>
        <v>25</v>
      </c>
      <c r="H86" s="29">
        <v>46265</v>
      </c>
      <c r="I86" s="21" t="s">
        <v>1797</v>
      </c>
      <c r="J86" s="21" t="s">
        <v>4357</v>
      </c>
      <c r="K86" s="21" t="s">
        <v>4864</v>
      </c>
      <c r="L86" s="21" t="s">
        <v>4865</v>
      </c>
      <c r="M86" s="21">
        <v>31</v>
      </c>
      <c r="N86" s="21">
        <v>24</v>
      </c>
      <c r="O86" s="21">
        <v>2</v>
      </c>
      <c r="P86" s="21">
        <v>0</v>
      </c>
      <c r="Q86" s="21" t="s">
        <v>848</v>
      </c>
      <c r="R86" s="21">
        <v>0</v>
      </c>
      <c r="S86" s="21">
        <v>0</v>
      </c>
      <c r="T86" s="21" t="s">
        <v>1555</v>
      </c>
      <c r="U86" s="37">
        <f>_xlfn.XLOOKUP(LEFT(K86,7),'T07'!$A$3:$A$1500,'T07'!$AS$3:$AS$1500)</f>
        <v>66000</v>
      </c>
      <c r="V86" s="37">
        <f>_xlfn.XLOOKUP(LEFT(K86,7),'T07'!$A$3:$A$1500,'T07'!$AT$3:$AT$1500)</f>
        <v>29700</v>
      </c>
      <c r="W86" s="37">
        <v>0</v>
      </c>
      <c r="X86" s="37">
        <f>ROUND(U86/M86/8*2*R86,0)</f>
        <v>0</v>
      </c>
      <c r="Y86" s="37">
        <f>ROUND(U86/M86*2*S86,0)</f>
        <v>0</v>
      </c>
      <c r="Z86" s="37">
        <v>0</v>
      </c>
      <c r="AA86" s="37">
        <v>0</v>
      </c>
      <c r="AB86" s="37">
        <v>15000</v>
      </c>
      <c r="AC86" s="37">
        <f>U86+V86+W86+X86+Y86+Z86+AA86+AB86</f>
        <v>110700</v>
      </c>
      <c r="AD86" s="37">
        <f>_xlfn.LET(_xlpm.a,(AC86-AB86)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457</v>
      </c>
      <c r="AE86" s="37" cm="1">
        <f t="array" ref="AE86">SUMPRODUCT((LEFT($K$3:$K$1500,7)=LEFT(K86,7))*($F$3:$F$1500&lt;=F86)*($F$3:$F$1500&gt;=DATE(IF(MONTH(F86)&gt;=7,YEAR(F86),YEAR(F86)-1),7,1))*($AC$3:$AC$1500-$AB$3:$AB$1500))</f>
        <v>191400</v>
      </c>
      <c r="AF86" s="37">
        <v>0</v>
      </c>
      <c r="AG86" s="37">
        <f>ROUND((U86+V86)/M86*P86,0)</f>
        <v>0</v>
      </c>
      <c r="AH86" s="37">
        <v>0</v>
      </c>
      <c r="AI86" s="37">
        <f>AD86+AF86+AG86+AH86</f>
        <v>457</v>
      </c>
      <c r="AJ86" s="37">
        <f>AC86-AI86</f>
        <v>110243</v>
      </c>
      <c r="AK86" s="37">
        <f>AC86+2000</f>
        <v>112700</v>
      </c>
      <c r="AL86" s="21">
        <f>COUNTIFS($A$3:$A$1500,A86)</f>
        <v>25</v>
      </c>
      <c r="AM86" s="37">
        <f>SUMIFS($AC$3:$AC$1500,$A$3:$A$1500,A86)</f>
        <v>4248832</v>
      </c>
      <c r="AN86" s="37">
        <f>SUMIFS($AD$3:$AD$1500,$A$3:$A$1500,A86)</f>
        <v>561319</v>
      </c>
      <c r="AO86" s="37">
        <f>SUMIFS($AF$3:$AF$1500,$A$3:$A$1500,A86)</f>
        <v>30000</v>
      </c>
      <c r="AP86" s="37">
        <f>SUMIFS($AG$3:$AG$1500,$A$3:$A$1500,A86)+SUMIFS($AH$3:$AH$1500,$A$3:$A$1500,A86)</f>
        <v>37887</v>
      </c>
      <c r="AQ86" s="37">
        <f>SUMIFS($AJ$3:$AJ$1500,$A$3:$A$1500,A86)</f>
        <v>3619626</v>
      </c>
      <c r="AR86" s="37">
        <f>SUMIFS($AK$3:$AK$1500,$A$3:$A$1500,A86)</f>
        <v>4298832</v>
      </c>
      <c r="AS86" s="31">
        <f>IFERROR(AQ86/SUMIFS($AJ$3:$AJ$1500,$F$3:$F$1500,EDATE(F86,-1))-1,"N/A - first run")</f>
        <v>2.2935805168344814E-4</v>
      </c>
      <c r="AT86" s="21" t="s">
        <v>4962</v>
      </c>
      <c r="AU86" s="21" t="str">
        <f>IF(P86&gt;0,"Unpaid leave "&amp;P86&amp;" day(s)",IF(R86&gt;40,"Overtime above 40 hrs","None"))</f>
        <v>None</v>
      </c>
      <c r="AV86" s="29">
        <f>EOMONTH(H86,0)+15</f>
        <v>46280</v>
      </c>
      <c r="AW86" s="21" t="s">
        <v>4972</v>
      </c>
      <c r="AX86" s="21" t="s">
        <v>4964</v>
      </c>
      <c r="AY86" s="21" t="str">
        <f>IF(U86+V86+W86&gt;=40000,"Compliant","Below minimum wage")</f>
        <v>Compliant</v>
      </c>
    </row>
    <row r="87" spans="1:51" x14ac:dyDescent="0.3">
      <c r="A87" s="21" t="s">
        <v>4960</v>
      </c>
      <c r="B87" s="39">
        <v>46235</v>
      </c>
      <c r="C87" s="21" t="s">
        <v>4961</v>
      </c>
      <c r="D87" s="21" t="s">
        <v>4842</v>
      </c>
      <c r="E87" s="21" t="s">
        <v>743</v>
      </c>
      <c r="F87" s="29">
        <v>46259</v>
      </c>
      <c r="G87" s="21">
        <f>COUNTIFS($A$3:$A$1500,A87)</f>
        <v>25</v>
      </c>
      <c r="H87" s="29">
        <v>46265</v>
      </c>
      <c r="I87" s="21" t="s">
        <v>1797</v>
      </c>
      <c r="J87" s="21" t="s">
        <v>4357</v>
      </c>
      <c r="K87" s="21" t="s">
        <v>4867</v>
      </c>
      <c r="L87" s="21" t="s">
        <v>4850</v>
      </c>
      <c r="M87" s="21">
        <v>31</v>
      </c>
      <c r="N87" s="21">
        <v>25</v>
      </c>
      <c r="O87" s="21">
        <v>1</v>
      </c>
      <c r="P87" s="21">
        <v>0</v>
      </c>
      <c r="Q87" s="21" t="s">
        <v>4845</v>
      </c>
      <c r="R87" s="21">
        <v>9</v>
      </c>
      <c r="S87" s="21">
        <v>0</v>
      </c>
      <c r="T87" s="21" t="s">
        <v>1569</v>
      </c>
      <c r="U87" s="37">
        <f>_xlfn.XLOOKUP(LEFT(K87,7),'T07'!$A$3:$A$1500,'T07'!$AS$3:$AS$1500)</f>
        <v>150000</v>
      </c>
      <c r="V87" s="37">
        <f>_xlfn.XLOOKUP(LEFT(K87,7),'T07'!$A$3:$A$1500,'T07'!$AT$3:$AT$1500)</f>
        <v>67500</v>
      </c>
      <c r="W87" s="37">
        <v>0</v>
      </c>
      <c r="X87" s="37">
        <f>ROUND(U87/M87/8*2*R87,0)</f>
        <v>10887</v>
      </c>
      <c r="Y87" s="37">
        <f>ROUND(U87/M87*2*S87,0)</f>
        <v>0</v>
      </c>
      <c r="Z87" s="37">
        <v>0</v>
      </c>
      <c r="AA87" s="37">
        <v>0</v>
      </c>
      <c r="AB87" s="37">
        <v>3000</v>
      </c>
      <c r="AC87" s="37">
        <f>U87+V87+W87+X87+Y87+Z87+AA87+AB87</f>
        <v>231387</v>
      </c>
      <c r="AD87" s="37">
        <f>_xlfn.LET(_xlpm.a,(AC87-AB87)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20029</v>
      </c>
      <c r="AE87" s="37" cm="1">
        <f t="array" ref="AE87">SUMPRODUCT((LEFT($K$3:$K$1500,7)=LEFT(K87,7))*($F$3:$F$1500&lt;=F87)*($F$3:$F$1500&gt;=DATE(IF(MONTH(F87)&gt;=7,YEAR(F87),YEAR(F87)-1),7,1))*($AC$3:$AC$1500-$AB$3:$AB$1500))</f>
        <v>451935</v>
      </c>
      <c r="AF87" s="37">
        <v>0</v>
      </c>
      <c r="AG87" s="37">
        <f>ROUND((U87+V87)/M87*P87,0)</f>
        <v>0</v>
      </c>
      <c r="AH87" s="37">
        <v>0</v>
      </c>
      <c r="AI87" s="37">
        <f>AD87+AF87+AG87+AH87</f>
        <v>20029</v>
      </c>
      <c r="AJ87" s="37">
        <f>AC87-AI87</f>
        <v>211358</v>
      </c>
      <c r="AK87" s="37">
        <f>AC87+2000</f>
        <v>233387</v>
      </c>
      <c r="AL87" s="21">
        <f>COUNTIFS($A$3:$A$1500,A87)</f>
        <v>25</v>
      </c>
      <c r="AM87" s="37">
        <f>SUMIFS($AC$3:$AC$1500,$A$3:$A$1500,A87)</f>
        <v>4248832</v>
      </c>
      <c r="AN87" s="37">
        <f>SUMIFS($AD$3:$AD$1500,$A$3:$A$1500,A87)</f>
        <v>561319</v>
      </c>
      <c r="AO87" s="37">
        <f>SUMIFS($AF$3:$AF$1500,$A$3:$A$1500,A87)</f>
        <v>30000</v>
      </c>
      <c r="AP87" s="37">
        <f>SUMIFS($AG$3:$AG$1500,$A$3:$A$1500,A87)+SUMIFS($AH$3:$AH$1500,$A$3:$A$1500,A87)</f>
        <v>37887</v>
      </c>
      <c r="AQ87" s="37">
        <f>SUMIFS($AJ$3:$AJ$1500,$A$3:$A$1500,A87)</f>
        <v>3619626</v>
      </c>
      <c r="AR87" s="37">
        <f>SUMIFS($AK$3:$AK$1500,$A$3:$A$1500,A87)</f>
        <v>4298832</v>
      </c>
      <c r="AS87" s="31">
        <f>IFERROR(AQ87/SUMIFS($AJ$3:$AJ$1500,$F$3:$F$1500,EDATE(F87,-1))-1,"N/A - first run")</f>
        <v>2.2935805168344814E-4</v>
      </c>
      <c r="AT87" s="21" t="s">
        <v>4962</v>
      </c>
      <c r="AU87" s="21" t="str">
        <f>IF(P87&gt;0,"Unpaid leave "&amp;P87&amp;" day(s)",IF(R87&gt;40,"Overtime above 40 hrs","None"))</f>
        <v>None</v>
      </c>
      <c r="AV87" s="29">
        <f>EOMONTH(H87,0)+15</f>
        <v>46280</v>
      </c>
      <c r="AW87" s="21" t="s">
        <v>4973</v>
      </c>
      <c r="AX87" s="21" t="s">
        <v>4964</v>
      </c>
      <c r="AY87" s="21" t="str">
        <f>IF(U87+V87+W87&gt;=40000,"Compliant","Below minimum wage")</f>
        <v>Compliant</v>
      </c>
    </row>
    <row r="88" spans="1:51" x14ac:dyDescent="0.3">
      <c r="A88" s="21" t="s">
        <v>4960</v>
      </c>
      <c r="B88" s="39">
        <v>46235</v>
      </c>
      <c r="C88" s="21" t="s">
        <v>4961</v>
      </c>
      <c r="D88" s="21" t="s">
        <v>4842</v>
      </c>
      <c r="E88" s="21" t="s">
        <v>743</v>
      </c>
      <c r="F88" s="29">
        <v>46259</v>
      </c>
      <c r="G88" s="21">
        <f>COUNTIFS($A$3:$A$1500,A88)</f>
        <v>25</v>
      </c>
      <c r="H88" s="29">
        <v>46265</v>
      </c>
      <c r="I88" s="21" t="s">
        <v>1797</v>
      </c>
      <c r="J88" s="21" t="s">
        <v>4357</v>
      </c>
      <c r="K88" s="21" t="s">
        <v>4869</v>
      </c>
      <c r="L88" s="21" t="s">
        <v>4850</v>
      </c>
      <c r="M88" s="21">
        <v>31</v>
      </c>
      <c r="N88" s="21">
        <v>26</v>
      </c>
      <c r="O88" s="21">
        <v>0</v>
      </c>
      <c r="P88" s="21">
        <v>0</v>
      </c>
      <c r="Q88" s="21" t="s">
        <v>848</v>
      </c>
      <c r="R88" s="21">
        <v>3</v>
      </c>
      <c r="S88" s="21">
        <v>0</v>
      </c>
      <c r="T88" s="21" t="s">
        <v>1583</v>
      </c>
      <c r="U88" s="37">
        <f>_xlfn.XLOOKUP(LEFT(K88,7),'T07'!$A$3:$A$1500,'T07'!$AS$3:$AS$1500)</f>
        <v>54000</v>
      </c>
      <c r="V88" s="37">
        <f>_xlfn.XLOOKUP(LEFT(K88,7),'T07'!$A$3:$A$1500,'T07'!$AT$3:$AT$1500)</f>
        <v>24300</v>
      </c>
      <c r="W88" s="37">
        <v>0</v>
      </c>
      <c r="X88" s="37">
        <f>ROUND(U88/M88/8*2*R88,0)</f>
        <v>1306</v>
      </c>
      <c r="Y88" s="37">
        <f>ROUND(U88/M88*2*S88,0)</f>
        <v>0</v>
      </c>
      <c r="Z88" s="37">
        <v>0</v>
      </c>
      <c r="AA88" s="37">
        <v>0</v>
      </c>
      <c r="AB88" s="37">
        <v>3000</v>
      </c>
      <c r="AC88" s="37">
        <f>U88+V88+W88+X88+Y88+Z88+AA88+AB88</f>
        <v>82606</v>
      </c>
      <c r="AD88" s="37">
        <f>_xlfn.LET(_xlpm.a,(AC88-AB88)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296</v>
      </c>
      <c r="AE88" s="37" cm="1">
        <f t="array" ref="AE88">SUMPRODUCT((LEFT($K$3:$K$1500,7)=LEFT(K88,7))*($F$3:$F$1500&lt;=F88)*($F$3:$F$1500&gt;=DATE(IF(MONTH(F88)&gt;=7,YEAR(F88),YEAR(F88)-1),7,1))*($AC$3:$AC$1500-$AB$3:$AB$1500))</f>
        <v>162261</v>
      </c>
      <c r="AF88" s="37">
        <v>10000</v>
      </c>
      <c r="AG88" s="37">
        <f>ROUND((U88+V88)/M88*P88,0)</f>
        <v>0</v>
      </c>
      <c r="AH88" s="37">
        <v>0</v>
      </c>
      <c r="AI88" s="37">
        <f>AD88+AF88+AG88+AH88</f>
        <v>10296</v>
      </c>
      <c r="AJ88" s="37">
        <f>AC88-AI88</f>
        <v>72310</v>
      </c>
      <c r="AK88" s="37">
        <f>AC88+2000</f>
        <v>84606</v>
      </c>
      <c r="AL88" s="21">
        <f>COUNTIFS($A$3:$A$1500,A88)</f>
        <v>25</v>
      </c>
      <c r="AM88" s="37">
        <f>SUMIFS($AC$3:$AC$1500,$A$3:$A$1500,A88)</f>
        <v>4248832</v>
      </c>
      <c r="AN88" s="37">
        <f>SUMIFS($AD$3:$AD$1500,$A$3:$A$1500,A88)</f>
        <v>561319</v>
      </c>
      <c r="AO88" s="37">
        <f>SUMIFS($AF$3:$AF$1500,$A$3:$A$1500,A88)</f>
        <v>30000</v>
      </c>
      <c r="AP88" s="37">
        <f>SUMIFS($AG$3:$AG$1500,$A$3:$A$1500,A88)+SUMIFS($AH$3:$AH$1500,$A$3:$A$1500,A88)</f>
        <v>37887</v>
      </c>
      <c r="AQ88" s="37">
        <f>SUMIFS($AJ$3:$AJ$1500,$A$3:$A$1500,A88)</f>
        <v>3619626</v>
      </c>
      <c r="AR88" s="37">
        <f>SUMIFS($AK$3:$AK$1500,$A$3:$A$1500,A88)</f>
        <v>4298832</v>
      </c>
      <c r="AS88" s="31">
        <f>IFERROR(AQ88/SUMIFS($AJ$3:$AJ$1500,$F$3:$F$1500,EDATE(F88,-1))-1,"N/A - first run")</f>
        <v>2.2935805168344814E-4</v>
      </c>
      <c r="AT88" s="21" t="s">
        <v>4962</v>
      </c>
      <c r="AU88" s="21" t="str">
        <f>IF(P88&gt;0,"Unpaid leave "&amp;P88&amp;" day(s)",IF(R88&gt;40,"Overtime above 40 hrs","None"))</f>
        <v>None</v>
      </c>
      <c r="AV88" s="29">
        <f>EOMONTH(H88,0)+15</f>
        <v>46280</v>
      </c>
      <c r="AW88" s="21" t="s">
        <v>4974</v>
      </c>
      <c r="AX88" s="21" t="s">
        <v>4964</v>
      </c>
      <c r="AY88" s="21" t="str">
        <f>IF(U88+V88+W88&gt;=40000,"Compliant","Below minimum wage")</f>
        <v>Compliant</v>
      </c>
    </row>
    <row r="89" spans="1:51" x14ac:dyDescent="0.3">
      <c r="A89" s="21" t="s">
        <v>4960</v>
      </c>
      <c r="B89" s="39">
        <v>46235</v>
      </c>
      <c r="C89" s="21" t="s">
        <v>4961</v>
      </c>
      <c r="D89" s="21" t="s">
        <v>4842</v>
      </c>
      <c r="E89" s="21" t="s">
        <v>743</v>
      </c>
      <c r="F89" s="29">
        <v>46259</v>
      </c>
      <c r="G89" s="21">
        <f>COUNTIFS($A$3:$A$1500,A89)</f>
        <v>25</v>
      </c>
      <c r="H89" s="29">
        <v>46265</v>
      </c>
      <c r="I89" s="21" t="s">
        <v>1797</v>
      </c>
      <c r="J89" s="21" t="s">
        <v>4357</v>
      </c>
      <c r="K89" s="21" t="s">
        <v>4871</v>
      </c>
      <c r="L89" s="21" t="s">
        <v>4850</v>
      </c>
      <c r="M89" s="21">
        <v>31</v>
      </c>
      <c r="N89" s="21">
        <v>25</v>
      </c>
      <c r="O89" s="21">
        <v>1</v>
      </c>
      <c r="P89" s="21">
        <v>0</v>
      </c>
      <c r="Q89" s="21" t="s">
        <v>848</v>
      </c>
      <c r="R89" s="21">
        <v>33</v>
      </c>
      <c r="S89" s="21">
        <v>1</v>
      </c>
      <c r="T89" s="21" t="s">
        <v>1598</v>
      </c>
      <c r="U89" s="37">
        <f>_xlfn.XLOOKUP(LEFT(K89,7),'T07'!$A$3:$A$1500,'T07'!$AS$3:$AS$1500)</f>
        <v>57000</v>
      </c>
      <c r="V89" s="37">
        <f>_xlfn.XLOOKUP(LEFT(K89,7),'T07'!$A$3:$A$1500,'T07'!$AT$3:$AT$1500)</f>
        <v>25650</v>
      </c>
      <c r="W89" s="37">
        <v>3000</v>
      </c>
      <c r="X89" s="37">
        <f>ROUND(U89/M89/8*2*R89,0)</f>
        <v>15169</v>
      </c>
      <c r="Y89" s="37">
        <f>ROUND(U89/M89*2*S89,0)</f>
        <v>3677</v>
      </c>
      <c r="Z89" s="37">
        <v>0</v>
      </c>
      <c r="AA89" s="37">
        <v>0</v>
      </c>
      <c r="AB89" s="37">
        <v>3000</v>
      </c>
      <c r="AC89" s="37">
        <f>U89+V89+W89+X89+Y89+Z89+AA89+AB89</f>
        <v>107496</v>
      </c>
      <c r="AD89" s="37">
        <f>_xlfn.LET(_xlpm.a,(AC89-AB89)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995</v>
      </c>
      <c r="AE89" s="37" cm="1">
        <f t="array" ref="AE89">SUMPRODUCT((LEFT($K$3:$K$1500,7)=LEFT(K89,7))*($F$3:$F$1500&lt;=F89)*($F$3:$F$1500&gt;=DATE(IF(MONTH(F89)&gt;=7,YEAR(F89),YEAR(F89)-1),7,1))*($AC$3:$AC$1500-$AB$3:$AB$1500))</f>
        <v>193823</v>
      </c>
      <c r="AF89" s="37">
        <v>0</v>
      </c>
      <c r="AG89" s="37">
        <f>ROUND((U89+V89)/M89*P89,0)</f>
        <v>0</v>
      </c>
      <c r="AH89" s="37">
        <v>0</v>
      </c>
      <c r="AI89" s="37">
        <f>AD89+AF89+AG89+AH89</f>
        <v>995</v>
      </c>
      <c r="AJ89" s="37">
        <f>AC89-AI89</f>
        <v>106501</v>
      </c>
      <c r="AK89" s="37">
        <f>AC89+2000</f>
        <v>109496</v>
      </c>
      <c r="AL89" s="21">
        <f>COUNTIFS($A$3:$A$1500,A89)</f>
        <v>25</v>
      </c>
      <c r="AM89" s="37">
        <f>SUMIFS($AC$3:$AC$1500,$A$3:$A$1500,A89)</f>
        <v>4248832</v>
      </c>
      <c r="AN89" s="37">
        <f>SUMIFS($AD$3:$AD$1500,$A$3:$A$1500,A89)</f>
        <v>561319</v>
      </c>
      <c r="AO89" s="37">
        <f>SUMIFS($AF$3:$AF$1500,$A$3:$A$1500,A89)</f>
        <v>30000</v>
      </c>
      <c r="AP89" s="37">
        <f>SUMIFS($AG$3:$AG$1500,$A$3:$A$1500,A89)+SUMIFS($AH$3:$AH$1500,$A$3:$A$1500,A89)</f>
        <v>37887</v>
      </c>
      <c r="AQ89" s="37">
        <f>SUMIFS($AJ$3:$AJ$1500,$A$3:$A$1500,A89)</f>
        <v>3619626</v>
      </c>
      <c r="AR89" s="37">
        <f>SUMIFS($AK$3:$AK$1500,$A$3:$A$1500,A89)</f>
        <v>4298832</v>
      </c>
      <c r="AS89" s="31">
        <f>IFERROR(AQ89/SUMIFS($AJ$3:$AJ$1500,$F$3:$F$1500,EDATE(F89,-1))-1,"N/A - first run")</f>
        <v>2.2935805168344814E-4</v>
      </c>
      <c r="AT89" s="21" t="s">
        <v>4962</v>
      </c>
      <c r="AU89" s="21" t="str">
        <f>IF(P89&gt;0,"Unpaid leave "&amp;P89&amp;" day(s)",IF(R89&gt;40,"Overtime above 40 hrs","None"))</f>
        <v>None</v>
      </c>
      <c r="AV89" s="29">
        <f>EOMONTH(H89,0)+15</f>
        <v>46280</v>
      </c>
      <c r="AW89" s="21" t="s">
        <v>4975</v>
      </c>
      <c r="AX89" s="21" t="s">
        <v>4964</v>
      </c>
      <c r="AY89" s="21" t="str">
        <f>IF(U89+V89+W89&gt;=40000,"Compliant","Below minimum wage")</f>
        <v>Compliant</v>
      </c>
    </row>
    <row r="90" spans="1:51" x14ac:dyDescent="0.3">
      <c r="A90" s="21" t="s">
        <v>4960</v>
      </c>
      <c r="B90" s="39">
        <v>46235</v>
      </c>
      <c r="C90" s="21" t="s">
        <v>4961</v>
      </c>
      <c r="D90" s="21" t="s">
        <v>4842</v>
      </c>
      <c r="E90" s="21" t="s">
        <v>743</v>
      </c>
      <c r="F90" s="29">
        <v>46259</v>
      </c>
      <c r="G90" s="21">
        <f>COUNTIFS($A$3:$A$1500,A90)</f>
        <v>25</v>
      </c>
      <c r="H90" s="29">
        <v>46265</v>
      </c>
      <c r="I90" s="21" t="s">
        <v>1797</v>
      </c>
      <c r="J90" s="21" t="s">
        <v>4357</v>
      </c>
      <c r="K90" s="21" t="s">
        <v>4873</v>
      </c>
      <c r="L90" s="21" t="s">
        <v>4850</v>
      </c>
      <c r="M90" s="21">
        <v>31</v>
      </c>
      <c r="N90" s="21">
        <v>24</v>
      </c>
      <c r="O90" s="21">
        <v>2</v>
      </c>
      <c r="P90" s="21">
        <v>0</v>
      </c>
      <c r="Q90" s="21" t="s">
        <v>848</v>
      </c>
      <c r="R90" s="21">
        <v>8</v>
      </c>
      <c r="S90" s="21">
        <v>1</v>
      </c>
      <c r="T90" s="21" t="s">
        <v>1615</v>
      </c>
      <c r="U90" s="37">
        <f>_xlfn.XLOOKUP(LEFT(K90,7),'T07'!$A$3:$A$1500,'T07'!$AS$3:$AS$1500)</f>
        <v>36000</v>
      </c>
      <c r="V90" s="37">
        <f>_xlfn.XLOOKUP(LEFT(K90,7),'T07'!$A$3:$A$1500,'T07'!$AT$3:$AT$1500)</f>
        <v>16200</v>
      </c>
      <c r="W90" s="37">
        <v>3000</v>
      </c>
      <c r="X90" s="37">
        <f>ROUND(U90/M90/8*2*R90,0)</f>
        <v>2323</v>
      </c>
      <c r="Y90" s="37">
        <f>ROUND(U90/M90*2*S90,0)</f>
        <v>2323</v>
      </c>
      <c r="Z90" s="37">
        <v>0</v>
      </c>
      <c r="AA90" s="37">
        <v>0</v>
      </c>
      <c r="AB90" s="37">
        <v>3000</v>
      </c>
      <c r="AC90" s="37">
        <f>U90+V90+W90+X90+Y90+Z90+AA90+AB90</f>
        <v>62846</v>
      </c>
      <c r="AD90" s="37">
        <f>_xlfn.LET(_xlpm.a,(AC90-AB90)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98</v>
      </c>
      <c r="AE90" s="37" cm="1">
        <f t="array" ref="AE90">SUMPRODUCT((LEFT($K$3:$K$1500,7)=LEFT(K90,7))*($F$3:$F$1500&lt;=F90)*($F$3:$F$1500&gt;=DATE(IF(MONTH(F90)&gt;=7,YEAR(F90),YEAR(F90)-1),7,1))*($AC$3:$AC$1500-$AB$3:$AB$1500))</f>
        <v>118240</v>
      </c>
      <c r="AF90" s="37">
        <v>10000</v>
      </c>
      <c r="AG90" s="37">
        <f>ROUND((U90+V90)/M90*P90,0)</f>
        <v>0</v>
      </c>
      <c r="AH90" s="37">
        <v>0</v>
      </c>
      <c r="AI90" s="37">
        <f>AD90+AF90+AG90+AH90</f>
        <v>10098</v>
      </c>
      <c r="AJ90" s="37">
        <f>AC90-AI90</f>
        <v>52748</v>
      </c>
      <c r="AK90" s="37">
        <f>AC90+2000</f>
        <v>64846</v>
      </c>
      <c r="AL90" s="21">
        <f>COUNTIFS($A$3:$A$1500,A90)</f>
        <v>25</v>
      </c>
      <c r="AM90" s="37">
        <f>SUMIFS($AC$3:$AC$1500,$A$3:$A$1500,A90)</f>
        <v>4248832</v>
      </c>
      <c r="AN90" s="37">
        <f>SUMIFS($AD$3:$AD$1500,$A$3:$A$1500,A90)</f>
        <v>561319</v>
      </c>
      <c r="AO90" s="37">
        <f>SUMIFS($AF$3:$AF$1500,$A$3:$A$1500,A90)</f>
        <v>30000</v>
      </c>
      <c r="AP90" s="37">
        <f>SUMIFS($AG$3:$AG$1500,$A$3:$A$1500,A90)+SUMIFS($AH$3:$AH$1500,$A$3:$A$1500,A90)</f>
        <v>37887</v>
      </c>
      <c r="AQ90" s="37">
        <f>SUMIFS($AJ$3:$AJ$1500,$A$3:$A$1500,A90)</f>
        <v>3619626</v>
      </c>
      <c r="AR90" s="37">
        <f>SUMIFS($AK$3:$AK$1500,$A$3:$A$1500,A90)</f>
        <v>4298832</v>
      </c>
      <c r="AS90" s="31">
        <f>IFERROR(AQ90/SUMIFS($AJ$3:$AJ$1500,$F$3:$F$1500,EDATE(F90,-1))-1,"N/A - first run")</f>
        <v>2.2935805168344814E-4</v>
      </c>
      <c r="AT90" s="21" t="s">
        <v>4962</v>
      </c>
      <c r="AU90" s="21" t="str">
        <f>IF(P90&gt;0,"Unpaid leave "&amp;P90&amp;" day(s)",IF(R90&gt;40,"Overtime above 40 hrs","None"))</f>
        <v>None</v>
      </c>
      <c r="AV90" s="29">
        <f>EOMONTH(H90,0)+15</f>
        <v>46280</v>
      </c>
      <c r="AW90" s="21" t="s">
        <v>4976</v>
      </c>
      <c r="AX90" s="21" t="s">
        <v>4964</v>
      </c>
      <c r="AY90" s="21" t="str">
        <f>IF(U90+V90+W90&gt;=40000,"Compliant","Below minimum wage")</f>
        <v>Compliant</v>
      </c>
    </row>
    <row r="91" spans="1:51" x14ac:dyDescent="0.3">
      <c r="A91" s="21" t="s">
        <v>4960</v>
      </c>
      <c r="B91" s="39">
        <v>46235</v>
      </c>
      <c r="C91" s="21" t="s">
        <v>4961</v>
      </c>
      <c r="D91" s="21" t="s">
        <v>4842</v>
      </c>
      <c r="E91" s="21" t="s">
        <v>743</v>
      </c>
      <c r="F91" s="29">
        <v>46259</v>
      </c>
      <c r="G91" s="21">
        <f>COUNTIFS($A$3:$A$1500,A91)</f>
        <v>25</v>
      </c>
      <c r="H91" s="29">
        <v>46265</v>
      </c>
      <c r="I91" s="21" t="s">
        <v>1797</v>
      </c>
      <c r="J91" s="21" t="s">
        <v>4357</v>
      </c>
      <c r="K91" s="21" t="s">
        <v>4875</v>
      </c>
      <c r="L91" s="21" t="s">
        <v>4850</v>
      </c>
      <c r="M91" s="21">
        <v>31</v>
      </c>
      <c r="N91" s="21">
        <v>26</v>
      </c>
      <c r="O91" s="21">
        <v>0</v>
      </c>
      <c r="P91" s="21">
        <v>0</v>
      </c>
      <c r="Q91" s="21" t="s">
        <v>848</v>
      </c>
      <c r="R91" s="21">
        <v>0</v>
      </c>
      <c r="S91" s="21">
        <v>0</v>
      </c>
      <c r="T91" s="21" t="s">
        <v>1630</v>
      </c>
      <c r="U91" s="37">
        <f>_xlfn.XLOOKUP(LEFT(K91,7),'T07'!$A$3:$A$1500,'T07'!$AS$3:$AS$1500)</f>
        <v>84000</v>
      </c>
      <c r="V91" s="37">
        <f>_xlfn.XLOOKUP(LEFT(K91,7),'T07'!$A$3:$A$1500,'T07'!$AT$3:$AT$1500)</f>
        <v>37800</v>
      </c>
      <c r="W91" s="37">
        <v>0</v>
      </c>
      <c r="X91" s="37">
        <f>ROUND(U91/M91/8*2*R91,0)</f>
        <v>0</v>
      </c>
      <c r="Y91" s="37">
        <f>ROUND(U91/M91*2*S91,0)</f>
        <v>0</v>
      </c>
      <c r="Z91" s="37">
        <v>0</v>
      </c>
      <c r="AA91" s="37">
        <v>0</v>
      </c>
      <c r="AB91" s="37">
        <v>3000</v>
      </c>
      <c r="AC91" s="37">
        <f>U91+V91+W91+X91+Y91+Z91+AA91+AB91</f>
        <v>124800</v>
      </c>
      <c r="AD91" s="37">
        <f>_xlfn.LET(_xlpm.a,(AC91-AB91)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2898</v>
      </c>
      <c r="AE91" s="37" cm="1">
        <f t="array" ref="AE91">SUMPRODUCT((LEFT($K$3:$K$1500,7)=LEFT(K91,7))*($F$3:$F$1500&lt;=F91)*($F$3:$F$1500&gt;=DATE(IF(MONTH(F91)&gt;=7,YEAR(F91),YEAR(F91)-1),7,1))*($AC$3:$AC$1500-$AB$3:$AB$1500))</f>
        <v>243600</v>
      </c>
      <c r="AF91" s="37">
        <v>0</v>
      </c>
      <c r="AG91" s="37">
        <f>ROUND((U91+V91)/M91*P91,0)</f>
        <v>0</v>
      </c>
      <c r="AH91" s="37">
        <v>0</v>
      </c>
      <c r="AI91" s="37">
        <f>AD91+AF91+AG91+AH91</f>
        <v>2898</v>
      </c>
      <c r="AJ91" s="37">
        <f>AC91-AI91</f>
        <v>121902</v>
      </c>
      <c r="AK91" s="37">
        <f>AC91+2000</f>
        <v>126800</v>
      </c>
      <c r="AL91" s="21">
        <f>COUNTIFS($A$3:$A$1500,A91)</f>
        <v>25</v>
      </c>
      <c r="AM91" s="37">
        <f>SUMIFS($AC$3:$AC$1500,$A$3:$A$1500,A91)</f>
        <v>4248832</v>
      </c>
      <c r="AN91" s="37">
        <f>SUMIFS($AD$3:$AD$1500,$A$3:$A$1500,A91)</f>
        <v>561319</v>
      </c>
      <c r="AO91" s="37">
        <f>SUMIFS($AF$3:$AF$1500,$A$3:$A$1500,A91)</f>
        <v>30000</v>
      </c>
      <c r="AP91" s="37">
        <f>SUMIFS($AG$3:$AG$1500,$A$3:$A$1500,A91)+SUMIFS($AH$3:$AH$1500,$A$3:$A$1500,A91)</f>
        <v>37887</v>
      </c>
      <c r="AQ91" s="37">
        <f>SUMIFS($AJ$3:$AJ$1500,$A$3:$A$1500,A91)</f>
        <v>3619626</v>
      </c>
      <c r="AR91" s="37">
        <f>SUMIFS($AK$3:$AK$1500,$A$3:$A$1500,A91)</f>
        <v>4298832</v>
      </c>
      <c r="AS91" s="31">
        <f>IFERROR(AQ91/SUMIFS($AJ$3:$AJ$1500,$F$3:$F$1500,EDATE(F91,-1))-1,"N/A - first run")</f>
        <v>2.2935805168344814E-4</v>
      </c>
      <c r="AT91" s="21" t="s">
        <v>4962</v>
      </c>
      <c r="AU91" s="21" t="str">
        <f>IF(P91&gt;0,"Unpaid leave "&amp;P91&amp;" day(s)",IF(R91&gt;40,"Overtime above 40 hrs","None"))</f>
        <v>None</v>
      </c>
      <c r="AV91" s="29">
        <f>EOMONTH(H91,0)+15</f>
        <v>46280</v>
      </c>
      <c r="AW91" s="21" t="s">
        <v>4977</v>
      </c>
      <c r="AX91" s="21" t="s">
        <v>4964</v>
      </c>
      <c r="AY91" s="21" t="str">
        <f>IF(U91+V91+W91&gt;=40000,"Compliant","Below minimum wage")</f>
        <v>Compliant</v>
      </c>
    </row>
    <row r="92" spans="1:51" x14ac:dyDescent="0.3">
      <c r="A92" s="21" t="s">
        <v>4960</v>
      </c>
      <c r="B92" s="39">
        <v>46235</v>
      </c>
      <c r="C92" s="21" t="s">
        <v>4961</v>
      </c>
      <c r="D92" s="21" t="s">
        <v>4842</v>
      </c>
      <c r="E92" s="21" t="s">
        <v>743</v>
      </c>
      <c r="F92" s="29">
        <v>46259</v>
      </c>
      <c r="G92" s="21">
        <f>COUNTIFS($A$3:$A$1500,A92)</f>
        <v>25</v>
      </c>
      <c r="H92" s="29">
        <v>46265</v>
      </c>
      <c r="I92" s="21" t="s">
        <v>1797</v>
      </c>
      <c r="J92" s="21" t="s">
        <v>4357</v>
      </c>
      <c r="K92" s="21" t="s">
        <v>4877</v>
      </c>
      <c r="L92" s="21" t="s">
        <v>4865</v>
      </c>
      <c r="M92" s="21">
        <v>31</v>
      </c>
      <c r="N92" s="21">
        <v>25</v>
      </c>
      <c r="O92" s="21">
        <v>1</v>
      </c>
      <c r="P92" s="21">
        <v>0</v>
      </c>
      <c r="Q92" s="21" t="s">
        <v>848</v>
      </c>
      <c r="R92" s="21">
        <v>0</v>
      </c>
      <c r="S92" s="21">
        <v>0</v>
      </c>
      <c r="T92" s="21" t="s">
        <v>1644</v>
      </c>
      <c r="U92" s="37">
        <f>_xlfn.XLOOKUP(LEFT(K92,7),'T07'!$A$3:$A$1500,'T07'!$AS$3:$AS$1500)</f>
        <v>90000</v>
      </c>
      <c r="V92" s="37">
        <f>_xlfn.XLOOKUP(LEFT(K92,7),'T07'!$A$3:$A$1500,'T07'!$AT$3:$AT$1500)</f>
        <v>40500</v>
      </c>
      <c r="W92" s="37">
        <v>0</v>
      </c>
      <c r="X92" s="37">
        <f>ROUND(U92/M92/8*2*R92,0)</f>
        <v>0</v>
      </c>
      <c r="Y92" s="37">
        <f>ROUND(U92/M92*2*S92,0)</f>
        <v>0</v>
      </c>
      <c r="Z92" s="37">
        <v>0</v>
      </c>
      <c r="AA92" s="37">
        <v>0</v>
      </c>
      <c r="AB92" s="37">
        <v>3000</v>
      </c>
      <c r="AC92" s="37">
        <f>U92+V92+W92+X92+Y92+Z92+AA92+AB92</f>
        <v>133500</v>
      </c>
      <c r="AD92" s="37">
        <f>_xlfn.LET(_xlpm.a,(AC92-AB92)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3855</v>
      </c>
      <c r="AE92" s="37" cm="1">
        <f t="array" ref="AE92">SUMPRODUCT((LEFT($K$3:$K$1500,7)=LEFT(K92,7))*($F$3:$F$1500&lt;=F92)*($F$3:$F$1500&gt;=DATE(IF(MONTH(F92)&gt;=7,YEAR(F92),YEAR(F92)-1),7,1))*($AC$3:$AC$1500-$AB$3:$AB$1500))</f>
        <v>261000</v>
      </c>
      <c r="AF92" s="37">
        <v>0</v>
      </c>
      <c r="AG92" s="37">
        <f>ROUND((U92+V92)/M92*P92,0)</f>
        <v>0</v>
      </c>
      <c r="AH92" s="37">
        <v>0</v>
      </c>
      <c r="AI92" s="37">
        <f>AD92+AF92+AG92+AH92</f>
        <v>3855</v>
      </c>
      <c r="AJ92" s="37">
        <f>AC92-AI92</f>
        <v>129645</v>
      </c>
      <c r="AK92" s="37">
        <f>AC92+2000</f>
        <v>135500</v>
      </c>
      <c r="AL92" s="21">
        <f>COUNTIFS($A$3:$A$1500,A92)</f>
        <v>25</v>
      </c>
      <c r="AM92" s="37">
        <f>SUMIFS($AC$3:$AC$1500,$A$3:$A$1500,A92)</f>
        <v>4248832</v>
      </c>
      <c r="AN92" s="37">
        <f>SUMIFS($AD$3:$AD$1500,$A$3:$A$1500,A92)</f>
        <v>561319</v>
      </c>
      <c r="AO92" s="37">
        <f>SUMIFS($AF$3:$AF$1500,$A$3:$A$1500,A92)</f>
        <v>30000</v>
      </c>
      <c r="AP92" s="37">
        <f>SUMIFS($AG$3:$AG$1500,$A$3:$A$1500,A92)+SUMIFS($AH$3:$AH$1500,$A$3:$A$1500,A92)</f>
        <v>37887</v>
      </c>
      <c r="AQ92" s="37">
        <f>SUMIFS($AJ$3:$AJ$1500,$A$3:$A$1500,A92)</f>
        <v>3619626</v>
      </c>
      <c r="AR92" s="37">
        <f>SUMIFS($AK$3:$AK$1500,$A$3:$A$1500,A92)</f>
        <v>4298832</v>
      </c>
      <c r="AS92" s="31">
        <f>IFERROR(AQ92/SUMIFS($AJ$3:$AJ$1500,$F$3:$F$1500,EDATE(F92,-1))-1,"N/A - first run")</f>
        <v>2.2935805168344814E-4</v>
      </c>
      <c r="AT92" s="21" t="s">
        <v>4962</v>
      </c>
      <c r="AU92" s="21" t="str">
        <f>IF(P92&gt;0,"Unpaid leave "&amp;P92&amp;" day(s)",IF(R92&gt;40,"Overtime above 40 hrs","None"))</f>
        <v>None</v>
      </c>
      <c r="AV92" s="29">
        <f>EOMONTH(H92,0)+15</f>
        <v>46280</v>
      </c>
      <c r="AW92" s="21" t="s">
        <v>4978</v>
      </c>
      <c r="AX92" s="21" t="s">
        <v>4964</v>
      </c>
      <c r="AY92" s="21" t="str">
        <f>IF(U92+V92+W92&gt;=40000,"Compliant","Below minimum wage")</f>
        <v>Compliant</v>
      </c>
    </row>
    <row r="93" spans="1:51" x14ac:dyDescent="0.3">
      <c r="A93" s="21" t="s">
        <v>4960</v>
      </c>
      <c r="B93" s="39">
        <v>46235</v>
      </c>
      <c r="C93" s="21" t="s">
        <v>4961</v>
      </c>
      <c r="D93" s="21" t="s">
        <v>4842</v>
      </c>
      <c r="E93" s="21" t="s">
        <v>743</v>
      </c>
      <c r="F93" s="29">
        <v>46259</v>
      </c>
      <c r="G93" s="21">
        <f>COUNTIFS($A$3:$A$1500,A93)</f>
        <v>25</v>
      </c>
      <c r="H93" s="29">
        <v>46265</v>
      </c>
      <c r="I93" s="21" t="s">
        <v>1797</v>
      </c>
      <c r="J93" s="21" t="s">
        <v>4357</v>
      </c>
      <c r="K93" s="21" t="s">
        <v>4879</v>
      </c>
      <c r="L93" s="21" t="s">
        <v>4850</v>
      </c>
      <c r="M93" s="21">
        <v>31</v>
      </c>
      <c r="N93" s="21">
        <v>26</v>
      </c>
      <c r="O93" s="21">
        <v>0</v>
      </c>
      <c r="P93" s="21">
        <v>0</v>
      </c>
      <c r="Q93" s="21" t="s">
        <v>4845</v>
      </c>
      <c r="R93" s="21">
        <v>0</v>
      </c>
      <c r="S93" s="21">
        <v>0</v>
      </c>
      <c r="T93" s="21" t="s">
        <v>1660</v>
      </c>
      <c r="U93" s="37">
        <f>_xlfn.XLOOKUP(LEFT(K93,7),'T07'!$A$3:$A$1500,'T07'!$AS$3:$AS$1500)</f>
        <v>33000</v>
      </c>
      <c r="V93" s="37">
        <f>_xlfn.XLOOKUP(LEFT(K93,7),'T07'!$A$3:$A$1500,'T07'!$AT$3:$AT$1500)</f>
        <v>14850</v>
      </c>
      <c r="W93" s="37">
        <v>0</v>
      </c>
      <c r="X93" s="37">
        <f>ROUND(U93/M93/8*2*R93,0)</f>
        <v>0</v>
      </c>
      <c r="Y93" s="37">
        <f>ROUND(U93/M93*2*S93,0)</f>
        <v>0</v>
      </c>
      <c r="Z93" s="37">
        <v>0</v>
      </c>
      <c r="AA93" s="37">
        <v>0</v>
      </c>
      <c r="AB93" s="37">
        <v>3000</v>
      </c>
      <c r="AC93" s="37">
        <f>U93+V93+W93+X93+Y93+Z93+AA93+AB93</f>
        <v>50850</v>
      </c>
      <c r="AD93" s="37">
        <f>_xlfn.LET(_xlpm.a,(AC93-AB93)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0</v>
      </c>
      <c r="AE93" s="37" cm="1">
        <f t="array" ref="AE93">SUMPRODUCT((LEFT($K$3:$K$1500,7)=LEFT(K93,7))*($F$3:$F$1500&lt;=F93)*($F$3:$F$1500&gt;=DATE(IF(MONTH(F93)&gt;=7,YEAR(F93),YEAR(F93)-1),7,1))*($AC$3:$AC$1500-$AB$3:$AB$1500))</f>
        <v>95700</v>
      </c>
      <c r="AF93" s="37">
        <v>0</v>
      </c>
      <c r="AG93" s="37">
        <f>ROUND((U93+V93)/M93*P93,0)</f>
        <v>0</v>
      </c>
      <c r="AH93" s="37">
        <v>0</v>
      </c>
      <c r="AI93" s="37">
        <f>AD93+AF93+AG93+AH93</f>
        <v>0</v>
      </c>
      <c r="AJ93" s="37">
        <f>AC93-AI93</f>
        <v>50850</v>
      </c>
      <c r="AK93" s="37">
        <f>AC93+2000</f>
        <v>52850</v>
      </c>
      <c r="AL93" s="21">
        <f>COUNTIFS($A$3:$A$1500,A93)</f>
        <v>25</v>
      </c>
      <c r="AM93" s="37">
        <f>SUMIFS($AC$3:$AC$1500,$A$3:$A$1500,A93)</f>
        <v>4248832</v>
      </c>
      <c r="AN93" s="37">
        <f>SUMIFS($AD$3:$AD$1500,$A$3:$A$1500,A93)</f>
        <v>561319</v>
      </c>
      <c r="AO93" s="37">
        <f>SUMIFS($AF$3:$AF$1500,$A$3:$A$1500,A93)</f>
        <v>30000</v>
      </c>
      <c r="AP93" s="37">
        <f>SUMIFS($AG$3:$AG$1500,$A$3:$A$1500,A93)+SUMIFS($AH$3:$AH$1500,$A$3:$A$1500,A93)</f>
        <v>37887</v>
      </c>
      <c r="AQ93" s="37">
        <f>SUMIFS($AJ$3:$AJ$1500,$A$3:$A$1500,A93)</f>
        <v>3619626</v>
      </c>
      <c r="AR93" s="37">
        <f>SUMIFS($AK$3:$AK$1500,$A$3:$A$1500,A93)</f>
        <v>4298832</v>
      </c>
      <c r="AS93" s="31">
        <f>IFERROR(AQ93/SUMIFS($AJ$3:$AJ$1500,$F$3:$F$1500,EDATE(F93,-1))-1,"N/A - first run")</f>
        <v>2.2935805168344814E-4</v>
      </c>
      <c r="AT93" s="21" t="s">
        <v>4962</v>
      </c>
      <c r="AU93" s="21" t="str">
        <f>IF(P93&gt;0,"Unpaid leave "&amp;P93&amp;" day(s)",IF(R93&gt;40,"Overtime above 40 hrs","None"))</f>
        <v>None</v>
      </c>
      <c r="AV93" s="29">
        <f>EOMONTH(H93,0)+15</f>
        <v>46280</v>
      </c>
      <c r="AW93" s="21" t="s">
        <v>4979</v>
      </c>
      <c r="AX93" s="21" t="s">
        <v>4964</v>
      </c>
      <c r="AY93" s="21" t="str">
        <f>IF(U93+V93+W93&gt;=40000,"Compliant","Below minimum wage")</f>
        <v>Compliant</v>
      </c>
    </row>
    <row r="94" spans="1:51" x14ac:dyDescent="0.3">
      <c r="A94" s="21" t="s">
        <v>4960</v>
      </c>
      <c r="B94" s="39">
        <v>46235</v>
      </c>
      <c r="C94" s="21" t="s">
        <v>4961</v>
      </c>
      <c r="D94" s="21" t="s">
        <v>4842</v>
      </c>
      <c r="E94" s="21" t="s">
        <v>743</v>
      </c>
      <c r="F94" s="29">
        <v>46259</v>
      </c>
      <c r="G94" s="21">
        <f>COUNTIFS($A$3:$A$1500,A94)</f>
        <v>25</v>
      </c>
      <c r="H94" s="29">
        <v>46265</v>
      </c>
      <c r="I94" s="21" t="s">
        <v>1797</v>
      </c>
      <c r="J94" s="21" t="s">
        <v>4357</v>
      </c>
      <c r="K94" s="21" t="s">
        <v>4881</v>
      </c>
      <c r="L94" s="21" t="s">
        <v>4882</v>
      </c>
      <c r="M94" s="21">
        <v>31</v>
      </c>
      <c r="N94" s="21">
        <v>25</v>
      </c>
      <c r="O94" s="21">
        <v>1</v>
      </c>
      <c r="P94" s="21">
        <v>0</v>
      </c>
      <c r="Q94" s="21" t="s">
        <v>848</v>
      </c>
      <c r="R94" s="21">
        <v>0</v>
      </c>
      <c r="S94" s="21">
        <v>0</v>
      </c>
      <c r="T94" s="21" t="s">
        <v>1674</v>
      </c>
      <c r="U94" s="37">
        <f>_xlfn.XLOOKUP(LEFT(K94,7),'T07'!$A$3:$A$1500,'T07'!$AS$3:$AS$1500)</f>
        <v>25200</v>
      </c>
      <c r="V94" s="37">
        <f>_xlfn.XLOOKUP(LEFT(K94,7),'T07'!$A$3:$A$1500,'T07'!$AT$3:$AT$1500)</f>
        <v>11340</v>
      </c>
      <c r="W94" s="37">
        <v>0</v>
      </c>
      <c r="X94" s="37">
        <f>ROUND(U94/M94/8*2*R94,0)</f>
        <v>0</v>
      </c>
      <c r="Y94" s="37">
        <f>ROUND(U94/M94*2*S94,0)</f>
        <v>0</v>
      </c>
      <c r="Z94" s="37">
        <v>0</v>
      </c>
      <c r="AA94" s="37">
        <v>0</v>
      </c>
      <c r="AB94" s="37">
        <v>3000</v>
      </c>
      <c r="AC94" s="37">
        <f>U94+V94+W94+X94+Y94+Z94+AA94+AB94</f>
        <v>39540</v>
      </c>
      <c r="AD94" s="37">
        <f>_xlfn.LET(_xlpm.a,(AC94-AB94)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0</v>
      </c>
      <c r="AE94" s="37" cm="1">
        <f t="array" ref="AE94">SUMPRODUCT((LEFT($K$3:$K$1500,7)=LEFT(K94,7))*($F$3:$F$1500&lt;=F94)*($F$3:$F$1500&gt;=DATE(IF(MONTH(F94)&gt;=7,YEAR(F94),YEAR(F94)-1),7,1))*($AC$3:$AC$1500-$AB$3:$AB$1500))</f>
        <v>73080</v>
      </c>
      <c r="AF94" s="37">
        <v>0</v>
      </c>
      <c r="AG94" s="37">
        <f>ROUND((U94+V94)/M94*P94,0)</f>
        <v>0</v>
      </c>
      <c r="AH94" s="37">
        <v>0</v>
      </c>
      <c r="AI94" s="37">
        <f>AD94+AF94+AG94+AH94</f>
        <v>0</v>
      </c>
      <c r="AJ94" s="37">
        <f>AC94-AI94</f>
        <v>39540</v>
      </c>
      <c r="AK94" s="37">
        <f>AC94+2000</f>
        <v>41540</v>
      </c>
      <c r="AL94" s="21">
        <f>COUNTIFS($A$3:$A$1500,A94)</f>
        <v>25</v>
      </c>
      <c r="AM94" s="37">
        <f>SUMIFS($AC$3:$AC$1500,$A$3:$A$1500,A94)</f>
        <v>4248832</v>
      </c>
      <c r="AN94" s="37">
        <f>SUMIFS($AD$3:$AD$1500,$A$3:$A$1500,A94)</f>
        <v>561319</v>
      </c>
      <c r="AO94" s="37">
        <f>SUMIFS($AF$3:$AF$1500,$A$3:$A$1500,A94)</f>
        <v>30000</v>
      </c>
      <c r="AP94" s="37">
        <f>SUMIFS($AG$3:$AG$1500,$A$3:$A$1500,A94)+SUMIFS($AH$3:$AH$1500,$A$3:$A$1500,A94)</f>
        <v>37887</v>
      </c>
      <c r="AQ94" s="37">
        <f>SUMIFS($AJ$3:$AJ$1500,$A$3:$A$1500,A94)</f>
        <v>3619626</v>
      </c>
      <c r="AR94" s="37">
        <f>SUMIFS($AK$3:$AK$1500,$A$3:$A$1500,A94)</f>
        <v>4298832</v>
      </c>
      <c r="AS94" s="31">
        <f>IFERROR(AQ94/SUMIFS($AJ$3:$AJ$1500,$F$3:$F$1500,EDATE(F94,-1))-1,"N/A - first run")</f>
        <v>2.2935805168344814E-4</v>
      </c>
      <c r="AT94" s="21" t="s">
        <v>4962</v>
      </c>
      <c r="AU94" s="21" t="str">
        <f>IF(P94&gt;0,"Unpaid leave "&amp;P94&amp;" day(s)",IF(R94&gt;40,"Overtime above 40 hrs","None"))</f>
        <v>None</v>
      </c>
      <c r="AV94" s="29">
        <f>EOMONTH(H94,0)+15</f>
        <v>46280</v>
      </c>
      <c r="AW94" s="21" t="s">
        <v>4980</v>
      </c>
      <c r="AX94" s="21" t="s">
        <v>4964</v>
      </c>
      <c r="AY94" s="21" t="str">
        <f>IF(U94+V94+W94&gt;=40000,"Compliant","Below minimum wage")</f>
        <v>Below minimum wage</v>
      </c>
    </row>
    <row r="95" spans="1:51" x14ac:dyDescent="0.3">
      <c r="A95" s="21" t="s">
        <v>4960</v>
      </c>
      <c r="B95" s="39">
        <v>46235</v>
      </c>
      <c r="C95" s="21" t="s">
        <v>4961</v>
      </c>
      <c r="D95" s="21" t="s">
        <v>4842</v>
      </c>
      <c r="E95" s="21" t="s">
        <v>743</v>
      </c>
      <c r="F95" s="29">
        <v>46259</v>
      </c>
      <c r="G95" s="21">
        <f>COUNTIFS($A$3:$A$1500,A95)</f>
        <v>25</v>
      </c>
      <c r="H95" s="29">
        <v>46265</v>
      </c>
      <c r="I95" s="21" t="s">
        <v>1797</v>
      </c>
      <c r="J95" s="21" t="s">
        <v>4357</v>
      </c>
      <c r="K95" s="21" t="s">
        <v>4884</v>
      </c>
      <c r="L95" s="21" t="s">
        <v>4885</v>
      </c>
      <c r="M95" s="21">
        <v>31</v>
      </c>
      <c r="N95" s="21">
        <v>26</v>
      </c>
      <c r="O95" s="21">
        <v>0</v>
      </c>
      <c r="P95" s="21">
        <v>0</v>
      </c>
      <c r="Q95" s="21" t="s">
        <v>848</v>
      </c>
      <c r="R95" s="21">
        <v>9</v>
      </c>
      <c r="S95" s="21">
        <v>1</v>
      </c>
      <c r="T95" s="21" t="s">
        <v>1690</v>
      </c>
      <c r="U95" s="37">
        <f>_xlfn.XLOOKUP(LEFT(K95,7),'T07'!$A$3:$A$1500,'T07'!$AS$3:$AS$1500)</f>
        <v>39000</v>
      </c>
      <c r="V95" s="37">
        <f>_xlfn.XLOOKUP(LEFT(K95,7),'T07'!$A$3:$A$1500,'T07'!$AT$3:$AT$1500)</f>
        <v>17550</v>
      </c>
      <c r="W95" s="37">
        <v>5000</v>
      </c>
      <c r="X95" s="37">
        <f>ROUND(U95/M95/8*2*R95,0)</f>
        <v>2831</v>
      </c>
      <c r="Y95" s="37">
        <f>ROUND(U95/M95*2*S95,0)</f>
        <v>2516</v>
      </c>
      <c r="Z95" s="37">
        <v>0</v>
      </c>
      <c r="AA95" s="37">
        <v>0</v>
      </c>
      <c r="AB95" s="37">
        <v>0</v>
      </c>
      <c r="AC95" s="37">
        <f>U95+V95+W95+X95+Y95+Z95+AA95+AB95</f>
        <v>66897</v>
      </c>
      <c r="AD95" s="37">
        <f>_xlfn.LET(_xlpm.a,(AC95-AB95)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169</v>
      </c>
      <c r="AE95" s="37" cm="1">
        <f t="array" ref="AE95">SUMPRODUCT((LEFT($K$3:$K$1500,7)=LEFT(K95,7))*($F$3:$F$1500&lt;=F95)*($F$3:$F$1500&gt;=DATE(IF(MONTH(F95)&gt;=7,YEAR(F95),YEAR(F95)-1),7,1))*($AC$3:$AC$1500-$AB$3:$AB$1500))</f>
        <v>133165</v>
      </c>
      <c r="AF95" s="37">
        <v>0</v>
      </c>
      <c r="AG95" s="37">
        <f>ROUND((U95+V95)/M95*P95,0)</f>
        <v>0</v>
      </c>
      <c r="AH95" s="37">
        <v>0</v>
      </c>
      <c r="AI95" s="37">
        <f>AD95+AF95+AG95+AH95</f>
        <v>169</v>
      </c>
      <c r="AJ95" s="37">
        <f>AC95-AI95</f>
        <v>66728</v>
      </c>
      <c r="AK95" s="37">
        <f>AC95+2000</f>
        <v>68897</v>
      </c>
      <c r="AL95" s="21">
        <f>COUNTIFS($A$3:$A$1500,A95)</f>
        <v>25</v>
      </c>
      <c r="AM95" s="37">
        <f>SUMIFS($AC$3:$AC$1500,$A$3:$A$1500,A95)</f>
        <v>4248832</v>
      </c>
      <c r="AN95" s="37">
        <f>SUMIFS($AD$3:$AD$1500,$A$3:$A$1500,A95)</f>
        <v>561319</v>
      </c>
      <c r="AO95" s="37">
        <f>SUMIFS($AF$3:$AF$1500,$A$3:$A$1500,A95)</f>
        <v>30000</v>
      </c>
      <c r="AP95" s="37">
        <f>SUMIFS($AG$3:$AG$1500,$A$3:$A$1500,A95)+SUMIFS($AH$3:$AH$1500,$A$3:$A$1500,A95)</f>
        <v>37887</v>
      </c>
      <c r="AQ95" s="37">
        <f>SUMIFS($AJ$3:$AJ$1500,$A$3:$A$1500,A95)</f>
        <v>3619626</v>
      </c>
      <c r="AR95" s="37">
        <f>SUMIFS($AK$3:$AK$1500,$A$3:$A$1500,A95)</f>
        <v>4298832</v>
      </c>
      <c r="AS95" s="31">
        <f>IFERROR(AQ95/SUMIFS($AJ$3:$AJ$1500,$F$3:$F$1500,EDATE(F95,-1))-1,"N/A - first run")</f>
        <v>2.2935805168344814E-4</v>
      </c>
      <c r="AT95" s="21" t="s">
        <v>4962</v>
      </c>
      <c r="AU95" s="21" t="str">
        <f>IF(P95&gt;0,"Unpaid leave "&amp;P95&amp;" day(s)",IF(R95&gt;40,"Overtime above 40 hrs","None"))</f>
        <v>None</v>
      </c>
      <c r="AV95" s="29">
        <f>EOMONTH(H95,0)+15</f>
        <v>46280</v>
      </c>
      <c r="AW95" s="21" t="s">
        <v>4981</v>
      </c>
      <c r="AX95" s="21" t="s">
        <v>4964</v>
      </c>
      <c r="AY95" s="21" t="str">
        <f>IF(U95+V95+W95&gt;=40000,"Compliant","Below minimum wage")</f>
        <v>Compliant</v>
      </c>
    </row>
    <row r="96" spans="1:51" x14ac:dyDescent="0.3">
      <c r="A96" s="21" t="s">
        <v>4960</v>
      </c>
      <c r="B96" s="39">
        <v>46235</v>
      </c>
      <c r="C96" s="21" t="s">
        <v>4961</v>
      </c>
      <c r="D96" s="21" t="s">
        <v>4842</v>
      </c>
      <c r="E96" s="21" t="s">
        <v>743</v>
      </c>
      <c r="F96" s="29">
        <v>46259</v>
      </c>
      <c r="G96" s="21">
        <f>COUNTIFS($A$3:$A$1500,A96)</f>
        <v>25</v>
      </c>
      <c r="H96" s="29">
        <v>46265</v>
      </c>
      <c r="I96" s="21" t="s">
        <v>1797</v>
      </c>
      <c r="J96" s="21" t="s">
        <v>4357</v>
      </c>
      <c r="K96" s="21" t="s">
        <v>4887</v>
      </c>
      <c r="L96" s="21" t="s">
        <v>4885</v>
      </c>
      <c r="M96" s="21">
        <v>31</v>
      </c>
      <c r="N96" s="21">
        <v>25</v>
      </c>
      <c r="O96" s="21">
        <v>1</v>
      </c>
      <c r="P96" s="21">
        <v>0</v>
      </c>
      <c r="Q96" s="21" t="s">
        <v>848</v>
      </c>
      <c r="R96" s="21">
        <v>17</v>
      </c>
      <c r="S96" s="21">
        <v>1</v>
      </c>
      <c r="T96" s="21" t="s">
        <v>1706</v>
      </c>
      <c r="U96" s="37">
        <f>_xlfn.XLOOKUP(LEFT(K96,7),'T07'!$A$3:$A$1500,'T07'!$AS$3:$AS$1500)</f>
        <v>37200</v>
      </c>
      <c r="V96" s="37">
        <f>_xlfn.XLOOKUP(LEFT(K96,7),'T07'!$A$3:$A$1500,'T07'!$AT$3:$AT$1500)</f>
        <v>16740</v>
      </c>
      <c r="W96" s="37">
        <v>5000</v>
      </c>
      <c r="X96" s="37">
        <f>ROUND(U96/M96/8*2*R96,0)</f>
        <v>5100</v>
      </c>
      <c r="Y96" s="37">
        <f>ROUND(U96/M96*2*S96,0)</f>
        <v>2400</v>
      </c>
      <c r="Z96" s="37">
        <v>0</v>
      </c>
      <c r="AA96" s="37">
        <v>0</v>
      </c>
      <c r="AB96" s="37">
        <v>0</v>
      </c>
      <c r="AC96" s="37">
        <f>U96+V96+W96+X96+Y96+Z96+AA96+AB96</f>
        <v>66440</v>
      </c>
      <c r="AD96" s="37">
        <f>_xlfn.LET(_xlpm.a,(AC96-AB96)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164</v>
      </c>
      <c r="AE96" s="37" cm="1">
        <f t="array" ref="AE96">SUMPRODUCT((LEFT($K$3:$K$1500,7)=LEFT(K96,7))*($F$3:$F$1500&lt;=F96)*($F$3:$F$1500&gt;=DATE(IF(MONTH(F96)&gt;=7,YEAR(F96),YEAR(F96)-1),7,1))*($AC$3:$AC$1500-$AB$3:$AB$1500))</f>
        <v>132280</v>
      </c>
      <c r="AF96" s="37">
        <v>10000</v>
      </c>
      <c r="AG96" s="37">
        <f>ROUND((U96+V96)/M96*P96,0)</f>
        <v>0</v>
      </c>
      <c r="AH96" s="37">
        <v>0</v>
      </c>
      <c r="AI96" s="37">
        <f>AD96+AF96+AG96+AH96</f>
        <v>10164</v>
      </c>
      <c r="AJ96" s="37">
        <f>AC96-AI96</f>
        <v>56276</v>
      </c>
      <c r="AK96" s="37">
        <f>AC96+2000</f>
        <v>68440</v>
      </c>
      <c r="AL96" s="21">
        <f>COUNTIFS($A$3:$A$1500,A96)</f>
        <v>25</v>
      </c>
      <c r="AM96" s="37">
        <f>SUMIFS($AC$3:$AC$1500,$A$3:$A$1500,A96)</f>
        <v>4248832</v>
      </c>
      <c r="AN96" s="37">
        <f>SUMIFS($AD$3:$AD$1500,$A$3:$A$1500,A96)</f>
        <v>561319</v>
      </c>
      <c r="AO96" s="37">
        <f>SUMIFS($AF$3:$AF$1500,$A$3:$A$1500,A96)</f>
        <v>30000</v>
      </c>
      <c r="AP96" s="37">
        <f>SUMIFS($AG$3:$AG$1500,$A$3:$A$1500,A96)+SUMIFS($AH$3:$AH$1500,$A$3:$A$1500,A96)</f>
        <v>37887</v>
      </c>
      <c r="AQ96" s="37">
        <f>SUMIFS($AJ$3:$AJ$1500,$A$3:$A$1500,A96)</f>
        <v>3619626</v>
      </c>
      <c r="AR96" s="37">
        <f>SUMIFS($AK$3:$AK$1500,$A$3:$A$1500,A96)</f>
        <v>4298832</v>
      </c>
      <c r="AS96" s="31">
        <f>IFERROR(AQ96/SUMIFS($AJ$3:$AJ$1500,$F$3:$F$1500,EDATE(F96,-1))-1,"N/A - first run")</f>
        <v>2.2935805168344814E-4</v>
      </c>
      <c r="AT96" s="21" t="s">
        <v>4962</v>
      </c>
      <c r="AU96" s="21" t="str">
        <f>IF(P96&gt;0,"Unpaid leave "&amp;P96&amp;" day(s)",IF(R96&gt;40,"Overtime above 40 hrs","None"))</f>
        <v>None</v>
      </c>
      <c r="AV96" s="29">
        <f>EOMONTH(H96,0)+15</f>
        <v>46280</v>
      </c>
      <c r="AW96" s="21" t="s">
        <v>4982</v>
      </c>
      <c r="AX96" s="21" t="s">
        <v>4964</v>
      </c>
      <c r="AY96" s="21" t="str">
        <f>IF(U96+V96+W96&gt;=40000,"Compliant","Below minimum wage")</f>
        <v>Compliant</v>
      </c>
    </row>
    <row r="97" spans="1:51" x14ac:dyDescent="0.3">
      <c r="A97" s="21" t="s">
        <v>4960</v>
      </c>
      <c r="B97" s="39">
        <v>46235</v>
      </c>
      <c r="C97" s="21" t="s">
        <v>4961</v>
      </c>
      <c r="D97" s="21" t="s">
        <v>4842</v>
      </c>
      <c r="E97" s="21" t="s">
        <v>743</v>
      </c>
      <c r="F97" s="29">
        <v>46259</v>
      </c>
      <c r="G97" s="21">
        <f>COUNTIFS($A$3:$A$1500,A97)</f>
        <v>25</v>
      </c>
      <c r="H97" s="29">
        <v>46265</v>
      </c>
      <c r="I97" s="21" t="s">
        <v>1797</v>
      </c>
      <c r="J97" s="21" t="s">
        <v>4357</v>
      </c>
      <c r="K97" s="21" t="s">
        <v>4889</v>
      </c>
      <c r="L97" s="21" t="s">
        <v>4885</v>
      </c>
      <c r="M97" s="21">
        <v>31</v>
      </c>
      <c r="N97" s="21">
        <v>25</v>
      </c>
      <c r="O97" s="21">
        <v>1</v>
      </c>
      <c r="P97" s="21">
        <v>0</v>
      </c>
      <c r="Q97" s="21" t="s">
        <v>848</v>
      </c>
      <c r="R97" s="21">
        <v>11</v>
      </c>
      <c r="S97" s="21">
        <v>1</v>
      </c>
      <c r="T97" s="21" t="s">
        <v>1719</v>
      </c>
      <c r="U97" s="37">
        <f>_xlfn.XLOOKUP(LEFT(K97,7),'T07'!$A$3:$A$1500,'T07'!$AS$3:$AS$1500)</f>
        <v>37200</v>
      </c>
      <c r="V97" s="37">
        <f>_xlfn.XLOOKUP(LEFT(K97,7),'T07'!$A$3:$A$1500,'T07'!$AT$3:$AT$1500)</f>
        <v>16740</v>
      </c>
      <c r="W97" s="37">
        <v>5000</v>
      </c>
      <c r="X97" s="37">
        <f>ROUND(U97/M97/8*2*R97,0)</f>
        <v>3300</v>
      </c>
      <c r="Y97" s="37">
        <f>ROUND(U97/M97*2*S97,0)</f>
        <v>2400</v>
      </c>
      <c r="Z97" s="37">
        <v>0</v>
      </c>
      <c r="AA97" s="37">
        <v>0</v>
      </c>
      <c r="AB97" s="37">
        <v>0</v>
      </c>
      <c r="AC97" s="37">
        <f>U97+V97+W97+X97+Y97+Z97+AA97+AB97</f>
        <v>64640</v>
      </c>
      <c r="AD97" s="37">
        <f>_xlfn.LET(_xlpm.a,(AC97-AB97)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146</v>
      </c>
      <c r="AE97" s="37" cm="1">
        <f t="array" ref="AE97">SUMPRODUCT((LEFT($K$3:$K$1500,7)=LEFT(K97,7))*($F$3:$F$1500&lt;=F97)*($F$3:$F$1500&gt;=DATE(IF(MONTH(F97)&gt;=7,YEAR(F97),YEAR(F97)-1),7,1))*($AC$3:$AC$1500-$AB$3:$AB$1500))</f>
        <v>126280</v>
      </c>
      <c r="AF97" s="37">
        <v>0</v>
      </c>
      <c r="AG97" s="37">
        <f>ROUND((U97+V97)/M97*P97,0)</f>
        <v>0</v>
      </c>
      <c r="AH97" s="37">
        <v>0</v>
      </c>
      <c r="AI97" s="37">
        <f>AD97+AF97+AG97+AH97</f>
        <v>146</v>
      </c>
      <c r="AJ97" s="37">
        <f>AC97-AI97</f>
        <v>64494</v>
      </c>
      <c r="AK97" s="37">
        <f>AC97+2000</f>
        <v>66640</v>
      </c>
      <c r="AL97" s="21">
        <f>COUNTIFS($A$3:$A$1500,A97)</f>
        <v>25</v>
      </c>
      <c r="AM97" s="37">
        <f>SUMIFS($AC$3:$AC$1500,$A$3:$A$1500,A97)</f>
        <v>4248832</v>
      </c>
      <c r="AN97" s="37">
        <f>SUMIFS($AD$3:$AD$1500,$A$3:$A$1500,A97)</f>
        <v>561319</v>
      </c>
      <c r="AO97" s="37">
        <f>SUMIFS($AF$3:$AF$1500,$A$3:$A$1500,A97)</f>
        <v>30000</v>
      </c>
      <c r="AP97" s="37">
        <f>SUMIFS($AG$3:$AG$1500,$A$3:$A$1500,A97)+SUMIFS($AH$3:$AH$1500,$A$3:$A$1500,A97)</f>
        <v>37887</v>
      </c>
      <c r="AQ97" s="37">
        <f>SUMIFS($AJ$3:$AJ$1500,$A$3:$A$1500,A97)</f>
        <v>3619626</v>
      </c>
      <c r="AR97" s="37">
        <f>SUMIFS($AK$3:$AK$1500,$A$3:$A$1500,A97)</f>
        <v>4298832</v>
      </c>
      <c r="AS97" s="31">
        <f>IFERROR(AQ97/SUMIFS($AJ$3:$AJ$1500,$F$3:$F$1500,EDATE(F97,-1))-1,"N/A - first run")</f>
        <v>2.2935805168344814E-4</v>
      </c>
      <c r="AT97" s="21" t="s">
        <v>4962</v>
      </c>
      <c r="AU97" s="21" t="str">
        <f>IF(P97&gt;0,"Unpaid leave "&amp;P97&amp;" day(s)",IF(R97&gt;40,"Overtime above 40 hrs","None"))</f>
        <v>None</v>
      </c>
      <c r="AV97" s="29">
        <f>EOMONTH(H97,0)+15</f>
        <v>46280</v>
      </c>
      <c r="AW97" s="21" t="s">
        <v>4983</v>
      </c>
      <c r="AX97" s="21" t="s">
        <v>4964</v>
      </c>
      <c r="AY97" s="21" t="str">
        <f>IF(U97+V97+W97&gt;=40000,"Compliant","Below minimum wage")</f>
        <v>Compliant</v>
      </c>
    </row>
    <row r="98" spans="1:51" x14ac:dyDescent="0.3">
      <c r="A98" s="21" t="s">
        <v>4960</v>
      </c>
      <c r="B98" s="39">
        <v>46235</v>
      </c>
      <c r="C98" s="21" t="s">
        <v>4961</v>
      </c>
      <c r="D98" s="21" t="s">
        <v>4842</v>
      </c>
      <c r="E98" s="21" t="s">
        <v>743</v>
      </c>
      <c r="F98" s="29">
        <v>46259</v>
      </c>
      <c r="G98" s="21">
        <f>COUNTIFS($A$3:$A$1500,A98)</f>
        <v>25</v>
      </c>
      <c r="H98" s="29">
        <v>46265</v>
      </c>
      <c r="I98" s="21" t="s">
        <v>1797</v>
      </c>
      <c r="J98" s="21" t="s">
        <v>4357</v>
      </c>
      <c r="K98" s="21" t="s">
        <v>4891</v>
      </c>
      <c r="L98" s="21" t="s">
        <v>4892</v>
      </c>
      <c r="M98" s="21">
        <v>31</v>
      </c>
      <c r="N98" s="21">
        <v>26</v>
      </c>
      <c r="O98" s="21">
        <v>0</v>
      </c>
      <c r="P98" s="21">
        <v>0</v>
      </c>
      <c r="Q98" s="21" t="s">
        <v>848</v>
      </c>
      <c r="R98" s="21">
        <v>8</v>
      </c>
      <c r="S98" s="21">
        <v>1</v>
      </c>
      <c r="T98" s="21" t="s">
        <v>1734</v>
      </c>
      <c r="U98" s="37">
        <f>_xlfn.XLOOKUP(LEFT(K98,7),'T07'!$A$3:$A$1500,'T07'!$AS$3:$AS$1500)</f>
        <v>34800</v>
      </c>
      <c r="V98" s="37">
        <f>_xlfn.XLOOKUP(LEFT(K98,7),'T07'!$A$3:$A$1500,'T07'!$AT$3:$AT$1500)</f>
        <v>15660</v>
      </c>
      <c r="W98" s="37">
        <v>5000</v>
      </c>
      <c r="X98" s="37">
        <f>ROUND(U98/M98/8*2*R98,0)</f>
        <v>2245</v>
      </c>
      <c r="Y98" s="37">
        <f>ROUND(U98/M98*2*S98,0)</f>
        <v>2245</v>
      </c>
      <c r="Z98" s="37">
        <v>0</v>
      </c>
      <c r="AA98" s="37">
        <v>0</v>
      </c>
      <c r="AB98" s="37">
        <v>0</v>
      </c>
      <c r="AC98" s="37">
        <f>U98+V98+W98+X98+Y98+Z98+AA98+AB98</f>
        <v>59950</v>
      </c>
      <c r="AD98" s="37">
        <f>_xlfn.LET(_xlpm.a,(AC98-AB98)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100</v>
      </c>
      <c r="AE98" s="37" cm="1">
        <f t="array" ref="AE98">SUMPRODUCT((LEFT($K$3:$K$1500,7)=LEFT(K98,7))*($F$3:$F$1500&lt;=F98)*($F$3:$F$1500&gt;=DATE(IF(MONTH(F98)&gt;=7,YEAR(F98),YEAR(F98)-1),7,1))*($AC$3:$AC$1500-$AB$3:$AB$1500))</f>
        <v>120742</v>
      </c>
      <c r="AF98" s="37">
        <v>0</v>
      </c>
      <c r="AG98" s="37">
        <f>ROUND((U98+V98)/M98*P98,0)</f>
        <v>0</v>
      </c>
      <c r="AH98" s="37">
        <v>0</v>
      </c>
      <c r="AI98" s="37">
        <f>AD98+AF98+AG98+AH98</f>
        <v>100</v>
      </c>
      <c r="AJ98" s="37">
        <f>AC98-AI98</f>
        <v>59850</v>
      </c>
      <c r="AK98" s="37">
        <f>AC98+2000</f>
        <v>61950</v>
      </c>
      <c r="AL98" s="21">
        <f>COUNTIFS($A$3:$A$1500,A98)</f>
        <v>25</v>
      </c>
      <c r="AM98" s="37">
        <f>SUMIFS($AC$3:$AC$1500,$A$3:$A$1500,A98)</f>
        <v>4248832</v>
      </c>
      <c r="AN98" s="37">
        <f>SUMIFS($AD$3:$AD$1500,$A$3:$A$1500,A98)</f>
        <v>561319</v>
      </c>
      <c r="AO98" s="37">
        <f>SUMIFS($AF$3:$AF$1500,$A$3:$A$1500,A98)</f>
        <v>30000</v>
      </c>
      <c r="AP98" s="37">
        <f>SUMIFS($AG$3:$AG$1500,$A$3:$A$1500,A98)+SUMIFS($AH$3:$AH$1500,$A$3:$A$1500,A98)</f>
        <v>37887</v>
      </c>
      <c r="AQ98" s="37">
        <f>SUMIFS($AJ$3:$AJ$1500,$A$3:$A$1500,A98)</f>
        <v>3619626</v>
      </c>
      <c r="AR98" s="37">
        <f>SUMIFS($AK$3:$AK$1500,$A$3:$A$1500,A98)</f>
        <v>4298832</v>
      </c>
      <c r="AS98" s="31">
        <f>IFERROR(AQ98/SUMIFS($AJ$3:$AJ$1500,$F$3:$F$1500,EDATE(F98,-1))-1,"N/A - first run")</f>
        <v>2.2935805168344814E-4</v>
      </c>
      <c r="AT98" s="21" t="s">
        <v>4962</v>
      </c>
      <c r="AU98" s="21" t="str">
        <f>IF(P98&gt;0,"Unpaid leave "&amp;P98&amp;" day(s)",IF(R98&gt;40,"Overtime above 40 hrs","None"))</f>
        <v>None</v>
      </c>
      <c r="AV98" s="29">
        <f>EOMONTH(H98,0)+15</f>
        <v>46280</v>
      </c>
      <c r="AW98" s="21" t="s">
        <v>4984</v>
      </c>
      <c r="AX98" s="21" t="s">
        <v>4964</v>
      </c>
      <c r="AY98" s="21" t="str">
        <f>IF(U98+V98+W98&gt;=40000,"Compliant","Below minimum wage")</f>
        <v>Compliant</v>
      </c>
    </row>
    <row r="99" spans="1:51" x14ac:dyDescent="0.3">
      <c r="A99" s="21" t="s">
        <v>4960</v>
      </c>
      <c r="B99" s="39">
        <v>46235</v>
      </c>
      <c r="C99" s="21" t="s">
        <v>4961</v>
      </c>
      <c r="D99" s="21" t="s">
        <v>4842</v>
      </c>
      <c r="E99" s="21" t="s">
        <v>743</v>
      </c>
      <c r="F99" s="29">
        <v>46259</v>
      </c>
      <c r="G99" s="21">
        <f>COUNTIFS($A$3:$A$1500,A99)</f>
        <v>25</v>
      </c>
      <c r="H99" s="29">
        <v>46265</v>
      </c>
      <c r="I99" s="21" t="s">
        <v>1797</v>
      </c>
      <c r="J99" s="21" t="s">
        <v>4357</v>
      </c>
      <c r="K99" s="21" t="s">
        <v>4894</v>
      </c>
      <c r="L99" s="21" t="s">
        <v>4885</v>
      </c>
      <c r="M99" s="21">
        <v>31</v>
      </c>
      <c r="N99" s="21">
        <v>26</v>
      </c>
      <c r="O99" s="21">
        <v>0</v>
      </c>
      <c r="P99" s="21">
        <v>0</v>
      </c>
      <c r="Q99" s="21" t="s">
        <v>4845</v>
      </c>
      <c r="R99" s="21">
        <v>20</v>
      </c>
      <c r="S99" s="21">
        <v>1</v>
      </c>
      <c r="T99" s="21" t="s">
        <v>1748</v>
      </c>
      <c r="U99" s="37">
        <f>_xlfn.XLOOKUP(LEFT(K99,7),'T07'!$A$3:$A$1500,'T07'!$AS$3:$AS$1500)</f>
        <v>36000</v>
      </c>
      <c r="V99" s="37">
        <f>_xlfn.XLOOKUP(LEFT(K99,7),'T07'!$A$3:$A$1500,'T07'!$AT$3:$AT$1500)</f>
        <v>16200</v>
      </c>
      <c r="W99" s="37">
        <v>5000</v>
      </c>
      <c r="X99" s="37">
        <f>ROUND(U99/M99/8*2*R99,0)</f>
        <v>5806</v>
      </c>
      <c r="Y99" s="37">
        <f>ROUND(U99/M99*2*S99,0)</f>
        <v>2323</v>
      </c>
      <c r="Z99" s="37">
        <v>0</v>
      </c>
      <c r="AA99" s="37">
        <v>0</v>
      </c>
      <c r="AB99" s="37">
        <v>0</v>
      </c>
      <c r="AC99" s="37">
        <f>U99+V99+W99+X99+Y99+Z99+AA99+AB99</f>
        <v>65329</v>
      </c>
      <c r="AD99" s="37">
        <f>_xlfn.LET(_xlpm.a,(AC99-AB99)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153</v>
      </c>
      <c r="AE99" s="37" cm="1">
        <f t="array" ref="AE99">SUMPRODUCT((LEFT($K$3:$K$1500,7)=LEFT(K99,7))*($F$3:$F$1500&lt;=F99)*($F$3:$F$1500&gt;=DATE(IF(MONTH(F99)&gt;=7,YEAR(F99),YEAR(F99)-1),7,1))*($AC$3:$AC$1500-$AB$3:$AB$1500))</f>
        <v>125432</v>
      </c>
      <c r="AF99" s="37">
        <v>0</v>
      </c>
      <c r="AG99" s="37">
        <f>ROUND((U99+V99)/M99*P99,0)</f>
        <v>0</v>
      </c>
      <c r="AH99" s="37">
        <v>0</v>
      </c>
      <c r="AI99" s="37">
        <f>AD99+AF99+AG99+AH99</f>
        <v>153</v>
      </c>
      <c r="AJ99" s="37">
        <f>AC99-AI99</f>
        <v>65176</v>
      </c>
      <c r="AK99" s="37">
        <f>AC99+2000</f>
        <v>67329</v>
      </c>
      <c r="AL99" s="21">
        <f>COUNTIFS($A$3:$A$1500,A99)</f>
        <v>25</v>
      </c>
      <c r="AM99" s="37">
        <f>SUMIFS($AC$3:$AC$1500,$A$3:$A$1500,A99)</f>
        <v>4248832</v>
      </c>
      <c r="AN99" s="37">
        <f>SUMIFS($AD$3:$AD$1500,$A$3:$A$1500,A99)</f>
        <v>561319</v>
      </c>
      <c r="AO99" s="37">
        <f>SUMIFS($AF$3:$AF$1500,$A$3:$A$1500,A99)</f>
        <v>30000</v>
      </c>
      <c r="AP99" s="37">
        <f>SUMIFS($AG$3:$AG$1500,$A$3:$A$1500,A99)+SUMIFS($AH$3:$AH$1500,$A$3:$A$1500,A99)</f>
        <v>37887</v>
      </c>
      <c r="AQ99" s="37">
        <f>SUMIFS($AJ$3:$AJ$1500,$A$3:$A$1500,A99)</f>
        <v>3619626</v>
      </c>
      <c r="AR99" s="37">
        <f>SUMIFS($AK$3:$AK$1500,$A$3:$A$1500,A99)</f>
        <v>4298832</v>
      </c>
      <c r="AS99" s="31">
        <f>IFERROR(AQ99/SUMIFS($AJ$3:$AJ$1500,$F$3:$F$1500,EDATE(F99,-1))-1,"N/A - first run")</f>
        <v>2.2935805168344814E-4</v>
      </c>
      <c r="AT99" s="21" t="s">
        <v>4962</v>
      </c>
      <c r="AU99" s="21" t="str">
        <f>IF(P99&gt;0,"Unpaid leave "&amp;P99&amp;" day(s)",IF(R99&gt;40,"Overtime above 40 hrs","None"))</f>
        <v>None</v>
      </c>
      <c r="AV99" s="29">
        <f>EOMONTH(H99,0)+15</f>
        <v>46280</v>
      </c>
      <c r="AW99" s="21" t="s">
        <v>4985</v>
      </c>
      <c r="AX99" s="21" t="s">
        <v>4964</v>
      </c>
      <c r="AY99" s="21" t="str">
        <f>IF(U99+V99+W99&gt;=40000,"Compliant","Below minimum wage")</f>
        <v>Compliant</v>
      </c>
    </row>
    <row r="100" spans="1:51" x14ac:dyDescent="0.3">
      <c r="A100" s="21" t="s">
        <v>4960</v>
      </c>
      <c r="B100" s="39">
        <v>46235</v>
      </c>
      <c r="C100" s="21" t="s">
        <v>4961</v>
      </c>
      <c r="D100" s="21" t="s">
        <v>4842</v>
      </c>
      <c r="E100" s="21" t="s">
        <v>743</v>
      </c>
      <c r="F100" s="29">
        <v>46259</v>
      </c>
      <c r="G100" s="21">
        <f>COUNTIFS($A$3:$A$1500,A100)</f>
        <v>25</v>
      </c>
      <c r="H100" s="29">
        <v>46265</v>
      </c>
      <c r="I100" s="21" t="s">
        <v>1797</v>
      </c>
      <c r="J100" s="21" t="s">
        <v>4357</v>
      </c>
      <c r="K100" s="21" t="s">
        <v>4896</v>
      </c>
      <c r="L100" s="21" t="s">
        <v>4885</v>
      </c>
      <c r="M100" s="21">
        <v>31</v>
      </c>
      <c r="N100" s="21">
        <v>26</v>
      </c>
      <c r="O100" s="21">
        <v>0</v>
      </c>
      <c r="P100" s="21">
        <v>0</v>
      </c>
      <c r="Q100" s="21" t="s">
        <v>848</v>
      </c>
      <c r="R100" s="21">
        <v>17</v>
      </c>
      <c r="S100" s="21">
        <v>1</v>
      </c>
      <c r="T100" s="21" t="s">
        <v>1761</v>
      </c>
      <c r="U100" s="37">
        <f>_xlfn.XLOOKUP(LEFT(K100,7),'T07'!$A$3:$A$1500,'T07'!$AS$3:$AS$1500)</f>
        <v>36000</v>
      </c>
      <c r="V100" s="37">
        <f>_xlfn.XLOOKUP(LEFT(K100,7),'T07'!$A$3:$A$1500,'T07'!$AT$3:$AT$1500)</f>
        <v>16200</v>
      </c>
      <c r="W100" s="37">
        <v>5000</v>
      </c>
      <c r="X100" s="37">
        <f>ROUND(U100/M100/8*2*R100,0)</f>
        <v>4935</v>
      </c>
      <c r="Y100" s="37">
        <f>ROUND(U100/M100*2*S100,0)</f>
        <v>2323</v>
      </c>
      <c r="Z100" s="37">
        <v>0</v>
      </c>
      <c r="AA100" s="37">
        <v>0</v>
      </c>
      <c r="AB100" s="37">
        <v>0</v>
      </c>
      <c r="AC100" s="37">
        <f>U100+V100+W100+X100+Y100+Z100+AA100+AB100</f>
        <v>64458</v>
      </c>
      <c r="AD100" s="37">
        <f>_xlfn.LET(_xlpm.a,(AC100-AB100)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145</v>
      </c>
      <c r="AE100" s="37" cm="1">
        <f t="array" ref="AE100">SUMPRODUCT((LEFT($K$3:$K$1500,7)=LEFT(K100,7))*($F$3:$F$1500&lt;=F100)*($F$3:$F$1500&gt;=DATE(IF(MONTH(F100)&gt;=7,YEAR(F100),YEAR(F100)-1),7,1))*($AC$3:$AC$1500-$AB$3:$AB$1500))</f>
        <v>129497</v>
      </c>
      <c r="AF100" s="37">
        <v>0</v>
      </c>
      <c r="AG100" s="37">
        <f>ROUND((U100+V100)/M100*P100,0)</f>
        <v>0</v>
      </c>
      <c r="AH100" s="37">
        <v>0</v>
      </c>
      <c r="AI100" s="37">
        <f>AD100+AF100+AG100+AH100</f>
        <v>145</v>
      </c>
      <c r="AJ100" s="37">
        <f>AC100-AI100</f>
        <v>64313</v>
      </c>
      <c r="AK100" s="37">
        <f>AC100+2000</f>
        <v>66458</v>
      </c>
      <c r="AL100" s="21">
        <f>COUNTIFS($A$3:$A$1500,A100)</f>
        <v>25</v>
      </c>
      <c r="AM100" s="37">
        <f>SUMIFS($AC$3:$AC$1500,$A$3:$A$1500,A100)</f>
        <v>4248832</v>
      </c>
      <c r="AN100" s="37">
        <f>SUMIFS($AD$3:$AD$1500,$A$3:$A$1500,A100)</f>
        <v>561319</v>
      </c>
      <c r="AO100" s="37">
        <f>SUMIFS($AF$3:$AF$1500,$A$3:$A$1500,A100)</f>
        <v>30000</v>
      </c>
      <c r="AP100" s="37">
        <f>SUMIFS($AG$3:$AG$1500,$A$3:$A$1500,A100)+SUMIFS($AH$3:$AH$1500,$A$3:$A$1500,A100)</f>
        <v>37887</v>
      </c>
      <c r="AQ100" s="37">
        <f>SUMIFS($AJ$3:$AJ$1500,$A$3:$A$1500,A100)</f>
        <v>3619626</v>
      </c>
      <c r="AR100" s="37">
        <f>SUMIFS($AK$3:$AK$1500,$A$3:$A$1500,A100)</f>
        <v>4298832</v>
      </c>
      <c r="AS100" s="31">
        <f>IFERROR(AQ100/SUMIFS($AJ$3:$AJ$1500,$F$3:$F$1500,EDATE(F100,-1))-1,"N/A - first run")</f>
        <v>2.2935805168344814E-4</v>
      </c>
      <c r="AT100" s="21" t="s">
        <v>4962</v>
      </c>
      <c r="AU100" s="21" t="str">
        <f>IF(P100&gt;0,"Unpaid leave "&amp;P100&amp;" day(s)",IF(R100&gt;40,"Overtime above 40 hrs","None"))</f>
        <v>None</v>
      </c>
      <c r="AV100" s="29">
        <f>EOMONTH(H100,0)+15</f>
        <v>46280</v>
      </c>
      <c r="AW100" s="21" t="s">
        <v>4986</v>
      </c>
      <c r="AX100" s="21" t="s">
        <v>4964</v>
      </c>
      <c r="AY100" s="21" t="str">
        <f>IF(U100+V100+W100&gt;=40000,"Compliant","Below minimum wage")</f>
        <v>Compliant</v>
      </c>
    </row>
    <row r="101" spans="1:51" x14ac:dyDescent="0.3">
      <c r="A101" s="21" t="s">
        <v>4960</v>
      </c>
      <c r="B101" s="39">
        <v>46235</v>
      </c>
      <c r="C101" s="21" t="s">
        <v>4961</v>
      </c>
      <c r="D101" s="21" t="s">
        <v>4842</v>
      </c>
      <c r="E101" s="21" t="s">
        <v>743</v>
      </c>
      <c r="F101" s="29">
        <v>46259</v>
      </c>
      <c r="G101" s="21">
        <f>COUNTIFS($A$3:$A$1500,A101)</f>
        <v>25</v>
      </c>
      <c r="H101" s="29">
        <v>46265</v>
      </c>
      <c r="I101" s="21" t="s">
        <v>1797</v>
      </c>
      <c r="J101" s="21" t="s">
        <v>4357</v>
      </c>
      <c r="K101" s="21" t="s">
        <v>4898</v>
      </c>
      <c r="L101" s="21" t="s">
        <v>4892</v>
      </c>
      <c r="M101" s="21">
        <v>31</v>
      </c>
      <c r="N101" s="21">
        <v>24</v>
      </c>
      <c r="O101" s="21">
        <v>2</v>
      </c>
      <c r="P101" s="21">
        <v>0</v>
      </c>
      <c r="Q101" s="21" t="s">
        <v>848</v>
      </c>
      <c r="R101" s="21">
        <v>17</v>
      </c>
      <c r="S101" s="21">
        <v>1</v>
      </c>
      <c r="T101" s="21" t="s">
        <v>1776</v>
      </c>
      <c r="U101" s="37">
        <f>_xlfn.XLOOKUP(LEFT(K101,7),'T07'!$A$3:$A$1500,'T07'!$AS$3:$AS$1500)</f>
        <v>33000</v>
      </c>
      <c r="V101" s="37">
        <f>_xlfn.XLOOKUP(LEFT(K101,7),'T07'!$A$3:$A$1500,'T07'!$AT$3:$AT$1500)</f>
        <v>14850</v>
      </c>
      <c r="W101" s="37">
        <v>5000</v>
      </c>
      <c r="X101" s="37">
        <f>ROUND(U101/M101/8*2*R101,0)</f>
        <v>4524</v>
      </c>
      <c r="Y101" s="37">
        <f>ROUND(U101/M101*2*S101,0)</f>
        <v>2129</v>
      </c>
      <c r="Z101" s="37">
        <v>0</v>
      </c>
      <c r="AA101" s="37">
        <v>0</v>
      </c>
      <c r="AB101" s="37">
        <v>0</v>
      </c>
      <c r="AC101" s="37">
        <f>U101+V101+W101+X101+Y101+Z101+AA101+AB101</f>
        <v>59503</v>
      </c>
      <c r="AD101" s="37">
        <f>_xlfn.LET(_xlpm.a,(AC101-AB101)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95</v>
      </c>
      <c r="AE101" s="37" cm="1">
        <f t="array" ref="AE101">SUMPRODUCT((LEFT($K$3:$K$1500,7)=LEFT(K101,7))*($F$3:$F$1500&lt;=F101)*($F$3:$F$1500&gt;=DATE(IF(MONTH(F101)&gt;=7,YEAR(F101),YEAR(F101)-1),7,1))*($AC$3:$AC$1500-$AB$3:$AB$1500))</f>
        <v>119805</v>
      </c>
      <c r="AF101" s="37">
        <v>0</v>
      </c>
      <c r="AG101" s="37">
        <f>ROUND((U101+V101)/M101*P101,0)</f>
        <v>0</v>
      </c>
      <c r="AH101" s="37">
        <v>0</v>
      </c>
      <c r="AI101" s="37">
        <f>AD101+AF101+AG101+AH101</f>
        <v>95</v>
      </c>
      <c r="AJ101" s="37">
        <f>AC101-AI101</f>
        <v>59408</v>
      </c>
      <c r="AK101" s="37">
        <f>AC101+2000</f>
        <v>61503</v>
      </c>
      <c r="AL101" s="21">
        <f>COUNTIFS($A$3:$A$1500,A101)</f>
        <v>25</v>
      </c>
      <c r="AM101" s="37">
        <f>SUMIFS($AC$3:$AC$1500,$A$3:$A$1500,A101)</f>
        <v>4248832</v>
      </c>
      <c r="AN101" s="37">
        <f>SUMIFS($AD$3:$AD$1500,$A$3:$A$1500,A101)</f>
        <v>561319</v>
      </c>
      <c r="AO101" s="37">
        <f>SUMIFS($AF$3:$AF$1500,$A$3:$A$1500,A101)</f>
        <v>30000</v>
      </c>
      <c r="AP101" s="37">
        <f>SUMIFS($AG$3:$AG$1500,$A$3:$A$1500,A101)+SUMIFS($AH$3:$AH$1500,$A$3:$A$1500,A101)</f>
        <v>37887</v>
      </c>
      <c r="AQ101" s="37">
        <f>SUMIFS($AJ$3:$AJ$1500,$A$3:$A$1500,A101)</f>
        <v>3619626</v>
      </c>
      <c r="AR101" s="37">
        <f>SUMIFS($AK$3:$AK$1500,$A$3:$A$1500,A101)</f>
        <v>4298832</v>
      </c>
      <c r="AS101" s="31">
        <f>IFERROR(AQ101/SUMIFS($AJ$3:$AJ$1500,$F$3:$F$1500,EDATE(F101,-1))-1,"N/A - first run")</f>
        <v>2.2935805168344814E-4</v>
      </c>
      <c r="AT101" s="21" t="s">
        <v>4962</v>
      </c>
      <c r="AU101" s="21" t="str">
        <f>IF(P101&gt;0,"Unpaid leave "&amp;P101&amp;" day(s)",IF(R101&gt;40,"Overtime above 40 hrs","None"))</f>
        <v>None</v>
      </c>
      <c r="AV101" s="29">
        <f>EOMONTH(H101,0)+15</f>
        <v>46280</v>
      </c>
      <c r="AW101" s="21" t="s">
        <v>4987</v>
      </c>
      <c r="AX101" s="21" t="s">
        <v>4964</v>
      </c>
      <c r="AY101" s="21" t="str">
        <f>IF(U101+V101+W101&gt;=40000,"Compliant","Below minimum wage")</f>
        <v>Compliant</v>
      </c>
    </row>
    <row r="102" spans="1:51" x14ac:dyDescent="0.3">
      <c r="A102" s="21" t="s">
        <v>4960</v>
      </c>
      <c r="B102" s="39">
        <v>46235</v>
      </c>
      <c r="C102" s="21" t="s">
        <v>4961</v>
      </c>
      <c r="D102" s="21" t="s">
        <v>4842</v>
      </c>
      <c r="E102" s="21" t="s">
        <v>743</v>
      </c>
      <c r="F102" s="29">
        <v>46259</v>
      </c>
      <c r="G102" s="21">
        <f>COUNTIFS($A$3:$A$1500,A102)</f>
        <v>25</v>
      </c>
      <c r="H102" s="29">
        <v>46265</v>
      </c>
      <c r="I102" s="21" t="s">
        <v>1797</v>
      </c>
      <c r="J102" s="21" t="s">
        <v>4357</v>
      </c>
      <c r="K102" s="21" t="s">
        <v>4900</v>
      </c>
      <c r="L102" s="21" t="s">
        <v>4885</v>
      </c>
      <c r="M102" s="21">
        <v>31</v>
      </c>
      <c r="N102" s="21">
        <v>26</v>
      </c>
      <c r="O102" s="21">
        <v>0</v>
      </c>
      <c r="P102" s="21">
        <v>0</v>
      </c>
      <c r="Q102" s="21" t="s">
        <v>848</v>
      </c>
      <c r="R102" s="21">
        <v>23</v>
      </c>
      <c r="S102" s="21">
        <v>1</v>
      </c>
      <c r="T102" s="21" t="s">
        <v>1790</v>
      </c>
      <c r="U102" s="37">
        <f>_xlfn.XLOOKUP(LEFT(K102,7),'T07'!$A$3:$A$1500,'T07'!$AS$3:$AS$1500)</f>
        <v>37200</v>
      </c>
      <c r="V102" s="37">
        <f>_xlfn.XLOOKUP(LEFT(K102,7),'T07'!$A$3:$A$1500,'T07'!$AT$3:$AT$1500)</f>
        <v>16740</v>
      </c>
      <c r="W102" s="37">
        <v>5000</v>
      </c>
      <c r="X102" s="37">
        <f>ROUND(U102/M102/8*2*R102,0)</f>
        <v>6900</v>
      </c>
      <c r="Y102" s="37">
        <f>ROUND(U102/M102*2*S102,0)</f>
        <v>2400</v>
      </c>
      <c r="Z102" s="37">
        <v>0</v>
      </c>
      <c r="AA102" s="37">
        <v>0</v>
      </c>
      <c r="AB102" s="37">
        <v>0</v>
      </c>
      <c r="AC102" s="37">
        <f>U102+V102+W102+X102+Y102+Z102+AA102+AB102</f>
        <v>68240</v>
      </c>
      <c r="AD102" s="37">
        <f>_xlfn.LET(_xlpm.a,(AC102-AB102)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182</v>
      </c>
      <c r="AE102" s="37" cm="1">
        <f t="array" ref="AE102">SUMPRODUCT((LEFT($K$3:$K$1500,7)=LEFT(K102,7))*($F$3:$F$1500&lt;=F102)*($F$3:$F$1500&gt;=DATE(IF(MONTH(F102)&gt;=7,YEAR(F102),YEAR(F102)-1),7,1))*($AC$3:$AC$1500-$AB$3:$AB$1500))</f>
        <v>137680</v>
      </c>
      <c r="AF102" s="37">
        <v>0</v>
      </c>
      <c r="AG102" s="37">
        <f>ROUND((U102+V102)/M102*P102,0)</f>
        <v>0</v>
      </c>
      <c r="AH102" s="37">
        <v>0</v>
      </c>
      <c r="AI102" s="37">
        <f>AD102+AF102+AG102+AH102</f>
        <v>182</v>
      </c>
      <c r="AJ102" s="37">
        <f>AC102-AI102</f>
        <v>68058</v>
      </c>
      <c r="AK102" s="37">
        <f>AC102+2000</f>
        <v>70240</v>
      </c>
      <c r="AL102" s="21">
        <f>COUNTIFS($A$3:$A$1500,A102)</f>
        <v>25</v>
      </c>
      <c r="AM102" s="37">
        <f>SUMIFS($AC$3:$AC$1500,$A$3:$A$1500,A102)</f>
        <v>4248832</v>
      </c>
      <c r="AN102" s="37">
        <f>SUMIFS($AD$3:$AD$1500,$A$3:$A$1500,A102)</f>
        <v>561319</v>
      </c>
      <c r="AO102" s="37">
        <f>SUMIFS($AF$3:$AF$1500,$A$3:$A$1500,A102)</f>
        <v>30000</v>
      </c>
      <c r="AP102" s="37">
        <f>SUMIFS($AG$3:$AG$1500,$A$3:$A$1500,A102)+SUMIFS($AH$3:$AH$1500,$A$3:$A$1500,A102)</f>
        <v>37887</v>
      </c>
      <c r="AQ102" s="37">
        <f>SUMIFS($AJ$3:$AJ$1500,$A$3:$A$1500,A102)</f>
        <v>3619626</v>
      </c>
      <c r="AR102" s="37">
        <f>SUMIFS($AK$3:$AK$1500,$A$3:$A$1500,A102)</f>
        <v>4298832</v>
      </c>
      <c r="AS102" s="31">
        <f>IFERROR(AQ102/SUMIFS($AJ$3:$AJ$1500,$F$3:$F$1500,EDATE(F102,-1))-1,"N/A - first run")</f>
        <v>2.2935805168344814E-4</v>
      </c>
      <c r="AT102" s="21" t="s">
        <v>4962</v>
      </c>
      <c r="AU102" s="21" t="str">
        <f>IF(P102&gt;0,"Unpaid leave "&amp;P102&amp;" day(s)",IF(R102&gt;40,"Overtime above 40 hrs","None"))</f>
        <v>None</v>
      </c>
      <c r="AV102" s="29">
        <f>EOMONTH(H102,0)+15</f>
        <v>46280</v>
      </c>
      <c r="AW102" s="21" t="s">
        <v>4988</v>
      </c>
      <c r="AX102" s="21" t="s">
        <v>4964</v>
      </c>
      <c r="AY102" s="21" t="str">
        <f>IF(U102+V102+W102&gt;=40000,"Compliant","Below minimum wage")</f>
        <v>Compliant</v>
      </c>
    </row>
    <row r="103" spans="1:51" x14ac:dyDescent="0.3">
      <c r="A103" s="21" t="s">
        <v>4989</v>
      </c>
      <c r="B103" s="39">
        <v>46266</v>
      </c>
      <c r="C103" s="21" t="s">
        <v>4990</v>
      </c>
      <c r="D103" s="21" t="s">
        <v>4842</v>
      </c>
      <c r="E103" s="21" t="s">
        <v>743</v>
      </c>
      <c r="F103" s="29">
        <v>46290</v>
      </c>
      <c r="G103" s="21">
        <f>COUNTIFS($A$3:$A$1500,A103)</f>
        <v>25</v>
      </c>
      <c r="H103" s="29">
        <v>46295</v>
      </c>
      <c r="I103" s="21" t="s">
        <v>1797</v>
      </c>
      <c r="J103" s="21" t="s">
        <v>4991</v>
      </c>
      <c r="K103" s="21" t="s">
        <v>4843</v>
      </c>
      <c r="L103" s="21" t="s">
        <v>4844</v>
      </c>
      <c r="M103" s="21">
        <v>30</v>
      </c>
      <c r="N103" s="21">
        <v>26</v>
      </c>
      <c r="O103" s="21">
        <v>0</v>
      </c>
      <c r="P103" s="21">
        <v>0</v>
      </c>
      <c r="Q103" s="21" t="s">
        <v>848</v>
      </c>
      <c r="R103" s="21">
        <v>0</v>
      </c>
      <c r="S103" s="21">
        <v>0</v>
      </c>
      <c r="T103" s="21" t="s">
        <v>1410</v>
      </c>
      <c r="U103" s="37">
        <f>_xlfn.XLOOKUP(LEFT(K103,7),'T07'!$A$3:$A$1500,'T07'!$AS$3:$AS$1500)</f>
        <v>720000</v>
      </c>
      <c r="V103" s="37">
        <f>_xlfn.XLOOKUP(LEFT(K103,7),'T07'!$A$3:$A$1500,'T07'!$AT$3:$AT$1500)</f>
        <v>324000</v>
      </c>
      <c r="W103" s="37">
        <v>0</v>
      </c>
      <c r="X103" s="37">
        <f>ROUND(U103/M103/8*2*R103,0)</f>
        <v>0</v>
      </c>
      <c r="Y103" s="37">
        <f>ROUND(U103/M103*2*S103,0)</f>
        <v>0</v>
      </c>
      <c r="Z103" s="37">
        <v>0</v>
      </c>
      <c r="AA103" s="37">
        <v>0</v>
      </c>
      <c r="AB103" s="37">
        <v>40000</v>
      </c>
      <c r="AC103" s="37">
        <f>U103+V103+W103+X103+Y103+Z103+AA103+AB103</f>
        <v>1084000</v>
      </c>
      <c r="AD103" s="37">
        <f>_xlfn.LET(_xlpm.a,(AC103-AB103)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297150</v>
      </c>
      <c r="AE103" s="37" cm="1">
        <f t="array" ref="AE103">SUMPRODUCT((LEFT($K$3:$K$1500,7)=LEFT(K103,7))*($F$3:$F$1500&lt;=F103)*($F$3:$F$1500&gt;=DATE(IF(MONTH(F103)&gt;=7,YEAR(F103),YEAR(F103)-1),7,1))*($AC$3:$AC$1500-$AB$3:$AB$1500))</f>
        <v>3132000</v>
      </c>
      <c r="AF103" s="37">
        <v>0</v>
      </c>
      <c r="AG103" s="37">
        <f>ROUND((U103+V103)/M103*P103,0)</f>
        <v>0</v>
      </c>
      <c r="AH103" s="37">
        <v>0</v>
      </c>
      <c r="AI103" s="37">
        <f>AD103+AF103+AG103+AH103</f>
        <v>297150</v>
      </c>
      <c r="AJ103" s="37">
        <f>AC103-AI103</f>
        <v>786850</v>
      </c>
      <c r="AK103" s="37">
        <f>AC103+2000</f>
        <v>1086000</v>
      </c>
      <c r="AL103" s="21">
        <f>COUNTIFS($A$3:$A$1500,A103)</f>
        <v>25</v>
      </c>
      <c r="AM103" s="37">
        <f>SUMIFS($AC$3:$AC$1500,$A$3:$A$1500,A103)</f>
        <v>4232040</v>
      </c>
      <c r="AN103" s="37">
        <f>SUMIFS($AD$3:$AD$1500,$A$3:$A$1500,A103)</f>
        <v>559134</v>
      </c>
      <c r="AO103" s="37">
        <f>SUMIFS($AF$3:$AF$1500,$A$3:$A$1500,A103)</f>
        <v>30000</v>
      </c>
      <c r="AP103" s="37">
        <f>SUMIFS($AG$3:$AG$1500,$A$3:$A$1500,A103)+SUMIFS($AH$3:$AH$1500,$A$3:$A$1500,A103)</f>
        <v>3596</v>
      </c>
      <c r="AQ103" s="37">
        <f>SUMIFS($AJ$3:$AJ$1500,$A$3:$A$1500,A103)</f>
        <v>3639310</v>
      </c>
      <c r="AR103" s="37">
        <f>SUMIFS($AK$3:$AK$1500,$A$3:$A$1500,A103)</f>
        <v>4282040</v>
      </c>
      <c r="AS103" s="31">
        <f>IFERROR(AQ103/SUMIFS($AJ$3:$AJ$1500,$F$3:$F$1500,EDATE(F103,-1))-1,"N/A - first run")</f>
        <v>5.4381309008169065E-3</v>
      </c>
      <c r="AT103" s="21" t="s">
        <v>4992</v>
      </c>
      <c r="AU103" s="21" t="str">
        <f>IF(P103&gt;0,"Unpaid leave "&amp;P103&amp;" day(s)",IF(R103&gt;40,"Overtime above 40 hrs","None"))</f>
        <v>None</v>
      </c>
      <c r="AV103" s="29">
        <f>EOMONTH(H103,0)+15</f>
        <v>46310</v>
      </c>
      <c r="AW103" s="21" t="s">
        <v>1760</v>
      </c>
      <c r="AX103" s="21" t="s">
        <v>4993</v>
      </c>
      <c r="AY103" s="21" t="str">
        <f>IF(U103+V103+W103&gt;=40000,"Compliant","Below minimum wage")</f>
        <v>Compliant</v>
      </c>
    </row>
    <row r="104" spans="1:51" x14ac:dyDescent="0.3">
      <c r="A104" s="21" t="s">
        <v>4989</v>
      </c>
      <c r="B104" s="39">
        <v>46266</v>
      </c>
      <c r="C104" s="21" t="s">
        <v>4990</v>
      </c>
      <c r="D104" s="21" t="s">
        <v>4842</v>
      </c>
      <c r="E104" s="21" t="s">
        <v>743</v>
      </c>
      <c r="F104" s="29">
        <v>46290</v>
      </c>
      <c r="G104" s="21">
        <f>COUNTIFS($A$3:$A$1500,A104)</f>
        <v>25</v>
      </c>
      <c r="H104" s="29">
        <v>46295</v>
      </c>
      <c r="I104" s="21" t="s">
        <v>1797</v>
      </c>
      <c r="J104" s="21" t="s">
        <v>4991</v>
      </c>
      <c r="K104" s="21" t="s">
        <v>4849</v>
      </c>
      <c r="L104" s="21" t="s">
        <v>4850</v>
      </c>
      <c r="M104" s="21">
        <v>30</v>
      </c>
      <c r="N104" s="21">
        <v>25</v>
      </c>
      <c r="O104" s="21">
        <v>1</v>
      </c>
      <c r="P104" s="21">
        <v>0</v>
      </c>
      <c r="Q104" s="21" t="s">
        <v>848</v>
      </c>
      <c r="R104" s="21">
        <v>0</v>
      </c>
      <c r="S104" s="21">
        <v>0</v>
      </c>
      <c r="T104" s="21" t="s">
        <v>1433</v>
      </c>
      <c r="U104" s="37">
        <f>_xlfn.XLOOKUP(LEFT(K104,7),'T07'!$A$3:$A$1500,'T07'!$AS$3:$AS$1500)</f>
        <v>390000</v>
      </c>
      <c r="V104" s="37">
        <f>_xlfn.XLOOKUP(LEFT(K104,7),'T07'!$A$3:$A$1500,'T07'!$AT$3:$AT$1500)</f>
        <v>175500</v>
      </c>
      <c r="W104" s="37">
        <v>0</v>
      </c>
      <c r="X104" s="37">
        <f>ROUND(U104/M104/8*2*R104,0)</f>
        <v>0</v>
      </c>
      <c r="Y104" s="37">
        <f>ROUND(U104/M104*2*S104,0)</f>
        <v>0</v>
      </c>
      <c r="Z104" s="37">
        <v>0</v>
      </c>
      <c r="AA104" s="37">
        <v>0</v>
      </c>
      <c r="AB104" s="37">
        <v>15000</v>
      </c>
      <c r="AC104" s="37">
        <f>U104+V104+W104+X104+Y104+Z104+AA104+AB104</f>
        <v>580500</v>
      </c>
      <c r="AD104" s="37">
        <f>_xlfn.LET(_xlpm.a,(AC104-AB104)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129675</v>
      </c>
      <c r="AE104" s="37" cm="1">
        <f t="array" ref="AE104">SUMPRODUCT((LEFT($K$3:$K$1500,7)=LEFT(K104,7))*($F$3:$F$1500&lt;=F104)*($F$3:$F$1500&gt;=DATE(IF(MONTH(F104)&gt;=7,YEAR(F104),YEAR(F104)-1),7,1))*($AC$3:$AC$1500-$AB$3:$AB$1500))</f>
        <v>1696500</v>
      </c>
      <c r="AF104" s="37">
        <v>0</v>
      </c>
      <c r="AG104" s="37">
        <f>ROUND((U104+V104)/M104*P104,0)</f>
        <v>0</v>
      </c>
      <c r="AH104" s="37">
        <v>0</v>
      </c>
      <c r="AI104" s="37">
        <f>AD104+AF104+AG104+AH104</f>
        <v>129675</v>
      </c>
      <c r="AJ104" s="37">
        <f>AC104-AI104</f>
        <v>450825</v>
      </c>
      <c r="AK104" s="37">
        <f>AC104+2000</f>
        <v>582500</v>
      </c>
      <c r="AL104" s="21">
        <f>COUNTIFS($A$3:$A$1500,A104)</f>
        <v>25</v>
      </c>
      <c r="AM104" s="37">
        <f>SUMIFS($AC$3:$AC$1500,$A$3:$A$1500,A104)</f>
        <v>4232040</v>
      </c>
      <c r="AN104" s="37">
        <f>SUMIFS($AD$3:$AD$1500,$A$3:$A$1500,A104)</f>
        <v>559134</v>
      </c>
      <c r="AO104" s="37">
        <f>SUMIFS($AF$3:$AF$1500,$A$3:$A$1500,A104)</f>
        <v>30000</v>
      </c>
      <c r="AP104" s="37">
        <f>SUMIFS($AG$3:$AG$1500,$A$3:$A$1500,A104)+SUMIFS($AH$3:$AH$1500,$A$3:$A$1500,A104)</f>
        <v>3596</v>
      </c>
      <c r="AQ104" s="37">
        <f>SUMIFS($AJ$3:$AJ$1500,$A$3:$A$1500,A104)</f>
        <v>3639310</v>
      </c>
      <c r="AR104" s="37">
        <f>SUMIFS($AK$3:$AK$1500,$A$3:$A$1500,A104)</f>
        <v>4282040</v>
      </c>
      <c r="AS104" s="31">
        <f>IFERROR(AQ104/SUMIFS($AJ$3:$AJ$1500,$F$3:$F$1500,EDATE(F104,-1))-1,"N/A - first run")</f>
        <v>5.4381309008169065E-3</v>
      </c>
      <c r="AT104" s="21" t="s">
        <v>4992</v>
      </c>
      <c r="AU104" s="21" t="str">
        <f>IF(P104&gt;0,"Unpaid leave "&amp;P104&amp;" day(s)",IF(R104&gt;40,"Overtime above 40 hrs","None"))</f>
        <v>None</v>
      </c>
      <c r="AV104" s="29">
        <f>EOMONTH(H104,0)+15</f>
        <v>46310</v>
      </c>
      <c r="AW104" s="21" t="s">
        <v>1760</v>
      </c>
      <c r="AX104" s="21" t="s">
        <v>4993</v>
      </c>
      <c r="AY104" s="21" t="str">
        <f>IF(U104+V104+W104&gt;=40000,"Compliant","Below minimum wage")</f>
        <v>Compliant</v>
      </c>
    </row>
    <row r="105" spans="1:51" x14ac:dyDescent="0.3">
      <c r="A105" s="21" t="s">
        <v>4989</v>
      </c>
      <c r="B105" s="39">
        <v>46266</v>
      </c>
      <c r="C105" s="21" t="s">
        <v>4990</v>
      </c>
      <c r="D105" s="21" t="s">
        <v>4842</v>
      </c>
      <c r="E105" s="21" t="s">
        <v>743</v>
      </c>
      <c r="F105" s="29">
        <v>46290</v>
      </c>
      <c r="G105" s="21">
        <f>COUNTIFS($A$3:$A$1500,A105)</f>
        <v>25</v>
      </c>
      <c r="H105" s="29">
        <v>46295</v>
      </c>
      <c r="I105" s="21" t="s">
        <v>1797</v>
      </c>
      <c r="J105" s="21" t="s">
        <v>4991</v>
      </c>
      <c r="K105" s="21" t="s">
        <v>4852</v>
      </c>
      <c r="L105" s="21" t="s">
        <v>4850</v>
      </c>
      <c r="M105" s="21">
        <v>30</v>
      </c>
      <c r="N105" s="21">
        <v>25</v>
      </c>
      <c r="O105" s="21">
        <v>1</v>
      </c>
      <c r="P105" s="21">
        <v>0</v>
      </c>
      <c r="Q105" s="21" t="s">
        <v>848</v>
      </c>
      <c r="R105" s="21">
        <v>0</v>
      </c>
      <c r="S105" s="21">
        <v>0</v>
      </c>
      <c r="T105" s="21" t="s">
        <v>1456</v>
      </c>
      <c r="U105" s="37">
        <f>_xlfn.XLOOKUP(LEFT(K105,7),'T07'!$A$3:$A$1500,'T07'!$AS$3:$AS$1500)</f>
        <v>270000</v>
      </c>
      <c r="V105" s="37">
        <f>_xlfn.XLOOKUP(LEFT(K105,7),'T07'!$A$3:$A$1500,'T07'!$AT$3:$AT$1500)</f>
        <v>121500</v>
      </c>
      <c r="W105" s="37">
        <v>0</v>
      </c>
      <c r="X105" s="37">
        <f>ROUND(U105/M105/8*2*R105,0)</f>
        <v>0</v>
      </c>
      <c r="Y105" s="37">
        <f>ROUND(U105/M105*2*S105,0)</f>
        <v>0</v>
      </c>
      <c r="Z105" s="37">
        <v>0</v>
      </c>
      <c r="AA105" s="37">
        <v>0</v>
      </c>
      <c r="AB105" s="37">
        <v>3000</v>
      </c>
      <c r="AC105" s="37">
        <f>U105+V105+W105+X105+Y105+Z105+AA105+AB105</f>
        <v>394500</v>
      </c>
      <c r="AD105" s="37">
        <f>_xlfn.LET(_xlpm.a,(AC105-AB105)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68775</v>
      </c>
      <c r="AE105" s="37" cm="1">
        <f t="array" ref="AE105">SUMPRODUCT((LEFT($K$3:$K$1500,7)=LEFT(K105,7))*($F$3:$F$1500&lt;=F105)*($F$3:$F$1500&gt;=DATE(IF(MONTH(F105)&gt;=7,YEAR(F105),YEAR(F105)-1),7,1))*($AC$3:$AC$1500-$AB$3:$AB$1500))</f>
        <v>1174500</v>
      </c>
      <c r="AF105" s="37">
        <v>0</v>
      </c>
      <c r="AG105" s="37">
        <f>ROUND((U105+V105)/M105*P105,0)</f>
        <v>0</v>
      </c>
      <c r="AH105" s="37">
        <v>0</v>
      </c>
      <c r="AI105" s="37">
        <f>AD105+AF105+AG105+AH105</f>
        <v>68775</v>
      </c>
      <c r="AJ105" s="37">
        <f>AC105-AI105</f>
        <v>325725</v>
      </c>
      <c r="AK105" s="37">
        <f>AC105+2000</f>
        <v>396500</v>
      </c>
      <c r="AL105" s="21">
        <f>COUNTIFS($A$3:$A$1500,A105)</f>
        <v>25</v>
      </c>
      <c r="AM105" s="37">
        <f>SUMIFS($AC$3:$AC$1500,$A$3:$A$1500,A105)</f>
        <v>4232040</v>
      </c>
      <c r="AN105" s="37">
        <f>SUMIFS($AD$3:$AD$1500,$A$3:$A$1500,A105)</f>
        <v>559134</v>
      </c>
      <c r="AO105" s="37">
        <f>SUMIFS($AF$3:$AF$1500,$A$3:$A$1500,A105)</f>
        <v>30000</v>
      </c>
      <c r="AP105" s="37">
        <f>SUMIFS($AG$3:$AG$1500,$A$3:$A$1500,A105)+SUMIFS($AH$3:$AH$1500,$A$3:$A$1500,A105)</f>
        <v>3596</v>
      </c>
      <c r="AQ105" s="37">
        <f>SUMIFS($AJ$3:$AJ$1500,$A$3:$A$1500,A105)</f>
        <v>3639310</v>
      </c>
      <c r="AR105" s="37">
        <f>SUMIFS($AK$3:$AK$1500,$A$3:$A$1500,A105)</f>
        <v>4282040</v>
      </c>
      <c r="AS105" s="31">
        <f>IFERROR(AQ105/SUMIFS($AJ$3:$AJ$1500,$F$3:$F$1500,EDATE(F105,-1))-1,"N/A - first run")</f>
        <v>5.4381309008169065E-3</v>
      </c>
      <c r="AT105" s="21" t="s">
        <v>4992</v>
      </c>
      <c r="AU105" s="21" t="str">
        <f>IF(P105&gt;0,"Unpaid leave "&amp;P105&amp;" day(s)",IF(R105&gt;40,"Overtime above 40 hrs","None"))</f>
        <v>None</v>
      </c>
      <c r="AV105" s="29">
        <f>EOMONTH(H105,0)+15</f>
        <v>46310</v>
      </c>
      <c r="AW105" s="21" t="s">
        <v>1760</v>
      </c>
      <c r="AX105" s="21" t="s">
        <v>4993</v>
      </c>
      <c r="AY105" s="21" t="str">
        <f>IF(U105+V105+W105&gt;=40000,"Compliant","Below minimum wage")</f>
        <v>Compliant</v>
      </c>
    </row>
    <row r="106" spans="1:51" x14ac:dyDescent="0.3">
      <c r="A106" s="21" t="s">
        <v>4989</v>
      </c>
      <c r="B106" s="39">
        <v>46266</v>
      </c>
      <c r="C106" s="21" t="s">
        <v>4990</v>
      </c>
      <c r="D106" s="21" t="s">
        <v>4842</v>
      </c>
      <c r="E106" s="21" t="s">
        <v>743</v>
      </c>
      <c r="F106" s="29">
        <v>46290</v>
      </c>
      <c r="G106" s="21">
        <f>COUNTIFS($A$3:$A$1500,A106)</f>
        <v>25</v>
      </c>
      <c r="H106" s="29">
        <v>46295</v>
      </c>
      <c r="I106" s="21" t="s">
        <v>1797</v>
      </c>
      <c r="J106" s="21" t="s">
        <v>4991</v>
      </c>
      <c r="K106" s="21" t="s">
        <v>4854</v>
      </c>
      <c r="L106" s="21" t="s">
        <v>4850</v>
      </c>
      <c r="M106" s="21">
        <v>30</v>
      </c>
      <c r="N106" s="21">
        <v>24</v>
      </c>
      <c r="O106" s="21">
        <v>2</v>
      </c>
      <c r="P106" s="21">
        <v>0</v>
      </c>
      <c r="Q106" s="21" t="s">
        <v>848</v>
      </c>
      <c r="R106" s="21">
        <v>0</v>
      </c>
      <c r="S106" s="21">
        <v>0</v>
      </c>
      <c r="T106" s="21" t="s">
        <v>1473</v>
      </c>
      <c r="U106" s="37">
        <f>_xlfn.XLOOKUP(LEFT(K106,7),'T07'!$A$3:$A$1500,'T07'!$AS$3:$AS$1500)</f>
        <v>108000</v>
      </c>
      <c r="V106" s="37">
        <f>_xlfn.XLOOKUP(LEFT(K106,7),'T07'!$A$3:$A$1500,'T07'!$AT$3:$AT$1500)</f>
        <v>48600</v>
      </c>
      <c r="W106" s="37">
        <v>0</v>
      </c>
      <c r="X106" s="37">
        <f>ROUND(U106/M106/8*2*R106,0)</f>
        <v>0</v>
      </c>
      <c r="Y106" s="37">
        <f>ROUND(U106/M106*2*S106,0)</f>
        <v>0</v>
      </c>
      <c r="Z106" s="37">
        <v>0</v>
      </c>
      <c r="AA106" s="37">
        <v>0</v>
      </c>
      <c r="AB106" s="37">
        <v>3000</v>
      </c>
      <c r="AC106" s="37">
        <f>U106+V106+W106+X106+Y106+Z106+AA106+AB106</f>
        <v>159600</v>
      </c>
      <c r="AD106" s="37">
        <f>_xlfn.LET(_xlpm.a,(AC106-AB106)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6726</v>
      </c>
      <c r="AE106" s="37" cm="1">
        <f t="array" ref="AE106">SUMPRODUCT((LEFT($K$3:$K$1500,7)=LEFT(K106,7))*($F$3:$F$1500&lt;=F106)*($F$3:$F$1500&gt;=DATE(IF(MONTH(F106)&gt;=7,YEAR(F106),YEAR(F106)-1),7,1))*($AC$3:$AC$1500-$AB$3:$AB$1500))</f>
        <v>469800</v>
      </c>
      <c r="AF106" s="37">
        <v>0</v>
      </c>
      <c r="AG106" s="37">
        <f>ROUND((U106+V106)/M106*P106,0)</f>
        <v>0</v>
      </c>
      <c r="AH106" s="37">
        <v>0</v>
      </c>
      <c r="AI106" s="37">
        <f>AD106+AF106+AG106+AH106</f>
        <v>6726</v>
      </c>
      <c r="AJ106" s="37">
        <f>AC106-AI106</f>
        <v>152874</v>
      </c>
      <c r="AK106" s="37">
        <f>AC106+2000</f>
        <v>161600</v>
      </c>
      <c r="AL106" s="21">
        <f>COUNTIFS($A$3:$A$1500,A106)</f>
        <v>25</v>
      </c>
      <c r="AM106" s="37">
        <f>SUMIFS($AC$3:$AC$1500,$A$3:$A$1500,A106)</f>
        <v>4232040</v>
      </c>
      <c r="AN106" s="37">
        <f>SUMIFS($AD$3:$AD$1500,$A$3:$A$1500,A106)</f>
        <v>559134</v>
      </c>
      <c r="AO106" s="37">
        <f>SUMIFS($AF$3:$AF$1500,$A$3:$A$1500,A106)</f>
        <v>30000</v>
      </c>
      <c r="AP106" s="37">
        <f>SUMIFS($AG$3:$AG$1500,$A$3:$A$1500,A106)+SUMIFS($AH$3:$AH$1500,$A$3:$A$1500,A106)</f>
        <v>3596</v>
      </c>
      <c r="AQ106" s="37">
        <f>SUMIFS($AJ$3:$AJ$1500,$A$3:$A$1500,A106)</f>
        <v>3639310</v>
      </c>
      <c r="AR106" s="37">
        <f>SUMIFS($AK$3:$AK$1500,$A$3:$A$1500,A106)</f>
        <v>4282040</v>
      </c>
      <c r="AS106" s="31">
        <f>IFERROR(AQ106/SUMIFS($AJ$3:$AJ$1500,$F$3:$F$1500,EDATE(F106,-1))-1,"N/A - first run")</f>
        <v>5.4381309008169065E-3</v>
      </c>
      <c r="AT106" s="21" t="s">
        <v>4992</v>
      </c>
      <c r="AU106" s="21" t="str">
        <f>IF(P106&gt;0,"Unpaid leave "&amp;P106&amp;" day(s)",IF(R106&gt;40,"Overtime above 40 hrs","None"))</f>
        <v>None</v>
      </c>
      <c r="AV106" s="29">
        <f>EOMONTH(H106,0)+15</f>
        <v>46310</v>
      </c>
      <c r="AW106" s="21" t="s">
        <v>1760</v>
      </c>
      <c r="AX106" s="21" t="s">
        <v>4993</v>
      </c>
      <c r="AY106" s="21" t="str">
        <f>IF(U106+V106+W106&gt;=40000,"Compliant","Below minimum wage")</f>
        <v>Compliant</v>
      </c>
    </row>
    <row r="107" spans="1:51" x14ac:dyDescent="0.3">
      <c r="A107" s="21" t="s">
        <v>4989</v>
      </c>
      <c r="B107" s="39">
        <v>46266</v>
      </c>
      <c r="C107" s="21" t="s">
        <v>4990</v>
      </c>
      <c r="D107" s="21" t="s">
        <v>4842</v>
      </c>
      <c r="E107" s="21" t="s">
        <v>743</v>
      </c>
      <c r="F107" s="29">
        <v>46290</v>
      </c>
      <c r="G107" s="21">
        <f>COUNTIFS($A$3:$A$1500,A107)</f>
        <v>25</v>
      </c>
      <c r="H107" s="29">
        <v>46295</v>
      </c>
      <c r="I107" s="21" t="s">
        <v>1797</v>
      </c>
      <c r="J107" s="21" t="s">
        <v>4991</v>
      </c>
      <c r="K107" s="21" t="s">
        <v>4856</v>
      </c>
      <c r="L107" s="21" t="s">
        <v>4850</v>
      </c>
      <c r="M107" s="21">
        <v>30</v>
      </c>
      <c r="N107" s="21">
        <v>24</v>
      </c>
      <c r="O107" s="21">
        <v>2</v>
      </c>
      <c r="P107" s="21">
        <v>0</v>
      </c>
      <c r="Q107" s="21" t="s">
        <v>4845</v>
      </c>
      <c r="R107" s="21">
        <v>0</v>
      </c>
      <c r="S107" s="21">
        <v>0</v>
      </c>
      <c r="T107" s="21" t="s">
        <v>1492</v>
      </c>
      <c r="U107" s="37">
        <f>_xlfn.XLOOKUP(LEFT(K107,7),'T07'!$A$3:$A$1500,'T07'!$AS$3:$AS$1500)</f>
        <v>72000</v>
      </c>
      <c r="V107" s="37">
        <f>_xlfn.XLOOKUP(LEFT(K107,7),'T07'!$A$3:$A$1500,'T07'!$AT$3:$AT$1500)</f>
        <v>32400</v>
      </c>
      <c r="W107" s="37">
        <v>0</v>
      </c>
      <c r="X107" s="37">
        <f>ROUND(U107/M107/8*2*R107,0)</f>
        <v>0</v>
      </c>
      <c r="Y107" s="37">
        <f>ROUND(U107/M107*2*S107,0)</f>
        <v>0</v>
      </c>
      <c r="Z107" s="37">
        <v>0</v>
      </c>
      <c r="AA107" s="37">
        <v>0</v>
      </c>
      <c r="AB107" s="37">
        <v>3000</v>
      </c>
      <c r="AC107" s="37">
        <f>U107+V107+W107+X107+Y107+Z107+AA107+AB107</f>
        <v>107400</v>
      </c>
      <c r="AD107" s="37">
        <f>_xlfn.LET(_xlpm.a,(AC107-AB107)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984</v>
      </c>
      <c r="AE107" s="37" cm="1">
        <f t="array" ref="AE107">SUMPRODUCT((LEFT($K$3:$K$1500,7)=LEFT(K107,7))*($F$3:$F$1500&lt;=F107)*($F$3:$F$1500&gt;=DATE(IF(MONTH(F107)&gt;=7,YEAR(F107),YEAR(F107)-1),7,1))*($AC$3:$AC$1500-$AB$3:$AB$1500))</f>
        <v>313200</v>
      </c>
      <c r="AF107" s="37">
        <v>0</v>
      </c>
      <c r="AG107" s="37">
        <f>ROUND((U107+V107)/M107*P107,0)</f>
        <v>0</v>
      </c>
      <c r="AH107" s="37">
        <v>0</v>
      </c>
      <c r="AI107" s="37">
        <f>AD107+AF107+AG107+AH107</f>
        <v>984</v>
      </c>
      <c r="AJ107" s="37">
        <f>AC107-AI107</f>
        <v>106416</v>
      </c>
      <c r="AK107" s="37">
        <f>AC107+2000</f>
        <v>109400</v>
      </c>
      <c r="AL107" s="21">
        <f>COUNTIFS($A$3:$A$1500,A107)</f>
        <v>25</v>
      </c>
      <c r="AM107" s="37">
        <f>SUMIFS($AC$3:$AC$1500,$A$3:$A$1500,A107)</f>
        <v>4232040</v>
      </c>
      <c r="AN107" s="37">
        <f>SUMIFS($AD$3:$AD$1500,$A$3:$A$1500,A107)</f>
        <v>559134</v>
      </c>
      <c r="AO107" s="37">
        <f>SUMIFS($AF$3:$AF$1500,$A$3:$A$1500,A107)</f>
        <v>30000</v>
      </c>
      <c r="AP107" s="37">
        <f>SUMIFS($AG$3:$AG$1500,$A$3:$A$1500,A107)+SUMIFS($AH$3:$AH$1500,$A$3:$A$1500,A107)</f>
        <v>3596</v>
      </c>
      <c r="AQ107" s="37">
        <f>SUMIFS($AJ$3:$AJ$1500,$A$3:$A$1500,A107)</f>
        <v>3639310</v>
      </c>
      <c r="AR107" s="37">
        <f>SUMIFS($AK$3:$AK$1500,$A$3:$A$1500,A107)</f>
        <v>4282040</v>
      </c>
      <c r="AS107" s="31">
        <f>IFERROR(AQ107/SUMIFS($AJ$3:$AJ$1500,$F$3:$F$1500,EDATE(F107,-1))-1,"N/A - first run")</f>
        <v>5.4381309008169065E-3</v>
      </c>
      <c r="AT107" s="21" t="s">
        <v>4992</v>
      </c>
      <c r="AU107" s="21" t="str">
        <f>IF(P107&gt;0,"Unpaid leave "&amp;P107&amp;" day(s)",IF(R107&gt;40,"Overtime above 40 hrs","None"))</f>
        <v>None</v>
      </c>
      <c r="AV107" s="29">
        <f>EOMONTH(H107,0)+15</f>
        <v>46310</v>
      </c>
      <c r="AW107" s="21" t="s">
        <v>1760</v>
      </c>
      <c r="AX107" s="21" t="s">
        <v>4993</v>
      </c>
      <c r="AY107" s="21" t="str">
        <f>IF(U107+V107+W107&gt;=40000,"Compliant","Below minimum wage")</f>
        <v>Compliant</v>
      </c>
    </row>
    <row r="108" spans="1:51" x14ac:dyDescent="0.3">
      <c r="A108" s="21" t="s">
        <v>4989</v>
      </c>
      <c r="B108" s="39">
        <v>46266</v>
      </c>
      <c r="C108" s="21" t="s">
        <v>4990</v>
      </c>
      <c r="D108" s="21" t="s">
        <v>4842</v>
      </c>
      <c r="E108" s="21" t="s">
        <v>743</v>
      </c>
      <c r="F108" s="29">
        <v>46290</v>
      </c>
      <c r="G108" s="21">
        <f>COUNTIFS($A$3:$A$1500,A108)</f>
        <v>25</v>
      </c>
      <c r="H108" s="29">
        <v>46295</v>
      </c>
      <c r="I108" s="21" t="s">
        <v>1797</v>
      </c>
      <c r="J108" s="21" t="s">
        <v>4991</v>
      </c>
      <c r="K108" s="21" t="s">
        <v>4858</v>
      </c>
      <c r="L108" s="21" t="s">
        <v>4850</v>
      </c>
      <c r="M108" s="21">
        <v>30</v>
      </c>
      <c r="N108" s="21">
        <v>25</v>
      </c>
      <c r="O108" s="21">
        <v>1</v>
      </c>
      <c r="P108" s="21">
        <v>0</v>
      </c>
      <c r="Q108" s="21" t="s">
        <v>848</v>
      </c>
      <c r="R108" s="21">
        <v>0</v>
      </c>
      <c r="S108" s="21">
        <v>0</v>
      </c>
      <c r="T108" s="21" t="s">
        <v>1510</v>
      </c>
      <c r="U108" s="37">
        <f>_xlfn.XLOOKUP(LEFT(K108,7),'T07'!$A$3:$A$1500,'T07'!$AS$3:$AS$1500)</f>
        <v>51000</v>
      </c>
      <c r="V108" s="37">
        <f>_xlfn.XLOOKUP(LEFT(K108,7),'T07'!$A$3:$A$1500,'T07'!$AT$3:$AT$1500)</f>
        <v>22950</v>
      </c>
      <c r="W108" s="37">
        <v>0</v>
      </c>
      <c r="X108" s="37">
        <f>ROUND(U108/M108/8*2*R108,0)</f>
        <v>0</v>
      </c>
      <c r="Y108" s="37">
        <f>ROUND(U108/M108*2*S108,0)</f>
        <v>0</v>
      </c>
      <c r="Z108" s="37">
        <v>0</v>
      </c>
      <c r="AA108" s="37">
        <v>0</v>
      </c>
      <c r="AB108" s="37">
        <v>3000</v>
      </c>
      <c r="AC108" s="37">
        <f>U108+V108+W108+X108+Y108+Z108+AA108+AB108</f>
        <v>76950</v>
      </c>
      <c r="AD108" s="37">
        <f>_xlfn.LET(_xlpm.a,(AC108-AB108)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240</v>
      </c>
      <c r="AE108" s="37" cm="1">
        <f t="array" ref="AE108">SUMPRODUCT((LEFT($K$3:$K$1500,7)=LEFT(K108,7))*($F$3:$F$1500&lt;=F108)*($F$3:$F$1500&gt;=DATE(IF(MONTH(F108)&gt;=7,YEAR(F108),YEAR(F108)-1),7,1))*($AC$3:$AC$1500-$AB$3:$AB$1500))</f>
        <v>221850</v>
      </c>
      <c r="AF108" s="37">
        <v>0</v>
      </c>
      <c r="AG108" s="37">
        <f>ROUND((U108+V108)/M108*P108,0)</f>
        <v>0</v>
      </c>
      <c r="AH108" s="37">
        <v>0</v>
      </c>
      <c r="AI108" s="37">
        <f>AD108+AF108+AG108+AH108</f>
        <v>240</v>
      </c>
      <c r="AJ108" s="37">
        <f>AC108-AI108</f>
        <v>76710</v>
      </c>
      <c r="AK108" s="37">
        <f>AC108+2000</f>
        <v>78950</v>
      </c>
      <c r="AL108" s="21">
        <f>COUNTIFS($A$3:$A$1500,A108)</f>
        <v>25</v>
      </c>
      <c r="AM108" s="37">
        <f>SUMIFS($AC$3:$AC$1500,$A$3:$A$1500,A108)</f>
        <v>4232040</v>
      </c>
      <c r="AN108" s="37">
        <f>SUMIFS($AD$3:$AD$1500,$A$3:$A$1500,A108)</f>
        <v>559134</v>
      </c>
      <c r="AO108" s="37">
        <f>SUMIFS($AF$3:$AF$1500,$A$3:$A$1500,A108)</f>
        <v>30000</v>
      </c>
      <c r="AP108" s="37">
        <f>SUMIFS($AG$3:$AG$1500,$A$3:$A$1500,A108)+SUMIFS($AH$3:$AH$1500,$A$3:$A$1500,A108)</f>
        <v>3596</v>
      </c>
      <c r="AQ108" s="37">
        <f>SUMIFS($AJ$3:$AJ$1500,$A$3:$A$1500,A108)</f>
        <v>3639310</v>
      </c>
      <c r="AR108" s="37">
        <f>SUMIFS($AK$3:$AK$1500,$A$3:$A$1500,A108)</f>
        <v>4282040</v>
      </c>
      <c r="AS108" s="31">
        <f>IFERROR(AQ108/SUMIFS($AJ$3:$AJ$1500,$F$3:$F$1500,EDATE(F108,-1))-1,"N/A - first run")</f>
        <v>5.4381309008169065E-3</v>
      </c>
      <c r="AT108" s="21" t="s">
        <v>4992</v>
      </c>
      <c r="AU108" s="21" t="str">
        <f>IF(P108&gt;0,"Unpaid leave "&amp;P108&amp;" day(s)",IF(R108&gt;40,"Overtime above 40 hrs","None"))</f>
        <v>None</v>
      </c>
      <c r="AV108" s="29">
        <f>EOMONTH(H108,0)+15</f>
        <v>46310</v>
      </c>
      <c r="AW108" s="21" t="s">
        <v>1760</v>
      </c>
      <c r="AX108" s="21" t="s">
        <v>4993</v>
      </c>
      <c r="AY108" s="21" t="str">
        <f>IF(U108+V108+W108&gt;=40000,"Compliant","Below minimum wage")</f>
        <v>Compliant</v>
      </c>
    </row>
    <row r="109" spans="1:51" x14ac:dyDescent="0.3">
      <c r="A109" s="21" t="s">
        <v>4989</v>
      </c>
      <c r="B109" s="39">
        <v>46266</v>
      </c>
      <c r="C109" s="21" t="s">
        <v>4990</v>
      </c>
      <c r="D109" s="21" t="s">
        <v>4842</v>
      </c>
      <c r="E109" s="21" t="s">
        <v>743</v>
      </c>
      <c r="F109" s="29">
        <v>46290</v>
      </c>
      <c r="G109" s="21">
        <f>COUNTIFS($A$3:$A$1500,A109)</f>
        <v>25</v>
      </c>
      <c r="H109" s="29">
        <v>46295</v>
      </c>
      <c r="I109" s="21" t="s">
        <v>1797</v>
      </c>
      <c r="J109" s="21" t="s">
        <v>4991</v>
      </c>
      <c r="K109" s="21" t="s">
        <v>4860</v>
      </c>
      <c r="L109" s="21" t="s">
        <v>4850</v>
      </c>
      <c r="M109" s="21">
        <v>30</v>
      </c>
      <c r="N109" s="21">
        <v>26</v>
      </c>
      <c r="O109" s="21">
        <v>0</v>
      </c>
      <c r="P109" s="21">
        <v>0</v>
      </c>
      <c r="Q109" s="21" t="s">
        <v>848</v>
      </c>
      <c r="R109" s="21">
        <v>0</v>
      </c>
      <c r="S109" s="21">
        <v>0</v>
      </c>
      <c r="T109" s="21" t="s">
        <v>1523</v>
      </c>
      <c r="U109" s="37">
        <f>_xlfn.XLOOKUP(LEFT(K109,7),'T07'!$A$3:$A$1500,'T07'!$AS$3:$AS$1500)</f>
        <v>180000</v>
      </c>
      <c r="V109" s="37">
        <f>_xlfn.XLOOKUP(LEFT(K109,7),'T07'!$A$3:$A$1500,'T07'!$AT$3:$AT$1500)</f>
        <v>81000</v>
      </c>
      <c r="W109" s="37">
        <v>0</v>
      </c>
      <c r="X109" s="37">
        <f>ROUND(U109/M109/8*2*R109,0)</f>
        <v>0</v>
      </c>
      <c r="Y109" s="37">
        <f>ROUND(U109/M109*2*S109,0)</f>
        <v>0</v>
      </c>
      <c r="Z109" s="37">
        <v>0</v>
      </c>
      <c r="AA109" s="37">
        <v>0</v>
      </c>
      <c r="AB109" s="37">
        <v>15000</v>
      </c>
      <c r="AC109" s="37">
        <f>U109+V109+W109+X109+Y109+Z109+AA109+AB109</f>
        <v>276000</v>
      </c>
      <c r="AD109" s="37">
        <f>_xlfn.LET(_xlpm.a,(AC109-AB109)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27530</v>
      </c>
      <c r="AE109" s="37" cm="1">
        <f t="array" ref="AE109">SUMPRODUCT((LEFT($K$3:$K$1500,7)=LEFT(K109,7))*($F$3:$F$1500&lt;=F109)*($F$3:$F$1500&gt;=DATE(IF(MONTH(F109)&gt;=7,YEAR(F109),YEAR(F109)-1),7,1))*($AC$3:$AC$1500-$AB$3:$AB$1500))</f>
        <v>783000</v>
      </c>
      <c r="AF109" s="37">
        <v>0</v>
      </c>
      <c r="AG109" s="37">
        <f>ROUND((U109+V109)/M109*P109,0)</f>
        <v>0</v>
      </c>
      <c r="AH109" s="37">
        <v>0</v>
      </c>
      <c r="AI109" s="37">
        <f>AD109+AF109+AG109+AH109</f>
        <v>27530</v>
      </c>
      <c r="AJ109" s="37">
        <f>AC109-AI109</f>
        <v>248470</v>
      </c>
      <c r="AK109" s="37">
        <f>AC109+2000</f>
        <v>278000</v>
      </c>
      <c r="AL109" s="21">
        <f>COUNTIFS($A$3:$A$1500,A109)</f>
        <v>25</v>
      </c>
      <c r="AM109" s="37">
        <f>SUMIFS($AC$3:$AC$1500,$A$3:$A$1500,A109)</f>
        <v>4232040</v>
      </c>
      <c r="AN109" s="37">
        <f>SUMIFS($AD$3:$AD$1500,$A$3:$A$1500,A109)</f>
        <v>559134</v>
      </c>
      <c r="AO109" s="37">
        <f>SUMIFS($AF$3:$AF$1500,$A$3:$A$1500,A109)</f>
        <v>30000</v>
      </c>
      <c r="AP109" s="37">
        <f>SUMIFS($AG$3:$AG$1500,$A$3:$A$1500,A109)+SUMIFS($AH$3:$AH$1500,$A$3:$A$1500,A109)</f>
        <v>3596</v>
      </c>
      <c r="AQ109" s="37">
        <f>SUMIFS($AJ$3:$AJ$1500,$A$3:$A$1500,A109)</f>
        <v>3639310</v>
      </c>
      <c r="AR109" s="37">
        <f>SUMIFS($AK$3:$AK$1500,$A$3:$A$1500,A109)</f>
        <v>4282040</v>
      </c>
      <c r="AS109" s="31">
        <f>IFERROR(AQ109/SUMIFS($AJ$3:$AJ$1500,$F$3:$F$1500,EDATE(F109,-1))-1,"N/A - first run")</f>
        <v>5.4381309008169065E-3</v>
      </c>
      <c r="AT109" s="21" t="s">
        <v>4992</v>
      </c>
      <c r="AU109" s="21" t="str">
        <f>IF(P109&gt;0,"Unpaid leave "&amp;P109&amp;" day(s)",IF(R109&gt;40,"Overtime above 40 hrs","None"))</f>
        <v>None</v>
      </c>
      <c r="AV109" s="29">
        <f>EOMONTH(H109,0)+15</f>
        <v>46310</v>
      </c>
      <c r="AW109" s="21" t="s">
        <v>1760</v>
      </c>
      <c r="AX109" s="21" t="s">
        <v>4993</v>
      </c>
      <c r="AY109" s="21" t="str">
        <f>IF(U109+V109+W109&gt;=40000,"Compliant","Below minimum wage")</f>
        <v>Compliant</v>
      </c>
    </row>
    <row r="110" spans="1:51" x14ac:dyDescent="0.3">
      <c r="A110" s="21" t="s">
        <v>4989</v>
      </c>
      <c r="B110" s="39">
        <v>46266</v>
      </c>
      <c r="C110" s="21" t="s">
        <v>4990</v>
      </c>
      <c r="D110" s="21" t="s">
        <v>4842</v>
      </c>
      <c r="E110" s="21" t="s">
        <v>743</v>
      </c>
      <c r="F110" s="29">
        <v>46290</v>
      </c>
      <c r="G110" s="21">
        <f>COUNTIFS($A$3:$A$1500,A110)</f>
        <v>25</v>
      </c>
      <c r="H110" s="29">
        <v>46295</v>
      </c>
      <c r="I110" s="21" t="s">
        <v>1797</v>
      </c>
      <c r="J110" s="21" t="s">
        <v>4991</v>
      </c>
      <c r="K110" s="21" t="s">
        <v>4862</v>
      </c>
      <c r="L110" s="21" t="s">
        <v>4850</v>
      </c>
      <c r="M110" s="21">
        <v>30</v>
      </c>
      <c r="N110" s="21">
        <v>26</v>
      </c>
      <c r="O110" s="21">
        <v>0</v>
      </c>
      <c r="P110" s="21">
        <v>0</v>
      </c>
      <c r="Q110" s="21" t="s">
        <v>848</v>
      </c>
      <c r="R110" s="21">
        <v>0</v>
      </c>
      <c r="S110" s="21">
        <v>0</v>
      </c>
      <c r="T110" s="21" t="s">
        <v>1538</v>
      </c>
      <c r="U110" s="37">
        <f>_xlfn.XLOOKUP(LEFT(K110,7),'T07'!$A$3:$A$1500,'T07'!$AS$3:$AS$1500)</f>
        <v>66000</v>
      </c>
      <c r="V110" s="37">
        <f>_xlfn.XLOOKUP(LEFT(K110,7),'T07'!$A$3:$A$1500,'T07'!$AT$3:$AT$1500)</f>
        <v>29700</v>
      </c>
      <c r="W110" s="37">
        <v>0</v>
      </c>
      <c r="X110" s="37">
        <f>ROUND(U110/M110/8*2*R110,0)</f>
        <v>0</v>
      </c>
      <c r="Y110" s="37">
        <f>ROUND(U110/M110*2*S110,0)</f>
        <v>0</v>
      </c>
      <c r="Z110" s="37">
        <v>0</v>
      </c>
      <c r="AA110" s="37">
        <v>0</v>
      </c>
      <c r="AB110" s="37">
        <v>15000</v>
      </c>
      <c r="AC110" s="37">
        <f>U110+V110+W110+X110+Y110+Z110+AA110+AB110</f>
        <v>110700</v>
      </c>
      <c r="AD110" s="37">
        <f>_xlfn.LET(_xlpm.a,(AC110-AB110)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457</v>
      </c>
      <c r="AE110" s="37" cm="1">
        <f t="array" ref="AE110">SUMPRODUCT((LEFT($K$3:$K$1500,7)=LEFT(K110,7))*($F$3:$F$1500&lt;=F110)*($F$3:$F$1500&gt;=DATE(IF(MONTH(F110)&gt;=7,YEAR(F110),YEAR(F110)-1),7,1))*($AC$3:$AC$1500-$AB$3:$AB$1500))</f>
        <v>287100</v>
      </c>
      <c r="AF110" s="37">
        <v>0</v>
      </c>
      <c r="AG110" s="37">
        <f>ROUND((U110+V110)/M110*P110,0)</f>
        <v>0</v>
      </c>
      <c r="AH110" s="37">
        <v>0</v>
      </c>
      <c r="AI110" s="37">
        <f>AD110+AF110+AG110+AH110</f>
        <v>457</v>
      </c>
      <c r="AJ110" s="37">
        <f>AC110-AI110</f>
        <v>110243</v>
      </c>
      <c r="AK110" s="37">
        <f>AC110+2000</f>
        <v>112700</v>
      </c>
      <c r="AL110" s="21">
        <f>COUNTIFS($A$3:$A$1500,A110)</f>
        <v>25</v>
      </c>
      <c r="AM110" s="37">
        <f>SUMIFS($AC$3:$AC$1500,$A$3:$A$1500,A110)</f>
        <v>4232040</v>
      </c>
      <c r="AN110" s="37">
        <f>SUMIFS($AD$3:$AD$1500,$A$3:$A$1500,A110)</f>
        <v>559134</v>
      </c>
      <c r="AO110" s="37">
        <f>SUMIFS($AF$3:$AF$1500,$A$3:$A$1500,A110)</f>
        <v>30000</v>
      </c>
      <c r="AP110" s="37">
        <f>SUMIFS($AG$3:$AG$1500,$A$3:$A$1500,A110)+SUMIFS($AH$3:$AH$1500,$A$3:$A$1500,A110)</f>
        <v>3596</v>
      </c>
      <c r="AQ110" s="37">
        <f>SUMIFS($AJ$3:$AJ$1500,$A$3:$A$1500,A110)</f>
        <v>3639310</v>
      </c>
      <c r="AR110" s="37">
        <f>SUMIFS($AK$3:$AK$1500,$A$3:$A$1500,A110)</f>
        <v>4282040</v>
      </c>
      <c r="AS110" s="31">
        <f>IFERROR(AQ110/SUMIFS($AJ$3:$AJ$1500,$F$3:$F$1500,EDATE(F110,-1))-1,"N/A - first run")</f>
        <v>5.4381309008169065E-3</v>
      </c>
      <c r="AT110" s="21" t="s">
        <v>4992</v>
      </c>
      <c r="AU110" s="21" t="str">
        <f>IF(P110&gt;0,"Unpaid leave "&amp;P110&amp;" day(s)",IF(R110&gt;40,"Overtime above 40 hrs","None"))</f>
        <v>None</v>
      </c>
      <c r="AV110" s="29">
        <f>EOMONTH(H110,0)+15</f>
        <v>46310</v>
      </c>
      <c r="AW110" s="21" t="s">
        <v>1760</v>
      </c>
      <c r="AX110" s="21" t="s">
        <v>4993</v>
      </c>
      <c r="AY110" s="21" t="str">
        <f>IF(U110+V110+W110&gt;=40000,"Compliant","Below minimum wage")</f>
        <v>Compliant</v>
      </c>
    </row>
    <row r="111" spans="1:51" x14ac:dyDescent="0.3">
      <c r="A111" s="21" t="s">
        <v>4989</v>
      </c>
      <c r="B111" s="39">
        <v>46266</v>
      </c>
      <c r="C111" s="21" t="s">
        <v>4990</v>
      </c>
      <c r="D111" s="21" t="s">
        <v>4842</v>
      </c>
      <c r="E111" s="21" t="s">
        <v>743</v>
      </c>
      <c r="F111" s="29">
        <v>46290</v>
      </c>
      <c r="G111" s="21">
        <f>COUNTIFS($A$3:$A$1500,A111)</f>
        <v>25</v>
      </c>
      <c r="H111" s="29">
        <v>46295</v>
      </c>
      <c r="I111" s="21" t="s">
        <v>1797</v>
      </c>
      <c r="J111" s="21" t="s">
        <v>4991</v>
      </c>
      <c r="K111" s="21" t="s">
        <v>4864</v>
      </c>
      <c r="L111" s="21" t="s">
        <v>4865</v>
      </c>
      <c r="M111" s="21">
        <v>30</v>
      </c>
      <c r="N111" s="21">
        <v>26</v>
      </c>
      <c r="O111" s="21">
        <v>0</v>
      </c>
      <c r="P111" s="21">
        <v>0</v>
      </c>
      <c r="Q111" s="21" t="s">
        <v>848</v>
      </c>
      <c r="R111" s="21">
        <v>0</v>
      </c>
      <c r="S111" s="21">
        <v>0</v>
      </c>
      <c r="T111" s="21" t="s">
        <v>1555</v>
      </c>
      <c r="U111" s="37">
        <f>_xlfn.XLOOKUP(LEFT(K111,7),'T07'!$A$3:$A$1500,'T07'!$AS$3:$AS$1500)</f>
        <v>66000</v>
      </c>
      <c r="V111" s="37">
        <f>_xlfn.XLOOKUP(LEFT(K111,7),'T07'!$A$3:$A$1500,'T07'!$AT$3:$AT$1500)</f>
        <v>29700</v>
      </c>
      <c r="W111" s="37">
        <v>0</v>
      </c>
      <c r="X111" s="37">
        <f>ROUND(U111/M111/8*2*R111,0)</f>
        <v>0</v>
      </c>
      <c r="Y111" s="37">
        <f>ROUND(U111/M111*2*S111,0)</f>
        <v>0</v>
      </c>
      <c r="Z111" s="37">
        <v>0</v>
      </c>
      <c r="AA111" s="37">
        <v>0</v>
      </c>
      <c r="AB111" s="37">
        <v>15000</v>
      </c>
      <c r="AC111" s="37">
        <f>U111+V111+W111+X111+Y111+Z111+AA111+AB111</f>
        <v>110700</v>
      </c>
      <c r="AD111" s="37">
        <f>_xlfn.LET(_xlpm.a,(AC111-AB111)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457</v>
      </c>
      <c r="AE111" s="37" cm="1">
        <f t="array" ref="AE111">SUMPRODUCT((LEFT($K$3:$K$1500,7)=LEFT(K111,7))*($F$3:$F$1500&lt;=F111)*($F$3:$F$1500&gt;=DATE(IF(MONTH(F111)&gt;=7,YEAR(F111),YEAR(F111)-1),7,1))*($AC$3:$AC$1500-$AB$3:$AB$1500))</f>
        <v>287100</v>
      </c>
      <c r="AF111" s="37">
        <v>0</v>
      </c>
      <c r="AG111" s="37">
        <f>ROUND((U111+V111)/M111*P111,0)</f>
        <v>0</v>
      </c>
      <c r="AH111" s="37">
        <v>0</v>
      </c>
      <c r="AI111" s="37">
        <f>AD111+AF111+AG111+AH111</f>
        <v>457</v>
      </c>
      <c r="AJ111" s="37">
        <f>AC111-AI111</f>
        <v>110243</v>
      </c>
      <c r="AK111" s="37">
        <f>AC111+2000</f>
        <v>112700</v>
      </c>
      <c r="AL111" s="21">
        <f>COUNTIFS($A$3:$A$1500,A111)</f>
        <v>25</v>
      </c>
      <c r="AM111" s="37">
        <f>SUMIFS($AC$3:$AC$1500,$A$3:$A$1500,A111)</f>
        <v>4232040</v>
      </c>
      <c r="AN111" s="37">
        <f>SUMIFS($AD$3:$AD$1500,$A$3:$A$1500,A111)</f>
        <v>559134</v>
      </c>
      <c r="AO111" s="37">
        <f>SUMIFS($AF$3:$AF$1500,$A$3:$A$1500,A111)</f>
        <v>30000</v>
      </c>
      <c r="AP111" s="37">
        <f>SUMIFS($AG$3:$AG$1500,$A$3:$A$1500,A111)+SUMIFS($AH$3:$AH$1500,$A$3:$A$1500,A111)</f>
        <v>3596</v>
      </c>
      <c r="AQ111" s="37">
        <f>SUMIFS($AJ$3:$AJ$1500,$A$3:$A$1500,A111)</f>
        <v>3639310</v>
      </c>
      <c r="AR111" s="37">
        <f>SUMIFS($AK$3:$AK$1500,$A$3:$A$1500,A111)</f>
        <v>4282040</v>
      </c>
      <c r="AS111" s="31">
        <f>IFERROR(AQ111/SUMIFS($AJ$3:$AJ$1500,$F$3:$F$1500,EDATE(F111,-1))-1,"N/A - first run")</f>
        <v>5.4381309008169065E-3</v>
      </c>
      <c r="AT111" s="21" t="s">
        <v>4992</v>
      </c>
      <c r="AU111" s="21" t="str">
        <f>IF(P111&gt;0,"Unpaid leave "&amp;P111&amp;" day(s)",IF(R111&gt;40,"Overtime above 40 hrs","None"))</f>
        <v>None</v>
      </c>
      <c r="AV111" s="29">
        <f>EOMONTH(H111,0)+15</f>
        <v>46310</v>
      </c>
      <c r="AW111" s="21" t="s">
        <v>1760</v>
      </c>
      <c r="AX111" s="21" t="s">
        <v>4993</v>
      </c>
      <c r="AY111" s="21" t="str">
        <f>IF(U111+V111+W111&gt;=40000,"Compliant","Below minimum wage")</f>
        <v>Compliant</v>
      </c>
    </row>
    <row r="112" spans="1:51" x14ac:dyDescent="0.3">
      <c r="A112" s="21" t="s">
        <v>4989</v>
      </c>
      <c r="B112" s="39">
        <v>46266</v>
      </c>
      <c r="C112" s="21" t="s">
        <v>4990</v>
      </c>
      <c r="D112" s="21" t="s">
        <v>4842</v>
      </c>
      <c r="E112" s="21" t="s">
        <v>743</v>
      </c>
      <c r="F112" s="29">
        <v>46290</v>
      </c>
      <c r="G112" s="21">
        <f>COUNTIFS($A$3:$A$1500,A112)</f>
        <v>25</v>
      </c>
      <c r="H112" s="29">
        <v>46295</v>
      </c>
      <c r="I112" s="21" t="s">
        <v>1797</v>
      </c>
      <c r="J112" s="21" t="s">
        <v>4991</v>
      </c>
      <c r="K112" s="21" t="s">
        <v>4867</v>
      </c>
      <c r="L112" s="21" t="s">
        <v>4850</v>
      </c>
      <c r="M112" s="21">
        <v>30</v>
      </c>
      <c r="N112" s="21">
        <v>24</v>
      </c>
      <c r="O112" s="21">
        <v>2</v>
      </c>
      <c r="P112" s="21">
        <v>0</v>
      </c>
      <c r="Q112" s="21" t="s">
        <v>848</v>
      </c>
      <c r="R112" s="21">
        <v>2</v>
      </c>
      <c r="S112" s="21">
        <v>0</v>
      </c>
      <c r="T112" s="21" t="s">
        <v>1569</v>
      </c>
      <c r="U112" s="37">
        <f>_xlfn.XLOOKUP(LEFT(K112,7),'T07'!$A$3:$A$1500,'T07'!$AS$3:$AS$1500)</f>
        <v>150000</v>
      </c>
      <c r="V112" s="37">
        <f>_xlfn.XLOOKUP(LEFT(K112,7),'T07'!$A$3:$A$1500,'T07'!$AT$3:$AT$1500)</f>
        <v>67500</v>
      </c>
      <c r="W112" s="37">
        <v>0</v>
      </c>
      <c r="X112" s="37">
        <f>ROUND(U112/M112/8*2*R112,0)</f>
        <v>2500</v>
      </c>
      <c r="Y112" s="37">
        <f>ROUND(U112/M112*2*S112,0)</f>
        <v>0</v>
      </c>
      <c r="Z112" s="37">
        <v>0</v>
      </c>
      <c r="AA112" s="37">
        <v>0</v>
      </c>
      <c r="AB112" s="37">
        <v>3000</v>
      </c>
      <c r="AC112" s="37">
        <f>U112+V112+W112+X112+Y112+Z112+AA112+AB112</f>
        <v>223000</v>
      </c>
      <c r="AD112" s="37">
        <f>_xlfn.LET(_xlpm.a,(AC112-AB112)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18100</v>
      </c>
      <c r="AE112" s="37" cm="1">
        <f t="array" ref="AE112">SUMPRODUCT((LEFT($K$3:$K$1500,7)=LEFT(K112,7))*($F$3:$F$1500&lt;=F112)*($F$3:$F$1500&gt;=DATE(IF(MONTH(F112)&gt;=7,YEAR(F112),YEAR(F112)-1),7,1))*($AC$3:$AC$1500-$AB$3:$AB$1500))</f>
        <v>671935</v>
      </c>
      <c r="AF112" s="37">
        <v>0</v>
      </c>
      <c r="AG112" s="37">
        <f>ROUND((U112+V112)/M112*P112,0)</f>
        <v>0</v>
      </c>
      <c r="AH112" s="37">
        <v>0</v>
      </c>
      <c r="AI112" s="37">
        <f>AD112+AF112+AG112+AH112</f>
        <v>18100</v>
      </c>
      <c r="AJ112" s="37">
        <f>AC112-AI112</f>
        <v>204900</v>
      </c>
      <c r="AK112" s="37">
        <f>AC112+2000</f>
        <v>225000</v>
      </c>
      <c r="AL112" s="21">
        <f>COUNTIFS($A$3:$A$1500,A112)</f>
        <v>25</v>
      </c>
      <c r="AM112" s="37">
        <f>SUMIFS($AC$3:$AC$1500,$A$3:$A$1500,A112)</f>
        <v>4232040</v>
      </c>
      <c r="AN112" s="37">
        <f>SUMIFS($AD$3:$AD$1500,$A$3:$A$1500,A112)</f>
        <v>559134</v>
      </c>
      <c r="AO112" s="37">
        <f>SUMIFS($AF$3:$AF$1500,$A$3:$A$1500,A112)</f>
        <v>30000</v>
      </c>
      <c r="AP112" s="37">
        <f>SUMIFS($AG$3:$AG$1500,$A$3:$A$1500,A112)+SUMIFS($AH$3:$AH$1500,$A$3:$A$1500,A112)</f>
        <v>3596</v>
      </c>
      <c r="AQ112" s="37">
        <f>SUMIFS($AJ$3:$AJ$1500,$A$3:$A$1500,A112)</f>
        <v>3639310</v>
      </c>
      <c r="AR112" s="37">
        <f>SUMIFS($AK$3:$AK$1500,$A$3:$A$1500,A112)</f>
        <v>4282040</v>
      </c>
      <c r="AS112" s="31">
        <f>IFERROR(AQ112/SUMIFS($AJ$3:$AJ$1500,$F$3:$F$1500,EDATE(F112,-1))-1,"N/A - first run")</f>
        <v>5.4381309008169065E-3</v>
      </c>
      <c r="AT112" s="21" t="s">
        <v>4992</v>
      </c>
      <c r="AU112" s="21" t="str">
        <f>IF(P112&gt;0,"Unpaid leave "&amp;P112&amp;" day(s)",IF(R112&gt;40,"Overtime above 40 hrs","None"))</f>
        <v>None</v>
      </c>
      <c r="AV112" s="29">
        <f>EOMONTH(H112,0)+15</f>
        <v>46310</v>
      </c>
      <c r="AW112" s="21" t="s">
        <v>1760</v>
      </c>
      <c r="AX112" s="21" t="s">
        <v>4993</v>
      </c>
      <c r="AY112" s="21" t="str">
        <f>IF(U112+V112+W112&gt;=40000,"Compliant","Below minimum wage")</f>
        <v>Compliant</v>
      </c>
    </row>
    <row r="113" spans="1:51" x14ac:dyDescent="0.3">
      <c r="A113" s="21" t="s">
        <v>4989</v>
      </c>
      <c r="B113" s="39">
        <v>46266</v>
      </c>
      <c r="C113" s="21" t="s">
        <v>4990</v>
      </c>
      <c r="D113" s="21" t="s">
        <v>4842</v>
      </c>
      <c r="E113" s="21" t="s">
        <v>743</v>
      </c>
      <c r="F113" s="29">
        <v>46290</v>
      </c>
      <c r="G113" s="21">
        <f>COUNTIFS($A$3:$A$1500,A113)</f>
        <v>25</v>
      </c>
      <c r="H113" s="29">
        <v>46295</v>
      </c>
      <c r="I113" s="21" t="s">
        <v>1797</v>
      </c>
      <c r="J113" s="21" t="s">
        <v>4991</v>
      </c>
      <c r="K113" s="21" t="s">
        <v>4869</v>
      </c>
      <c r="L113" s="21" t="s">
        <v>4850</v>
      </c>
      <c r="M113" s="21">
        <v>30</v>
      </c>
      <c r="N113" s="21">
        <v>25</v>
      </c>
      <c r="O113" s="21">
        <v>1</v>
      </c>
      <c r="P113" s="21">
        <v>0</v>
      </c>
      <c r="Q113" s="21" t="s">
        <v>4845</v>
      </c>
      <c r="R113" s="21">
        <v>1</v>
      </c>
      <c r="S113" s="21">
        <v>0</v>
      </c>
      <c r="T113" s="21" t="s">
        <v>1583</v>
      </c>
      <c r="U113" s="37">
        <f>_xlfn.XLOOKUP(LEFT(K113,7),'T07'!$A$3:$A$1500,'T07'!$AS$3:$AS$1500)</f>
        <v>54000</v>
      </c>
      <c r="V113" s="37">
        <f>_xlfn.XLOOKUP(LEFT(K113,7),'T07'!$A$3:$A$1500,'T07'!$AT$3:$AT$1500)</f>
        <v>24300</v>
      </c>
      <c r="W113" s="37">
        <v>0</v>
      </c>
      <c r="X113" s="37">
        <f>ROUND(U113/M113/8*2*R113,0)</f>
        <v>450</v>
      </c>
      <c r="Y113" s="37">
        <f>ROUND(U113/M113*2*S113,0)</f>
        <v>0</v>
      </c>
      <c r="Z113" s="37">
        <v>0</v>
      </c>
      <c r="AA113" s="37">
        <v>0</v>
      </c>
      <c r="AB113" s="37">
        <v>3000</v>
      </c>
      <c r="AC113" s="37">
        <f>U113+V113+W113+X113+Y113+Z113+AA113+AB113</f>
        <v>81750</v>
      </c>
      <c r="AD113" s="37">
        <f>_xlfn.LET(_xlpm.a,(AC113-AB113)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288</v>
      </c>
      <c r="AE113" s="37" cm="1">
        <f t="array" ref="AE113">SUMPRODUCT((LEFT($K$3:$K$1500,7)=LEFT(K113,7))*($F$3:$F$1500&lt;=F113)*($F$3:$F$1500&gt;=DATE(IF(MONTH(F113)&gt;=7,YEAR(F113),YEAR(F113)-1),7,1))*($AC$3:$AC$1500-$AB$3:$AB$1500))</f>
        <v>241011</v>
      </c>
      <c r="AF113" s="37">
        <v>10000</v>
      </c>
      <c r="AG113" s="37">
        <f>ROUND((U113+V113)/M113*P113,0)</f>
        <v>0</v>
      </c>
      <c r="AH113" s="37">
        <v>0</v>
      </c>
      <c r="AI113" s="37">
        <f>AD113+AF113+AG113+AH113</f>
        <v>10288</v>
      </c>
      <c r="AJ113" s="37">
        <f>AC113-AI113</f>
        <v>71462</v>
      </c>
      <c r="AK113" s="37">
        <f>AC113+2000</f>
        <v>83750</v>
      </c>
      <c r="AL113" s="21">
        <f>COUNTIFS($A$3:$A$1500,A113)</f>
        <v>25</v>
      </c>
      <c r="AM113" s="37">
        <f>SUMIFS($AC$3:$AC$1500,$A$3:$A$1500,A113)</f>
        <v>4232040</v>
      </c>
      <c r="AN113" s="37">
        <f>SUMIFS($AD$3:$AD$1500,$A$3:$A$1500,A113)</f>
        <v>559134</v>
      </c>
      <c r="AO113" s="37">
        <f>SUMIFS($AF$3:$AF$1500,$A$3:$A$1500,A113)</f>
        <v>30000</v>
      </c>
      <c r="AP113" s="37">
        <f>SUMIFS($AG$3:$AG$1500,$A$3:$A$1500,A113)+SUMIFS($AH$3:$AH$1500,$A$3:$A$1500,A113)</f>
        <v>3596</v>
      </c>
      <c r="AQ113" s="37">
        <f>SUMIFS($AJ$3:$AJ$1500,$A$3:$A$1500,A113)</f>
        <v>3639310</v>
      </c>
      <c r="AR113" s="37">
        <f>SUMIFS($AK$3:$AK$1500,$A$3:$A$1500,A113)</f>
        <v>4282040</v>
      </c>
      <c r="AS113" s="31">
        <f>IFERROR(AQ113/SUMIFS($AJ$3:$AJ$1500,$F$3:$F$1500,EDATE(F113,-1))-1,"N/A - first run")</f>
        <v>5.4381309008169065E-3</v>
      </c>
      <c r="AT113" s="21" t="s">
        <v>4992</v>
      </c>
      <c r="AU113" s="21" t="str">
        <f>IF(P113&gt;0,"Unpaid leave "&amp;P113&amp;" day(s)",IF(R113&gt;40,"Overtime above 40 hrs","None"))</f>
        <v>None</v>
      </c>
      <c r="AV113" s="29">
        <f>EOMONTH(H113,0)+15</f>
        <v>46310</v>
      </c>
      <c r="AW113" s="21" t="s">
        <v>1760</v>
      </c>
      <c r="AX113" s="21" t="s">
        <v>4993</v>
      </c>
      <c r="AY113" s="21" t="str">
        <f>IF(U113+V113+W113&gt;=40000,"Compliant","Below minimum wage")</f>
        <v>Compliant</v>
      </c>
    </row>
    <row r="114" spans="1:51" x14ac:dyDescent="0.3">
      <c r="A114" s="21" t="s">
        <v>4989</v>
      </c>
      <c r="B114" s="39">
        <v>46266</v>
      </c>
      <c r="C114" s="21" t="s">
        <v>4990</v>
      </c>
      <c r="D114" s="21" t="s">
        <v>4842</v>
      </c>
      <c r="E114" s="21" t="s">
        <v>743</v>
      </c>
      <c r="F114" s="29">
        <v>46290</v>
      </c>
      <c r="G114" s="21">
        <f>COUNTIFS($A$3:$A$1500,A114)</f>
        <v>25</v>
      </c>
      <c r="H114" s="29">
        <v>46295</v>
      </c>
      <c r="I114" s="21" t="s">
        <v>1797</v>
      </c>
      <c r="J114" s="21" t="s">
        <v>4991</v>
      </c>
      <c r="K114" s="21" t="s">
        <v>4871</v>
      </c>
      <c r="L114" s="21" t="s">
        <v>4850</v>
      </c>
      <c r="M114" s="21">
        <v>30</v>
      </c>
      <c r="N114" s="21">
        <v>25</v>
      </c>
      <c r="O114" s="21">
        <v>1</v>
      </c>
      <c r="P114" s="21">
        <v>0</v>
      </c>
      <c r="Q114" s="21" t="s">
        <v>848</v>
      </c>
      <c r="R114" s="21">
        <v>36</v>
      </c>
      <c r="S114" s="21">
        <v>0</v>
      </c>
      <c r="T114" s="21" t="s">
        <v>1598</v>
      </c>
      <c r="U114" s="37">
        <f>_xlfn.XLOOKUP(LEFT(K114,7),'T07'!$A$3:$A$1500,'T07'!$AS$3:$AS$1500)</f>
        <v>57000</v>
      </c>
      <c r="V114" s="37">
        <f>_xlfn.XLOOKUP(LEFT(K114,7),'T07'!$A$3:$A$1500,'T07'!$AT$3:$AT$1500)</f>
        <v>25650</v>
      </c>
      <c r="W114" s="37">
        <v>3000</v>
      </c>
      <c r="X114" s="37">
        <f>ROUND(U114/M114/8*2*R114,0)</f>
        <v>17100</v>
      </c>
      <c r="Y114" s="37">
        <f>ROUND(U114/M114*2*S114,0)</f>
        <v>0</v>
      </c>
      <c r="Z114" s="37">
        <v>0</v>
      </c>
      <c r="AA114" s="37">
        <v>0</v>
      </c>
      <c r="AB114" s="37">
        <v>3000</v>
      </c>
      <c r="AC114" s="37">
        <f>U114+V114+W114+X114+Y114+Z114+AA114+AB114</f>
        <v>105750</v>
      </c>
      <c r="AD114" s="37">
        <f>_xlfn.LET(_xlpm.a,(AC114-AB114)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803</v>
      </c>
      <c r="AE114" s="37" cm="1">
        <f t="array" ref="AE114">SUMPRODUCT((LEFT($K$3:$K$1500,7)=LEFT(K114,7))*($F$3:$F$1500&lt;=F114)*($F$3:$F$1500&gt;=DATE(IF(MONTH(F114)&gt;=7,YEAR(F114),YEAR(F114)-1),7,1))*($AC$3:$AC$1500-$AB$3:$AB$1500))</f>
        <v>296573</v>
      </c>
      <c r="AF114" s="37">
        <v>0</v>
      </c>
      <c r="AG114" s="37">
        <f>ROUND((U114+V114)/M114*P114,0)</f>
        <v>0</v>
      </c>
      <c r="AH114" s="37">
        <v>0</v>
      </c>
      <c r="AI114" s="37">
        <f>AD114+AF114+AG114+AH114</f>
        <v>803</v>
      </c>
      <c r="AJ114" s="37">
        <f>AC114-AI114</f>
        <v>104947</v>
      </c>
      <c r="AK114" s="37">
        <f>AC114+2000</f>
        <v>107750</v>
      </c>
      <c r="AL114" s="21">
        <f>COUNTIFS($A$3:$A$1500,A114)</f>
        <v>25</v>
      </c>
      <c r="AM114" s="37">
        <f>SUMIFS($AC$3:$AC$1500,$A$3:$A$1500,A114)</f>
        <v>4232040</v>
      </c>
      <c r="AN114" s="37">
        <f>SUMIFS($AD$3:$AD$1500,$A$3:$A$1500,A114)</f>
        <v>559134</v>
      </c>
      <c r="AO114" s="37">
        <f>SUMIFS($AF$3:$AF$1500,$A$3:$A$1500,A114)</f>
        <v>30000</v>
      </c>
      <c r="AP114" s="37">
        <f>SUMIFS($AG$3:$AG$1500,$A$3:$A$1500,A114)+SUMIFS($AH$3:$AH$1500,$A$3:$A$1500,A114)</f>
        <v>3596</v>
      </c>
      <c r="AQ114" s="37">
        <f>SUMIFS($AJ$3:$AJ$1500,$A$3:$A$1500,A114)</f>
        <v>3639310</v>
      </c>
      <c r="AR114" s="37">
        <f>SUMIFS($AK$3:$AK$1500,$A$3:$A$1500,A114)</f>
        <v>4282040</v>
      </c>
      <c r="AS114" s="31">
        <f>IFERROR(AQ114/SUMIFS($AJ$3:$AJ$1500,$F$3:$F$1500,EDATE(F114,-1))-1,"N/A - first run")</f>
        <v>5.4381309008169065E-3</v>
      </c>
      <c r="AT114" s="21" t="s">
        <v>4992</v>
      </c>
      <c r="AU114" s="21" t="str">
        <f>IF(P114&gt;0,"Unpaid leave "&amp;P114&amp;" day(s)",IF(R114&gt;40,"Overtime above 40 hrs","None"))</f>
        <v>None</v>
      </c>
      <c r="AV114" s="29">
        <f>EOMONTH(H114,0)+15</f>
        <v>46310</v>
      </c>
      <c r="AW114" s="21" t="s">
        <v>1760</v>
      </c>
      <c r="AX114" s="21" t="s">
        <v>4993</v>
      </c>
      <c r="AY114" s="21" t="str">
        <f>IF(U114+V114+W114&gt;=40000,"Compliant","Below minimum wage")</f>
        <v>Compliant</v>
      </c>
    </row>
    <row r="115" spans="1:51" x14ac:dyDescent="0.3">
      <c r="A115" s="21" t="s">
        <v>4989</v>
      </c>
      <c r="B115" s="39">
        <v>46266</v>
      </c>
      <c r="C115" s="21" t="s">
        <v>4990</v>
      </c>
      <c r="D115" s="21" t="s">
        <v>4842</v>
      </c>
      <c r="E115" s="21" t="s">
        <v>743</v>
      </c>
      <c r="F115" s="29">
        <v>46290</v>
      </c>
      <c r="G115" s="21">
        <f>COUNTIFS($A$3:$A$1500,A115)</f>
        <v>25</v>
      </c>
      <c r="H115" s="29">
        <v>46295</v>
      </c>
      <c r="I115" s="21" t="s">
        <v>1797</v>
      </c>
      <c r="J115" s="21" t="s">
        <v>4991</v>
      </c>
      <c r="K115" s="21" t="s">
        <v>4873</v>
      </c>
      <c r="L115" s="21" t="s">
        <v>4850</v>
      </c>
      <c r="M115" s="21">
        <v>30</v>
      </c>
      <c r="N115" s="21">
        <v>25</v>
      </c>
      <c r="O115" s="21">
        <v>1</v>
      </c>
      <c r="P115" s="21">
        <v>0</v>
      </c>
      <c r="Q115" s="21" t="s">
        <v>848</v>
      </c>
      <c r="R115" s="21">
        <v>35</v>
      </c>
      <c r="S115" s="21">
        <v>0</v>
      </c>
      <c r="T115" s="21" t="s">
        <v>1615</v>
      </c>
      <c r="U115" s="37">
        <f>_xlfn.XLOOKUP(LEFT(K115,7),'T07'!$A$3:$A$1500,'T07'!$AS$3:$AS$1500)</f>
        <v>36000</v>
      </c>
      <c r="V115" s="37">
        <f>_xlfn.XLOOKUP(LEFT(K115,7),'T07'!$A$3:$A$1500,'T07'!$AT$3:$AT$1500)</f>
        <v>16200</v>
      </c>
      <c r="W115" s="37">
        <v>3000</v>
      </c>
      <c r="X115" s="37">
        <f>ROUND(U115/M115/8*2*R115,0)</f>
        <v>10500</v>
      </c>
      <c r="Y115" s="37">
        <f>ROUND(U115/M115*2*S115,0)</f>
        <v>0</v>
      </c>
      <c r="Z115" s="37">
        <v>0</v>
      </c>
      <c r="AA115" s="37">
        <v>0</v>
      </c>
      <c r="AB115" s="37">
        <v>3000</v>
      </c>
      <c r="AC115" s="37">
        <f>U115+V115+W115+X115+Y115+Z115+AA115+AB115</f>
        <v>68700</v>
      </c>
      <c r="AD115" s="37">
        <f>_xlfn.LET(_xlpm.a,(AC115-AB115)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157</v>
      </c>
      <c r="AE115" s="37" cm="1">
        <f t="array" ref="AE115">SUMPRODUCT((LEFT($K$3:$K$1500,7)=LEFT(K115,7))*($F$3:$F$1500&lt;=F115)*($F$3:$F$1500&gt;=DATE(IF(MONTH(F115)&gt;=7,YEAR(F115),YEAR(F115)-1),7,1))*($AC$3:$AC$1500-$AB$3:$AB$1500))</f>
        <v>183940</v>
      </c>
      <c r="AF115" s="37">
        <v>10000</v>
      </c>
      <c r="AG115" s="37">
        <f>ROUND((U115+V115)/M115*P115,0)</f>
        <v>0</v>
      </c>
      <c r="AH115" s="37">
        <v>0</v>
      </c>
      <c r="AI115" s="37">
        <f>AD115+AF115+AG115+AH115</f>
        <v>10157</v>
      </c>
      <c r="AJ115" s="37">
        <f>AC115-AI115</f>
        <v>58543</v>
      </c>
      <c r="AK115" s="37">
        <f>AC115+2000</f>
        <v>70700</v>
      </c>
      <c r="AL115" s="21">
        <f>COUNTIFS($A$3:$A$1500,A115)</f>
        <v>25</v>
      </c>
      <c r="AM115" s="37">
        <f>SUMIFS($AC$3:$AC$1500,$A$3:$A$1500,A115)</f>
        <v>4232040</v>
      </c>
      <c r="AN115" s="37">
        <f>SUMIFS($AD$3:$AD$1500,$A$3:$A$1500,A115)</f>
        <v>559134</v>
      </c>
      <c r="AO115" s="37">
        <f>SUMIFS($AF$3:$AF$1500,$A$3:$A$1500,A115)</f>
        <v>30000</v>
      </c>
      <c r="AP115" s="37">
        <f>SUMIFS($AG$3:$AG$1500,$A$3:$A$1500,A115)+SUMIFS($AH$3:$AH$1500,$A$3:$A$1500,A115)</f>
        <v>3596</v>
      </c>
      <c r="AQ115" s="37">
        <f>SUMIFS($AJ$3:$AJ$1500,$A$3:$A$1500,A115)</f>
        <v>3639310</v>
      </c>
      <c r="AR115" s="37">
        <f>SUMIFS($AK$3:$AK$1500,$A$3:$A$1500,A115)</f>
        <v>4282040</v>
      </c>
      <c r="AS115" s="31">
        <f>IFERROR(AQ115/SUMIFS($AJ$3:$AJ$1500,$F$3:$F$1500,EDATE(F115,-1))-1,"N/A - first run")</f>
        <v>5.4381309008169065E-3</v>
      </c>
      <c r="AT115" s="21" t="s">
        <v>4992</v>
      </c>
      <c r="AU115" s="21" t="str">
        <f>IF(P115&gt;0,"Unpaid leave "&amp;P115&amp;" day(s)",IF(R115&gt;40,"Overtime above 40 hrs","None"))</f>
        <v>None</v>
      </c>
      <c r="AV115" s="29">
        <f>EOMONTH(H115,0)+15</f>
        <v>46310</v>
      </c>
      <c r="AW115" s="21" t="s">
        <v>1760</v>
      </c>
      <c r="AX115" s="21" t="s">
        <v>4993</v>
      </c>
      <c r="AY115" s="21" t="str">
        <f>IF(U115+V115+W115&gt;=40000,"Compliant","Below minimum wage")</f>
        <v>Compliant</v>
      </c>
    </row>
    <row r="116" spans="1:51" x14ac:dyDescent="0.3">
      <c r="A116" s="21" t="s">
        <v>4989</v>
      </c>
      <c r="B116" s="39">
        <v>46266</v>
      </c>
      <c r="C116" s="21" t="s">
        <v>4990</v>
      </c>
      <c r="D116" s="21" t="s">
        <v>4842</v>
      </c>
      <c r="E116" s="21" t="s">
        <v>743</v>
      </c>
      <c r="F116" s="29">
        <v>46290</v>
      </c>
      <c r="G116" s="21">
        <f>COUNTIFS($A$3:$A$1500,A116)</f>
        <v>25</v>
      </c>
      <c r="H116" s="29">
        <v>46295</v>
      </c>
      <c r="I116" s="21" t="s">
        <v>1797</v>
      </c>
      <c r="J116" s="21" t="s">
        <v>4991</v>
      </c>
      <c r="K116" s="21" t="s">
        <v>4875</v>
      </c>
      <c r="L116" s="21" t="s">
        <v>4850</v>
      </c>
      <c r="M116" s="21">
        <v>30</v>
      </c>
      <c r="N116" s="21">
        <v>26</v>
      </c>
      <c r="O116" s="21">
        <v>0</v>
      </c>
      <c r="P116" s="21">
        <v>0</v>
      </c>
      <c r="Q116" s="21" t="s">
        <v>848</v>
      </c>
      <c r="R116" s="21">
        <v>0</v>
      </c>
      <c r="S116" s="21">
        <v>0</v>
      </c>
      <c r="T116" s="21" t="s">
        <v>1630</v>
      </c>
      <c r="U116" s="37">
        <f>_xlfn.XLOOKUP(LEFT(K116,7),'T07'!$A$3:$A$1500,'T07'!$AS$3:$AS$1500)</f>
        <v>84000</v>
      </c>
      <c r="V116" s="37">
        <f>_xlfn.XLOOKUP(LEFT(K116,7),'T07'!$A$3:$A$1500,'T07'!$AT$3:$AT$1500)</f>
        <v>37800</v>
      </c>
      <c r="W116" s="37">
        <v>0</v>
      </c>
      <c r="X116" s="37">
        <f>ROUND(U116/M116/8*2*R116,0)</f>
        <v>0</v>
      </c>
      <c r="Y116" s="37">
        <f>ROUND(U116/M116*2*S116,0)</f>
        <v>0</v>
      </c>
      <c r="Z116" s="37">
        <v>0</v>
      </c>
      <c r="AA116" s="37">
        <v>0</v>
      </c>
      <c r="AB116" s="37">
        <v>3000</v>
      </c>
      <c r="AC116" s="37">
        <f>U116+V116+W116+X116+Y116+Z116+AA116+AB116</f>
        <v>124800</v>
      </c>
      <c r="AD116" s="37">
        <f>_xlfn.LET(_xlpm.a,(AC116-AB116)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2898</v>
      </c>
      <c r="AE116" s="37" cm="1">
        <f t="array" ref="AE116">SUMPRODUCT((LEFT($K$3:$K$1500,7)=LEFT(K116,7))*($F$3:$F$1500&lt;=F116)*($F$3:$F$1500&gt;=DATE(IF(MONTH(F116)&gt;=7,YEAR(F116),YEAR(F116)-1),7,1))*($AC$3:$AC$1500-$AB$3:$AB$1500))</f>
        <v>365400</v>
      </c>
      <c r="AF116" s="37">
        <v>0</v>
      </c>
      <c r="AG116" s="37">
        <f>ROUND((U116+V116)/M116*P116,0)</f>
        <v>0</v>
      </c>
      <c r="AH116" s="37">
        <v>0</v>
      </c>
      <c r="AI116" s="37">
        <f>AD116+AF116+AG116+AH116</f>
        <v>2898</v>
      </c>
      <c r="AJ116" s="37">
        <f>AC116-AI116</f>
        <v>121902</v>
      </c>
      <c r="AK116" s="37">
        <f>AC116+2000</f>
        <v>126800</v>
      </c>
      <c r="AL116" s="21">
        <f>COUNTIFS($A$3:$A$1500,A116)</f>
        <v>25</v>
      </c>
      <c r="AM116" s="37">
        <f>SUMIFS($AC$3:$AC$1500,$A$3:$A$1500,A116)</f>
        <v>4232040</v>
      </c>
      <c r="AN116" s="37">
        <f>SUMIFS($AD$3:$AD$1500,$A$3:$A$1500,A116)</f>
        <v>559134</v>
      </c>
      <c r="AO116" s="37">
        <f>SUMIFS($AF$3:$AF$1500,$A$3:$A$1500,A116)</f>
        <v>30000</v>
      </c>
      <c r="AP116" s="37">
        <f>SUMIFS($AG$3:$AG$1500,$A$3:$A$1500,A116)+SUMIFS($AH$3:$AH$1500,$A$3:$A$1500,A116)</f>
        <v>3596</v>
      </c>
      <c r="AQ116" s="37">
        <f>SUMIFS($AJ$3:$AJ$1500,$A$3:$A$1500,A116)</f>
        <v>3639310</v>
      </c>
      <c r="AR116" s="37">
        <f>SUMIFS($AK$3:$AK$1500,$A$3:$A$1500,A116)</f>
        <v>4282040</v>
      </c>
      <c r="AS116" s="31">
        <f>IFERROR(AQ116/SUMIFS($AJ$3:$AJ$1500,$F$3:$F$1500,EDATE(F116,-1))-1,"N/A - first run")</f>
        <v>5.4381309008169065E-3</v>
      </c>
      <c r="AT116" s="21" t="s">
        <v>4992</v>
      </c>
      <c r="AU116" s="21" t="str">
        <f>IF(P116&gt;0,"Unpaid leave "&amp;P116&amp;" day(s)",IF(R116&gt;40,"Overtime above 40 hrs","None"))</f>
        <v>None</v>
      </c>
      <c r="AV116" s="29">
        <f>EOMONTH(H116,0)+15</f>
        <v>46310</v>
      </c>
      <c r="AW116" s="21" t="s">
        <v>1760</v>
      </c>
      <c r="AX116" s="21" t="s">
        <v>4993</v>
      </c>
      <c r="AY116" s="21" t="str">
        <f>IF(U116+V116+W116&gt;=40000,"Compliant","Below minimum wage")</f>
        <v>Compliant</v>
      </c>
    </row>
    <row r="117" spans="1:51" x14ac:dyDescent="0.3">
      <c r="A117" s="21" t="s">
        <v>4989</v>
      </c>
      <c r="B117" s="39">
        <v>46266</v>
      </c>
      <c r="C117" s="21" t="s">
        <v>4990</v>
      </c>
      <c r="D117" s="21" t="s">
        <v>4842</v>
      </c>
      <c r="E117" s="21" t="s">
        <v>743</v>
      </c>
      <c r="F117" s="29">
        <v>46290</v>
      </c>
      <c r="G117" s="21">
        <f>COUNTIFS($A$3:$A$1500,A117)</f>
        <v>25</v>
      </c>
      <c r="H117" s="29">
        <v>46295</v>
      </c>
      <c r="I117" s="21" t="s">
        <v>1797</v>
      </c>
      <c r="J117" s="21" t="s">
        <v>4991</v>
      </c>
      <c r="K117" s="21" t="s">
        <v>4877</v>
      </c>
      <c r="L117" s="21" t="s">
        <v>4865</v>
      </c>
      <c r="M117" s="21">
        <v>30</v>
      </c>
      <c r="N117" s="21">
        <v>24</v>
      </c>
      <c r="O117" s="21">
        <v>2</v>
      </c>
      <c r="P117" s="21">
        <v>0</v>
      </c>
      <c r="Q117" s="21" t="s">
        <v>848</v>
      </c>
      <c r="R117" s="21">
        <v>0</v>
      </c>
      <c r="S117" s="21">
        <v>0</v>
      </c>
      <c r="T117" s="21" t="s">
        <v>1644</v>
      </c>
      <c r="U117" s="37">
        <f>_xlfn.XLOOKUP(LEFT(K117,7),'T07'!$A$3:$A$1500,'T07'!$AS$3:$AS$1500)</f>
        <v>90000</v>
      </c>
      <c r="V117" s="37">
        <f>_xlfn.XLOOKUP(LEFT(K117,7),'T07'!$A$3:$A$1500,'T07'!$AT$3:$AT$1500)</f>
        <v>40500</v>
      </c>
      <c r="W117" s="37">
        <v>0</v>
      </c>
      <c r="X117" s="37">
        <f>ROUND(U117/M117/8*2*R117,0)</f>
        <v>0</v>
      </c>
      <c r="Y117" s="37">
        <f>ROUND(U117/M117*2*S117,0)</f>
        <v>0</v>
      </c>
      <c r="Z117" s="37">
        <v>0</v>
      </c>
      <c r="AA117" s="37">
        <v>0</v>
      </c>
      <c r="AB117" s="37">
        <v>3000</v>
      </c>
      <c r="AC117" s="37">
        <f>U117+V117+W117+X117+Y117+Z117+AA117+AB117</f>
        <v>133500</v>
      </c>
      <c r="AD117" s="37">
        <f>_xlfn.LET(_xlpm.a,(AC117-AB117)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3855</v>
      </c>
      <c r="AE117" s="37" cm="1">
        <f t="array" ref="AE117">SUMPRODUCT((LEFT($K$3:$K$1500,7)=LEFT(K117,7))*($F$3:$F$1500&lt;=F117)*($F$3:$F$1500&gt;=DATE(IF(MONTH(F117)&gt;=7,YEAR(F117),YEAR(F117)-1),7,1))*($AC$3:$AC$1500-$AB$3:$AB$1500))</f>
        <v>391500</v>
      </c>
      <c r="AF117" s="37">
        <v>0</v>
      </c>
      <c r="AG117" s="37">
        <f>ROUND((U117+V117)/M117*P117,0)</f>
        <v>0</v>
      </c>
      <c r="AH117" s="37">
        <v>0</v>
      </c>
      <c r="AI117" s="37">
        <f>AD117+AF117+AG117+AH117</f>
        <v>3855</v>
      </c>
      <c r="AJ117" s="37">
        <f>AC117-AI117</f>
        <v>129645</v>
      </c>
      <c r="AK117" s="37">
        <f>AC117+2000</f>
        <v>135500</v>
      </c>
      <c r="AL117" s="21">
        <f>COUNTIFS($A$3:$A$1500,A117)</f>
        <v>25</v>
      </c>
      <c r="AM117" s="37">
        <f>SUMIFS($AC$3:$AC$1500,$A$3:$A$1500,A117)</f>
        <v>4232040</v>
      </c>
      <c r="AN117" s="37">
        <f>SUMIFS($AD$3:$AD$1500,$A$3:$A$1500,A117)</f>
        <v>559134</v>
      </c>
      <c r="AO117" s="37">
        <f>SUMIFS($AF$3:$AF$1500,$A$3:$A$1500,A117)</f>
        <v>30000</v>
      </c>
      <c r="AP117" s="37">
        <f>SUMIFS($AG$3:$AG$1500,$A$3:$A$1500,A117)+SUMIFS($AH$3:$AH$1500,$A$3:$A$1500,A117)</f>
        <v>3596</v>
      </c>
      <c r="AQ117" s="37">
        <f>SUMIFS($AJ$3:$AJ$1500,$A$3:$A$1500,A117)</f>
        <v>3639310</v>
      </c>
      <c r="AR117" s="37">
        <f>SUMIFS($AK$3:$AK$1500,$A$3:$A$1500,A117)</f>
        <v>4282040</v>
      </c>
      <c r="AS117" s="31">
        <f>IFERROR(AQ117/SUMIFS($AJ$3:$AJ$1500,$F$3:$F$1500,EDATE(F117,-1))-1,"N/A - first run")</f>
        <v>5.4381309008169065E-3</v>
      </c>
      <c r="AT117" s="21" t="s">
        <v>4992</v>
      </c>
      <c r="AU117" s="21" t="str">
        <f>IF(P117&gt;0,"Unpaid leave "&amp;P117&amp;" day(s)",IF(R117&gt;40,"Overtime above 40 hrs","None"))</f>
        <v>None</v>
      </c>
      <c r="AV117" s="29">
        <f>EOMONTH(H117,0)+15</f>
        <v>46310</v>
      </c>
      <c r="AW117" s="21" t="s">
        <v>1760</v>
      </c>
      <c r="AX117" s="21" t="s">
        <v>4993</v>
      </c>
      <c r="AY117" s="21" t="str">
        <f>IF(U117+V117+W117&gt;=40000,"Compliant","Below minimum wage")</f>
        <v>Compliant</v>
      </c>
    </row>
    <row r="118" spans="1:51" x14ac:dyDescent="0.3">
      <c r="A118" s="21" t="s">
        <v>4989</v>
      </c>
      <c r="B118" s="39">
        <v>46266</v>
      </c>
      <c r="C118" s="21" t="s">
        <v>4990</v>
      </c>
      <c r="D118" s="21" t="s">
        <v>4842</v>
      </c>
      <c r="E118" s="21" t="s">
        <v>743</v>
      </c>
      <c r="F118" s="29">
        <v>46290</v>
      </c>
      <c r="G118" s="21">
        <f>COUNTIFS($A$3:$A$1500,A118)</f>
        <v>25</v>
      </c>
      <c r="H118" s="29">
        <v>46295</v>
      </c>
      <c r="I118" s="21" t="s">
        <v>1797</v>
      </c>
      <c r="J118" s="21" t="s">
        <v>4991</v>
      </c>
      <c r="K118" s="21" t="s">
        <v>4879</v>
      </c>
      <c r="L118" s="21" t="s">
        <v>4850</v>
      </c>
      <c r="M118" s="21">
        <v>30</v>
      </c>
      <c r="N118" s="21">
        <v>25</v>
      </c>
      <c r="O118" s="21">
        <v>1</v>
      </c>
      <c r="P118" s="21">
        <v>0</v>
      </c>
      <c r="Q118" s="21" t="s">
        <v>848</v>
      </c>
      <c r="R118" s="21">
        <v>0</v>
      </c>
      <c r="S118" s="21">
        <v>0</v>
      </c>
      <c r="T118" s="21" t="s">
        <v>1660</v>
      </c>
      <c r="U118" s="37">
        <f>_xlfn.XLOOKUP(LEFT(K118,7),'T07'!$A$3:$A$1500,'T07'!$AS$3:$AS$1500)</f>
        <v>33000</v>
      </c>
      <c r="V118" s="37">
        <f>_xlfn.XLOOKUP(LEFT(K118,7),'T07'!$A$3:$A$1500,'T07'!$AT$3:$AT$1500)</f>
        <v>14850</v>
      </c>
      <c r="W118" s="37">
        <v>0</v>
      </c>
      <c r="X118" s="37">
        <f>ROUND(U118/M118/8*2*R118,0)</f>
        <v>0</v>
      </c>
      <c r="Y118" s="37">
        <f>ROUND(U118/M118*2*S118,0)</f>
        <v>0</v>
      </c>
      <c r="Z118" s="37">
        <v>0</v>
      </c>
      <c r="AA118" s="37">
        <v>0</v>
      </c>
      <c r="AB118" s="37">
        <v>3000</v>
      </c>
      <c r="AC118" s="37">
        <f>U118+V118+W118+X118+Y118+Z118+AA118+AB118</f>
        <v>50850</v>
      </c>
      <c r="AD118" s="37">
        <f>_xlfn.LET(_xlpm.a,(AC118-AB118)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0</v>
      </c>
      <c r="AE118" s="37" cm="1">
        <f t="array" ref="AE118">SUMPRODUCT((LEFT($K$3:$K$1500,7)=LEFT(K118,7))*($F$3:$F$1500&lt;=F118)*($F$3:$F$1500&gt;=DATE(IF(MONTH(F118)&gt;=7,YEAR(F118),YEAR(F118)-1),7,1))*($AC$3:$AC$1500-$AB$3:$AB$1500))</f>
        <v>143550</v>
      </c>
      <c r="AF118" s="37">
        <v>0</v>
      </c>
      <c r="AG118" s="37">
        <f>ROUND((U118+V118)/M118*P118,0)</f>
        <v>0</v>
      </c>
      <c r="AH118" s="37">
        <v>0</v>
      </c>
      <c r="AI118" s="37">
        <f>AD118+AF118+AG118+AH118</f>
        <v>0</v>
      </c>
      <c r="AJ118" s="37">
        <f>AC118-AI118</f>
        <v>50850</v>
      </c>
      <c r="AK118" s="37">
        <f>AC118+2000</f>
        <v>52850</v>
      </c>
      <c r="AL118" s="21">
        <f>COUNTIFS($A$3:$A$1500,A118)</f>
        <v>25</v>
      </c>
      <c r="AM118" s="37">
        <f>SUMIFS($AC$3:$AC$1500,$A$3:$A$1500,A118)</f>
        <v>4232040</v>
      </c>
      <c r="AN118" s="37">
        <f>SUMIFS($AD$3:$AD$1500,$A$3:$A$1500,A118)</f>
        <v>559134</v>
      </c>
      <c r="AO118" s="37">
        <f>SUMIFS($AF$3:$AF$1500,$A$3:$A$1500,A118)</f>
        <v>30000</v>
      </c>
      <c r="AP118" s="37">
        <f>SUMIFS($AG$3:$AG$1500,$A$3:$A$1500,A118)+SUMIFS($AH$3:$AH$1500,$A$3:$A$1500,A118)</f>
        <v>3596</v>
      </c>
      <c r="AQ118" s="37">
        <f>SUMIFS($AJ$3:$AJ$1500,$A$3:$A$1500,A118)</f>
        <v>3639310</v>
      </c>
      <c r="AR118" s="37">
        <f>SUMIFS($AK$3:$AK$1500,$A$3:$A$1500,A118)</f>
        <v>4282040</v>
      </c>
      <c r="AS118" s="31">
        <f>IFERROR(AQ118/SUMIFS($AJ$3:$AJ$1500,$F$3:$F$1500,EDATE(F118,-1))-1,"N/A - first run")</f>
        <v>5.4381309008169065E-3</v>
      </c>
      <c r="AT118" s="21" t="s">
        <v>4992</v>
      </c>
      <c r="AU118" s="21" t="str">
        <f>IF(P118&gt;0,"Unpaid leave "&amp;P118&amp;" day(s)",IF(R118&gt;40,"Overtime above 40 hrs","None"))</f>
        <v>None</v>
      </c>
      <c r="AV118" s="29">
        <f>EOMONTH(H118,0)+15</f>
        <v>46310</v>
      </c>
      <c r="AW118" s="21" t="s">
        <v>1760</v>
      </c>
      <c r="AX118" s="21" t="s">
        <v>4993</v>
      </c>
      <c r="AY118" s="21" t="str">
        <f>IF(U118+V118+W118&gt;=40000,"Compliant","Below minimum wage")</f>
        <v>Compliant</v>
      </c>
    </row>
    <row r="119" spans="1:51" x14ac:dyDescent="0.3">
      <c r="A119" s="21" t="s">
        <v>4989</v>
      </c>
      <c r="B119" s="39">
        <v>46266</v>
      </c>
      <c r="C119" s="21" t="s">
        <v>4990</v>
      </c>
      <c r="D119" s="21" t="s">
        <v>4842</v>
      </c>
      <c r="E119" s="21" t="s">
        <v>743</v>
      </c>
      <c r="F119" s="29">
        <v>46290</v>
      </c>
      <c r="G119" s="21">
        <f>COUNTIFS($A$3:$A$1500,A119)</f>
        <v>25</v>
      </c>
      <c r="H119" s="29">
        <v>46295</v>
      </c>
      <c r="I119" s="21" t="s">
        <v>1797</v>
      </c>
      <c r="J119" s="21" t="s">
        <v>4991</v>
      </c>
      <c r="K119" s="21" t="s">
        <v>4881</v>
      </c>
      <c r="L119" s="21" t="s">
        <v>4882</v>
      </c>
      <c r="M119" s="21">
        <v>30</v>
      </c>
      <c r="N119" s="21">
        <v>26</v>
      </c>
      <c r="O119" s="21">
        <v>0</v>
      </c>
      <c r="P119" s="21">
        <v>0</v>
      </c>
      <c r="Q119" s="21" t="s">
        <v>4845</v>
      </c>
      <c r="R119" s="21">
        <v>0</v>
      </c>
      <c r="S119" s="21">
        <v>0</v>
      </c>
      <c r="T119" s="21" t="s">
        <v>1674</v>
      </c>
      <c r="U119" s="37">
        <f>_xlfn.XLOOKUP(LEFT(K119,7),'T07'!$A$3:$A$1500,'T07'!$AS$3:$AS$1500)</f>
        <v>25200</v>
      </c>
      <c r="V119" s="37">
        <f>_xlfn.XLOOKUP(LEFT(K119,7),'T07'!$A$3:$A$1500,'T07'!$AT$3:$AT$1500)</f>
        <v>11340</v>
      </c>
      <c r="W119" s="37">
        <v>0</v>
      </c>
      <c r="X119" s="37">
        <f>ROUND(U119/M119/8*2*R119,0)</f>
        <v>0</v>
      </c>
      <c r="Y119" s="37">
        <f>ROUND(U119/M119*2*S119,0)</f>
        <v>0</v>
      </c>
      <c r="Z119" s="37">
        <v>0</v>
      </c>
      <c r="AA119" s="37">
        <v>0</v>
      </c>
      <c r="AB119" s="37">
        <v>3000</v>
      </c>
      <c r="AC119" s="37">
        <f>U119+V119+W119+X119+Y119+Z119+AA119+AB119</f>
        <v>39540</v>
      </c>
      <c r="AD119" s="37">
        <f>_xlfn.LET(_xlpm.a,(AC119-AB119)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0</v>
      </c>
      <c r="AE119" s="37" cm="1">
        <f t="array" ref="AE119">SUMPRODUCT((LEFT($K$3:$K$1500,7)=LEFT(K119,7))*($F$3:$F$1500&lt;=F119)*($F$3:$F$1500&gt;=DATE(IF(MONTH(F119)&gt;=7,YEAR(F119),YEAR(F119)-1),7,1))*($AC$3:$AC$1500-$AB$3:$AB$1500))</f>
        <v>109620</v>
      </c>
      <c r="AF119" s="37">
        <v>0</v>
      </c>
      <c r="AG119" s="37">
        <f>ROUND((U119+V119)/M119*P119,0)</f>
        <v>0</v>
      </c>
      <c r="AH119" s="37">
        <v>0</v>
      </c>
      <c r="AI119" s="37">
        <f>AD119+AF119+AG119+AH119</f>
        <v>0</v>
      </c>
      <c r="AJ119" s="37">
        <f>AC119-AI119</f>
        <v>39540</v>
      </c>
      <c r="AK119" s="37">
        <f>AC119+2000</f>
        <v>41540</v>
      </c>
      <c r="AL119" s="21">
        <f>COUNTIFS($A$3:$A$1500,A119)</f>
        <v>25</v>
      </c>
      <c r="AM119" s="37">
        <f>SUMIFS($AC$3:$AC$1500,$A$3:$A$1500,A119)</f>
        <v>4232040</v>
      </c>
      <c r="AN119" s="37">
        <f>SUMIFS($AD$3:$AD$1500,$A$3:$A$1500,A119)</f>
        <v>559134</v>
      </c>
      <c r="AO119" s="37">
        <f>SUMIFS($AF$3:$AF$1500,$A$3:$A$1500,A119)</f>
        <v>30000</v>
      </c>
      <c r="AP119" s="37">
        <f>SUMIFS($AG$3:$AG$1500,$A$3:$A$1500,A119)+SUMIFS($AH$3:$AH$1500,$A$3:$A$1500,A119)</f>
        <v>3596</v>
      </c>
      <c r="AQ119" s="37">
        <f>SUMIFS($AJ$3:$AJ$1500,$A$3:$A$1500,A119)</f>
        <v>3639310</v>
      </c>
      <c r="AR119" s="37">
        <f>SUMIFS($AK$3:$AK$1500,$A$3:$A$1500,A119)</f>
        <v>4282040</v>
      </c>
      <c r="AS119" s="31">
        <f>IFERROR(AQ119/SUMIFS($AJ$3:$AJ$1500,$F$3:$F$1500,EDATE(F119,-1))-1,"N/A - first run")</f>
        <v>5.4381309008169065E-3</v>
      </c>
      <c r="AT119" s="21" t="s">
        <v>4992</v>
      </c>
      <c r="AU119" s="21" t="str">
        <f>IF(P119&gt;0,"Unpaid leave "&amp;P119&amp;" day(s)",IF(R119&gt;40,"Overtime above 40 hrs","None"))</f>
        <v>None</v>
      </c>
      <c r="AV119" s="29">
        <f>EOMONTH(H119,0)+15</f>
        <v>46310</v>
      </c>
      <c r="AW119" s="21" t="s">
        <v>1760</v>
      </c>
      <c r="AX119" s="21" t="s">
        <v>4993</v>
      </c>
      <c r="AY119" s="21" t="str">
        <f>IF(U119+V119+W119&gt;=40000,"Compliant","Below minimum wage")</f>
        <v>Below minimum wage</v>
      </c>
    </row>
    <row r="120" spans="1:51" x14ac:dyDescent="0.3">
      <c r="A120" s="21" t="s">
        <v>4989</v>
      </c>
      <c r="B120" s="39">
        <v>46266</v>
      </c>
      <c r="C120" s="21" t="s">
        <v>4990</v>
      </c>
      <c r="D120" s="21" t="s">
        <v>4842</v>
      </c>
      <c r="E120" s="21" t="s">
        <v>743</v>
      </c>
      <c r="F120" s="29">
        <v>46290</v>
      </c>
      <c r="G120" s="21">
        <f>COUNTIFS($A$3:$A$1500,A120)</f>
        <v>25</v>
      </c>
      <c r="H120" s="29">
        <v>46295</v>
      </c>
      <c r="I120" s="21" t="s">
        <v>1797</v>
      </c>
      <c r="J120" s="21" t="s">
        <v>4991</v>
      </c>
      <c r="K120" s="21" t="s">
        <v>4884</v>
      </c>
      <c r="L120" s="21" t="s">
        <v>4885</v>
      </c>
      <c r="M120" s="21">
        <v>30</v>
      </c>
      <c r="N120" s="21">
        <v>25</v>
      </c>
      <c r="O120" s="21">
        <v>1</v>
      </c>
      <c r="P120" s="21">
        <v>0</v>
      </c>
      <c r="Q120" s="21" t="s">
        <v>848</v>
      </c>
      <c r="R120" s="21">
        <v>14</v>
      </c>
      <c r="S120" s="21">
        <v>0</v>
      </c>
      <c r="T120" s="21" t="s">
        <v>1690</v>
      </c>
      <c r="U120" s="37">
        <f>_xlfn.XLOOKUP(LEFT(K120,7),'T07'!$A$3:$A$1500,'T07'!$AS$3:$AS$1500)</f>
        <v>39000</v>
      </c>
      <c r="V120" s="37">
        <f>_xlfn.XLOOKUP(LEFT(K120,7),'T07'!$A$3:$A$1500,'T07'!$AT$3:$AT$1500)</f>
        <v>17550</v>
      </c>
      <c r="W120" s="37">
        <v>5000</v>
      </c>
      <c r="X120" s="37">
        <f>ROUND(U120/M120/8*2*R120,0)</f>
        <v>4550</v>
      </c>
      <c r="Y120" s="37">
        <f>ROUND(U120/M120*2*S120,0)</f>
        <v>0</v>
      </c>
      <c r="Z120" s="37">
        <v>0</v>
      </c>
      <c r="AA120" s="37">
        <v>0</v>
      </c>
      <c r="AB120" s="37">
        <v>0</v>
      </c>
      <c r="AC120" s="37">
        <f>U120+V120+W120+X120+Y120+Z120+AA120+AB120</f>
        <v>66100</v>
      </c>
      <c r="AD120" s="37">
        <f>_xlfn.LET(_xlpm.a,(AC120-AB120)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161</v>
      </c>
      <c r="AE120" s="37" cm="1">
        <f t="array" ref="AE120">SUMPRODUCT((LEFT($K$3:$K$1500,7)=LEFT(K120,7))*($F$3:$F$1500&lt;=F120)*($F$3:$F$1500&gt;=DATE(IF(MONTH(F120)&gt;=7,YEAR(F120),YEAR(F120)-1),7,1))*($AC$3:$AC$1500-$AB$3:$AB$1500))</f>
        <v>199265</v>
      </c>
      <c r="AF120" s="37">
        <v>0</v>
      </c>
      <c r="AG120" s="37">
        <f>ROUND((U120+V120)/M120*P120,0)</f>
        <v>0</v>
      </c>
      <c r="AH120" s="37">
        <v>0</v>
      </c>
      <c r="AI120" s="37">
        <f>AD120+AF120+AG120+AH120</f>
        <v>161</v>
      </c>
      <c r="AJ120" s="37">
        <f>AC120-AI120</f>
        <v>65939</v>
      </c>
      <c r="AK120" s="37">
        <f>AC120+2000</f>
        <v>68100</v>
      </c>
      <c r="AL120" s="21">
        <f>COUNTIFS($A$3:$A$1500,A120)</f>
        <v>25</v>
      </c>
      <c r="AM120" s="37">
        <f>SUMIFS($AC$3:$AC$1500,$A$3:$A$1500,A120)</f>
        <v>4232040</v>
      </c>
      <c r="AN120" s="37">
        <f>SUMIFS($AD$3:$AD$1500,$A$3:$A$1500,A120)</f>
        <v>559134</v>
      </c>
      <c r="AO120" s="37">
        <f>SUMIFS($AF$3:$AF$1500,$A$3:$A$1500,A120)</f>
        <v>30000</v>
      </c>
      <c r="AP120" s="37">
        <f>SUMIFS($AG$3:$AG$1500,$A$3:$A$1500,A120)+SUMIFS($AH$3:$AH$1500,$A$3:$A$1500,A120)</f>
        <v>3596</v>
      </c>
      <c r="AQ120" s="37">
        <f>SUMIFS($AJ$3:$AJ$1500,$A$3:$A$1500,A120)</f>
        <v>3639310</v>
      </c>
      <c r="AR120" s="37">
        <f>SUMIFS($AK$3:$AK$1500,$A$3:$A$1500,A120)</f>
        <v>4282040</v>
      </c>
      <c r="AS120" s="31">
        <f>IFERROR(AQ120/SUMIFS($AJ$3:$AJ$1500,$F$3:$F$1500,EDATE(F120,-1))-1,"N/A - first run")</f>
        <v>5.4381309008169065E-3</v>
      </c>
      <c r="AT120" s="21" t="s">
        <v>4992</v>
      </c>
      <c r="AU120" s="21" t="str">
        <f>IF(P120&gt;0,"Unpaid leave "&amp;P120&amp;" day(s)",IF(R120&gt;40,"Overtime above 40 hrs","None"))</f>
        <v>None</v>
      </c>
      <c r="AV120" s="29">
        <f>EOMONTH(H120,0)+15</f>
        <v>46310</v>
      </c>
      <c r="AW120" s="21" t="s">
        <v>1760</v>
      </c>
      <c r="AX120" s="21" t="s">
        <v>4993</v>
      </c>
      <c r="AY120" s="21" t="str">
        <f>IF(U120+V120+W120&gt;=40000,"Compliant","Below minimum wage")</f>
        <v>Compliant</v>
      </c>
    </row>
    <row r="121" spans="1:51" x14ac:dyDescent="0.3">
      <c r="A121" s="21" t="s">
        <v>4989</v>
      </c>
      <c r="B121" s="39">
        <v>46266</v>
      </c>
      <c r="C121" s="21" t="s">
        <v>4990</v>
      </c>
      <c r="D121" s="21" t="s">
        <v>4842</v>
      </c>
      <c r="E121" s="21" t="s">
        <v>743</v>
      </c>
      <c r="F121" s="29">
        <v>46290</v>
      </c>
      <c r="G121" s="21">
        <f>COUNTIFS($A$3:$A$1500,A121)</f>
        <v>25</v>
      </c>
      <c r="H121" s="29">
        <v>46295</v>
      </c>
      <c r="I121" s="21" t="s">
        <v>1797</v>
      </c>
      <c r="J121" s="21" t="s">
        <v>4991</v>
      </c>
      <c r="K121" s="21" t="s">
        <v>4887</v>
      </c>
      <c r="L121" s="21" t="s">
        <v>4885</v>
      </c>
      <c r="M121" s="21">
        <v>30</v>
      </c>
      <c r="N121" s="21">
        <v>24</v>
      </c>
      <c r="O121" s="21">
        <v>0</v>
      </c>
      <c r="P121" s="21">
        <v>2</v>
      </c>
      <c r="Q121" s="21" t="s">
        <v>848</v>
      </c>
      <c r="R121" s="21">
        <v>32</v>
      </c>
      <c r="S121" s="21">
        <v>0</v>
      </c>
      <c r="T121" s="21" t="s">
        <v>1706</v>
      </c>
      <c r="U121" s="37">
        <f>_xlfn.XLOOKUP(LEFT(K121,7),'T07'!$A$3:$A$1500,'T07'!$AS$3:$AS$1500)</f>
        <v>37200</v>
      </c>
      <c r="V121" s="37">
        <f>_xlfn.XLOOKUP(LEFT(K121,7),'T07'!$A$3:$A$1500,'T07'!$AT$3:$AT$1500)</f>
        <v>16740</v>
      </c>
      <c r="W121" s="37">
        <v>5000</v>
      </c>
      <c r="X121" s="37">
        <f>ROUND(U121/M121/8*2*R121,0)</f>
        <v>9920</v>
      </c>
      <c r="Y121" s="37">
        <f>ROUND(U121/M121*2*S121,0)</f>
        <v>0</v>
      </c>
      <c r="Z121" s="37">
        <v>0</v>
      </c>
      <c r="AA121" s="37">
        <v>0</v>
      </c>
      <c r="AB121" s="37">
        <v>0</v>
      </c>
      <c r="AC121" s="37">
        <f>U121+V121+W121+X121+Y121+Z121+AA121+AB121</f>
        <v>68860</v>
      </c>
      <c r="AD121" s="37">
        <f>_xlfn.LET(_xlpm.a,(AC121-AB121)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189</v>
      </c>
      <c r="AE121" s="37" cm="1">
        <f t="array" ref="AE121">SUMPRODUCT((LEFT($K$3:$K$1500,7)=LEFT(K121,7))*($F$3:$F$1500&lt;=F121)*($F$3:$F$1500&gt;=DATE(IF(MONTH(F121)&gt;=7,YEAR(F121),YEAR(F121)-1),7,1))*($AC$3:$AC$1500-$AB$3:$AB$1500))</f>
        <v>201140</v>
      </c>
      <c r="AF121" s="37">
        <v>10000</v>
      </c>
      <c r="AG121" s="37">
        <f>ROUND((U121+V121)/M121*P121,0)</f>
        <v>3596</v>
      </c>
      <c r="AH121" s="37">
        <v>0</v>
      </c>
      <c r="AI121" s="37">
        <f>AD121+AF121+AG121+AH121</f>
        <v>13785</v>
      </c>
      <c r="AJ121" s="37">
        <f>AC121-AI121</f>
        <v>55075</v>
      </c>
      <c r="AK121" s="37">
        <f>AC121+2000</f>
        <v>70860</v>
      </c>
      <c r="AL121" s="21">
        <f>COUNTIFS($A$3:$A$1500,A121)</f>
        <v>25</v>
      </c>
      <c r="AM121" s="37">
        <f>SUMIFS($AC$3:$AC$1500,$A$3:$A$1500,A121)</f>
        <v>4232040</v>
      </c>
      <c r="AN121" s="37">
        <f>SUMIFS($AD$3:$AD$1500,$A$3:$A$1500,A121)</f>
        <v>559134</v>
      </c>
      <c r="AO121" s="37">
        <f>SUMIFS($AF$3:$AF$1500,$A$3:$A$1500,A121)</f>
        <v>30000</v>
      </c>
      <c r="AP121" s="37">
        <f>SUMIFS($AG$3:$AG$1500,$A$3:$A$1500,A121)+SUMIFS($AH$3:$AH$1500,$A$3:$A$1500,A121)</f>
        <v>3596</v>
      </c>
      <c r="AQ121" s="37">
        <f>SUMIFS($AJ$3:$AJ$1500,$A$3:$A$1500,A121)</f>
        <v>3639310</v>
      </c>
      <c r="AR121" s="37">
        <f>SUMIFS($AK$3:$AK$1500,$A$3:$A$1500,A121)</f>
        <v>4282040</v>
      </c>
      <c r="AS121" s="31">
        <f>IFERROR(AQ121/SUMIFS($AJ$3:$AJ$1500,$F$3:$F$1500,EDATE(F121,-1))-1,"N/A - first run")</f>
        <v>5.4381309008169065E-3</v>
      </c>
      <c r="AT121" s="21" t="s">
        <v>4992</v>
      </c>
      <c r="AU121" s="21" t="str">
        <f>IF(P121&gt;0,"Unpaid leave "&amp;P121&amp;" day(s)",IF(R121&gt;40,"Overtime above 40 hrs","None"))</f>
        <v>Unpaid leave 2 day(s)</v>
      </c>
      <c r="AV121" s="29">
        <f>EOMONTH(H121,0)+15</f>
        <v>46310</v>
      </c>
      <c r="AW121" s="21" t="s">
        <v>1760</v>
      </c>
      <c r="AX121" s="21" t="s">
        <v>4993</v>
      </c>
      <c r="AY121" s="21" t="str">
        <f>IF(U121+V121+W121&gt;=40000,"Compliant","Below minimum wage")</f>
        <v>Compliant</v>
      </c>
    </row>
    <row r="122" spans="1:51" x14ac:dyDescent="0.3">
      <c r="A122" s="21" t="s">
        <v>4989</v>
      </c>
      <c r="B122" s="39">
        <v>46266</v>
      </c>
      <c r="C122" s="21" t="s">
        <v>4990</v>
      </c>
      <c r="D122" s="21" t="s">
        <v>4842</v>
      </c>
      <c r="E122" s="21" t="s">
        <v>743</v>
      </c>
      <c r="F122" s="29">
        <v>46290</v>
      </c>
      <c r="G122" s="21">
        <f>COUNTIFS($A$3:$A$1500,A122)</f>
        <v>25</v>
      </c>
      <c r="H122" s="29">
        <v>46295</v>
      </c>
      <c r="I122" s="21" t="s">
        <v>1797</v>
      </c>
      <c r="J122" s="21" t="s">
        <v>4991</v>
      </c>
      <c r="K122" s="21" t="s">
        <v>4889</v>
      </c>
      <c r="L122" s="21" t="s">
        <v>4885</v>
      </c>
      <c r="M122" s="21">
        <v>30</v>
      </c>
      <c r="N122" s="21">
        <v>26</v>
      </c>
      <c r="O122" s="21">
        <v>0</v>
      </c>
      <c r="P122" s="21">
        <v>0</v>
      </c>
      <c r="Q122" s="21" t="s">
        <v>848</v>
      </c>
      <c r="R122" s="21">
        <v>13</v>
      </c>
      <c r="S122" s="21">
        <v>0</v>
      </c>
      <c r="T122" s="21" t="s">
        <v>1719</v>
      </c>
      <c r="U122" s="37">
        <f>_xlfn.XLOOKUP(LEFT(K122,7),'T07'!$A$3:$A$1500,'T07'!$AS$3:$AS$1500)</f>
        <v>37200</v>
      </c>
      <c r="V122" s="37">
        <f>_xlfn.XLOOKUP(LEFT(K122,7),'T07'!$A$3:$A$1500,'T07'!$AT$3:$AT$1500)</f>
        <v>16740</v>
      </c>
      <c r="W122" s="37">
        <v>5000</v>
      </c>
      <c r="X122" s="37">
        <f>ROUND(U122/M122/8*2*R122,0)</f>
        <v>4030</v>
      </c>
      <c r="Y122" s="37">
        <f>ROUND(U122/M122*2*S122,0)</f>
        <v>0</v>
      </c>
      <c r="Z122" s="37">
        <v>0</v>
      </c>
      <c r="AA122" s="37">
        <v>0</v>
      </c>
      <c r="AB122" s="37">
        <v>0</v>
      </c>
      <c r="AC122" s="37">
        <f>U122+V122+W122+X122+Y122+Z122+AA122+AB122</f>
        <v>62970</v>
      </c>
      <c r="AD122" s="37">
        <f>_xlfn.LET(_xlpm.a,(AC122-AB122)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130</v>
      </c>
      <c r="AE122" s="37" cm="1">
        <f t="array" ref="AE122">SUMPRODUCT((LEFT($K$3:$K$1500,7)=LEFT(K122,7))*($F$3:$F$1500&lt;=F122)*($F$3:$F$1500&gt;=DATE(IF(MONTH(F122)&gt;=7,YEAR(F122),YEAR(F122)-1),7,1))*($AC$3:$AC$1500-$AB$3:$AB$1500))</f>
        <v>189250</v>
      </c>
      <c r="AF122" s="37">
        <v>0</v>
      </c>
      <c r="AG122" s="37">
        <f>ROUND((U122+V122)/M122*P122,0)</f>
        <v>0</v>
      </c>
      <c r="AH122" s="37">
        <v>0</v>
      </c>
      <c r="AI122" s="37">
        <f>AD122+AF122+AG122+AH122</f>
        <v>130</v>
      </c>
      <c r="AJ122" s="37">
        <f>AC122-AI122</f>
        <v>62840</v>
      </c>
      <c r="AK122" s="37">
        <f>AC122+2000</f>
        <v>64970</v>
      </c>
      <c r="AL122" s="21">
        <f>COUNTIFS($A$3:$A$1500,A122)</f>
        <v>25</v>
      </c>
      <c r="AM122" s="37">
        <f>SUMIFS($AC$3:$AC$1500,$A$3:$A$1500,A122)</f>
        <v>4232040</v>
      </c>
      <c r="AN122" s="37">
        <f>SUMIFS($AD$3:$AD$1500,$A$3:$A$1500,A122)</f>
        <v>559134</v>
      </c>
      <c r="AO122" s="37">
        <f>SUMIFS($AF$3:$AF$1500,$A$3:$A$1500,A122)</f>
        <v>30000</v>
      </c>
      <c r="AP122" s="37">
        <f>SUMIFS($AG$3:$AG$1500,$A$3:$A$1500,A122)+SUMIFS($AH$3:$AH$1500,$A$3:$A$1500,A122)</f>
        <v>3596</v>
      </c>
      <c r="AQ122" s="37">
        <f>SUMIFS($AJ$3:$AJ$1500,$A$3:$A$1500,A122)</f>
        <v>3639310</v>
      </c>
      <c r="AR122" s="37">
        <f>SUMIFS($AK$3:$AK$1500,$A$3:$A$1500,A122)</f>
        <v>4282040</v>
      </c>
      <c r="AS122" s="31">
        <f>IFERROR(AQ122/SUMIFS($AJ$3:$AJ$1500,$F$3:$F$1500,EDATE(F122,-1))-1,"N/A - first run")</f>
        <v>5.4381309008169065E-3</v>
      </c>
      <c r="AT122" s="21" t="s">
        <v>4992</v>
      </c>
      <c r="AU122" s="21" t="str">
        <f>IF(P122&gt;0,"Unpaid leave "&amp;P122&amp;" day(s)",IF(R122&gt;40,"Overtime above 40 hrs","None"))</f>
        <v>None</v>
      </c>
      <c r="AV122" s="29">
        <f>EOMONTH(H122,0)+15</f>
        <v>46310</v>
      </c>
      <c r="AW122" s="21" t="s">
        <v>1760</v>
      </c>
      <c r="AX122" s="21" t="s">
        <v>4993</v>
      </c>
      <c r="AY122" s="21" t="str">
        <f>IF(U122+V122+W122&gt;=40000,"Compliant","Below minimum wage")</f>
        <v>Compliant</v>
      </c>
    </row>
    <row r="123" spans="1:51" x14ac:dyDescent="0.3">
      <c r="A123" s="21" t="s">
        <v>4989</v>
      </c>
      <c r="B123" s="39">
        <v>46266</v>
      </c>
      <c r="C123" s="21" t="s">
        <v>4990</v>
      </c>
      <c r="D123" s="21" t="s">
        <v>4842</v>
      </c>
      <c r="E123" s="21" t="s">
        <v>743</v>
      </c>
      <c r="F123" s="29">
        <v>46290</v>
      </c>
      <c r="G123" s="21">
        <f>COUNTIFS($A$3:$A$1500,A123)</f>
        <v>25</v>
      </c>
      <c r="H123" s="29">
        <v>46295</v>
      </c>
      <c r="I123" s="21" t="s">
        <v>1797</v>
      </c>
      <c r="J123" s="21" t="s">
        <v>4991</v>
      </c>
      <c r="K123" s="21" t="s">
        <v>4891</v>
      </c>
      <c r="L123" s="21" t="s">
        <v>4892</v>
      </c>
      <c r="M123" s="21">
        <v>30</v>
      </c>
      <c r="N123" s="21">
        <v>26</v>
      </c>
      <c r="O123" s="21">
        <v>0</v>
      </c>
      <c r="P123" s="21">
        <v>0</v>
      </c>
      <c r="Q123" s="21" t="s">
        <v>848</v>
      </c>
      <c r="R123" s="21">
        <v>10</v>
      </c>
      <c r="S123" s="21">
        <v>0</v>
      </c>
      <c r="T123" s="21" t="s">
        <v>1734</v>
      </c>
      <c r="U123" s="37">
        <f>_xlfn.XLOOKUP(LEFT(K123,7),'T07'!$A$3:$A$1500,'T07'!$AS$3:$AS$1500)</f>
        <v>34800</v>
      </c>
      <c r="V123" s="37">
        <f>_xlfn.XLOOKUP(LEFT(K123,7),'T07'!$A$3:$A$1500,'T07'!$AT$3:$AT$1500)</f>
        <v>15660</v>
      </c>
      <c r="W123" s="37">
        <v>5000</v>
      </c>
      <c r="X123" s="37">
        <f>ROUND(U123/M123/8*2*R123,0)</f>
        <v>2900</v>
      </c>
      <c r="Y123" s="37">
        <f>ROUND(U123/M123*2*S123,0)</f>
        <v>0</v>
      </c>
      <c r="Z123" s="37">
        <v>0</v>
      </c>
      <c r="AA123" s="37">
        <v>0</v>
      </c>
      <c r="AB123" s="37">
        <v>0</v>
      </c>
      <c r="AC123" s="37">
        <f>U123+V123+W123+X123+Y123+Z123+AA123+AB123</f>
        <v>58360</v>
      </c>
      <c r="AD123" s="37">
        <f>_xlfn.LET(_xlpm.a,(AC123-AB123)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84</v>
      </c>
      <c r="AE123" s="37" cm="1">
        <f t="array" ref="AE123">SUMPRODUCT((LEFT($K$3:$K$1500,7)=LEFT(K123,7))*($F$3:$F$1500&lt;=F123)*($F$3:$F$1500&gt;=DATE(IF(MONTH(F123)&gt;=7,YEAR(F123),YEAR(F123)-1),7,1))*($AC$3:$AC$1500-$AB$3:$AB$1500))</f>
        <v>179102</v>
      </c>
      <c r="AF123" s="37">
        <v>0</v>
      </c>
      <c r="AG123" s="37">
        <f>ROUND((U123+V123)/M123*P123,0)</f>
        <v>0</v>
      </c>
      <c r="AH123" s="37">
        <v>0</v>
      </c>
      <c r="AI123" s="37">
        <f>AD123+AF123+AG123+AH123</f>
        <v>84</v>
      </c>
      <c r="AJ123" s="37">
        <f>AC123-AI123</f>
        <v>58276</v>
      </c>
      <c r="AK123" s="37">
        <f>AC123+2000</f>
        <v>60360</v>
      </c>
      <c r="AL123" s="21">
        <f>COUNTIFS($A$3:$A$1500,A123)</f>
        <v>25</v>
      </c>
      <c r="AM123" s="37">
        <f>SUMIFS($AC$3:$AC$1500,$A$3:$A$1500,A123)</f>
        <v>4232040</v>
      </c>
      <c r="AN123" s="37">
        <f>SUMIFS($AD$3:$AD$1500,$A$3:$A$1500,A123)</f>
        <v>559134</v>
      </c>
      <c r="AO123" s="37">
        <f>SUMIFS($AF$3:$AF$1500,$A$3:$A$1500,A123)</f>
        <v>30000</v>
      </c>
      <c r="AP123" s="37">
        <f>SUMIFS($AG$3:$AG$1500,$A$3:$A$1500,A123)+SUMIFS($AH$3:$AH$1500,$A$3:$A$1500,A123)</f>
        <v>3596</v>
      </c>
      <c r="AQ123" s="37">
        <f>SUMIFS($AJ$3:$AJ$1500,$A$3:$A$1500,A123)</f>
        <v>3639310</v>
      </c>
      <c r="AR123" s="37">
        <f>SUMIFS($AK$3:$AK$1500,$A$3:$A$1500,A123)</f>
        <v>4282040</v>
      </c>
      <c r="AS123" s="31">
        <f>IFERROR(AQ123/SUMIFS($AJ$3:$AJ$1500,$F$3:$F$1500,EDATE(F123,-1))-1,"N/A - first run")</f>
        <v>5.4381309008169065E-3</v>
      </c>
      <c r="AT123" s="21" t="s">
        <v>4992</v>
      </c>
      <c r="AU123" s="21" t="str">
        <f>IF(P123&gt;0,"Unpaid leave "&amp;P123&amp;" day(s)",IF(R123&gt;40,"Overtime above 40 hrs","None"))</f>
        <v>None</v>
      </c>
      <c r="AV123" s="29">
        <f>EOMONTH(H123,0)+15</f>
        <v>46310</v>
      </c>
      <c r="AW123" s="21" t="s">
        <v>1760</v>
      </c>
      <c r="AX123" s="21" t="s">
        <v>4993</v>
      </c>
      <c r="AY123" s="21" t="str">
        <f>IF(U123+V123+W123&gt;=40000,"Compliant","Below minimum wage")</f>
        <v>Compliant</v>
      </c>
    </row>
    <row r="124" spans="1:51" x14ac:dyDescent="0.3">
      <c r="A124" s="21" t="s">
        <v>4989</v>
      </c>
      <c r="B124" s="39">
        <v>46266</v>
      </c>
      <c r="C124" s="21" t="s">
        <v>4990</v>
      </c>
      <c r="D124" s="21" t="s">
        <v>4842</v>
      </c>
      <c r="E124" s="21" t="s">
        <v>743</v>
      </c>
      <c r="F124" s="29">
        <v>46290</v>
      </c>
      <c r="G124" s="21">
        <f>COUNTIFS($A$3:$A$1500,A124)</f>
        <v>25</v>
      </c>
      <c r="H124" s="29">
        <v>46295</v>
      </c>
      <c r="I124" s="21" t="s">
        <v>1797</v>
      </c>
      <c r="J124" s="21" t="s">
        <v>4991</v>
      </c>
      <c r="K124" s="21" t="s">
        <v>4894</v>
      </c>
      <c r="L124" s="21" t="s">
        <v>4885</v>
      </c>
      <c r="M124" s="21">
        <v>30</v>
      </c>
      <c r="N124" s="21">
        <v>26</v>
      </c>
      <c r="O124" s="21">
        <v>0</v>
      </c>
      <c r="P124" s="21">
        <v>0</v>
      </c>
      <c r="Q124" s="21" t="s">
        <v>848</v>
      </c>
      <c r="R124" s="21">
        <v>19</v>
      </c>
      <c r="S124" s="21">
        <v>0</v>
      </c>
      <c r="T124" s="21" t="s">
        <v>1748</v>
      </c>
      <c r="U124" s="37">
        <f>_xlfn.XLOOKUP(LEFT(K124,7),'T07'!$A$3:$A$1500,'T07'!$AS$3:$AS$1500)</f>
        <v>36000</v>
      </c>
      <c r="V124" s="37">
        <f>_xlfn.XLOOKUP(LEFT(K124,7),'T07'!$A$3:$A$1500,'T07'!$AT$3:$AT$1500)</f>
        <v>16200</v>
      </c>
      <c r="W124" s="37">
        <v>5000</v>
      </c>
      <c r="X124" s="37">
        <f>ROUND(U124/M124/8*2*R124,0)</f>
        <v>5700</v>
      </c>
      <c r="Y124" s="37">
        <f>ROUND(U124/M124*2*S124,0)</f>
        <v>0</v>
      </c>
      <c r="Z124" s="37">
        <v>0</v>
      </c>
      <c r="AA124" s="37">
        <v>0</v>
      </c>
      <c r="AB124" s="37">
        <v>0</v>
      </c>
      <c r="AC124" s="37">
        <f>U124+V124+W124+X124+Y124+Z124+AA124+AB124</f>
        <v>62900</v>
      </c>
      <c r="AD124" s="37">
        <f>_xlfn.LET(_xlpm.a,(AC124-AB124)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129</v>
      </c>
      <c r="AE124" s="37" cm="1">
        <f t="array" ref="AE124">SUMPRODUCT((LEFT($K$3:$K$1500,7)=LEFT(K124,7))*($F$3:$F$1500&lt;=F124)*($F$3:$F$1500&gt;=DATE(IF(MONTH(F124)&gt;=7,YEAR(F124),YEAR(F124)-1),7,1))*($AC$3:$AC$1500-$AB$3:$AB$1500))</f>
        <v>188332</v>
      </c>
      <c r="AF124" s="37">
        <v>0</v>
      </c>
      <c r="AG124" s="37">
        <f>ROUND((U124+V124)/M124*P124,0)</f>
        <v>0</v>
      </c>
      <c r="AH124" s="37">
        <v>0</v>
      </c>
      <c r="AI124" s="37">
        <f>AD124+AF124+AG124+AH124</f>
        <v>129</v>
      </c>
      <c r="AJ124" s="37">
        <f>AC124-AI124</f>
        <v>62771</v>
      </c>
      <c r="AK124" s="37">
        <f>AC124+2000</f>
        <v>64900</v>
      </c>
      <c r="AL124" s="21">
        <f>COUNTIFS($A$3:$A$1500,A124)</f>
        <v>25</v>
      </c>
      <c r="AM124" s="37">
        <f>SUMIFS($AC$3:$AC$1500,$A$3:$A$1500,A124)</f>
        <v>4232040</v>
      </c>
      <c r="AN124" s="37">
        <f>SUMIFS($AD$3:$AD$1500,$A$3:$A$1500,A124)</f>
        <v>559134</v>
      </c>
      <c r="AO124" s="37">
        <f>SUMIFS($AF$3:$AF$1500,$A$3:$A$1500,A124)</f>
        <v>30000</v>
      </c>
      <c r="AP124" s="37">
        <f>SUMIFS($AG$3:$AG$1500,$A$3:$A$1500,A124)+SUMIFS($AH$3:$AH$1500,$A$3:$A$1500,A124)</f>
        <v>3596</v>
      </c>
      <c r="AQ124" s="37">
        <f>SUMIFS($AJ$3:$AJ$1500,$A$3:$A$1500,A124)</f>
        <v>3639310</v>
      </c>
      <c r="AR124" s="37">
        <f>SUMIFS($AK$3:$AK$1500,$A$3:$A$1500,A124)</f>
        <v>4282040</v>
      </c>
      <c r="AS124" s="31">
        <f>IFERROR(AQ124/SUMIFS($AJ$3:$AJ$1500,$F$3:$F$1500,EDATE(F124,-1))-1,"N/A - first run")</f>
        <v>5.4381309008169065E-3</v>
      </c>
      <c r="AT124" s="21" t="s">
        <v>4992</v>
      </c>
      <c r="AU124" s="21" t="str">
        <f>IF(P124&gt;0,"Unpaid leave "&amp;P124&amp;" day(s)",IF(R124&gt;40,"Overtime above 40 hrs","None"))</f>
        <v>None</v>
      </c>
      <c r="AV124" s="29">
        <f>EOMONTH(H124,0)+15</f>
        <v>46310</v>
      </c>
      <c r="AW124" s="21" t="s">
        <v>1760</v>
      </c>
      <c r="AX124" s="21" t="s">
        <v>4993</v>
      </c>
      <c r="AY124" s="21" t="str">
        <f>IF(U124+V124+W124&gt;=40000,"Compliant","Below minimum wage")</f>
        <v>Compliant</v>
      </c>
    </row>
    <row r="125" spans="1:51" x14ac:dyDescent="0.3">
      <c r="A125" s="21" t="s">
        <v>4989</v>
      </c>
      <c r="B125" s="39">
        <v>46266</v>
      </c>
      <c r="C125" s="21" t="s">
        <v>4990</v>
      </c>
      <c r="D125" s="21" t="s">
        <v>4842</v>
      </c>
      <c r="E125" s="21" t="s">
        <v>743</v>
      </c>
      <c r="F125" s="29">
        <v>46290</v>
      </c>
      <c r="G125" s="21">
        <f>COUNTIFS($A$3:$A$1500,A125)</f>
        <v>25</v>
      </c>
      <c r="H125" s="29">
        <v>46295</v>
      </c>
      <c r="I125" s="21" t="s">
        <v>1797</v>
      </c>
      <c r="J125" s="21" t="s">
        <v>4991</v>
      </c>
      <c r="K125" s="21" t="s">
        <v>4896</v>
      </c>
      <c r="L125" s="21" t="s">
        <v>4885</v>
      </c>
      <c r="M125" s="21">
        <v>30</v>
      </c>
      <c r="N125" s="21">
        <v>26</v>
      </c>
      <c r="O125" s="21">
        <v>0</v>
      </c>
      <c r="P125" s="21">
        <v>0</v>
      </c>
      <c r="Q125" s="21" t="s">
        <v>4845</v>
      </c>
      <c r="R125" s="21">
        <v>18</v>
      </c>
      <c r="S125" s="21">
        <v>0</v>
      </c>
      <c r="T125" s="21" t="s">
        <v>1761</v>
      </c>
      <c r="U125" s="37">
        <f>_xlfn.XLOOKUP(LEFT(K125,7),'T07'!$A$3:$A$1500,'T07'!$AS$3:$AS$1500)</f>
        <v>36000</v>
      </c>
      <c r="V125" s="37">
        <f>_xlfn.XLOOKUP(LEFT(K125,7),'T07'!$A$3:$A$1500,'T07'!$AT$3:$AT$1500)</f>
        <v>16200</v>
      </c>
      <c r="W125" s="37">
        <v>5000</v>
      </c>
      <c r="X125" s="37">
        <f>ROUND(U125/M125/8*2*R125,0)</f>
        <v>5400</v>
      </c>
      <c r="Y125" s="37">
        <f>ROUND(U125/M125*2*S125,0)</f>
        <v>0</v>
      </c>
      <c r="Z125" s="37">
        <v>0</v>
      </c>
      <c r="AA125" s="37">
        <v>0</v>
      </c>
      <c r="AB125" s="37">
        <v>0</v>
      </c>
      <c r="AC125" s="37">
        <f>U125+V125+W125+X125+Y125+Z125+AA125+AB125</f>
        <v>62600</v>
      </c>
      <c r="AD125" s="37">
        <f>_xlfn.LET(_xlpm.a,(AC125-AB125)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126</v>
      </c>
      <c r="AE125" s="37" cm="1">
        <f t="array" ref="AE125">SUMPRODUCT((LEFT($K$3:$K$1500,7)=LEFT(K125,7))*($F$3:$F$1500&lt;=F125)*($F$3:$F$1500&gt;=DATE(IF(MONTH(F125)&gt;=7,YEAR(F125),YEAR(F125)-1),7,1))*($AC$3:$AC$1500-$AB$3:$AB$1500))</f>
        <v>192097</v>
      </c>
      <c r="AF125" s="37">
        <v>0</v>
      </c>
      <c r="AG125" s="37">
        <f>ROUND((U125+V125)/M125*P125,0)</f>
        <v>0</v>
      </c>
      <c r="AH125" s="37">
        <v>0</v>
      </c>
      <c r="AI125" s="37">
        <f>AD125+AF125+AG125+AH125</f>
        <v>126</v>
      </c>
      <c r="AJ125" s="37">
        <f>AC125-AI125</f>
        <v>62474</v>
      </c>
      <c r="AK125" s="37">
        <f>AC125+2000</f>
        <v>64600</v>
      </c>
      <c r="AL125" s="21">
        <f>COUNTIFS($A$3:$A$1500,A125)</f>
        <v>25</v>
      </c>
      <c r="AM125" s="37">
        <f>SUMIFS($AC$3:$AC$1500,$A$3:$A$1500,A125)</f>
        <v>4232040</v>
      </c>
      <c r="AN125" s="37">
        <f>SUMIFS($AD$3:$AD$1500,$A$3:$A$1500,A125)</f>
        <v>559134</v>
      </c>
      <c r="AO125" s="37">
        <f>SUMIFS($AF$3:$AF$1500,$A$3:$A$1500,A125)</f>
        <v>30000</v>
      </c>
      <c r="AP125" s="37">
        <f>SUMIFS($AG$3:$AG$1500,$A$3:$A$1500,A125)+SUMIFS($AH$3:$AH$1500,$A$3:$A$1500,A125)</f>
        <v>3596</v>
      </c>
      <c r="AQ125" s="37">
        <f>SUMIFS($AJ$3:$AJ$1500,$A$3:$A$1500,A125)</f>
        <v>3639310</v>
      </c>
      <c r="AR125" s="37">
        <f>SUMIFS($AK$3:$AK$1500,$A$3:$A$1500,A125)</f>
        <v>4282040</v>
      </c>
      <c r="AS125" s="31">
        <f>IFERROR(AQ125/SUMIFS($AJ$3:$AJ$1500,$F$3:$F$1500,EDATE(F125,-1))-1,"N/A - first run")</f>
        <v>5.4381309008169065E-3</v>
      </c>
      <c r="AT125" s="21" t="s">
        <v>4992</v>
      </c>
      <c r="AU125" s="21" t="str">
        <f>IF(P125&gt;0,"Unpaid leave "&amp;P125&amp;" day(s)",IF(R125&gt;40,"Overtime above 40 hrs","None"))</f>
        <v>None</v>
      </c>
      <c r="AV125" s="29">
        <f>EOMONTH(H125,0)+15</f>
        <v>46310</v>
      </c>
      <c r="AW125" s="21" t="s">
        <v>1760</v>
      </c>
      <c r="AX125" s="21" t="s">
        <v>4993</v>
      </c>
      <c r="AY125" s="21" t="str">
        <f>IF(U125+V125+W125&gt;=40000,"Compliant","Below minimum wage")</f>
        <v>Compliant</v>
      </c>
    </row>
    <row r="126" spans="1:51" x14ac:dyDescent="0.3">
      <c r="A126" s="21" t="s">
        <v>4989</v>
      </c>
      <c r="B126" s="39">
        <v>46266</v>
      </c>
      <c r="C126" s="21" t="s">
        <v>4990</v>
      </c>
      <c r="D126" s="21" t="s">
        <v>4842</v>
      </c>
      <c r="E126" s="21" t="s">
        <v>743</v>
      </c>
      <c r="F126" s="29">
        <v>46290</v>
      </c>
      <c r="G126" s="21">
        <f>COUNTIFS($A$3:$A$1500,A126)</f>
        <v>25</v>
      </c>
      <c r="H126" s="29">
        <v>46295</v>
      </c>
      <c r="I126" s="21" t="s">
        <v>1797</v>
      </c>
      <c r="J126" s="21" t="s">
        <v>4991</v>
      </c>
      <c r="K126" s="21" t="s">
        <v>4898</v>
      </c>
      <c r="L126" s="21" t="s">
        <v>4892</v>
      </c>
      <c r="M126" s="21">
        <v>30</v>
      </c>
      <c r="N126" s="21">
        <v>25</v>
      </c>
      <c r="O126" s="21">
        <v>1</v>
      </c>
      <c r="P126" s="21">
        <v>0</v>
      </c>
      <c r="Q126" s="21" t="s">
        <v>848</v>
      </c>
      <c r="R126" s="21">
        <v>18</v>
      </c>
      <c r="S126" s="21">
        <v>0</v>
      </c>
      <c r="T126" s="21" t="s">
        <v>1776</v>
      </c>
      <c r="U126" s="37">
        <f>_xlfn.XLOOKUP(LEFT(K126,7),'T07'!$A$3:$A$1500,'T07'!$AS$3:$AS$1500)</f>
        <v>33000</v>
      </c>
      <c r="V126" s="37">
        <f>_xlfn.XLOOKUP(LEFT(K126,7),'T07'!$A$3:$A$1500,'T07'!$AT$3:$AT$1500)</f>
        <v>14850</v>
      </c>
      <c r="W126" s="37">
        <v>5000</v>
      </c>
      <c r="X126" s="37">
        <f>ROUND(U126/M126/8*2*R126,0)</f>
        <v>4950</v>
      </c>
      <c r="Y126" s="37">
        <f>ROUND(U126/M126*2*S126,0)</f>
        <v>0</v>
      </c>
      <c r="Z126" s="37">
        <v>0</v>
      </c>
      <c r="AA126" s="37">
        <v>0</v>
      </c>
      <c r="AB126" s="37">
        <v>0</v>
      </c>
      <c r="AC126" s="37">
        <f>U126+V126+W126+X126+Y126+Z126+AA126+AB126</f>
        <v>57800</v>
      </c>
      <c r="AD126" s="37">
        <f>_xlfn.LET(_xlpm.a,(AC126-AB126)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78</v>
      </c>
      <c r="AE126" s="37" cm="1">
        <f t="array" ref="AE126">SUMPRODUCT((LEFT($K$3:$K$1500,7)=LEFT(K126,7))*($F$3:$F$1500&lt;=F126)*($F$3:$F$1500&gt;=DATE(IF(MONTH(F126)&gt;=7,YEAR(F126),YEAR(F126)-1),7,1))*($AC$3:$AC$1500-$AB$3:$AB$1500))</f>
        <v>177605</v>
      </c>
      <c r="AF126" s="37">
        <v>0</v>
      </c>
      <c r="AG126" s="37">
        <f>ROUND((U126+V126)/M126*P126,0)</f>
        <v>0</v>
      </c>
      <c r="AH126" s="37">
        <v>0</v>
      </c>
      <c r="AI126" s="37">
        <f>AD126+AF126+AG126+AH126</f>
        <v>78</v>
      </c>
      <c r="AJ126" s="37">
        <f>AC126-AI126</f>
        <v>57722</v>
      </c>
      <c r="AK126" s="37">
        <f>AC126+2000</f>
        <v>59800</v>
      </c>
      <c r="AL126" s="21">
        <f>COUNTIFS($A$3:$A$1500,A126)</f>
        <v>25</v>
      </c>
      <c r="AM126" s="37">
        <f>SUMIFS($AC$3:$AC$1500,$A$3:$A$1500,A126)</f>
        <v>4232040</v>
      </c>
      <c r="AN126" s="37">
        <f>SUMIFS($AD$3:$AD$1500,$A$3:$A$1500,A126)</f>
        <v>559134</v>
      </c>
      <c r="AO126" s="37">
        <f>SUMIFS($AF$3:$AF$1500,$A$3:$A$1500,A126)</f>
        <v>30000</v>
      </c>
      <c r="AP126" s="37">
        <f>SUMIFS($AG$3:$AG$1500,$A$3:$A$1500,A126)+SUMIFS($AH$3:$AH$1500,$A$3:$A$1500,A126)</f>
        <v>3596</v>
      </c>
      <c r="AQ126" s="37">
        <f>SUMIFS($AJ$3:$AJ$1500,$A$3:$A$1500,A126)</f>
        <v>3639310</v>
      </c>
      <c r="AR126" s="37">
        <f>SUMIFS($AK$3:$AK$1500,$A$3:$A$1500,A126)</f>
        <v>4282040</v>
      </c>
      <c r="AS126" s="31">
        <f>IFERROR(AQ126/SUMIFS($AJ$3:$AJ$1500,$F$3:$F$1500,EDATE(F126,-1))-1,"N/A - first run")</f>
        <v>5.4381309008169065E-3</v>
      </c>
      <c r="AT126" s="21" t="s">
        <v>4992</v>
      </c>
      <c r="AU126" s="21" t="str">
        <f>IF(P126&gt;0,"Unpaid leave "&amp;P126&amp;" day(s)",IF(R126&gt;40,"Overtime above 40 hrs","None"))</f>
        <v>None</v>
      </c>
      <c r="AV126" s="29">
        <f>EOMONTH(H126,0)+15</f>
        <v>46310</v>
      </c>
      <c r="AW126" s="21" t="s">
        <v>1760</v>
      </c>
      <c r="AX126" s="21" t="s">
        <v>4993</v>
      </c>
      <c r="AY126" s="21" t="str">
        <f>IF(U126+V126+W126&gt;=40000,"Compliant","Below minimum wage")</f>
        <v>Compliant</v>
      </c>
    </row>
    <row r="127" spans="1:51" x14ac:dyDescent="0.3">
      <c r="A127" s="21" t="s">
        <v>4989</v>
      </c>
      <c r="B127" s="39">
        <v>46266</v>
      </c>
      <c r="C127" s="21" t="s">
        <v>4990</v>
      </c>
      <c r="D127" s="21" t="s">
        <v>4842</v>
      </c>
      <c r="E127" s="21" t="s">
        <v>743</v>
      </c>
      <c r="F127" s="29">
        <v>46290</v>
      </c>
      <c r="G127" s="21">
        <f>COUNTIFS($A$3:$A$1500,A127)</f>
        <v>25</v>
      </c>
      <c r="H127" s="29">
        <v>46295</v>
      </c>
      <c r="I127" s="21" t="s">
        <v>1797</v>
      </c>
      <c r="J127" s="21" t="s">
        <v>4991</v>
      </c>
      <c r="K127" s="21" t="s">
        <v>4900</v>
      </c>
      <c r="L127" s="21" t="s">
        <v>4885</v>
      </c>
      <c r="M127" s="21">
        <v>30</v>
      </c>
      <c r="N127" s="21">
        <v>25</v>
      </c>
      <c r="O127" s="21">
        <v>1</v>
      </c>
      <c r="P127" s="21">
        <v>0</v>
      </c>
      <c r="Q127" s="21" t="s">
        <v>848</v>
      </c>
      <c r="R127" s="21">
        <v>17</v>
      </c>
      <c r="S127" s="21">
        <v>0</v>
      </c>
      <c r="T127" s="21" t="s">
        <v>1790</v>
      </c>
      <c r="U127" s="37">
        <f>_xlfn.XLOOKUP(LEFT(K127,7),'T07'!$A$3:$A$1500,'T07'!$AS$3:$AS$1500)</f>
        <v>37200</v>
      </c>
      <c r="V127" s="37">
        <f>_xlfn.XLOOKUP(LEFT(K127,7),'T07'!$A$3:$A$1500,'T07'!$AT$3:$AT$1500)</f>
        <v>16740</v>
      </c>
      <c r="W127" s="37">
        <v>5000</v>
      </c>
      <c r="X127" s="37">
        <f>ROUND(U127/M127/8*2*R127,0)</f>
        <v>5270</v>
      </c>
      <c r="Y127" s="37">
        <f>ROUND(U127/M127*2*S127,0)</f>
        <v>0</v>
      </c>
      <c r="Z127" s="37">
        <v>0</v>
      </c>
      <c r="AA127" s="37">
        <v>0</v>
      </c>
      <c r="AB127" s="37">
        <v>0</v>
      </c>
      <c r="AC127" s="37">
        <f>U127+V127+W127+X127+Y127+Z127+AA127+AB127</f>
        <v>64210</v>
      </c>
      <c r="AD127" s="37">
        <f>_xlfn.LET(_xlpm.a,(AC127-AB127)*12,ROUND(IF(_xlpm.a&lt;=600000,0,IF(_xlpm.a&lt;=1200000,(_xlpm.a-600000)*0.01,IF(_xlpm.a&lt;=2200000,6000+(_xlpm.a-1200000)*0.11,IF(_xlpm.a&lt;=3200000,116000+(_xlpm.a-2200000)*0.23,IF(_xlpm.a&lt;=4100000,346000+(_xlpm.a-3200000)*0.3,616000+(_xlpm.a-4100000)*0.35)))))/12,0))</f>
        <v>142</v>
      </c>
      <c r="AE127" s="37" cm="1">
        <f t="array" ref="AE127">SUMPRODUCT((LEFT($K$3:$K$1500,7)=LEFT(K127,7))*($F$3:$F$1500&lt;=F127)*($F$3:$F$1500&gt;=DATE(IF(MONTH(F127)&gt;=7,YEAR(F127),YEAR(F127)-1),7,1))*($AC$3:$AC$1500-$AB$3:$AB$1500))</f>
        <v>201890</v>
      </c>
      <c r="AF127" s="37">
        <v>0</v>
      </c>
      <c r="AG127" s="37">
        <f>ROUND((U127+V127)/M127*P127,0)</f>
        <v>0</v>
      </c>
      <c r="AH127" s="37">
        <v>0</v>
      </c>
      <c r="AI127" s="37">
        <f>AD127+AF127+AG127+AH127</f>
        <v>142</v>
      </c>
      <c r="AJ127" s="37">
        <f>AC127-AI127</f>
        <v>64068</v>
      </c>
      <c r="AK127" s="37">
        <f>AC127+2000</f>
        <v>66210</v>
      </c>
      <c r="AL127" s="21">
        <f>COUNTIFS($A$3:$A$1500,A127)</f>
        <v>25</v>
      </c>
      <c r="AM127" s="37">
        <f>SUMIFS($AC$3:$AC$1500,$A$3:$A$1500,A127)</f>
        <v>4232040</v>
      </c>
      <c r="AN127" s="37">
        <f>SUMIFS($AD$3:$AD$1500,$A$3:$A$1500,A127)</f>
        <v>559134</v>
      </c>
      <c r="AO127" s="37">
        <f>SUMIFS($AF$3:$AF$1500,$A$3:$A$1500,A127)</f>
        <v>30000</v>
      </c>
      <c r="AP127" s="37">
        <f>SUMIFS($AG$3:$AG$1500,$A$3:$A$1500,A127)+SUMIFS($AH$3:$AH$1500,$A$3:$A$1500,A127)</f>
        <v>3596</v>
      </c>
      <c r="AQ127" s="37">
        <f>SUMIFS($AJ$3:$AJ$1500,$A$3:$A$1500,A127)</f>
        <v>3639310</v>
      </c>
      <c r="AR127" s="37">
        <f>SUMIFS($AK$3:$AK$1500,$A$3:$A$1500,A127)</f>
        <v>4282040</v>
      </c>
      <c r="AS127" s="31">
        <f>IFERROR(AQ127/SUMIFS($AJ$3:$AJ$1500,$F$3:$F$1500,EDATE(F127,-1))-1,"N/A - first run")</f>
        <v>5.4381309008169065E-3</v>
      </c>
      <c r="AT127" s="21" t="s">
        <v>4992</v>
      </c>
      <c r="AU127" s="21" t="str">
        <f>IF(P127&gt;0,"Unpaid leave "&amp;P127&amp;" day(s)",IF(R127&gt;40,"Overtime above 40 hrs","None"))</f>
        <v>None</v>
      </c>
      <c r="AV127" s="29">
        <f>EOMONTH(H127,0)+15</f>
        <v>46310</v>
      </c>
      <c r="AW127" s="21" t="s">
        <v>1760</v>
      </c>
      <c r="AX127" s="21" t="s">
        <v>4993</v>
      </c>
      <c r="AY127" s="21" t="str">
        <f>IF(U127+V127+W127&gt;=40000,"Compliant","Below minimum wage")</f>
        <v>Compliant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595C-5CDF-4220-A559-1615901671D5}">
  <dimension ref="A1:AC27"/>
  <sheetViews>
    <sheetView workbookViewId="0">
      <pane ySplit="2" topLeftCell="A3" activePane="bottomLeft" state="frozen"/>
      <selection activeCell="B16" sqref="B16"/>
      <selection pane="bottomLeft" activeCell="B16" sqref="B16"/>
    </sheetView>
  </sheetViews>
  <sheetFormatPr defaultRowHeight="16.5" x14ac:dyDescent="0.3"/>
  <cols>
    <col min="1" max="29" width="18.375" customWidth="1"/>
  </cols>
  <sheetData>
    <row r="1" spans="1:29" s="12" customFormat="1" ht="30" customHeight="1" x14ac:dyDescent="0.3">
      <c r="A1" s="15" t="s">
        <v>617</v>
      </c>
      <c r="B1" s="14" t="s">
        <v>60</v>
      </c>
      <c r="C1" s="14" t="s">
        <v>60</v>
      </c>
      <c r="D1" s="14" t="s">
        <v>60</v>
      </c>
      <c r="E1" s="14" t="s">
        <v>60</v>
      </c>
      <c r="F1" s="14" t="s">
        <v>60</v>
      </c>
      <c r="G1" s="14" t="s">
        <v>616</v>
      </c>
      <c r="H1" s="14" t="s">
        <v>60</v>
      </c>
      <c r="I1" s="14" t="s">
        <v>615</v>
      </c>
      <c r="J1" s="14" t="s">
        <v>60</v>
      </c>
      <c r="K1" s="14" t="s">
        <v>60</v>
      </c>
      <c r="L1" s="14" t="s">
        <v>60</v>
      </c>
      <c r="M1" s="14" t="s">
        <v>60</v>
      </c>
      <c r="N1" s="14" t="s">
        <v>614</v>
      </c>
      <c r="O1" s="14" t="s">
        <v>60</v>
      </c>
      <c r="P1" s="14" t="s">
        <v>60</v>
      </c>
      <c r="Q1" s="14" t="s">
        <v>60</v>
      </c>
      <c r="R1" s="14" t="s">
        <v>613</v>
      </c>
      <c r="S1" s="14" t="s">
        <v>60</v>
      </c>
      <c r="T1" s="14" t="s">
        <v>60</v>
      </c>
      <c r="U1" s="14" t="s">
        <v>60</v>
      </c>
      <c r="V1" s="14" t="s">
        <v>60</v>
      </c>
      <c r="W1" s="14" t="s">
        <v>60</v>
      </c>
      <c r="X1" s="14" t="s">
        <v>612</v>
      </c>
      <c r="Y1" s="14" t="s">
        <v>60</v>
      </c>
      <c r="Z1" s="14" t="s">
        <v>60</v>
      </c>
      <c r="AA1" s="14" t="s">
        <v>60</v>
      </c>
      <c r="AB1" s="14" t="s">
        <v>60</v>
      </c>
      <c r="AC1" s="13" t="s">
        <v>60</v>
      </c>
    </row>
    <row r="2" spans="1:29" ht="45" customHeight="1" x14ac:dyDescent="0.3">
      <c r="A2" s="11" t="s">
        <v>611</v>
      </c>
      <c r="B2" s="10" t="s">
        <v>610</v>
      </c>
      <c r="C2" s="10" t="s">
        <v>609</v>
      </c>
      <c r="D2" s="10" t="s">
        <v>608</v>
      </c>
      <c r="E2" s="10" t="s">
        <v>607</v>
      </c>
      <c r="F2" s="10" t="s">
        <v>606</v>
      </c>
      <c r="G2" s="10" t="s">
        <v>605</v>
      </c>
      <c r="H2" s="10" t="s">
        <v>604</v>
      </c>
      <c r="I2" s="10" t="s">
        <v>603</v>
      </c>
      <c r="J2" s="10" t="s">
        <v>602</v>
      </c>
      <c r="K2" s="10" t="s">
        <v>601</v>
      </c>
      <c r="L2" s="10" t="s">
        <v>600</v>
      </c>
      <c r="M2" s="10" t="s">
        <v>599</v>
      </c>
      <c r="N2" s="10" t="s">
        <v>598</v>
      </c>
      <c r="O2" s="10" t="s">
        <v>597</v>
      </c>
      <c r="P2" s="10" t="s">
        <v>596</v>
      </c>
      <c r="Q2" s="10" t="s">
        <v>595</v>
      </c>
      <c r="R2" s="10" t="s">
        <v>594</v>
      </c>
      <c r="S2" s="10" t="s">
        <v>593</v>
      </c>
      <c r="T2" s="10" t="s">
        <v>592</v>
      </c>
      <c r="U2" s="10" t="s">
        <v>591</v>
      </c>
      <c r="V2" s="10" t="s">
        <v>590</v>
      </c>
      <c r="W2" s="10" t="s">
        <v>589</v>
      </c>
      <c r="X2" s="10" t="s">
        <v>588</v>
      </c>
      <c r="Y2" s="10" t="s">
        <v>587</v>
      </c>
      <c r="Z2" s="10" t="s">
        <v>586</v>
      </c>
      <c r="AA2" s="10" t="s">
        <v>585</v>
      </c>
      <c r="AB2" s="10" t="s">
        <v>584</v>
      </c>
      <c r="AC2" s="9" t="s">
        <v>583</v>
      </c>
    </row>
    <row r="3" spans="1:29" x14ac:dyDescent="0.3">
      <c r="A3" s="20" t="s">
        <v>763</v>
      </c>
      <c r="B3" s="20" t="s">
        <v>764</v>
      </c>
      <c r="C3" s="20" t="s">
        <v>765</v>
      </c>
      <c r="D3" s="20" t="s">
        <v>766</v>
      </c>
      <c r="E3" s="20">
        <v>2523.29</v>
      </c>
      <c r="F3" s="20" t="s">
        <v>767</v>
      </c>
      <c r="G3" s="20" t="s">
        <v>768</v>
      </c>
      <c r="H3" s="20" t="s">
        <v>769</v>
      </c>
      <c r="I3" s="20" t="s">
        <v>770</v>
      </c>
      <c r="J3" s="20" t="s">
        <v>771</v>
      </c>
      <c r="K3" s="20" t="s">
        <v>753</v>
      </c>
      <c r="L3" s="20" t="s">
        <v>772</v>
      </c>
      <c r="M3" s="20" t="s">
        <v>753</v>
      </c>
      <c r="N3" s="20" t="s">
        <v>773</v>
      </c>
      <c r="O3" s="22">
        <v>0.18</v>
      </c>
      <c r="P3" s="20" t="s">
        <v>774</v>
      </c>
      <c r="Q3" s="20" t="s">
        <v>775</v>
      </c>
      <c r="R3" s="20" t="s">
        <v>753</v>
      </c>
      <c r="S3" s="20" t="s">
        <v>776</v>
      </c>
      <c r="T3" s="20" t="s">
        <v>777</v>
      </c>
      <c r="U3" s="20">
        <v>2000</v>
      </c>
      <c r="V3" s="20">
        <v>12000</v>
      </c>
      <c r="W3" s="20">
        <v>2</v>
      </c>
      <c r="X3" s="20" t="s">
        <v>753</v>
      </c>
      <c r="Y3" s="20" t="s">
        <v>753</v>
      </c>
      <c r="Z3" s="24">
        <v>1380</v>
      </c>
      <c r="AA3" s="20" t="s">
        <v>778</v>
      </c>
      <c r="AB3" s="20" t="s">
        <v>779</v>
      </c>
      <c r="AC3" s="20" t="s">
        <v>780</v>
      </c>
    </row>
    <row r="4" spans="1:29" x14ac:dyDescent="0.3">
      <c r="A4" s="21" t="s">
        <v>781</v>
      </c>
      <c r="B4" s="21" t="s">
        <v>764</v>
      </c>
      <c r="C4" s="21" t="s">
        <v>765</v>
      </c>
      <c r="D4" s="21" t="s">
        <v>782</v>
      </c>
      <c r="E4" s="21">
        <v>2523.29</v>
      </c>
      <c r="F4" s="21" t="s">
        <v>767</v>
      </c>
      <c r="G4" s="21" t="s">
        <v>783</v>
      </c>
      <c r="H4" s="21" t="s">
        <v>784</v>
      </c>
      <c r="I4" s="21" t="s">
        <v>770</v>
      </c>
      <c r="J4" s="21" t="s">
        <v>771</v>
      </c>
      <c r="K4" s="21" t="s">
        <v>753</v>
      </c>
      <c r="L4" s="21" t="s">
        <v>785</v>
      </c>
      <c r="M4" s="21" t="s">
        <v>753</v>
      </c>
      <c r="N4" s="21" t="s">
        <v>773</v>
      </c>
      <c r="O4" s="23">
        <v>0.18</v>
      </c>
      <c r="P4" s="21" t="s">
        <v>774</v>
      </c>
      <c r="Q4" s="21" t="s">
        <v>775</v>
      </c>
      <c r="R4" s="21" t="s">
        <v>753</v>
      </c>
      <c r="S4" s="21" t="s">
        <v>776</v>
      </c>
      <c r="T4" s="21" t="s">
        <v>786</v>
      </c>
      <c r="U4" s="21">
        <v>100</v>
      </c>
      <c r="V4" s="21">
        <v>600</v>
      </c>
      <c r="W4" s="21">
        <v>3</v>
      </c>
      <c r="X4" s="21" t="s">
        <v>753</v>
      </c>
      <c r="Y4" s="21" t="s">
        <v>753</v>
      </c>
      <c r="Z4" s="25">
        <v>26500</v>
      </c>
      <c r="AA4" s="21" t="s">
        <v>787</v>
      </c>
      <c r="AB4" s="21" t="s">
        <v>779</v>
      </c>
      <c r="AC4" s="21" t="s">
        <v>780</v>
      </c>
    </row>
    <row r="5" spans="1:29" x14ac:dyDescent="0.3">
      <c r="A5" s="21" t="s">
        <v>788</v>
      </c>
      <c r="B5" s="21" t="s">
        <v>764</v>
      </c>
      <c r="C5" s="21" t="s">
        <v>789</v>
      </c>
      <c r="D5" s="21" t="s">
        <v>790</v>
      </c>
      <c r="E5" s="21">
        <v>2523.29</v>
      </c>
      <c r="F5" s="21" t="s">
        <v>767</v>
      </c>
      <c r="G5" s="21" t="s">
        <v>768</v>
      </c>
      <c r="H5" s="21" t="s">
        <v>769</v>
      </c>
      <c r="I5" s="21" t="s">
        <v>791</v>
      </c>
      <c r="J5" s="21" t="s">
        <v>792</v>
      </c>
      <c r="K5" s="21" t="s">
        <v>753</v>
      </c>
      <c r="L5" s="21" t="s">
        <v>772</v>
      </c>
      <c r="M5" s="21" t="s">
        <v>753</v>
      </c>
      <c r="N5" s="21" t="s">
        <v>773</v>
      </c>
      <c r="O5" s="23">
        <v>0.18</v>
      </c>
      <c r="P5" s="21" t="s">
        <v>774</v>
      </c>
      <c r="Q5" s="21" t="s">
        <v>775</v>
      </c>
      <c r="R5" s="21" t="s">
        <v>753</v>
      </c>
      <c r="S5" s="21" t="s">
        <v>776</v>
      </c>
      <c r="T5" s="21" t="s">
        <v>793</v>
      </c>
      <c r="U5" s="21">
        <v>1000</v>
      </c>
      <c r="V5" s="21">
        <v>6000</v>
      </c>
      <c r="W5" s="21">
        <v>3</v>
      </c>
      <c r="X5" s="21" t="s">
        <v>753</v>
      </c>
      <c r="Y5" s="21" t="s">
        <v>753</v>
      </c>
      <c r="Z5" s="25">
        <v>1450</v>
      </c>
      <c r="AA5" s="21" t="s">
        <v>778</v>
      </c>
      <c r="AB5" s="21" t="s">
        <v>779</v>
      </c>
      <c r="AC5" s="21" t="s">
        <v>780</v>
      </c>
    </row>
    <row r="6" spans="1:29" x14ac:dyDescent="0.3">
      <c r="A6" s="21" t="s">
        <v>794</v>
      </c>
      <c r="B6" s="21" t="s">
        <v>764</v>
      </c>
      <c r="C6" s="21" t="s">
        <v>789</v>
      </c>
      <c r="D6" s="21" t="s">
        <v>795</v>
      </c>
      <c r="E6" s="21">
        <v>2523.29</v>
      </c>
      <c r="F6" s="21" t="s">
        <v>767</v>
      </c>
      <c r="G6" s="21" t="s">
        <v>783</v>
      </c>
      <c r="H6" s="21" t="s">
        <v>796</v>
      </c>
      <c r="I6" s="21" t="s">
        <v>791</v>
      </c>
      <c r="J6" s="21" t="s">
        <v>797</v>
      </c>
      <c r="K6" s="21" t="s">
        <v>753</v>
      </c>
      <c r="L6" s="21" t="s">
        <v>785</v>
      </c>
      <c r="M6" s="21" t="s">
        <v>753</v>
      </c>
      <c r="N6" s="21" t="s">
        <v>773</v>
      </c>
      <c r="O6" s="23">
        <v>0.18</v>
      </c>
      <c r="P6" s="21" t="s">
        <v>774</v>
      </c>
      <c r="Q6" s="21" t="s">
        <v>775</v>
      </c>
      <c r="R6" s="21" t="s">
        <v>753</v>
      </c>
      <c r="S6" s="21" t="s">
        <v>776</v>
      </c>
      <c r="T6" s="21" t="s">
        <v>798</v>
      </c>
      <c r="U6" s="21">
        <v>50</v>
      </c>
      <c r="V6" s="21">
        <v>300</v>
      </c>
      <c r="W6" s="21">
        <v>4</v>
      </c>
      <c r="X6" s="21" t="s">
        <v>753</v>
      </c>
      <c r="Y6" s="21" t="s">
        <v>753</v>
      </c>
      <c r="Z6" s="25">
        <v>27900</v>
      </c>
      <c r="AA6" s="21" t="s">
        <v>787</v>
      </c>
      <c r="AB6" s="21" t="s">
        <v>779</v>
      </c>
      <c r="AC6" s="21" t="s">
        <v>780</v>
      </c>
    </row>
    <row r="7" spans="1:29" x14ac:dyDescent="0.3">
      <c r="A7" s="21" t="s">
        <v>799</v>
      </c>
      <c r="B7" s="21" t="s">
        <v>764</v>
      </c>
      <c r="C7" s="21" t="s">
        <v>800</v>
      </c>
      <c r="D7" s="21" t="s">
        <v>801</v>
      </c>
      <c r="E7" s="21">
        <v>2523.29</v>
      </c>
      <c r="F7" s="21" t="s">
        <v>767</v>
      </c>
      <c r="G7" s="21" t="s">
        <v>768</v>
      </c>
      <c r="H7" s="21" t="s">
        <v>769</v>
      </c>
      <c r="I7" s="21" t="s">
        <v>802</v>
      </c>
      <c r="J7" s="21" t="s">
        <v>803</v>
      </c>
      <c r="K7" s="21" t="s">
        <v>753</v>
      </c>
      <c r="L7" s="21" t="s">
        <v>772</v>
      </c>
      <c r="M7" s="21" t="s">
        <v>753</v>
      </c>
      <c r="N7" s="21" t="s">
        <v>773</v>
      </c>
      <c r="O7" s="23">
        <v>0.18</v>
      </c>
      <c r="P7" s="21" t="s">
        <v>774</v>
      </c>
      <c r="Q7" s="21" t="s">
        <v>775</v>
      </c>
      <c r="R7" s="21" t="s">
        <v>753</v>
      </c>
      <c r="S7" s="21" t="s">
        <v>776</v>
      </c>
      <c r="T7" s="21" t="s">
        <v>804</v>
      </c>
      <c r="U7" s="21">
        <v>500</v>
      </c>
      <c r="V7" s="21">
        <v>4000</v>
      </c>
      <c r="W7" s="21">
        <v>5</v>
      </c>
      <c r="X7" s="21" t="s">
        <v>753</v>
      </c>
      <c r="Y7" s="21" t="s">
        <v>753</v>
      </c>
      <c r="Z7" s="25">
        <v>1330</v>
      </c>
      <c r="AA7" s="21" t="s">
        <v>778</v>
      </c>
      <c r="AB7" s="21" t="s">
        <v>779</v>
      </c>
      <c r="AC7" s="21" t="s">
        <v>780</v>
      </c>
    </row>
    <row r="8" spans="1:29" x14ac:dyDescent="0.3">
      <c r="A8" s="21" t="s">
        <v>805</v>
      </c>
      <c r="B8" s="21" t="s">
        <v>764</v>
      </c>
      <c r="C8" s="21" t="s">
        <v>806</v>
      </c>
      <c r="D8" s="21" t="s">
        <v>807</v>
      </c>
      <c r="E8" s="21">
        <v>2523.29</v>
      </c>
      <c r="F8" s="21" t="s">
        <v>808</v>
      </c>
      <c r="G8" s="21" t="s">
        <v>768</v>
      </c>
      <c r="H8" s="21" t="s">
        <v>769</v>
      </c>
      <c r="I8" s="21" t="s">
        <v>809</v>
      </c>
      <c r="J8" s="21" t="s">
        <v>810</v>
      </c>
      <c r="K8" s="21" t="s">
        <v>753</v>
      </c>
      <c r="L8" s="21" t="s">
        <v>772</v>
      </c>
      <c r="M8" s="21" t="s">
        <v>753</v>
      </c>
      <c r="N8" s="21" t="s">
        <v>773</v>
      </c>
      <c r="O8" s="23">
        <v>0.18</v>
      </c>
      <c r="P8" s="21" t="s">
        <v>774</v>
      </c>
      <c r="Q8" s="21" t="s">
        <v>775</v>
      </c>
      <c r="R8" s="21" t="s">
        <v>753</v>
      </c>
      <c r="S8" s="21" t="s">
        <v>776</v>
      </c>
      <c r="T8" s="21" t="s">
        <v>811</v>
      </c>
      <c r="U8" s="21">
        <v>0</v>
      </c>
      <c r="V8" s="21">
        <v>1000</v>
      </c>
      <c r="W8" s="21">
        <v>7</v>
      </c>
      <c r="X8" s="21" t="s">
        <v>753</v>
      </c>
      <c r="Y8" s="21" t="s">
        <v>753</v>
      </c>
      <c r="Z8" s="25">
        <v>1500</v>
      </c>
      <c r="AA8" s="21" t="s">
        <v>778</v>
      </c>
      <c r="AB8" s="21" t="s">
        <v>779</v>
      </c>
      <c r="AC8" s="21" t="s">
        <v>780</v>
      </c>
    </row>
    <row r="9" spans="1:29" x14ac:dyDescent="0.3">
      <c r="A9" s="21" t="s">
        <v>812</v>
      </c>
      <c r="B9" s="21" t="s">
        <v>764</v>
      </c>
      <c r="C9" s="21" t="s">
        <v>813</v>
      </c>
      <c r="D9" s="21" t="s">
        <v>814</v>
      </c>
      <c r="E9" s="21">
        <v>2523.21</v>
      </c>
      <c r="F9" s="21" t="s">
        <v>767</v>
      </c>
      <c r="G9" s="21" t="s">
        <v>768</v>
      </c>
      <c r="H9" s="21" t="s">
        <v>815</v>
      </c>
      <c r="I9" s="21" t="s">
        <v>816</v>
      </c>
      <c r="J9" s="21" t="s">
        <v>817</v>
      </c>
      <c r="K9" s="21" t="s">
        <v>753</v>
      </c>
      <c r="L9" s="21" t="s">
        <v>818</v>
      </c>
      <c r="M9" s="21" t="s">
        <v>753</v>
      </c>
      <c r="N9" s="21" t="s">
        <v>773</v>
      </c>
      <c r="O9" s="23">
        <v>0.18</v>
      </c>
      <c r="P9" s="21" t="s">
        <v>774</v>
      </c>
      <c r="Q9" s="21" t="s">
        <v>775</v>
      </c>
      <c r="R9" s="21" t="s">
        <v>753</v>
      </c>
      <c r="S9" s="21" t="s">
        <v>776</v>
      </c>
      <c r="T9" s="21" t="s">
        <v>819</v>
      </c>
      <c r="U9" s="21">
        <v>200</v>
      </c>
      <c r="V9" s="21">
        <v>1500</v>
      </c>
      <c r="W9" s="21">
        <v>7</v>
      </c>
      <c r="X9" s="21" t="s">
        <v>753</v>
      </c>
      <c r="Y9" s="21" t="s">
        <v>753</v>
      </c>
      <c r="Z9" s="25">
        <v>2550</v>
      </c>
      <c r="AA9" s="21" t="s">
        <v>778</v>
      </c>
      <c r="AB9" s="21" t="s">
        <v>779</v>
      </c>
      <c r="AC9" s="21" t="s">
        <v>780</v>
      </c>
    </row>
    <row r="10" spans="1:29" x14ac:dyDescent="0.3">
      <c r="A10" s="21" t="s">
        <v>820</v>
      </c>
      <c r="B10" s="21" t="s">
        <v>764</v>
      </c>
      <c r="C10" s="21" t="s">
        <v>821</v>
      </c>
      <c r="D10" s="21" t="s">
        <v>822</v>
      </c>
      <c r="E10" s="21">
        <v>2523.29</v>
      </c>
      <c r="F10" s="21" t="s">
        <v>767</v>
      </c>
      <c r="G10" s="21" t="s">
        <v>768</v>
      </c>
      <c r="H10" s="21" t="s">
        <v>769</v>
      </c>
      <c r="I10" s="21" t="s">
        <v>823</v>
      </c>
      <c r="J10" s="21" t="s">
        <v>824</v>
      </c>
      <c r="K10" s="21" t="s">
        <v>753</v>
      </c>
      <c r="L10" s="21" t="s">
        <v>772</v>
      </c>
      <c r="M10" s="21" t="s">
        <v>753</v>
      </c>
      <c r="N10" s="21" t="s">
        <v>773</v>
      </c>
      <c r="O10" s="23">
        <v>0.18</v>
      </c>
      <c r="P10" s="21" t="s">
        <v>774</v>
      </c>
      <c r="Q10" s="21" t="s">
        <v>775</v>
      </c>
      <c r="R10" s="21" t="s">
        <v>753</v>
      </c>
      <c r="S10" s="21" t="s">
        <v>776</v>
      </c>
      <c r="T10" s="21" t="s">
        <v>825</v>
      </c>
      <c r="U10" s="21">
        <v>500</v>
      </c>
      <c r="V10" s="21">
        <v>4000</v>
      </c>
      <c r="W10" s="21">
        <v>4</v>
      </c>
      <c r="X10" s="21" t="s">
        <v>753</v>
      </c>
      <c r="Y10" s="21" t="s">
        <v>753</v>
      </c>
      <c r="Z10" s="25">
        <v>1310</v>
      </c>
      <c r="AA10" s="21" t="s">
        <v>778</v>
      </c>
      <c r="AB10" s="21" t="s">
        <v>779</v>
      </c>
      <c r="AC10" s="21" t="s">
        <v>780</v>
      </c>
    </row>
    <row r="11" spans="1:29" x14ac:dyDescent="0.3">
      <c r="A11" s="21" t="s">
        <v>826</v>
      </c>
      <c r="B11" s="21" t="s">
        <v>764</v>
      </c>
      <c r="C11" s="21" t="s">
        <v>765</v>
      </c>
      <c r="D11" s="21" t="s">
        <v>827</v>
      </c>
      <c r="E11" s="21">
        <v>2523.29</v>
      </c>
      <c r="F11" s="21" t="s">
        <v>767</v>
      </c>
      <c r="G11" s="21" t="s">
        <v>828</v>
      </c>
      <c r="H11" s="21" t="s">
        <v>829</v>
      </c>
      <c r="I11" s="21" t="s">
        <v>770</v>
      </c>
      <c r="J11" s="21" t="s">
        <v>771</v>
      </c>
      <c r="K11" s="21" t="s">
        <v>753</v>
      </c>
      <c r="L11" s="21" t="s">
        <v>785</v>
      </c>
      <c r="M11" s="21" t="s">
        <v>753</v>
      </c>
      <c r="N11" s="21" t="s">
        <v>773</v>
      </c>
      <c r="O11" s="23">
        <v>0.18</v>
      </c>
      <c r="P11" s="21" t="s">
        <v>774</v>
      </c>
      <c r="Q11" s="21" t="s">
        <v>775</v>
      </c>
      <c r="R11" s="21" t="s">
        <v>753</v>
      </c>
      <c r="S11" s="21" t="s">
        <v>776</v>
      </c>
      <c r="T11" s="21" t="s">
        <v>830</v>
      </c>
      <c r="U11" s="21">
        <v>10</v>
      </c>
      <c r="V11" s="21">
        <v>80</v>
      </c>
      <c r="W11" s="21">
        <v>5</v>
      </c>
      <c r="X11" s="21" t="s">
        <v>753</v>
      </c>
      <c r="Y11" s="21" t="s">
        <v>753</v>
      </c>
      <c r="Z11" s="25">
        <v>40500</v>
      </c>
      <c r="AA11" s="21" t="s">
        <v>787</v>
      </c>
      <c r="AB11" s="21" t="s">
        <v>779</v>
      </c>
      <c r="AC11" s="21" t="s">
        <v>780</v>
      </c>
    </row>
    <row r="12" spans="1:29" x14ac:dyDescent="0.3">
      <c r="A12" s="21" t="s">
        <v>831</v>
      </c>
      <c r="B12" s="21" t="s">
        <v>764</v>
      </c>
      <c r="C12" s="21" t="s">
        <v>832</v>
      </c>
      <c r="D12" s="21" t="s">
        <v>833</v>
      </c>
      <c r="E12" s="21">
        <v>2523.29</v>
      </c>
      <c r="F12" s="21" t="s">
        <v>767</v>
      </c>
      <c r="G12" s="21" t="s">
        <v>768</v>
      </c>
      <c r="H12" s="21" t="s">
        <v>769</v>
      </c>
      <c r="I12" s="21" t="s">
        <v>834</v>
      </c>
      <c r="J12" s="21" t="s">
        <v>835</v>
      </c>
      <c r="K12" s="21" t="s">
        <v>753</v>
      </c>
      <c r="L12" s="21" t="s">
        <v>785</v>
      </c>
      <c r="M12" s="21" t="s">
        <v>753</v>
      </c>
      <c r="N12" s="21" t="s">
        <v>773</v>
      </c>
      <c r="O12" s="23">
        <v>0.18</v>
      </c>
      <c r="P12" s="21" t="s">
        <v>774</v>
      </c>
      <c r="Q12" s="21" t="s">
        <v>775</v>
      </c>
      <c r="R12" s="21" t="s">
        <v>753</v>
      </c>
      <c r="S12" s="21" t="s">
        <v>776</v>
      </c>
      <c r="T12" s="21" t="s">
        <v>836</v>
      </c>
      <c r="U12" s="21">
        <v>200</v>
      </c>
      <c r="V12" s="21">
        <v>1500</v>
      </c>
      <c r="W12" s="21">
        <v>6</v>
      </c>
      <c r="X12" s="21" t="s">
        <v>753</v>
      </c>
      <c r="Y12" s="21" t="s">
        <v>753</v>
      </c>
      <c r="Z12" s="25">
        <v>1520</v>
      </c>
      <c r="AA12" s="21" t="s">
        <v>778</v>
      </c>
      <c r="AB12" s="21" t="s">
        <v>779</v>
      </c>
      <c r="AC12" s="21" t="s">
        <v>780</v>
      </c>
    </row>
    <row r="13" spans="1:29" x14ac:dyDescent="0.3">
      <c r="A13" s="21" t="s">
        <v>837</v>
      </c>
      <c r="B13" s="21" t="s">
        <v>838</v>
      </c>
      <c r="C13" s="21" t="s">
        <v>839</v>
      </c>
      <c r="D13" s="21" t="s">
        <v>840</v>
      </c>
      <c r="E13" s="21" t="s">
        <v>841</v>
      </c>
      <c r="F13" s="21" t="s">
        <v>767</v>
      </c>
      <c r="G13" s="21" t="s">
        <v>842</v>
      </c>
      <c r="H13" s="21" t="s">
        <v>843</v>
      </c>
      <c r="I13" s="21" t="s">
        <v>844</v>
      </c>
      <c r="J13" s="21" t="s">
        <v>845</v>
      </c>
      <c r="K13" s="21" t="s">
        <v>846</v>
      </c>
      <c r="L13" s="21" t="s">
        <v>846</v>
      </c>
      <c r="M13" s="21" t="s">
        <v>846</v>
      </c>
      <c r="N13" s="21" t="s">
        <v>847</v>
      </c>
      <c r="O13" s="23">
        <v>0.16</v>
      </c>
      <c r="P13" s="21" t="s">
        <v>848</v>
      </c>
      <c r="Q13" s="21" t="s">
        <v>849</v>
      </c>
      <c r="R13" s="21" t="s">
        <v>846</v>
      </c>
      <c r="S13" s="21" t="s">
        <v>850</v>
      </c>
      <c r="T13" s="21" t="s">
        <v>851</v>
      </c>
      <c r="U13" s="21"/>
      <c r="V13" s="21"/>
      <c r="W13" s="21">
        <v>1</v>
      </c>
      <c r="X13" s="21" t="s">
        <v>753</v>
      </c>
      <c r="Y13" s="21" t="s">
        <v>846</v>
      </c>
      <c r="Z13" s="25"/>
      <c r="AA13" s="21"/>
      <c r="AB13" s="21"/>
      <c r="AC13" s="21" t="s">
        <v>852</v>
      </c>
    </row>
    <row r="14" spans="1:29" x14ac:dyDescent="0.3">
      <c r="A14" s="21" t="s">
        <v>853</v>
      </c>
      <c r="B14" s="21" t="s">
        <v>838</v>
      </c>
      <c r="C14" s="21" t="s">
        <v>854</v>
      </c>
      <c r="D14" s="21" t="s">
        <v>855</v>
      </c>
      <c r="E14" s="21" t="s">
        <v>841</v>
      </c>
      <c r="F14" s="21" t="s">
        <v>767</v>
      </c>
      <c r="G14" s="21" t="s">
        <v>842</v>
      </c>
      <c r="H14" s="21" t="s">
        <v>843</v>
      </c>
      <c r="I14" s="21" t="s">
        <v>844</v>
      </c>
      <c r="J14" s="21" t="s">
        <v>856</v>
      </c>
      <c r="K14" s="21" t="s">
        <v>846</v>
      </c>
      <c r="L14" s="21" t="s">
        <v>846</v>
      </c>
      <c r="M14" s="21" t="s">
        <v>846</v>
      </c>
      <c r="N14" s="21" t="s">
        <v>847</v>
      </c>
      <c r="O14" s="23">
        <v>0.16</v>
      </c>
      <c r="P14" s="21" t="s">
        <v>848</v>
      </c>
      <c r="Q14" s="21" t="s">
        <v>849</v>
      </c>
      <c r="R14" s="21" t="s">
        <v>846</v>
      </c>
      <c r="S14" s="21" t="s">
        <v>850</v>
      </c>
      <c r="T14" s="21" t="s">
        <v>857</v>
      </c>
      <c r="U14" s="21"/>
      <c r="V14" s="21"/>
      <c r="W14" s="21">
        <v>1</v>
      </c>
      <c r="X14" s="21" t="s">
        <v>753</v>
      </c>
      <c r="Y14" s="21" t="s">
        <v>846</v>
      </c>
      <c r="Z14" s="25"/>
      <c r="AA14" s="21"/>
      <c r="AB14" s="21"/>
      <c r="AC14" s="21" t="s">
        <v>852</v>
      </c>
    </row>
    <row r="15" spans="1:29" x14ac:dyDescent="0.3">
      <c r="A15" s="21" t="s">
        <v>858</v>
      </c>
      <c r="B15" s="21" t="s">
        <v>838</v>
      </c>
      <c r="C15" s="21" t="s">
        <v>859</v>
      </c>
      <c r="D15" s="21" t="s">
        <v>860</v>
      </c>
      <c r="E15" s="21" t="s">
        <v>841</v>
      </c>
      <c r="F15" s="21" t="s">
        <v>767</v>
      </c>
      <c r="G15" s="21" t="s">
        <v>768</v>
      </c>
      <c r="H15" s="21" t="s">
        <v>861</v>
      </c>
      <c r="I15" s="21" t="s">
        <v>844</v>
      </c>
      <c r="J15" s="21" t="s">
        <v>862</v>
      </c>
      <c r="K15" s="21" t="s">
        <v>846</v>
      </c>
      <c r="L15" s="21" t="s">
        <v>846</v>
      </c>
      <c r="M15" s="21" t="s">
        <v>846</v>
      </c>
      <c r="N15" s="21" t="s">
        <v>863</v>
      </c>
      <c r="O15" s="23">
        <v>0</v>
      </c>
      <c r="P15" s="21" t="s">
        <v>848</v>
      </c>
      <c r="Q15" s="21" t="s">
        <v>849</v>
      </c>
      <c r="R15" s="21" t="s">
        <v>846</v>
      </c>
      <c r="S15" s="21" t="s">
        <v>850</v>
      </c>
      <c r="T15" s="21" t="s">
        <v>864</v>
      </c>
      <c r="U15" s="21"/>
      <c r="V15" s="21"/>
      <c r="W15" s="21">
        <v>0</v>
      </c>
      <c r="X15" s="21" t="s">
        <v>753</v>
      </c>
      <c r="Y15" s="21" t="s">
        <v>846</v>
      </c>
      <c r="Z15" s="25"/>
      <c r="AA15" s="21"/>
      <c r="AB15" s="21"/>
      <c r="AC15" s="21" t="s">
        <v>865</v>
      </c>
    </row>
    <row r="16" spans="1:29" x14ac:dyDescent="0.3">
      <c r="A16" s="21" t="s">
        <v>866</v>
      </c>
      <c r="B16" s="21" t="s">
        <v>867</v>
      </c>
      <c r="C16" s="21" t="s">
        <v>868</v>
      </c>
      <c r="D16" s="21" t="s">
        <v>869</v>
      </c>
      <c r="E16" s="21">
        <v>2710.1931</v>
      </c>
      <c r="F16" s="21" t="s">
        <v>767</v>
      </c>
      <c r="G16" s="21" t="s">
        <v>870</v>
      </c>
      <c r="H16" s="21" t="s">
        <v>871</v>
      </c>
      <c r="I16" s="21" t="s">
        <v>872</v>
      </c>
      <c r="J16" s="21" t="s">
        <v>873</v>
      </c>
      <c r="K16" s="21" t="s">
        <v>846</v>
      </c>
      <c r="L16" s="21" t="s">
        <v>846</v>
      </c>
      <c r="M16" s="21" t="s">
        <v>846</v>
      </c>
      <c r="N16" s="21" t="s">
        <v>773</v>
      </c>
      <c r="O16" s="23">
        <v>0.18</v>
      </c>
      <c r="P16" s="21" t="s">
        <v>874</v>
      </c>
      <c r="Q16" s="21" t="s">
        <v>875</v>
      </c>
      <c r="R16" s="21" t="s">
        <v>846</v>
      </c>
      <c r="S16" s="21" t="s">
        <v>850</v>
      </c>
      <c r="T16" s="21" t="s">
        <v>876</v>
      </c>
      <c r="U16" s="21"/>
      <c r="V16" s="21"/>
      <c r="W16" s="21">
        <v>0</v>
      </c>
      <c r="X16" s="21" t="s">
        <v>753</v>
      </c>
      <c r="Y16" s="21" t="s">
        <v>846</v>
      </c>
      <c r="Z16" s="25"/>
      <c r="AA16" s="21"/>
      <c r="AB16" s="21" t="s">
        <v>877</v>
      </c>
      <c r="AC16" s="21" t="s">
        <v>878</v>
      </c>
    </row>
    <row r="17" spans="1:29" x14ac:dyDescent="0.3">
      <c r="A17" s="21" t="s">
        <v>879</v>
      </c>
      <c r="B17" s="21" t="s">
        <v>867</v>
      </c>
      <c r="C17" s="21" t="s">
        <v>880</v>
      </c>
      <c r="D17" s="21" t="s">
        <v>881</v>
      </c>
      <c r="E17" s="21">
        <v>4415.2</v>
      </c>
      <c r="F17" s="21" t="s">
        <v>767</v>
      </c>
      <c r="G17" s="21" t="s">
        <v>882</v>
      </c>
      <c r="H17" s="21" t="s">
        <v>883</v>
      </c>
      <c r="I17" s="21" t="s">
        <v>884</v>
      </c>
      <c r="J17" s="21" t="s">
        <v>885</v>
      </c>
      <c r="K17" s="21" t="s">
        <v>846</v>
      </c>
      <c r="L17" s="21" t="s">
        <v>846</v>
      </c>
      <c r="M17" s="21" t="s">
        <v>846</v>
      </c>
      <c r="N17" s="21" t="s">
        <v>773</v>
      </c>
      <c r="O17" s="23">
        <v>0.18</v>
      </c>
      <c r="P17" s="21" t="s">
        <v>848</v>
      </c>
      <c r="Q17" s="21" t="s">
        <v>775</v>
      </c>
      <c r="R17" s="21" t="s">
        <v>753</v>
      </c>
      <c r="S17" s="21" t="s">
        <v>776</v>
      </c>
      <c r="T17" s="21" t="s">
        <v>886</v>
      </c>
      <c r="U17" s="21">
        <v>50</v>
      </c>
      <c r="V17" s="21">
        <v>300</v>
      </c>
      <c r="W17" s="21">
        <v>7</v>
      </c>
      <c r="X17" s="21" t="s">
        <v>753</v>
      </c>
      <c r="Y17" s="21" t="s">
        <v>846</v>
      </c>
      <c r="Z17" s="25"/>
      <c r="AA17" s="21"/>
      <c r="AB17" s="21" t="s">
        <v>877</v>
      </c>
      <c r="AC17" s="21" t="s">
        <v>887</v>
      </c>
    </row>
    <row r="18" spans="1:29" x14ac:dyDescent="0.3">
      <c r="A18" s="21" t="s">
        <v>888</v>
      </c>
      <c r="B18" s="21" t="s">
        <v>867</v>
      </c>
      <c r="C18" s="21" t="s">
        <v>889</v>
      </c>
      <c r="D18" s="21" t="s">
        <v>890</v>
      </c>
      <c r="E18" s="21">
        <v>6306.12</v>
      </c>
      <c r="F18" s="21" t="s">
        <v>767</v>
      </c>
      <c r="G18" s="21" t="s">
        <v>882</v>
      </c>
      <c r="H18" s="21" t="s">
        <v>891</v>
      </c>
      <c r="I18" s="21" t="s">
        <v>844</v>
      </c>
      <c r="J18" s="21" t="s">
        <v>892</v>
      </c>
      <c r="K18" s="21" t="s">
        <v>846</v>
      </c>
      <c r="L18" s="21" t="s">
        <v>846</v>
      </c>
      <c r="M18" s="21" t="s">
        <v>846</v>
      </c>
      <c r="N18" s="21" t="s">
        <v>773</v>
      </c>
      <c r="O18" s="23">
        <v>0.18</v>
      </c>
      <c r="P18" s="21" t="s">
        <v>848</v>
      </c>
      <c r="Q18" s="21" t="s">
        <v>775</v>
      </c>
      <c r="R18" s="21" t="s">
        <v>753</v>
      </c>
      <c r="S18" s="21" t="s">
        <v>776</v>
      </c>
      <c r="T18" s="21" t="s">
        <v>893</v>
      </c>
      <c r="U18" s="21">
        <v>10</v>
      </c>
      <c r="V18" s="21">
        <v>60</v>
      </c>
      <c r="W18" s="21">
        <v>5</v>
      </c>
      <c r="X18" s="21" t="s">
        <v>753</v>
      </c>
      <c r="Y18" s="21" t="s">
        <v>846</v>
      </c>
      <c r="Z18" s="25"/>
      <c r="AA18" s="21"/>
      <c r="AB18" s="21" t="s">
        <v>877</v>
      </c>
      <c r="AC18" s="21" t="s">
        <v>887</v>
      </c>
    </row>
    <row r="19" spans="1:29" x14ac:dyDescent="0.3">
      <c r="A19" s="21" t="s">
        <v>894</v>
      </c>
      <c r="B19" s="21" t="s">
        <v>867</v>
      </c>
      <c r="C19" s="21" t="s">
        <v>895</v>
      </c>
      <c r="D19" s="21" t="s">
        <v>896</v>
      </c>
      <c r="E19" s="21">
        <v>4820.1000000000004</v>
      </c>
      <c r="F19" s="21" t="s">
        <v>767</v>
      </c>
      <c r="G19" s="21" t="s">
        <v>897</v>
      </c>
      <c r="H19" s="21" t="s">
        <v>898</v>
      </c>
      <c r="I19" s="21" t="s">
        <v>844</v>
      </c>
      <c r="J19" s="21" t="s">
        <v>899</v>
      </c>
      <c r="K19" s="21" t="s">
        <v>846</v>
      </c>
      <c r="L19" s="21" t="s">
        <v>846</v>
      </c>
      <c r="M19" s="21" t="s">
        <v>846</v>
      </c>
      <c r="N19" s="21" t="s">
        <v>773</v>
      </c>
      <c r="O19" s="23">
        <v>0.18</v>
      </c>
      <c r="P19" s="21" t="s">
        <v>848</v>
      </c>
      <c r="Q19" s="21" t="s">
        <v>775</v>
      </c>
      <c r="R19" s="21" t="s">
        <v>846</v>
      </c>
      <c r="S19" s="21" t="s">
        <v>850</v>
      </c>
      <c r="T19" s="21" t="s">
        <v>900</v>
      </c>
      <c r="U19" s="21"/>
      <c r="V19" s="21"/>
      <c r="W19" s="21">
        <v>3</v>
      </c>
      <c r="X19" s="21" t="s">
        <v>753</v>
      </c>
      <c r="Y19" s="21" t="s">
        <v>846</v>
      </c>
      <c r="Z19" s="25"/>
      <c r="AA19" s="21"/>
      <c r="AB19" s="21"/>
      <c r="AC19" s="21" t="s">
        <v>901</v>
      </c>
    </row>
    <row r="20" spans="1:29" x14ac:dyDescent="0.3">
      <c r="A20" s="21" t="s">
        <v>902</v>
      </c>
      <c r="B20" s="21" t="s">
        <v>838</v>
      </c>
      <c r="C20" s="21" t="s">
        <v>903</v>
      </c>
      <c r="D20" s="21" t="s">
        <v>904</v>
      </c>
      <c r="E20" s="21" t="s">
        <v>841</v>
      </c>
      <c r="F20" s="21" t="s">
        <v>767</v>
      </c>
      <c r="G20" s="21" t="s">
        <v>905</v>
      </c>
      <c r="H20" s="21" t="s">
        <v>906</v>
      </c>
      <c r="I20" s="21" t="s">
        <v>844</v>
      </c>
      <c r="J20" s="21" t="s">
        <v>907</v>
      </c>
      <c r="K20" s="21" t="s">
        <v>846</v>
      </c>
      <c r="L20" s="21" t="s">
        <v>846</v>
      </c>
      <c r="M20" s="21" t="s">
        <v>846</v>
      </c>
      <c r="N20" s="21" t="s">
        <v>863</v>
      </c>
      <c r="O20" s="23">
        <v>0</v>
      </c>
      <c r="P20" s="21" t="s">
        <v>848</v>
      </c>
      <c r="Q20" s="21" t="s">
        <v>908</v>
      </c>
      <c r="R20" s="21" t="s">
        <v>846</v>
      </c>
      <c r="S20" s="21" t="s">
        <v>850</v>
      </c>
      <c r="T20" s="21" t="s">
        <v>909</v>
      </c>
      <c r="U20" s="21"/>
      <c r="V20" s="21"/>
      <c r="W20" s="21">
        <v>0</v>
      </c>
      <c r="X20" s="21" t="s">
        <v>753</v>
      </c>
      <c r="Y20" s="21" t="s">
        <v>846</v>
      </c>
      <c r="Z20" s="25"/>
      <c r="AA20" s="21"/>
      <c r="AB20" s="21"/>
      <c r="AC20" s="21" t="s">
        <v>910</v>
      </c>
    </row>
    <row r="21" spans="1:29" x14ac:dyDescent="0.3">
      <c r="A21" s="21" t="s">
        <v>911</v>
      </c>
      <c r="B21" s="21" t="s">
        <v>838</v>
      </c>
      <c r="C21" s="21" t="s">
        <v>912</v>
      </c>
      <c r="D21" s="21" t="s">
        <v>913</v>
      </c>
      <c r="E21" s="21" t="s">
        <v>841</v>
      </c>
      <c r="F21" s="21" t="s">
        <v>767</v>
      </c>
      <c r="G21" s="21" t="s">
        <v>905</v>
      </c>
      <c r="H21" s="21" t="s">
        <v>906</v>
      </c>
      <c r="I21" s="21" t="s">
        <v>844</v>
      </c>
      <c r="J21" s="21" t="s">
        <v>914</v>
      </c>
      <c r="K21" s="21" t="s">
        <v>846</v>
      </c>
      <c r="L21" s="21" t="s">
        <v>846</v>
      </c>
      <c r="M21" s="21" t="s">
        <v>846</v>
      </c>
      <c r="N21" s="21" t="s">
        <v>773</v>
      </c>
      <c r="O21" s="23">
        <v>0.18</v>
      </c>
      <c r="P21" s="21" t="s">
        <v>915</v>
      </c>
      <c r="Q21" s="21" t="s">
        <v>916</v>
      </c>
      <c r="R21" s="21" t="s">
        <v>846</v>
      </c>
      <c r="S21" s="21" t="s">
        <v>850</v>
      </c>
      <c r="T21" s="21" t="s">
        <v>917</v>
      </c>
      <c r="U21" s="21"/>
      <c r="V21" s="21"/>
      <c r="W21" s="21">
        <v>0</v>
      </c>
      <c r="X21" s="21" t="s">
        <v>753</v>
      </c>
      <c r="Y21" s="21" t="s">
        <v>846</v>
      </c>
      <c r="Z21" s="25"/>
      <c r="AA21" s="21"/>
      <c r="AB21" s="21"/>
      <c r="AC21" s="21" t="s">
        <v>918</v>
      </c>
    </row>
    <row r="22" spans="1:29" x14ac:dyDescent="0.3">
      <c r="A22" s="21" t="s">
        <v>919</v>
      </c>
      <c r="B22" s="21" t="s">
        <v>838</v>
      </c>
      <c r="C22" s="21" t="s">
        <v>920</v>
      </c>
      <c r="D22" s="21" t="s">
        <v>921</v>
      </c>
      <c r="E22" s="21" t="s">
        <v>841</v>
      </c>
      <c r="F22" s="21" t="s">
        <v>767</v>
      </c>
      <c r="G22" s="21" t="s">
        <v>905</v>
      </c>
      <c r="H22" s="21" t="s">
        <v>906</v>
      </c>
      <c r="I22" s="21" t="s">
        <v>844</v>
      </c>
      <c r="J22" s="21" t="s">
        <v>922</v>
      </c>
      <c r="K22" s="21" t="s">
        <v>846</v>
      </c>
      <c r="L22" s="21" t="s">
        <v>846</v>
      </c>
      <c r="M22" s="21" t="s">
        <v>846</v>
      </c>
      <c r="N22" s="21" t="s">
        <v>847</v>
      </c>
      <c r="O22" s="23">
        <v>0.16</v>
      </c>
      <c r="P22" s="21" t="s">
        <v>848</v>
      </c>
      <c r="Q22" s="21" t="s">
        <v>923</v>
      </c>
      <c r="R22" s="21" t="s">
        <v>846</v>
      </c>
      <c r="S22" s="21" t="s">
        <v>850</v>
      </c>
      <c r="T22" s="21" t="s">
        <v>924</v>
      </c>
      <c r="U22" s="21"/>
      <c r="V22" s="21"/>
      <c r="W22" s="21">
        <v>0</v>
      </c>
      <c r="X22" s="21" t="s">
        <v>753</v>
      </c>
      <c r="Y22" s="21" t="s">
        <v>846</v>
      </c>
      <c r="Z22" s="25"/>
      <c r="AA22" s="21"/>
      <c r="AB22" s="21"/>
      <c r="AC22" s="21" t="s">
        <v>918</v>
      </c>
    </row>
    <row r="23" spans="1:29" x14ac:dyDescent="0.3">
      <c r="A23" s="21" t="s">
        <v>925</v>
      </c>
      <c r="B23" s="21" t="s">
        <v>926</v>
      </c>
      <c r="C23" s="21" t="s">
        <v>927</v>
      </c>
      <c r="D23" s="21" t="s">
        <v>928</v>
      </c>
      <c r="E23" s="21">
        <v>4011.201</v>
      </c>
      <c r="F23" s="21" t="s">
        <v>767</v>
      </c>
      <c r="G23" s="21" t="s">
        <v>882</v>
      </c>
      <c r="H23" s="21" t="s">
        <v>929</v>
      </c>
      <c r="I23" s="21" t="s">
        <v>844</v>
      </c>
      <c r="J23" s="21" t="s">
        <v>930</v>
      </c>
      <c r="K23" s="21" t="s">
        <v>846</v>
      </c>
      <c r="L23" s="21" t="s">
        <v>846</v>
      </c>
      <c r="M23" s="21" t="s">
        <v>753</v>
      </c>
      <c r="N23" s="21" t="s">
        <v>773</v>
      </c>
      <c r="O23" s="23">
        <v>0.18</v>
      </c>
      <c r="P23" s="21" t="s">
        <v>848</v>
      </c>
      <c r="Q23" s="21" t="s">
        <v>775</v>
      </c>
      <c r="R23" s="21" t="s">
        <v>753</v>
      </c>
      <c r="S23" s="21" t="s">
        <v>776</v>
      </c>
      <c r="T23" s="21" t="s">
        <v>931</v>
      </c>
      <c r="U23" s="21">
        <v>4</v>
      </c>
      <c r="V23" s="21">
        <v>20</v>
      </c>
      <c r="W23" s="21">
        <v>10</v>
      </c>
      <c r="X23" s="21" t="s">
        <v>753</v>
      </c>
      <c r="Y23" s="21" t="s">
        <v>846</v>
      </c>
      <c r="Z23" s="25"/>
      <c r="AA23" s="21"/>
      <c r="AB23" s="21" t="s">
        <v>932</v>
      </c>
      <c r="AC23" s="21" t="s">
        <v>933</v>
      </c>
    </row>
    <row r="24" spans="1:29" x14ac:dyDescent="0.3">
      <c r="A24" s="21" t="s">
        <v>934</v>
      </c>
      <c r="B24" s="21" t="s">
        <v>926</v>
      </c>
      <c r="C24" s="21" t="s">
        <v>935</v>
      </c>
      <c r="D24" s="21" t="s">
        <v>936</v>
      </c>
      <c r="E24" s="21">
        <v>2710.1981000000001</v>
      </c>
      <c r="F24" s="21" t="s">
        <v>767</v>
      </c>
      <c r="G24" s="21" t="s">
        <v>937</v>
      </c>
      <c r="H24" s="21" t="s">
        <v>938</v>
      </c>
      <c r="I24" s="21" t="s">
        <v>939</v>
      </c>
      <c r="J24" s="21" t="s">
        <v>940</v>
      </c>
      <c r="K24" s="21" t="s">
        <v>846</v>
      </c>
      <c r="L24" s="21" t="s">
        <v>941</v>
      </c>
      <c r="M24" s="21" t="s">
        <v>753</v>
      </c>
      <c r="N24" s="21" t="s">
        <v>773</v>
      </c>
      <c r="O24" s="23">
        <v>0.18</v>
      </c>
      <c r="P24" s="21" t="s">
        <v>848</v>
      </c>
      <c r="Q24" s="21" t="s">
        <v>775</v>
      </c>
      <c r="R24" s="21" t="s">
        <v>753</v>
      </c>
      <c r="S24" s="21" t="s">
        <v>776</v>
      </c>
      <c r="T24" s="21" t="s">
        <v>942</v>
      </c>
      <c r="U24" s="21">
        <v>5</v>
      </c>
      <c r="V24" s="21">
        <v>30</v>
      </c>
      <c r="W24" s="21">
        <v>5</v>
      </c>
      <c r="X24" s="21" t="s">
        <v>753</v>
      </c>
      <c r="Y24" s="21" t="s">
        <v>846</v>
      </c>
      <c r="Z24" s="25"/>
      <c r="AA24" s="21"/>
      <c r="AB24" s="21" t="s">
        <v>932</v>
      </c>
      <c r="AC24" s="21" t="s">
        <v>933</v>
      </c>
    </row>
    <row r="25" spans="1:29" x14ac:dyDescent="0.3">
      <c r="A25" s="21" t="s">
        <v>943</v>
      </c>
      <c r="B25" s="21" t="s">
        <v>838</v>
      </c>
      <c r="C25" s="21" t="s">
        <v>944</v>
      </c>
      <c r="D25" s="21" t="s">
        <v>945</v>
      </c>
      <c r="E25" s="21" t="s">
        <v>841</v>
      </c>
      <c r="F25" s="21" t="s">
        <v>767</v>
      </c>
      <c r="G25" s="21" t="s">
        <v>946</v>
      </c>
      <c r="H25" s="21" t="s">
        <v>947</v>
      </c>
      <c r="I25" s="21" t="s">
        <v>844</v>
      </c>
      <c r="J25" s="21" t="s">
        <v>948</v>
      </c>
      <c r="K25" s="21" t="s">
        <v>846</v>
      </c>
      <c r="L25" s="21" t="s">
        <v>846</v>
      </c>
      <c r="M25" s="21" t="s">
        <v>846</v>
      </c>
      <c r="N25" s="21" t="s">
        <v>847</v>
      </c>
      <c r="O25" s="23">
        <v>0.16</v>
      </c>
      <c r="P25" s="21" t="s">
        <v>848</v>
      </c>
      <c r="Q25" s="21" t="s">
        <v>849</v>
      </c>
      <c r="R25" s="21" t="s">
        <v>846</v>
      </c>
      <c r="S25" s="21" t="s">
        <v>850</v>
      </c>
      <c r="T25" s="21" t="s">
        <v>949</v>
      </c>
      <c r="U25" s="21"/>
      <c r="V25" s="21"/>
      <c r="W25" s="21">
        <v>2</v>
      </c>
      <c r="X25" s="21" t="s">
        <v>753</v>
      </c>
      <c r="Y25" s="21" t="s">
        <v>846</v>
      </c>
      <c r="Z25" s="25"/>
      <c r="AA25" s="21"/>
      <c r="AB25" s="21"/>
      <c r="AC25" s="21" t="s">
        <v>933</v>
      </c>
    </row>
    <row r="26" spans="1:29" x14ac:dyDescent="0.3">
      <c r="A26" s="21" t="s">
        <v>950</v>
      </c>
      <c r="B26" s="21" t="s">
        <v>951</v>
      </c>
      <c r="C26" s="21" t="s">
        <v>952</v>
      </c>
      <c r="D26" s="21" t="s">
        <v>953</v>
      </c>
      <c r="E26" s="21">
        <v>8427.2000000000007</v>
      </c>
      <c r="F26" s="21" t="s">
        <v>767</v>
      </c>
      <c r="G26" s="21" t="s">
        <v>882</v>
      </c>
      <c r="H26" s="21" t="s">
        <v>954</v>
      </c>
      <c r="I26" s="21" t="s">
        <v>955</v>
      </c>
      <c r="J26" s="21" t="s">
        <v>956</v>
      </c>
      <c r="K26" s="21" t="s">
        <v>846</v>
      </c>
      <c r="L26" s="21" t="s">
        <v>846</v>
      </c>
      <c r="M26" s="21" t="s">
        <v>753</v>
      </c>
      <c r="N26" s="21" t="s">
        <v>773</v>
      </c>
      <c r="O26" s="23">
        <v>0.18</v>
      </c>
      <c r="P26" s="21" t="s">
        <v>848</v>
      </c>
      <c r="Q26" s="21" t="s">
        <v>775</v>
      </c>
      <c r="R26" s="21" t="s">
        <v>846</v>
      </c>
      <c r="S26" s="21" t="s">
        <v>850</v>
      </c>
      <c r="T26" s="21" t="s">
        <v>957</v>
      </c>
      <c r="U26" s="21"/>
      <c r="V26" s="21"/>
      <c r="W26" s="21">
        <v>30</v>
      </c>
      <c r="X26" s="21" t="s">
        <v>753</v>
      </c>
      <c r="Y26" s="21" t="s">
        <v>846</v>
      </c>
      <c r="Z26" s="25"/>
      <c r="AA26" s="21"/>
      <c r="AB26" s="21" t="s">
        <v>958</v>
      </c>
      <c r="AC26" s="21"/>
    </row>
    <row r="27" spans="1:29" x14ac:dyDescent="0.3">
      <c r="A27" s="21" t="s">
        <v>959</v>
      </c>
      <c r="B27" s="21" t="s">
        <v>838</v>
      </c>
      <c r="C27" s="21" t="s">
        <v>960</v>
      </c>
      <c r="D27" s="21" t="s">
        <v>961</v>
      </c>
      <c r="E27" s="21" t="s">
        <v>841</v>
      </c>
      <c r="F27" s="21" t="s">
        <v>767</v>
      </c>
      <c r="G27" s="21" t="s">
        <v>905</v>
      </c>
      <c r="H27" s="21" t="s">
        <v>906</v>
      </c>
      <c r="I27" s="21" t="s">
        <v>844</v>
      </c>
      <c r="J27" s="21" t="s">
        <v>962</v>
      </c>
      <c r="K27" s="21" t="s">
        <v>846</v>
      </c>
      <c r="L27" s="21" t="s">
        <v>846</v>
      </c>
      <c r="M27" s="21" t="s">
        <v>846</v>
      </c>
      <c r="N27" s="21" t="s">
        <v>847</v>
      </c>
      <c r="O27" s="23">
        <v>0.16</v>
      </c>
      <c r="P27" s="21" t="s">
        <v>848</v>
      </c>
      <c r="Q27" s="21" t="s">
        <v>849</v>
      </c>
      <c r="R27" s="21" t="s">
        <v>846</v>
      </c>
      <c r="S27" s="21" t="s">
        <v>850</v>
      </c>
      <c r="T27" s="21" t="s">
        <v>963</v>
      </c>
      <c r="U27" s="21"/>
      <c r="V27" s="21"/>
      <c r="W27" s="21">
        <v>0</v>
      </c>
      <c r="X27" s="21" t="s">
        <v>753</v>
      </c>
      <c r="Y27" s="21" t="s">
        <v>846</v>
      </c>
      <c r="Z27" s="25"/>
      <c r="AA27" s="21"/>
      <c r="AB27" s="21"/>
      <c r="AC27" s="21" t="s">
        <v>964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50C4E-2D45-4DA0-8E26-14FDAE237705}">
  <dimension ref="A1:AQ339"/>
  <sheetViews>
    <sheetView workbookViewId="0">
      <pane ySplit="2" topLeftCell="A3" activePane="bottomLeft" state="frozen"/>
      <selection activeCell="B16" sqref="B16"/>
      <selection pane="bottomLeft" activeCell="B16" sqref="B16"/>
    </sheetView>
  </sheetViews>
  <sheetFormatPr defaultRowHeight="16.5" x14ac:dyDescent="0.3"/>
  <cols>
    <col min="1" max="43" width="18.375" customWidth="1"/>
  </cols>
  <sheetData>
    <row r="1" spans="1:43" s="12" customFormat="1" ht="30" customHeight="1" x14ac:dyDescent="0.3">
      <c r="A1" s="15" t="s">
        <v>665</v>
      </c>
      <c r="B1" s="14" t="s">
        <v>60</v>
      </c>
      <c r="C1" s="14" t="s">
        <v>60</v>
      </c>
      <c r="D1" s="14" t="s">
        <v>60</v>
      </c>
      <c r="E1" s="14" t="s">
        <v>60</v>
      </c>
      <c r="F1" s="14" t="s">
        <v>60</v>
      </c>
      <c r="G1" s="14" t="s">
        <v>60</v>
      </c>
      <c r="H1" s="14" t="s">
        <v>60</v>
      </c>
      <c r="I1" s="14" t="s">
        <v>60</v>
      </c>
      <c r="J1" s="14" t="s">
        <v>60</v>
      </c>
      <c r="K1" s="14" t="s">
        <v>664</v>
      </c>
      <c r="L1" s="14" t="s">
        <v>60</v>
      </c>
      <c r="M1" s="14" t="s">
        <v>60</v>
      </c>
      <c r="N1" s="14" t="s">
        <v>60</v>
      </c>
      <c r="O1" s="14" t="s">
        <v>60</v>
      </c>
      <c r="P1" s="14" t="s">
        <v>60</v>
      </c>
      <c r="Q1" s="14" t="s">
        <v>663</v>
      </c>
      <c r="R1" s="14" t="s">
        <v>60</v>
      </c>
      <c r="S1" s="14" t="s">
        <v>60</v>
      </c>
      <c r="T1" s="14" t="s">
        <v>60</v>
      </c>
      <c r="U1" s="14" t="s">
        <v>60</v>
      </c>
      <c r="V1" s="14" t="s">
        <v>60</v>
      </c>
      <c r="W1" s="14" t="s">
        <v>60</v>
      </c>
      <c r="X1" s="14" t="s">
        <v>60</v>
      </c>
      <c r="Y1" s="14" t="s">
        <v>60</v>
      </c>
      <c r="Z1" s="14" t="s">
        <v>662</v>
      </c>
      <c r="AA1" s="14" t="s">
        <v>60</v>
      </c>
      <c r="AB1" s="14" t="s">
        <v>60</v>
      </c>
      <c r="AC1" s="14" t="s">
        <v>60</v>
      </c>
      <c r="AD1" s="14" t="s">
        <v>60</v>
      </c>
      <c r="AE1" s="14" t="s">
        <v>60</v>
      </c>
      <c r="AF1" s="14" t="s">
        <v>60</v>
      </c>
      <c r="AG1" s="14" t="s">
        <v>661</v>
      </c>
      <c r="AH1" s="14" t="s">
        <v>60</v>
      </c>
      <c r="AI1" s="14" t="s">
        <v>60</v>
      </c>
      <c r="AJ1" s="14" t="s">
        <v>60</v>
      </c>
      <c r="AK1" s="14" t="s">
        <v>60</v>
      </c>
      <c r="AL1" s="14" t="s">
        <v>660</v>
      </c>
      <c r="AM1" s="14" t="s">
        <v>60</v>
      </c>
      <c r="AN1" s="14" t="s">
        <v>60</v>
      </c>
      <c r="AO1" s="14" t="s">
        <v>60</v>
      </c>
      <c r="AP1" s="14" t="s">
        <v>60</v>
      </c>
      <c r="AQ1" s="13" t="s">
        <v>60</v>
      </c>
    </row>
    <row r="2" spans="1:43" ht="45" customHeight="1" x14ac:dyDescent="0.3">
      <c r="A2" s="11" t="s">
        <v>659</v>
      </c>
      <c r="B2" s="10" t="s">
        <v>658</v>
      </c>
      <c r="C2" s="10" t="s">
        <v>657</v>
      </c>
      <c r="D2" s="10" t="s">
        <v>656</v>
      </c>
      <c r="E2" s="10" t="s">
        <v>655</v>
      </c>
      <c r="F2" s="10" t="s">
        <v>654</v>
      </c>
      <c r="G2" s="10" t="s">
        <v>653</v>
      </c>
      <c r="H2" s="10" t="s">
        <v>652</v>
      </c>
      <c r="I2" s="10" t="s">
        <v>651</v>
      </c>
      <c r="J2" s="10" t="s">
        <v>650</v>
      </c>
      <c r="K2" s="10" t="s">
        <v>649</v>
      </c>
      <c r="L2" s="10" t="s">
        <v>648</v>
      </c>
      <c r="M2" s="10" t="s">
        <v>647</v>
      </c>
      <c r="N2" s="10" t="s">
        <v>646</v>
      </c>
      <c r="O2" s="10" t="s">
        <v>645</v>
      </c>
      <c r="P2" s="10" t="s">
        <v>644</v>
      </c>
      <c r="Q2" s="10" t="s">
        <v>643</v>
      </c>
      <c r="R2" s="10" t="s">
        <v>642</v>
      </c>
      <c r="S2" s="10" t="s">
        <v>641</v>
      </c>
      <c r="T2" s="10" t="s">
        <v>640</v>
      </c>
      <c r="U2" s="10" t="s">
        <v>639</v>
      </c>
      <c r="V2" s="10" t="s">
        <v>638</v>
      </c>
      <c r="W2" s="10" t="s">
        <v>637</v>
      </c>
      <c r="X2" s="10" t="s">
        <v>636</v>
      </c>
      <c r="Y2" s="10" t="s">
        <v>635</v>
      </c>
      <c r="Z2" s="10" t="s">
        <v>322</v>
      </c>
      <c r="AA2" s="10" t="s">
        <v>634</v>
      </c>
      <c r="AB2" s="10" t="s">
        <v>633</v>
      </c>
      <c r="AC2" s="10" t="s">
        <v>632</v>
      </c>
      <c r="AD2" s="10" t="s">
        <v>631</v>
      </c>
      <c r="AE2" s="10" t="s">
        <v>630</v>
      </c>
      <c r="AF2" s="10" t="s">
        <v>629</v>
      </c>
      <c r="AG2" s="10" t="s">
        <v>628</v>
      </c>
      <c r="AH2" s="10" t="s">
        <v>627</v>
      </c>
      <c r="AI2" s="10" t="s">
        <v>626</v>
      </c>
      <c r="AJ2" s="10" t="s">
        <v>625</v>
      </c>
      <c r="AK2" s="10" t="s">
        <v>624</v>
      </c>
      <c r="AL2" s="10" t="s">
        <v>623</v>
      </c>
      <c r="AM2" s="10" t="s">
        <v>622</v>
      </c>
      <c r="AN2" s="10" t="s">
        <v>621</v>
      </c>
      <c r="AO2" s="10" t="s">
        <v>620</v>
      </c>
      <c r="AP2" s="10" t="s">
        <v>619</v>
      </c>
      <c r="AQ2" s="9" t="s">
        <v>618</v>
      </c>
    </row>
    <row r="3" spans="1:43" x14ac:dyDescent="0.3">
      <c r="A3" s="20" t="s">
        <v>1908</v>
      </c>
      <c r="B3" s="34">
        <v>45567.541666666664</v>
      </c>
      <c r="C3" s="20" t="s">
        <v>1909</v>
      </c>
      <c r="D3" s="20" t="s">
        <v>1910</v>
      </c>
      <c r="E3" s="20" t="s">
        <v>1911</v>
      </c>
      <c r="F3" s="20" t="s">
        <v>1817</v>
      </c>
      <c r="G3" s="34">
        <v>45567.661249999997</v>
      </c>
      <c r="H3" s="20" t="s">
        <v>1912</v>
      </c>
      <c r="I3" s="20" t="s">
        <v>1913</v>
      </c>
      <c r="J3" s="20" t="s">
        <v>1914</v>
      </c>
      <c r="K3" s="20" t="s">
        <v>1813</v>
      </c>
      <c r="L3" s="20" t="s">
        <v>1089</v>
      </c>
      <c r="M3" s="20" t="s">
        <v>1105</v>
      </c>
      <c r="N3" s="20" t="s">
        <v>1106</v>
      </c>
      <c r="O3" s="20" t="s">
        <v>1915</v>
      </c>
      <c r="P3" s="20" t="s">
        <v>1916</v>
      </c>
      <c r="Q3" s="20" t="s">
        <v>1339</v>
      </c>
      <c r="R3" s="20" t="s">
        <v>1350</v>
      </c>
      <c r="S3" s="20" t="s">
        <v>1352</v>
      </c>
      <c r="T3" s="20" t="s">
        <v>1917</v>
      </c>
      <c r="U3" s="20" t="s">
        <v>1677</v>
      </c>
      <c r="V3" s="20" t="str">
        <f>_xlfn.XLOOKUP(U3,'T07'!$D$3:$D$1500,'T07'!$BI$3:$BI$1500)&amp;" / "&amp;_xlfn.XLOOKUP(U3,'T07'!$D$3:$D$1500,'T07'!$BJ$3:$BJ$1500)</f>
        <v>LHR-HTV-2010-55907 / HTV</v>
      </c>
      <c r="W3" s="20" t="s">
        <v>1917</v>
      </c>
      <c r="X3" s="20" t="s">
        <v>1679</v>
      </c>
      <c r="Y3" s="20" t="s">
        <v>1918</v>
      </c>
      <c r="Z3" s="20">
        <v>1</v>
      </c>
      <c r="AA3" s="20" t="s">
        <v>1815</v>
      </c>
      <c r="AB3" s="20" t="s">
        <v>783</v>
      </c>
      <c r="AC3" s="24">
        <v>230</v>
      </c>
      <c r="AD3" s="24">
        <v>38</v>
      </c>
      <c r="AE3" s="20" t="s">
        <v>1919</v>
      </c>
      <c r="AF3" s="20" t="s">
        <v>1920</v>
      </c>
      <c r="AG3" s="34">
        <v>45567.681249999994</v>
      </c>
      <c r="AH3" s="20" t="s">
        <v>1921</v>
      </c>
      <c r="AI3" s="24">
        <v>38</v>
      </c>
      <c r="AJ3" s="20" t="s">
        <v>1107</v>
      </c>
      <c r="AK3" s="20" t="s">
        <v>1922</v>
      </c>
      <c r="AL3" s="20" t="str">
        <f>IF(AD3-AI3&gt;0,(AD3-AI3)&amp;" bags - damaged in transit","None")</f>
        <v>None</v>
      </c>
      <c r="AM3" s="20" t="s">
        <v>844</v>
      </c>
      <c r="AN3" s="20" t="s">
        <v>848</v>
      </c>
      <c r="AO3" s="20" t="s">
        <v>1923</v>
      </c>
      <c r="AP3" s="20" t="str">
        <f>IF(AO3="Pending","Not yet invoiced",IF(AI3=AD3,"Matched","Invoiced on received qty ("&amp;AI3&amp;" of "&amp;AD3&amp;")"))</f>
        <v>Matched</v>
      </c>
      <c r="AQ3" s="20" t="s">
        <v>1924</v>
      </c>
    </row>
    <row r="4" spans="1:43" x14ac:dyDescent="0.3">
      <c r="A4" s="21" t="s">
        <v>1925</v>
      </c>
      <c r="B4" s="35">
        <v>45568.291666666664</v>
      </c>
      <c r="C4" s="21" t="s">
        <v>1909</v>
      </c>
      <c r="D4" s="21" t="s">
        <v>1926</v>
      </c>
      <c r="E4" s="21" t="s">
        <v>1927</v>
      </c>
      <c r="F4" s="21" t="s">
        <v>768</v>
      </c>
      <c r="G4" s="35">
        <v>45568.564375000002</v>
      </c>
      <c r="H4" s="21" t="s">
        <v>1912</v>
      </c>
      <c r="I4" s="21" t="s">
        <v>1913</v>
      </c>
      <c r="J4" s="21" t="s">
        <v>1914</v>
      </c>
      <c r="K4" s="21" t="s">
        <v>1800</v>
      </c>
      <c r="L4" s="21" t="s">
        <v>1073</v>
      </c>
      <c r="M4" s="21" t="s">
        <v>1801</v>
      </c>
      <c r="N4" s="21" t="s">
        <v>1928</v>
      </c>
      <c r="O4" s="21" t="s">
        <v>1929</v>
      </c>
      <c r="P4" s="21" t="s">
        <v>1930</v>
      </c>
      <c r="Q4" s="21" t="s">
        <v>1278</v>
      </c>
      <c r="R4" s="21" t="s">
        <v>1332</v>
      </c>
      <c r="S4" s="21" t="s">
        <v>1127</v>
      </c>
      <c r="T4" s="21" t="s">
        <v>1917</v>
      </c>
      <c r="U4" s="21" t="s">
        <v>1711</v>
      </c>
      <c r="V4" s="21" t="str">
        <f>_xlfn.XLOOKUP(U4,'T07'!$D$3:$D$1500,'T07'!$BI$3:$BI$1500)&amp;" / "&amp;_xlfn.XLOOKUP(U4,'T07'!$D$3:$D$1500,'T07'!$BJ$3:$BJ$1500)</f>
        <v>LHR-HTV-2008-42260 / HTV</v>
      </c>
      <c r="W4" s="21" t="s">
        <v>1917</v>
      </c>
      <c r="X4" s="21" t="s">
        <v>1713</v>
      </c>
      <c r="Y4" s="21" t="s">
        <v>1931</v>
      </c>
      <c r="Z4" s="21">
        <v>1</v>
      </c>
      <c r="AA4" s="21" t="s">
        <v>1808</v>
      </c>
      <c r="AB4" s="21" t="s">
        <v>1804</v>
      </c>
      <c r="AC4" s="25">
        <v>3000</v>
      </c>
      <c r="AD4" s="25">
        <v>250</v>
      </c>
      <c r="AE4" s="21" t="s">
        <v>1932</v>
      </c>
      <c r="AF4" s="21" t="s">
        <v>1933</v>
      </c>
      <c r="AG4" s="35">
        <v>45568.584374999999</v>
      </c>
      <c r="AH4" s="21" t="s">
        <v>1934</v>
      </c>
      <c r="AI4" s="25">
        <v>250</v>
      </c>
      <c r="AJ4" s="21" t="s">
        <v>1074</v>
      </c>
      <c r="AK4" s="21" t="s">
        <v>1922</v>
      </c>
      <c r="AL4" s="21" t="str">
        <f>IF(AD4-AI4&gt;0,(AD4-AI4)&amp;" bags - damaged in transit","None")</f>
        <v>None</v>
      </c>
      <c r="AM4" s="21" t="s">
        <v>844</v>
      </c>
      <c r="AN4" s="21" t="s">
        <v>848</v>
      </c>
      <c r="AO4" s="21" t="s">
        <v>1935</v>
      </c>
      <c r="AP4" s="21" t="str">
        <f>IF(AO4="Pending","Not yet invoiced",IF(AI4=AD4,"Matched","Invoiced on received qty ("&amp;AI4&amp;" of "&amp;AD4&amp;")"))</f>
        <v>Matched</v>
      </c>
      <c r="AQ4" s="21" t="s">
        <v>1936</v>
      </c>
    </row>
    <row r="5" spans="1:43" x14ac:dyDescent="0.3">
      <c r="A5" s="21" t="s">
        <v>1925</v>
      </c>
      <c r="B5" s="35">
        <v>45568.291666666664</v>
      </c>
      <c r="C5" s="21" t="s">
        <v>1909</v>
      </c>
      <c r="D5" s="21" t="s">
        <v>1926</v>
      </c>
      <c r="E5" s="21" t="s">
        <v>1927</v>
      </c>
      <c r="F5" s="21" t="s">
        <v>768</v>
      </c>
      <c r="G5" s="35">
        <v>45568.564375000002</v>
      </c>
      <c r="H5" s="21" t="s">
        <v>1912</v>
      </c>
      <c r="I5" s="21" t="s">
        <v>1913</v>
      </c>
      <c r="J5" s="21" t="s">
        <v>1914</v>
      </c>
      <c r="K5" s="21" t="s">
        <v>1800</v>
      </c>
      <c r="L5" s="21" t="s">
        <v>1073</v>
      </c>
      <c r="M5" s="21" t="s">
        <v>1801</v>
      </c>
      <c r="N5" s="21" t="s">
        <v>1928</v>
      </c>
      <c r="O5" s="21" t="s">
        <v>1929</v>
      </c>
      <c r="P5" s="21" t="s">
        <v>1930</v>
      </c>
      <c r="Q5" s="21" t="s">
        <v>1278</v>
      </c>
      <c r="R5" s="21" t="s">
        <v>1332</v>
      </c>
      <c r="S5" s="21" t="s">
        <v>1127</v>
      </c>
      <c r="T5" s="21" t="s">
        <v>1917</v>
      </c>
      <c r="U5" s="21" t="s">
        <v>1711</v>
      </c>
      <c r="V5" s="21" t="str">
        <f>_xlfn.XLOOKUP(U5,'T07'!$D$3:$D$1500,'T07'!$BI$3:$BI$1500)&amp;" / "&amp;_xlfn.XLOOKUP(U5,'T07'!$D$3:$D$1500,'T07'!$BJ$3:$BJ$1500)</f>
        <v>LHR-HTV-2008-42260 / HTV</v>
      </c>
      <c r="W5" s="21" t="s">
        <v>1917</v>
      </c>
      <c r="X5" s="21" t="s">
        <v>1713</v>
      </c>
      <c r="Y5" s="21" t="s">
        <v>1931</v>
      </c>
      <c r="Z5" s="21">
        <v>2</v>
      </c>
      <c r="AA5" s="21" t="s">
        <v>1803</v>
      </c>
      <c r="AB5" s="21" t="s">
        <v>1804</v>
      </c>
      <c r="AC5" s="25">
        <v>1000</v>
      </c>
      <c r="AD5" s="25">
        <v>250</v>
      </c>
      <c r="AE5" s="21" t="s">
        <v>1937</v>
      </c>
      <c r="AF5" s="21" t="s">
        <v>1933</v>
      </c>
      <c r="AG5" s="35">
        <v>45568.584374999999</v>
      </c>
      <c r="AH5" s="21" t="s">
        <v>1934</v>
      </c>
      <c r="AI5" s="25">
        <v>250</v>
      </c>
      <c r="AJ5" s="21" t="s">
        <v>1074</v>
      </c>
      <c r="AK5" s="21" t="s">
        <v>1922</v>
      </c>
      <c r="AL5" s="21" t="str">
        <f>IF(AD5-AI5&gt;0,(AD5-AI5)&amp;" bags - damaged in transit","None")</f>
        <v>None</v>
      </c>
      <c r="AM5" s="21" t="s">
        <v>844</v>
      </c>
      <c r="AN5" s="21" t="s">
        <v>848</v>
      </c>
      <c r="AO5" s="21" t="s">
        <v>1935</v>
      </c>
      <c r="AP5" s="21" t="str">
        <f>IF(AO5="Pending","Not yet invoiced",IF(AI5=AD5,"Matched","Invoiced on received qty ("&amp;AI5&amp;" of "&amp;AD5&amp;")"))</f>
        <v>Matched</v>
      </c>
      <c r="AQ5" s="21" t="s">
        <v>1936</v>
      </c>
    </row>
    <row r="6" spans="1:43" x14ac:dyDescent="0.3">
      <c r="A6" s="21" t="s">
        <v>1938</v>
      </c>
      <c r="B6" s="35">
        <v>45571.458333333336</v>
      </c>
      <c r="C6" s="21" t="s">
        <v>1909</v>
      </c>
      <c r="D6" s="21" t="s">
        <v>1910</v>
      </c>
      <c r="E6" s="21" t="s">
        <v>1911</v>
      </c>
      <c r="F6" s="21" t="s">
        <v>1817</v>
      </c>
      <c r="G6" s="35">
        <v>45571.577916666669</v>
      </c>
      <c r="H6" s="21" t="s">
        <v>1912</v>
      </c>
      <c r="I6" s="21" t="s">
        <v>1913</v>
      </c>
      <c r="J6" s="21" t="s">
        <v>1914</v>
      </c>
      <c r="K6" s="21" t="s">
        <v>1813</v>
      </c>
      <c r="L6" s="21" t="s">
        <v>1089</v>
      </c>
      <c r="M6" s="21" t="s">
        <v>1105</v>
      </c>
      <c r="N6" s="21" t="s">
        <v>1106</v>
      </c>
      <c r="O6" s="21" t="s">
        <v>1915</v>
      </c>
      <c r="P6" s="21" t="s">
        <v>1916</v>
      </c>
      <c r="Q6" s="21" t="s">
        <v>1339</v>
      </c>
      <c r="R6" s="21" t="s">
        <v>1350</v>
      </c>
      <c r="S6" s="21" t="s">
        <v>1352</v>
      </c>
      <c r="T6" s="21" t="s">
        <v>1917</v>
      </c>
      <c r="U6" s="21" t="s">
        <v>1697</v>
      </c>
      <c r="V6" s="21" t="str">
        <f>_xlfn.XLOOKUP(U6,'T07'!$D$3:$D$1500,'T07'!$BI$3:$BI$1500)&amp;" / "&amp;_xlfn.XLOOKUP(U6,'T07'!$D$3:$D$1500,'T07'!$BJ$3:$BJ$1500)</f>
        <v>LHR-HTV-2013-23962 / HTV</v>
      </c>
      <c r="W6" s="21" t="s">
        <v>1917</v>
      </c>
      <c r="X6" s="21" t="s">
        <v>1700</v>
      </c>
      <c r="Y6" s="21" t="s">
        <v>1918</v>
      </c>
      <c r="Z6" s="21">
        <v>1</v>
      </c>
      <c r="AA6" s="21" t="s">
        <v>1815</v>
      </c>
      <c r="AB6" s="21" t="s">
        <v>783</v>
      </c>
      <c r="AC6" s="25">
        <v>192</v>
      </c>
      <c r="AD6" s="25">
        <v>40</v>
      </c>
      <c r="AE6" s="21" t="s">
        <v>1939</v>
      </c>
      <c r="AF6" s="21" t="s">
        <v>1940</v>
      </c>
      <c r="AG6" s="35">
        <v>45571.597916666666</v>
      </c>
      <c r="AH6" s="21" t="s">
        <v>1921</v>
      </c>
      <c r="AI6" s="25">
        <v>40</v>
      </c>
      <c r="AJ6" s="21" t="s">
        <v>1107</v>
      </c>
      <c r="AK6" s="21" t="s">
        <v>1922</v>
      </c>
      <c r="AL6" s="21" t="str">
        <f>IF(AD6-AI6&gt;0,(AD6-AI6)&amp;" bags - damaged in transit","None")</f>
        <v>None</v>
      </c>
      <c r="AM6" s="21" t="s">
        <v>844</v>
      </c>
      <c r="AN6" s="21" t="s">
        <v>848</v>
      </c>
      <c r="AO6" s="21" t="s">
        <v>1923</v>
      </c>
      <c r="AP6" s="21" t="str">
        <f>IF(AO6="Pending","Not yet invoiced",IF(AI6=AD6,"Matched","Invoiced on received qty ("&amp;AI6&amp;" of "&amp;AD6&amp;")"))</f>
        <v>Matched</v>
      </c>
      <c r="AQ6" s="21" t="s">
        <v>1924</v>
      </c>
    </row>
    <row r="7" spans="1:43" x14ac:dyDescent="0.3">
      <c r="A7" s="21" t="s">
        <v>1941</v>
      </c>
      <c r="B7" s="35">
        <v>45572.458333333336</v>
      </c>
      <c r="C7" s="21" t="s">
        <v>1909</v>
      </c>
      <c r="D7" s="21" t="s">
        <v>1926</v>
      </c>
      <c r="E7" s="21" t="s">
        <v>1911</v>
      </c>
      <c r="F7" s="21" t="s">
        <v>768</v>
      </c>
      <c r="G7" s="35">
        <v>45572.731041666673</v>
      </c>
      <c r="H7" s="21" t="s">
        <v>1912</v>
      </c>
      <c r="I7" s="21" t="s">
        <v>1913</v>
      </c>
      <c r="J7" s="21" t="s">
        <v>1914</v>
      </c>
      <c r="K7" s="21" t="s">
        <v>1800</v>
      </c>
      <c r="L7" s="21" t="s">
        <v>1073</v>
      </c>
      <c r="M7" s="21" t="s">
        <v>1801</v>
      </c>
      <c r="N7" s="21" t="s">
        <v>1928</v>
      </c>
      <c r="O7" s="21" t="s">
        <v>1929</v>
      </c>
      <c r="P7" s="21" t="s">
        <v>1930</v>
      </c>
      <c r="Q7" s="21" t="s">
        <v>1278</v>
      </c>
      <c r="R7" s="21" t="s">
        <v>1317</v>
      </c>
      <c r="S7" s="21" t="s">
        <v>1104</v>
      </c>
      <c r="T7" s="21" t="s">
        <v>1917</v>
      </c>
      <c r="U7" s="21" t="s">
        <v>1724</v>
      </c>
      <c r="V7" s="21" t="str">
        <f>_xlfn.XLOOKUP(U7,'T07'!$D$3:$D$1500,'T07'!$BI$3:$BI$1500)&amp;" / "&amp;_xlfn.XLOOKUP(U7,'T07'!$D$3:$D$1500,'T07'!$BJ$3:$BJ$1500)</f>
        <v>LHR-HTV-2008-90487 / HTV</v>
      </c>
      <c r="W7" s="21" t="s">
        <v>1917</v>
      </c>
      <c r="X7" s="21" t="s">
        <v>1726</v>
      </c>
      <c r="Y7" s="21" t="s">
        <v>1942</v>
      </c>
      <c r="Z7" s="21">
        <v>1</v>
      </c>
      <c r="AA7" s="21" t="s">
        <v>1808</v>
      </c>
      <c r="AB7" s="21" t="s">
        <v>1804</v>
      </c>
      <c r="AC7" s="25">
        <v>2750</v>
      </c>
      <c r="AD7" s="25">
        <v>500</v>
      </c>
      <c r="AE7" s="21" t="s">
        <v>1943</v>
      </c>
      <c r="AF7" s="21" t="s">
        <v>1944</v>
      </c>
      <c r="AG7" s="35">
        <v>45572.75104166667</v>
      </c>
      <c r="AH7" s="21" t="s">
        <v>1934</v>
      </c>
      <c r="AI7" s="25">
        <v>500</v>
      </c>
      <c r="AJ7" s="21" t="s">
        <v>1074</v>
      </c>
      <c r="AK7" s="21" t="s">
        <v>1922</v>
      </c>
      <c r="AL7" s="21" t="str">
        <f>IF(AD7-AI7&gt;0,(AD7-AI7)&amp;" bags - damaged in transit","None")</f>
        <v>None</v>
      </c>
      <c r="AM7" s="21" t="s">
        <v>844</v>
      </c>
      <c r="AN7" s="21" t="s">
        <v>848</v>
      </c>
      <c r="AO7" s="21" t="s">
        <v>1935</v>
      </c>
      <c r="AP7" s="21" t="str">
        <f>IF(AO7="Pending","Not yet invoiced",IF(AI7=AD7,"Matched","Invoiced on received qty ("&amp;AI7&amp;" of "&amp;AD7&amp;")"))</f>
        <v>Matched</v>
      </c>
      <c r="AQ7" s="21" t="s">
        <v>1936</v>
      </c>
    </row>
    <row r="8" spans="1:43" x14ac:dyDescent="0.3">
      <c r="A8" s="21" t="s">
        <v>1941</v>
      </c>
      <c r="B8" s="35">
        <v>45572.458333333336</v>
      </c>
      <c r="C8" s="21" t="s">
        <v>1909</v>
      </c>
      <c r="D8" s="21" t="s">
        <v>1926</v>
      </c>
      <c r="E8" s="21" t="s">
        <v>1945</v>
      </c>
      <c r="F8" s="21" t="s">
        <v>768</v>
      </c>
      <c r="G8" s="35">
        <v>45572.731041666673</v>
      </c>
      <c r="H8" s="21" t="s">
        <v>1912</v>
      </c>
      <c r="I8" s="21" t="s">
        <v>1913</v>
      </c>
      <c r="J8" s="21" t="s">
        <v>1914</v>
      </c>
      <c r="K8" s="21" t="s">
        <v>1800</v>
      </c>
      <c r="L8" s="21" t="s">
        <v>1073</v>
      </c>
      <c r="M8" s="21" t="s">
        <v>1801</v>
      </c>
      <c r="N8" s="21" t="s">
        <v>1928</v>
      </c>
      <c r="O8" s="21" t="s">
        <v>1929</v>
      </c>
      <c r="P8" s="21" t="s">
        <v>1930</v>
      </c>
      <c r="Q8" s="21" t="s">
        <v>1278</v>
      </c>
      <c r="R8" s="21" t="s">
        <v>1317</v>
      </c>
      <c r="S8" s="21" t="s">
        <v>1104</v>
      </c>
      <c r="T8" s="21" t="s">
        <v>1917</v>
      </c>
      <c r="U8" s="21" t="s">
        <v>1724</v>
      </c>
      <c r="V8" s="21" t="str">
        <f>_xlfn.XLOOKUP(U8,'T07'!$D$3:$D$1500,'T07'!$BI$3:$BI$1500)&amp;" / "&amp;_xlfn.XLOOKUP(U8,'T07'!$D$3:$D$1500,'T07'!$BJ$3:$BJ$1500)</f>
        <v>LHR-HTV-2008-90487 / HTV</v>
      </c>
      <c r="W8" s="21" t="s">
        <v>1917</v>
      </c>
      <c r="X8" s="21" t="s">
        <v>1726</v>
      </c>
      <c r="Y8" s="21" t="s">
        <v>1942</v>
      </c>
      <c r="Z8" s="21">
        <v>2</v>
      </c>
      <c r="AA8" s="21" t="s">
        <v>1803</v>
      </c>
      <c r="AB8" s="21" t="s">
        <v>1804</v>
      </c>
      <c r="AC8" s="25">
        <v>750</v>
      </c>
      <c r="AD8" s="25">
        <v>500</v>
      </c>
      <c r="AE8" s="21" t="s">
        <v>1946</v>
      </c>
      <c r="AF8" s="21" t="s">
        <v>1944</v>
      </c>
      <c r="AG8" s="35">
        <v>45572.75104166667</v>
      </c>
      <c r="AH8" s="21" t="s">
        <v>1934</v>
      </c>
      <c r="AI8" s="25">
        <v>500</v>
      </c>
      <c r="AJ8" s="21" t="s">
        <v>1074</v>
      </c>
      <c r="AK8" s="21" t="s">
        <v>1922</v>
      </c>
      <c r="AL8" s="21" t="str">
        <f>IF(AD8-AI8&gt;0,(AD8-AI8)&amp;" bags - damaged in transit","None")</f>
        <v>None</v>
      </c>
      <c r="AM8" s="21" t="s">
        <v>844</v>
      </c>
      <c r="AN8" s="21" t="s">
        <v>848</v>
      </c>
      <c r="AO8" s="21" t="s">
        <v>1935</v>
      </c>
      <c r="AP8" s="21" t="str">
        <f>IF(AO8="Pending","Not yet invoiced",IF(AI8=AD8,"Matched","Invoiced on received qty ("&amp;AI8&amp;" of "&amp;AD8&amp;")"))</f>
        <v>Matched</v>
      </c>
      <c r="AQ8" s="21" t="s">
        <v>1936</v>
      </c>
    </row>
    <row r="9" spans="1:43" x14ac:dyDescent="0.3">
      <c r="A9" s="21" t="s">
        <v>1947</v>
      </c>
      <c r="B9" s="35">
        <v>45577.5</v>
      </c>
      <c r="C9" s="21" t="s">
        <v>1909</v>
      </c>
      <c r="D9" s="21" t="s">
        <v>1926</v>
      </c>
      <c r="E9" s="21" t="s">
        <v>1911</v>
      </c>
      <c r="F9" s="21" t="s">
        <v>768</v>
      </c>
      <c r="G9" s="35">
        <v>45577.772708333338</v>
      </c>
      <c r="H9" s="21" t="s">
        <v>1912</v>
      </c>
      <c r="I9" s="21" t="s">
        <v>1913</v>
      </c>
      <c r="J9" s="21" t="s">
        <v>1914</v>
      </c>
      <c r="K9" s="21" t="s">
        <v>1800</v>
      </c>
      <c r="L9" s="21" t="s">
        <v>1073</v>
      </c>
      <c r="M9" s="21" t="s">
        <v>1801</v>
      </c>
      <c r="N9" s="21" t="s">
        <v>1928</v>
      </c>
      <c r="O9" s="21" t="s">
        <v>1929</v>
      </c>
      <c r="P9" s="21" t="s">
        <v>1930</v>
      </c>
      <c r="Q9" s="21" t="s">
        <v>1278</v>
      </c>
      <c r="R9" s="21" t="s">
        <v>1310</v>
      </c>
      <c r="S9" s="21" t="s">
        <v>1247</v>
      </c>
      <c r="T9" s="21" t="s">
        <v>1917</v>
      </c>
      <c r="U9" s="21" t="s">
        <v>1766</v>
      </c>
      <c r="V9" s="21" t="str">
        <f>_xlfn.XLOOKUP(U9,'T07'!$D$3:$D$1500,'T07'!$BI$3:$BI$1500)&amp;" / "&amp;_xlfn.XLOOKUP(U9,'T07'!$D$3:$D$1500,'T07'!$BJ$3:$BJ$1500)</f>
        <v>LHR-LTV-2019-66685 / LTV</v>
      </c>
      <c r="W9" s="21" t="s">
        <v>1917</v>
      </c>
      <c r="X9" s="21" t="s">
        <v>1768</v>
      </c>
      <c r="Y9" s="21" t="s">
        <v>1948</v>
      </c>
      <c r="Z9" s="21">
        <v>1</v>
      </c>
      <c r="AA9" s="21" t="s">
        <v>1808</v>
      </c>
      <c r="AB9" s="21" t="s">
        <v>1804</v>
      </c>
      <c r="AC9" s="25">
        <v>2250</v>
      </c>
      <c r="AD9" s="25">
        <v>100</v>
      </c>
      <c r="AE9" s="21" t="s">
        <v>1949</v>
      </c>
      <c r="AF9" s="21" t="s">
        <v>1950</v>
      </c>
      <c r="AG9" s="35">
        <v>45577.792708333334</v>
      </c>
      <c r="AH9" s="21" t="s">
        <v>1934</v>
      </c>
      <c r="AI9" s="25">
        <v>100</v>
      </c>
      <c r="AJ9" s="21" t="s">
        <v>1074</v>
      </c>
      <c r="AK9" s="21" t="s">
        <v>1922</v>
      </c>
      <c r="AL9" s="21" t="str">
        <f>IF(AD9-AI9&gt;0,(AD9-AI9)&amp;" bags - damaged in transit","None")</f>
        <v>None</v>
      </c>
      <c r="AM9" s="21" t="s">
        <v>844</v>
      </c>
      <c r="AN9" s="21" t="s">
        <v>848</v>
      </c>
      <c r="AO9" s="21" t="s">
        <v>1935</v>
      </c>
      <c r="AP9" s="21" t="str">
        <f>IF(AO9="Pending","Not yet invoiced",IF(AI9=AD9,"Matched","Invoiced on received qty ("&amp;AI9&amp;" of "&amp;AD9&amp;")"))</f>
        <v>Matched</v>
      </c>
      <c r="AQ9" s="21" t="s">
        <v>1936</v>
      </c>
    </row>
    <row r="10" spans="1:43" x14ac:dyDescent="0.3">
      <c r="A10" s="21" t="s">
        <v>1947</v>
      </c>
      <c r="B10" s="35">
        <v>45577.5</v>
      </c>
      <c r="C10" s="21" t="s">
        <v>1909</v>
      </c>
      <c r="D10" s="21" t="s">
        <v>1926</v>
      </c>
      <c r="E10" s="21" t="s">
        <v>1945</v>
      </c>
      <c r="F10" s="21" t="s">
        <v>768</v>
      </c>
      <c r="G10" s="35">
        <v>45577.772708333338</v>
      </c>
      <c r="H10" s="21" t="s">
        <v>1912</v>
      </c>
      <c r="I10" s="21" t="s">
        <v>1913</v>
      </c>
      <c r="J10" s="21" t="s">
        <v>1914</v>
      </c>
      <c r="K10" s="21" t="s">
        <v>1800</v>
      </c>
      <c r="L10" s="21" t="s">
        <v>1073</v>
      </c>
      <c r="M10" s="21" t="s">
        <v>1801</v>
      </c>
      <c r="N10" s="21" t="s">
        <v>1928</v>
      </c>
      <c r="O10" s="21" t="s">
        <v>1929</v>
      </c>
      <c r="P10" s="21" t="s">
        <v>1930</v>
      </c>
      <c r="Q10" s="21" t="s">
        <v>1278</v>
      </c>
      <c r="R10" s="21" t="s">
        <v>1310</v>
      </c>
      <c r="S10" s="21" t="s">
        <v>1247</v>
      </c>
      <c r="T10" s="21" t="s">
        <v>1917</v>
      </c>
      <c r="U10" s="21" t="s">
        <v>1766</v>
      </c>
      <c r="V10" s="21" t="str">
        <f>_xlfn.XLOOKUP(U10,'T07'!$D$3:$D$1500,'T07'!$BI$3:$BI$1500)&amp;" / "&amp;_xlfn.XLOOKUP(U10,'T07'!$D$3:$D$1500,'T07'!$BJ$3:$BJ$1500)</f>
        <v>LHR-LTV-2019-66685 / LTV</v>
      </c>
      <c r="W10" s="21" t="s">
        <v>1917</v>
      </c>
      <c r="X10" s="21" t="s">
        <v>1768</v>
      </c>
      <c r="Y10" s="21" t="s">
        <v>1948</v>
      </c>
      <c r="Z10" s="21">
        <v>2</v>
      </c>
      <c r="AA10" s="21" t="s">
        <v>1803</v>
      </c>
      <c r="AB10" s="21" t="s">
        <v>1804</v>
      </c>
      <c r="AC10" s="25">
        <v>250</v>
      </c>
      <c r="AD10" s="25">
        <v>100</v>
      </c>
      <c r="AE10" s="21" t="s">
        <v>1951</v>
      </c>
      <c r="AF10" s="21" t="s">
        <v>1950</v>
      </c>
      <c r="AG10" s="35">
        <v>45577.792708333334</v>
      </c>
      <c r="AH10" s="21" t="s">
        <v>1934</v>
      </c>
      <c r="AI10" s="25">
        <v>100</v>
      </c>
      <c r="AJ10" s="21" t="s">
        <v>1074</v>
      </c>
      <c r="AK10" s="21" t="s">
        <v>1922</v>
      </c>
      <c r="AL10" s="21" t="str">
        <f>IF(AD10-AI10&gt;0,(AD10-AI10)&amp;" bags - damaged in transit","None")</f>
        <v>None</v>
      </c>
      <c r="AM10" s="21" t="s">
        <v>844</v>
      </c>
      <c r="AN10" s="21" t="s">
        <v>848</v>
      </c>
      <c r="AO10" s="21" t="s">
        <v>1935</v>
      </c>
      <c r="AP10" s="21" t="str">
        <f>IF(AO10="Pending","Not yet invoiced",IF(AI10=AD10,"Matched","Invoiced on received qty ("&amp;AI10&amp;" of "&amp;AD10&amp;")"))</f>
        <v>Matched</v>
      </c>
      <c r="AQ10" s="21" t="s">
        <v>1936</v>
      </c>
    </row>
    <row r="11" spans="1:43" x14ac:dyDescent="0.3">
      <c r="A11" s="21" t="s">
        <v>1952</v>
      </c>
      <c r="B11" s="35">
        <v>45578.5</v>
      </c>
      <c r="C11" s="21" t="s">
        <v>1909</v>
      </c>
      <c r="D11" s="21" t="s">
        <v>1910</v>
      </c>
      <c r="E11" s="21" t="s">
        <v>1911</v>
      </c>
      <c r="F11" s="21" t="s">
        <v>1817</v>
      </c>
      <c r="G11" s="35">
        <v>45578.619583333333</v>
      </c>
      <c r="H11" s="21" t="s">
        <v>1912</v>
      </c>
      <c r="I11" s="21" t="s">
        <v>1913</v>
      </c>
      <c r="J11" s="21" t="s">
        <v>1914</v>
      </c>
      <c r="K11" s="21" t="s">
        <v>1813</v>
      </c>
      <c r="L11" s="21" t="s">
        <v>1089</v>
      </c>
      <c r="M11" s="21" t="s">
        <v>1105</v>
      </c>
      <c r="N11" s="21" t="s">
        <v>1106</v>
      </c>
      <c r="O11" s="21" t="s">
        <v>1915</v>
      </c>
      <c r="P11" s="21" t="s">
        <v>1916</v>
      </c>
      <c r="Q11" s="21" t="s">
        <v>1339</v>
      </c>
      <c r="R11" s="21" t="s">
        <v>1341</v>
      </c>
      <c r="S11" s="21" t="s">
        <v>1343</v>
      </c>
      <c r="T11" s="21" t="s">
        <v>1917</v>
      </c>
      <c r="U11" s="21" t="s">
        <v>1782</v>
      </c>
      <c r="V11" s="21" t="str">
        <f>_xlfn.XLOOKUP(U11,'T07'!$D$3:$D$1500,'T07'!$BI$3:$BI$1500)&amp;" / "&amp;_xlfn.XLOOKUP(U11,'T07'!$D$3:$D$1500,'T07'!$BJ$3:$BJ$1500)</f>
        <v>LHR-HTV-2014-51184 / HTV</v>
      </c>
      <c r="W11" s="21" t="s">
        <v>1917</v>
      </c>
      <c r="X11" s="21" t="s">
        <v>1785</v>
      </c>
      <c r="Y11" s="21" t="s">
        <v>1953</v>
      </c>
      <c r="Z11" s="21">
        <v>1</v>
      </c>
      <c r="AA11" s="21" t="s">
        <v>1815</v>
      </c>
      <c r="AB11" s="21" t="s">
        <v>783</v>
      </c>
      <c r="AC11" s="25">
        <v>152</v>
      </c>
      <c r="AD11" s="25">
        <v>29</v>
      </c>
      <c r="AE11" s="21" t="s">
        <v>1954</v>
      </c>
      <c r="AF11" s="21" t="s">
        <v>1955</v>
      </c>
      <c r="AG11" s="35">
        <v>45578.63958333333</v>
      </c>
      <c r="AH11" s="21" t="s">
        <v>1921</v>
      </c>
      <c r="AI11" s="25">
        <v>29</v>
      </c>
      <c r="AJ11" s="21" t="s">
        <v>1107</v>
      </c>
      <c r="AK11" s="21" t="s">
        <v>1922</v>
      </c>
      <c r="AL11" s="21" t="str">
        <f>IF(AD11-AI11&gt;0,(AD11-AI11)&amp;" bags - damaged in transit","None")</f>
        <v>None</v>
      </c>
      <c r="AM11" s="21" t="s">
        <v>844</v>
      </c>
      <c r="AN11" s="21" t="s">
        <v>848</v>
      </c>
      <c r="AO11" s="21" t="s">
        <v>1923</v>
      </c>
      <c r="AP11" s="21" t="str">
        <f>IF(AO11="Pending","Not yet invoiced",IF(AI11=AD11,"Matched","Invoiced on received qty ("&amp;AI11&amp;" of "&amp;AD11&amp;")"))</f>
        <v>Matched</v>
      </c>
      <c r="AQ11" s="21" t="s">
        <v>1924</v>
      </c>
    </row>
    <row r="12" spans="1:43" x14ac:dyDescent="0.3">
      <c r="A12" s="21" t="s">
        <v>1956</v>
      </c>
      <c r="B12" s="35">
        <v>45580.5</v>
      </c>
      <c r="C12" s="21" t="s">
        <v>1909</v>
      </c>
      <c r="D12" s="21" t="s">
        <v>1926</v>
      </c>
      <c r="E12" s="21" t="s">
        <v>1911</v>
      </c>
      <c r="F12" s="21" t="s">
        <v>768</v>
      </c>
      <c r="G12" s="35">
        <v>45580.772708333338</v>
      </c>
      <c r="H12" s="21" t="s">
        <v>1912</v>
      </c>
      <c r="I12" s="21" t="s">
        <v>1913</v>
      </c>
      <c r="J12" s="21" t="s">
        <v>1914</v>
      </c>
      <c r="K12" s="21" t="s">
        <v>1800</v>
      </c>
      <c r="L12" s="21" t="s">
        <v>1073</v>
      </c>
      <c r="M12" s="21" t="s">
        <v>1801</v>
      </c>
      <c r="N12" s="21" t="s">
        <v>1928</v>
      </c>
      <c r="O12" s="21" t="s">
        <v>1929</v>
      </c>
      <c r="P12" s="21" t="s">
        <v>1930</v>
      </c>
      <c r="Q12" s="21" t="s">
        <v>1278</v>
      </c>
      <c r="R12" s="21" t="s">
        <v>1294</v>
      </c>
      <c r="S12" s="21" t="s">
        <v>1127</v>
      </c>
      <c r="T12" s="21" t="s">
        <v>1917</v>
      </c>
      <c r="U12" s="21" t="s">
        <v>1677</v>
      </c>
      <c r="V12" s="21" t="str">
        <f>_xlfn.XLOOKUP(U12,'T07'!$D$3:$D$1500,'T07'!$BI$3:$BI$1500)&amp;" / "&amp;_xlfn.XLOOKUP(U12,'T07'!$D$3:$D$1500,'T07'!$BJ$3:$BJ$1500)</f>
        <v>LHR-HTV-2010-55907 / HTV</v>
      </c>
      <c r="W12" s="21" t="s">
        <v>1917</v>
      </c>
      <c r="X12" s="21" t="s">
        <v>1679</v>
      </c>
      <c r="Y12" s="21" t="s">
        <v>1957</v>
      </c>
      <c r="Z12" s="21">
        <v>1</v>
      </c>
      <c r="AA12" s="21" t="s">
        <v>1808</v>
      </c>
      <c r="AB12" s="21" t="s">
        <v>1804</v>
      </c>
      <c r="AC12" s="25">
        <v>2150</v>
      </c>
      <c r="AD12" s="25">
        <v>500</v>
      </c>
      <c r="AE12" s="21" t="s">
        <v>1958</v>
      </c>
      <c r="AF12" s="21" t="s">
        <v>1959</v>
      </c>
      <c r="AG12" s="35">
        <v>45580.792708333334</v>
      </c>
      <c r="AH12" s="21" t="s">
        <v>1934</v>
      </c>
      <c r="AI12" s="25">
        <v>495</v>
      </c>
      <c r="AJ12" s="21" t="s">
        <v>1074</v>
      </c>
      <c r="AK12" s="21" t="s">
        <v>1922</v>
      </c>
      <c r="AL12" s="21" t="str">
        <f>IF(AD12-AI12&gt;0,(AD12-AI12)&amp;" bags - damaged in transit","None")</f>
        <v>5 bags - damaged in transit</v>
      </c>
      <c r="AM12" s="21" t="s">
        <v>1960</v>
      </c>
      <c r="AN12" s="21" t="s">
        <v>1961</v>
      </c>
      <c r="AO12" s="21" t="s">
        <v>1935</v>
      </c>
      <c r="AP12" s="21" t="str">
        <f>IF(AO12="Pending","Not yet invoiced",IF(AI12=AD12,"Matched","Invoiced on received qty ("&amp;AI12&amp;" of "&amp;AD12&amp;")"))</f>
        <v>Invoiced on received qty (495 of 500)</v>
      </c>
      <c r="AQ12" s="21" t="s">
        <v>1936</v>
      </c>
    </row>
    <row r="13" spans="1:43" x14ac:dyDescent="0.3">
      <c r="A13" s="21" t="s">
        <v>1962</v>
      </c>
      <c r="B13" s="35">
        <v>45581.333333333336</v>
      </c>
      <c r="C13" s="21" t="s">
        <v>1909</v>
      </c>
      <c r="D13" s="21" t="s">
        <v>1910</v>
      </c>
      <c r="E13" s="21" t="s">
        <v>1911</v>
      </c>
      <c r="F13" s="21" t="s">
        <v>1817</v>
      </c>
      <c r="G13" s="35">
        <v>45581.452916666669</v>
      </c>
      <c r="H13" s="21" t="s">
        <v>1912</v>
      </c>
      <c r="I13" s="21" t="s">
        <v>1913</v>
      </c>
      <c r="J13" s="21" t="s">
        <v>1914</v>
      </c>
      <c r="K13" s="21" t="s">
        <v>1813</v>
      </c>
      <c r="L13" s="21" t="s">
        <v>1089</v>
      </c>
      <c r="M13" s="21" t="s">
        <v>1105</v>
      </c>
      <c r="N13" s="21" t="s">
        <v>1106</v>
      </c>
      <c r="O13" s="21" t="s">
        <v>1915</v>
      </c>
      <c r="P13" s="21" t="s">
        <v>1916</v>
      </c>
      <c r="Q13" s="21" t="s">
        <v>1339</v>
      </c>
      <c r="R13" s="21" t="s">
        <v>1360</v>
      </c>
      <c r="S13" s="21" t="s">
        <v>1343</v>
      </c>
      <c r="T13" s="21" t="s">
        <v>1917</v>
      </c>
      <c r="U13" s="21" t="s">
        <v>1782</v>
      </c>
      <c r="V13" s="21" t="str">
        <f>_xlfn.XLOOKUP(U13,'T07'!$D$3:$D$1500,'T07'!$BI$3:$BI$1500)&amp;" / "&amp;_xlfn.XLOOKUP(U13,'T07'!$D$3:$D$1500,'T07'!$BJ$3:$BJ$1500)</f>
        <v>LHR-HTV-2014-51184 / HTV</v>
      </c>
      <c r="W13" s="21" t="s">
        <v>1917</v>
      </c>
      <c r="X13" s="21" t="s">
        <v>1785</v>
      </c>
      <c r="Y13" s="21" t="s">
        <v>1963</v>
      </c>
      <c r="Z13" s="21">
        <v>1</v>
      </c>
      <c r="AA13" s="21" t="s">
        <v>1815</v>
      </c>
      <c r="AB13" s="21" t="s">
        <v>783</v>
      </c>
      <c r="AC13" s="25">
        <v>123</v>
      </c>
      <c r="AD13" s="25">
        <v>30</v>
      </c>
      <c r="AE13" s="21" t="s">
        <v>1964</v>
      </c>
      <c r="AF13" s="21" t="s">
        <v>1965</v>
      </c>
      <c r="AG13" s="35">
        <v>45581.472916666666</v>
      </c>
      <c r="AH13" s="21" t="s">
        <v>1921</v>
      </c>
      <c r="AI13" s="25">
        <v>30</v>
      </c>
      <c r="AJ13" s="21" t="s">
        <v>1107</v>
      </c>
      <c r="AK13" s="21" t="s">
        <v>1922</v>
      </c>
      <c r="AL13" s="21" t="str">
        <f>IF(AD13-AI13&gt;0,(AD13-AI13)&amp;" bags - damaged in transit","None")</f>
        <v>None</v>
      </c>
      <c r="AM13" s="21" t="s">
        <v>844</v>
      </c>
      <c r="AN13" s="21" t="s">
        <v>848</v>
      </c>
      <c r="AO13" s="21" t="s">
        <v>1923</v>
      </c>
      <c r="AP13" s="21" t="str">
        <f>IF(AO13="Pending","Not yet invoiced",IF(AI13=AD13,"Matched","Invoiced on received qty ("&amp;AI13&amp;" of "&amp;AD13&amp;")"))</f>
        <v>Matched</v>
      </c>
      <c r="AQ13" s="21" t="s">
        <v>1924</v>
      </c>
    </row>
    <row r="14" spans="1:43" x14ac:dyDescent="0.3">
      <c r="A14" s="21" t="s">
        <v>1966</v>
      </c>
      <c r="B14" s="35">
        <v>45584.458333333336</v>
      </c>
      <c r="C14" s="21" t="s">
        <v>1909</v>
      </c>
      <c r="D14" s="21" t="s">
        <v>1926</v>
      </c>
      <c r="E14" s="21" t="s">
        <v>1911</v>
      </c>
      <c r="F14" s="21" t="s">
        <v>768</v>
      </c>
      <c r="G14" s="35">
        <v>45584.731041666673</v>
      </c>
      <c r="H14" s="21" t="s">
        <v>1912</v>
      </c>
      <c r="I14" s="21" t="s">
        <v>1913</v>
      </c>
      <c r="J14" s="21" t="s">
        <v>1914</v>
      </c>
      <c r="K14" s="21" t="s">
        <v>1800</v>
      </c>
      <c r="L14" s="21" t="s">
        <v>1073</v>
      </c>
      <c r="M14" s="21" t="s">
        <v>1801</v>
      </c>
      <c r="N14" s="21" t="s">
        <v>1928</v>
      </c>
      <c r="O14" s="21" t="s">
        <v>1929</v>
      </c>
      <c r="P14" s="21" t="s">
        <v>1930</v>
      </c>
      <c r="Q14" s="21" t="s">
        <v>1278</v>
      </c>
      <c r="R14" s="21" t="s">
        <v>1332</v>
      </c>
      <c r="S14" s="21" t="s">
        <v>1127</v>
      </c>
      <c r="T14" s="21" t="s">
        <v>1917</v>
      </c>
      <c r="U14" s="21" t="s">
        <v>1677</v>
      </c>
      <c r="V14" s="21" t="str">
        <f>_xlfn.XLOOKUP(U14,'T07'!$D$3:$D$1500,'T07'!$BI$3:$BI$1500)&amp;" / "&amp;_xlfn.XLOOKUP(U14,'T07'!$D$3:$D$1500,'T07'!$BJ$3:$BJ$1500)</f>
        <v>LHR-HTV-2010-55907 / HTV</v>
      </c>
      <c r="W14" s="21" t="s">
        <v>1917</v>
      </c>
      <c r="X14" s="21" t="s">
        <v>1679</v>
      </c>
      <c r="Y14" s="21" t="s">
        <v>1931</v>
      </c>
      <c r="Z14" s="21">
        <v>1</v>
      </c>
      <c r="AA14" s="21" t="s">
        <v>1808</v>
      </c>
      <c r="AB14" s="21" t="s">
        <v>1804</v>
      </c>
      <c r="AC14" s="25">
        <v>1650</v>
      </c>
      <c r="AD14" s="25">
        <v>500</v>
      </c>
      <c r="AE14" s="21" t="s">
        <v>1967</v>
      </c>
      <c r="AF14" s="21" t="s">
        <v>1968</v>
      </c>
      <c r="AG14" s="35">
        <v>45584.75104166667</v>
      </c>
      <c r="AH14" s="21" t="s">
        <v>1934</v>
      </c>
      <c r="AI14" s="25">
        <v>500</v>
      </c>
      <c r="AJ14" s="21" t="s">
        <v>1074</v>
      </c>
      <c r="AK14" s="21" t="s">
        <v>1922</v>
      </c>
      <c r="AL14" s="21" t="str">
        <f>IF(AD14-AI14&gt;0,(AD14-AI14)&amp;" bags - damaged in transit","None")</f>
        <v>None</v>
      </c>
      <c r="AM14" s="21" t="s">
        <v>844</v>
      </c>
      <c r="AN14" s="21" t="s">
        <v>848</v>
      </c>
      <c r="AO14" s="21" t="s">
        <v>1935</v>
      </c>
      <c r="AP14" s="21" t="str">
        <f>IF(AO14="Pending","Not yet invoiced",IF(AI14=AD14,"Matched","Invoiced on received qty ("&amp;AI14&amp;" of "&amp;AD14&amp;")"))</f>
        <v>Matched</v>
      </c>
      <c r="AQ14" s="21" t="s">
        <v>1936</v>
      </c>
    </row>
    <row r="15" spans="1:43" x14ac:dyDescent="0.3">
      <c r="A15" s="21" t="s">
        <v>1969</v>
      </c>
      <c r="B15" s="35">
        <v>45585.416666666664</v>
      </c>
      <c r="C15" s="21" t="s">
        <v>1909</v>
      </c>
      <c r="D15" s="21" t="s">
        <v>1910</v>
      </c>
      <c r="E15" s="21" t="s">
        <v>1911</v>
      </c>
      <c r="F15" s="21" t="s">
        <v>1817</v>
      </c>
      <c r="G15" s="35">
        <v>45585.536249999997</v>
      </c>
      <c r="H15" s="21" t="s">
        <v>1912</v>
      </c>
      <c r="I15" s="21" t="s">
        <v>1913</v>
      </c>
      <c r="J15" s="21" t="s">
        <v>1914</v>
      </c>
      <c r="K15" s="21" t="s">
        <v>1813</v>
      </c>
      <c r="L15" s="21" t="s">
        <v>1089</v>
      </c>
      <c r="M15" s="21" t="s">
        <v>1105</v>
      </c>
      <c r="N15" s="21" t="s">
        <v>1106</v>
      </c>
      <c r="O15" s="21" t="s">
        <v>1915</v>
      </c>
      <c r="P15" s="21" t="s">
        <v>1916</v>
      </c>
      <c r="Q15" s="21" t="s">
        <v>1339</v>
      </c>
      <c r="R15" s="21" t="s">
        <v>1350</v>
      </c>
      <c r="S15" s="21" t="s">
        <v>1352</v>
      </c>
      <c r="T15" s="21" t="s">
        <v>1917</v>
      </c>
      <c r="U15" s="21" t="s">
        <v>1753</v>
      </c>
      <c r="V15" s="21" t="str">
        <f>_xlfn.XLOOKUP(U15,'T07'!$D$3:$D$1500,'T07'!$BI$3:$BI$1500)&amp;" / "&amp;_xlfn.XLOOKUP(U15,'T07'!$D$3:$D$1500,'T07'!$BJ$3:$BJ$1500)</f>
        <v>LHR-HTV-2009-86678 / HTV</v>
      </c>
      <c r="W15" s="21" t="s">
        <v>1917</v>
      </c>
      <c r="X15" s="21" t="s">
        <v>1755</v>
      </c>
      <c r="Y15" s="21" t="s">
        <v>1918</v>
      </c>
      <c r="Z15" s="21">
        <v>1</v>
      </c>
      <c r="AA15" s="21" t="s">
        <v>1815</v>
      </c>
      <c r="AB15" s="21" t="s">
        <v>783</v>
      </c>
      <c r="AC15" s="25">
        <v>93</v>
      </c>
      <c r="AD15" s="25">
        <v>40</v>
      </c>
      <c r="AE15" s="21" t="s">
        <v>1970</v>
      </c>
      <c r="AF15" s="21" t="s">
        <v>1971</v>
      </c>
      <c r="AG15" s="35">
        <v>45585.556249999994</v>
      </c>
      <c r="AH15" s="21" t="s">
        <v>1921</v>
      </c>
      <c r="AI15" s="25">
        <v>40</v>
      </c>
      <c r="AJ15" s="21" t="s">
        <v>1107</v>
      </c>
      <c r="AK15" s="21" t="s">
        <v>1922</v>
      </c>
      <c r="AL15" s="21" t="str">
        <f>IF(AD15-AI15&gt;0,(AD15-AI15)&amp;" bags - damaged in transit","None")</f>
        <v>None</v>
      </c>
      <c r="AM15" s="21" t="s">
        <v>844</v>
      </c>
      <c r="AN15" s="21" t="s">
        <v>848</v>
      </c>
      <c r="AO15" s="21" t="s">
        <v>1923</v>
      </c>
      <c r="AP15" s="21" t="str">
        <f>IF(AO15="Pending","Not yet invoiced",IF(AI15=AD15,"Matched","Invoiced on received qty ("&amp;AI15&amp;" of "&amp;AD15&amp;")"))</f>
        <v>Matched</v>
      </c>
      <c r="AQ15" s="21" t="s">
        <v>1924</v>
      </c>
    </row>
    <row r="16" spans="1:43" x14ac:dyDescent="0.3">
      <c r="A16" s="21" t="s">
        <v>1972</v>
      </c>
      <c r="B16" s="35">
        <v>45588.416666666664</v>
      </c>
      <c r="C16" s="21" t="s">
        <v>1909</v>
      </c>
      <c r="D16" s="21" t="s">
        <v>1926</v>
      </c>
      <c r="E16" s="21" t="s">
        <v>1911</v>
      </c>
      <c r="F16" s="21" t="s">
        <v>768</v>
      </c>
      <c r="G16" s="35">
        <v>45588.689375000002</v>
      </c>
      <c r="H16" s="21" t="s">
        <v>1912</v>
      </c>
      <c r="I16" s="21" t="s">
        <v>1913</v>
      </c>
      <c r="J16" s="21" t="s">
        <v>1914</v>
      </c>
      <c r="K16" s="21" t="s">
        <v>1800</v>
      </c>
      <c r="L16" s="21" t="s">
        <v>1073</v>
      </c>
      <c r="M16" s="21" t="s">
        <v>1801</v>
      </c>
      <c r="N16" s="21" t="s">
        <v>1928</v>
      </c>
      <c r="O16" s="21" t="s">
        <v>1929</v>
      </c>
      <c r="P16" s="21" t="s">
        <v>1930</v>
      </c>
      <c r="Q16" s="21" t="s">
        <v>1278</v>
      </c>
      <c r="R16" s="21" t="s">
        <v>1294</v>
      </c>
      <c r="S16" s="21" t="s">
        <v>1127</v>
      </c>
      <c r="T16" s="21" t="s">
        <v>1917</v>
      </c>
      <c r="U16" s="21" t="s">
        <v>1782</v>
      </c>
      <c r="V16" s="21" t="str">
        <f>_xlfn.XLOOKUP(U16,'T07'!$D$3:$D$1500,'T07'!$BI$3:$BI$1500)&amp;" / "&amp;_xlfn.XLOOKUP(U16,'T07'!$D$3:$D$1500,'T07'!$BJ$3:$BJ$1500)</f>
        <v>LHR-HTV-2014-51184 / HTV</v>
      </c>
      <c r="W16" s="21" t="s">
        <v>1917</v>
      </c>
      <c r="X16" s="21" t="s">
        <v>1785</v>
      </c>
      <c r="Y16" s="21" t="s">
        <v>1957</v>
      </c>
      <c r="Z16" s="21">
        <v>1</v>
      </c>
      <c r="AA16" s="21" t="s">
        <v>1808</v>
      </c>
      <c r="AB16" s="21" t="s">
        <v>1804</v>
      </c>
      <c r="AC16" s="25">
        <v>1150</v>
      </c>
      <c r="AD16" s="25">
        <v>500</v>
      </c>
      <c r="AE16" s="21" t="s">
        <v>1973</v>
      </c>
      <c r="AF16" s="21" t="s">
        <v>1974</v>
      </c>
      <c r="AG16" s="35">
        <v>45588.709374999999</v>
      </c>
      <c r="AH16" s="21" t="s">
        <v>1934</v>
      </c>
      <c r="AI16" s="25">
        <v>500</v>
      </c>
      <c r="AJ16" s="21" t="s">
        <v>1074</v>
      </c>
      <c r="AK16" s="21" t="s">
        <v>1922</v>
      </c>
      <c r="AL16" s="21" t="str">
        <f>IF(AD16-AI16&gt;0,(AD16-AI16)&amp;" bags - damaged in transit","None")</f>
        <v>None</v>
      </c>
      <c r="AM16" s="21" t="s">
        <v>844</v>
      </c>
      <c r="AN16" s="21" t="s">
        <v>848</v>
      </c>
      <c r="AO16" s="21" t="s">
        <v>1935</v>
      </c>
      <c r="AP16" s="21" t="str">
        <f>IF(AO16="Pending","Not yet invoiced",IF(AI16=AD16,"Matched","Invoiced on received qty ("&amp;AI16&amp;" of "&amp;AD16&amp;")"))</f>
        <v>Matched</v>
      </c>
      <c r="AQ16" s="21" t="s">
        <v>1936</v>
      </c>
    </row>
    <row r="17" spans="1:43" x14ac:dyDescent="0.3">
      <c r="A17" s="21" t="s">
        <v>1975</v>
      </c>
      <c r="B17" s="35">
        <v>45590.625</v>
      </c>
      <c r="C17" s="21" t="s">
        <v>1909</v>
      </c>
      <c r="D17" s="21" t="s">
        <v>1910</v>
      </c>
      <c r="E17" s="21" t="s">
        <v>1911</v>
      </c>
      <c r="F17" s="21" t="s">
        <v>1817</v>
      </c>
      <c r="G17" s="35">
        <v>45590.744583333333</v>
      </c>
      <c r="H17" s="21" t="s">
        <v>1912</v>
      </c>
      <c r="I17" s="21" t="s">
        <v>1913</v>
      </c>
      <c r="J17" s="21" t="s">
        <v>1914</v>
      </c>
      <c r="K17" s="21" t="s">
        <v>1813</v>
      </c>
      <c r="L17" s="21" t="s">
        <v>1089</v>
      </c>
      <c r="M17" s="21" t="s">
        <v>1105</v>
      </c>
      <c r="N17" s="21" t="s">
        <v>1106</v>
      </c>
      <c r="O17" s="21" t="s">
        <v>1915</v>
      </c>
      <c r="P17" s="21" t="s">
        <v>1916</v>
      </c>
      <c r="Q17" s="21" t="s">
        <v>1339</v>
      </c>
      <c r="R17" s="21" t="s">
        <v>1341</v>
      </c>
      <c r="S17" s="21" t="s">
        <v>1343</v>
      </c>
      <c r="T17" s="21" t="s">
        <v>1917</v>
      </c>
      <c r="U17" s="21" t="s">
        <v>1677</v>
      </c>
      <c r="V17" s="21" t="str">
        <f>_xlfn.XLOOKUP(U17,'T07'!$D$3:$D$1500,'T07'!$BI$3:$BI$1500)&amp;" / "&amp;_xlfn.XLOOKUP(U17,'T07'!$D$3:$D$1500,'T07'!$BJ$3:$BJ$1500)</f>
        <v>LHR-HTV-2010-55907 / HTV</v>
      </c>
      <c r="W17" s="21" t="s">
        <v>1917</v>
      </c>
      <c r="X17" s="21" t="s">
        <v>1679</v>
      </c>
      <c r="Y17" s="21" t="s">
        <v>1953</v>
      </c>
      <c r="Z17" s="21">
        <v>1</v>
      </c>
      <c r="AA17" s="21" t="s">
        <v>1815</v>
      </c>
      <c r="AB17" s="21" t="s">
        <v>783</v>
      </c>
      <c r="AC17" s="25">
        <v>53</v>
      </c>
      <c r="AD17" s="25">
        <v>30</v>
      </c>
      <c r="AE17" s="21" t="s">
        <v>1976</v>
      </c>
      <c r="AF17" s="21" t="s">
        <v>1977</v>
      </c>
      <c r="AG17" s="35">
        <v>45590.76458333333</v>
      </c>
      <c r="AH17" s="21" t="s">
        <v>1921</v>
      </c>
      <c r="AI17" s="25">
        <v>30</v>
      </c>
      <c r="AJ17" s="21" t="s">
        <v>1107</v>
      </c>
      <c r="AK17" s="21" t="s">
        <v>1922</v>
      </c>
      <c r="AL17" s="21" t="str">
        <f>IF(AD17-AI17&gt;0,(AD17-AI17)&amp;" bags - damaged in transit","None")</f>
        <v>None</v>
      </c>
      <c r="AM17" s="21" t="s">
        <v>844</v>
      </c>
      <c r="AN17" s="21" t="s">
        <v>848</v>
      </c>
      <c r="AO17" s="21" t="s">
        <v>1923</v>
      </c>
      <c r="AP17" s="21" t="str">
        <f>IF(AO17="Pending","Not yet invoiced",IF(AI17=AD17,"Matched","Invoiced on received qty ("&amp;AI17&amp;" of "&amp;AD17&amp;")"))</f>
        <v>Matched</v>
      </c>
      <c r="AQ17" s="21" t="s">
        <v>1924</v>
      </c>
    </row>
    <row r="18" spans="1:43" x14ac:dyDescent="0.3">
      <c r="A18" s="21" t="s">
        <v>1978</v>
      </c>
      <c r="B18" s="35">
        <v>45598.666666666664</v>
      </c>
      <c r="C18" s="21" t="s">
        <v>1909</v>
      </c>
      <c r="D18" s="21" t="s">
        <v>1979</v>
      </c>
      <c r="E18" s="21" t="s">
        <v>1945</v>
      </c>
      <c r="F18" s="21" t="s">
        <v>768</v>
      </c>
      <c r="G18" s="35">
        <v>45598.765416666669</v>
      </c>
      <c r="H18" s="21" t="s">
        <v>1912</v>
      </c>
      <c r="I18" s="21" t="s">
        <v>1913</v>
      </c>
      <c r="J18" s="21" t="s">
        <v>1914</v>
      </c>
      <c r="K18" s="21" t="s">
        <v>1819</v>
      </c>
      <c r="L18" s="21" t="s">
        <v>1156</v>
      </c>
      <c r="M18" s="21" t="s">
        <v>1161</v>
      </c>
      <c r="N18" s="21" t="s">
        <v>1980</v>
      </c>
      <c r="O18" s="21" t="s">
        <v>1165</v>
      </c>
      <c r="P18" s="21" t="s">
        <v>1916</v>
      </c>
      <c r="Q18" s="21" t="s">
        <v>1278</v>
      </c>
      <c r="R18" s="21" t="s">
        <v>1317</v>
      </c>
      <c r="S18" s="21" t="s">
        <v>1104</v>
      </c>
      <c r="T18" s="21" t="s">
        <v>1917</v>
      </c>
      <c r="U18" s="21" t="s">
        <v>1782</v>
      </c>
      <c r="V18" s="21" t="str">
        <f>_xlfn.XLOOKUP(U18,'T07'!$D$3:$D$1500,'T07'!$BI$3:$BI$1500)&amp;" / "&amp;_xlfn.XLOOKUP(U18,'T07'!$D$3:$D$1500,'T07'!$BJ$3:$BJ$1500)</f>
        <v>LHR-HTV-2014-51184 / HTV</v>
      </c>
      <c r="W18" s="21" t="s">
        <v>1917</v>
      </c>
      <c r="X18" s="21" t="s">
        <v>1785</v>
      </c>
      <c r="Y18" s="21" t="s">
        <v>1942</v>
      </c>
      <c r="Z18" s="21">
        <v>1</v>
      </c>
      <c r="AA18" s="21" t="s">
        <v>1803</v>
      </c>
      <c r="AB18" s="21" t="s">
        <v>1804</v>
      </c>
      <c r="AC18" s="25">
        <v>5000</v>
      </c>
      <c r="AD18" s="25">
        <v>1000</v>
      </c>
      <c r="AE18" s="21" t="s">
        <v>1981</v>
      </c>
      <c r="AF18" s="21" t="s">
        <v>1982</v>
      </c>
      <c r="AG18" s="35">
        <v>45598.785416666666</v>
      </c>
      <c r="AH18" s="21" t="s">
        <v>1983</v>
      </c>
      <c r="AI18" s="25">
        <v>1000</v>
      </c>
      <c r="AJ18" s="21" t="s">
        <v>1984</v>
      </c>
      <c r="AK18" s="21" t="s">
        <v>1922</v>
      </c>
      <c r="AL18" s="21" t="str">
        <f>IF(AD18-AI18&gt;0,(AD18-AI18)&amp;" bags - damaged in transit","None")</f>
        <v>None</v>
      </c>
      <c r="AM18" s="21" t="s">
        <v>844</v>
      </c>
      <c r="AN18" s="21" t="s">
        <v>848</v>
      </c>
      <c r="AO18" s="21" t="s">
        <v>1985</v>
      </c>
      <c r="AP18" s="21" t="str">
        <f>IF(AO18="Pending","Not yet invoiced",IF(AI18=AD18,"Matched","Invoiced on received qty ("&amp;AI18&amp;" of "&amp;AD18&amp;")"))</f>
        <v>Matched</v>
      </c>
      <c r="AQ18" s="21" t="s">
        <v>1986</v>
      </c>
    </row>
    <row r="19" spans="1:43" x14ac:dyDescent="0.3">
      <c r="A19" s="21" t="s">
        <v>1987</v>
      </c>
      <c r="B19" s="35">
        <v>45600.416666666664</v>
      </c>
      <c r="C19" s="21" t="s">
        <v>1909</v>
      </c>
      <c r="D19" s="21" t="s">
        <v>1988</v>
      </c>
      <c r="E19" s="21" t="s">
        <v>1945</v>
      </c>
      <c r="F19" s="21" t="s">
        <v>768</v>
      </c>
      <c r="G19" s="35">
        <v>45600.67895833333</v>
      </c>
      <c r="H19" s="21" t="s">
        <v>1912</v>
      </c>
      <c r="I19" s="21" t="s">
        <v>1913</v>
      </c>
      <c r="J19" s="21" t="s">
        <v>1914</v>
      </c>
      <c r="K19" s="21" t="s">
        <v>1823</v>
      </c>
      <c r="L19" s="21" t="s">
        <v>1080</v>
      </c>
      <c r="M19" s="21" t="s">
        <v>1824</v>
      </c>
      <c r="N19" s="21" t="s">
        <v>1989</v>
      </c>
      <c r="O19" s="21" t="s">
        <v>1990</v>
      </c>
      <c r="P19" s="21" t="s">
        <v>1930</v>
      </c>
      <c r="Q19" s="21" t="s">
        <v>1213</v>
      </c>
      <c r="R19" s="21" t="s">
        <v>1227</v>
      </c>
      <c r="S19" s="21" t="s">
        <v>1127</v>
      </c>
      <c r="T19" s="21" t="s">
        <v>1917</v>
      </c>
      <c r="U19" s="21" t="s">
        <v>1739</v>
      </c>
      <c r="V19" s="21" t="str">
        <f>_xlfn.XLOOKUP(U19,'T07'!$D$3:$D$1500,'T07'!$BI$3:$BI$1500)&amp;" / "&amp;_xlfn.XLOOKUP(U19,'T07'!$D$3:$D$1500,'T07'!$BJ$3:$BJ$1500)</f>
        <v>LHR-HTV-2020-13470 / HTV</v>
      </c>
      <c r="W19" s="21" t="s">
        <v>1917</v>
      </c>
      <c r="X19" s="21" t="s">
        <v>1742</v>
      </c>
      <c r="Y19" s="21" t="s">
        <v>1991</v>
      </c>
      <c r="Z19" s="21">
        <v>1</v>
      </c>
      <c r="AA19" s="21" t="s">
        <v>1828</v>
      </c>
      <c r="AB19" s="21" t="s">
        <v>1804</v>
      </c>
      <c r="AC19" s="25">
        <v>2500</v>
      </c>
      <c r="AD19" s="25">
        <v>500</v>
      </c>
      <c r="AE19" s="21" t="s">
        <v>1992</v>
      </c>
      <c r="AF19" s="21" t="s">
        <v>1993</v>
      </c>
      <c r="AG19" s="35">
        <v>45600.698958333327</v>
      </c>
      <c r="AH19" s="21" t="s">
        <v>1934</v>
      </c>
      <c r="AI19" s="25">
        <v>500</v>
      </c>
      <c r="AJ19" s="21" t="s">
        <v>1081</v>
      </c>
      <c r="AK19" s="21" t="s">
        <v>1922</v>
      </c>
      <c r="AL19" s="21" t="str">
        <f>IF(AD19-AI19&gt;0,(AD19-AI19)&amp;" bags - damaged in transit","None")</f>
        <v>None</v>
      </c>
      <c r="AM19" s="21" t="s">
        <v>844</v>
      </c>
      <c r="AN19" s="21" t="s">
        <v>848</v>
      </c>
      <c r="AO19" s="21" t="s">
        <v>1994</v>
      </c>
      <c r="AP19" s="21" t="str">
        <f>IF(AO19="Pending","Not yet invoiced",IF(AI19=AD19,"Matched","Invoiced on received qty ("&amp;AI19&amp;" of "&amp;AD19&amp;")"))</f>
        <v>Matched</v>
      </c>
      <c r="AQ19" s="21" t="s">
        <v>1995</v>
      </c>
    </row>
    <row r="20" spans="1:43" x14ac:dyDescent="0.3">
      <c r="A20" s="21" t="s">
        <v>1996</v>
      </c>
      <c r="B20" s="35">
        <v>45603.333333333336</v>
      </c>
      <c r="C20" s="21" t="s">
        <v>1909</v>
      </c>
      <c r="D20" s="21" t="s">
        <v>1979</v>
      </c>
      <c r="E20" s="21" t="s">
        <v>1945</v>
      </c>
      <c r="F20" s="21" t="s">
        <v>768</v>
      </c>
      <c r="G20" s="35">
        <v>45603.43208333334</v>
      </c>
      <c r="H20" s="21" t="s">
        <v>1912</v>
      </c>
      <c r="I20" s="21" t="s">
        <v>1913</v>
      </c>
      <c r="J20" s="21" t="s">
        <v>1914</v>
      </c>
      <c r="K20" s="21" t="s">
        <v>1819</v>
      </c>
      <c r="L20" s="21" t="s">
        <v>1156</v>
      </c>
      <c r="M20" s="21" t="s">
        <v>1161</v>
      </c>
      <c r="N20" s="21" t="s">
        <v>1980</v>
      </c>
      <c r="O20" s="21" t="s">
        <v>1165</v>
      </c>
      <c r="P20" s="21" t="s">
        <v>1916</v>
      </c>
      <c r="Q20" s="21" t="s">
        <v>1278</v>
      </c>
      <c r="R20" s="21" t="s">
        <v>1317</v>
      </c>
      <c r="S20" s="21" t="s">
        <v>1104</v>
      </c>
      <c r="T20" s="21" t="s">
        <v>1917</v>
      </c>
      <c r="U20" s="21" t="s">
        <v>1753</v>
      </c>
      <c r="V20" s="21" t="str">
        <f>_xlfn.XLOOKUP(U20,'T07'!$D$3:$D$1500,'T07'!$BI$3:$BI$1500)&amp;" / "&amp;_xlfn.XLOOKUP(U20,'T07'!$D$3:$D$1500,'T07'!$BJ$3:$BJ$1500)</f>
        <v>LHR-HTV-2009-86678 / HTV</v>
      </c>
      <c r="W20" s="21" t="s">
        <v>1917</v>
      </c>
      <c r="X20" s="21" t="s">
        <v>1755</v>
      </c>
      <c r="Y20" s="21" t="s">
        <v>1942</v>
      </c>
      <c r="Z20" s="21">
        <v>1</v>
      </c>
      <c r="AA20" s="21" t="s">
        <v>1803</v>
      </c>
      <c r="AB20" s="21" t="s">
        <v>1804</v>
      </c>
      <c r="AC20" s="25">
        <v>4000</v>
      </c>
      <c r="AD20" s="25">
        <v>1000</v>
      </c>
      <c r="AE20" s="21" t="s">
        <v>1997</v>
      </c>
      <c r="AF20" s="21" t="s">
        <v>1998</v>
      </c>
      <c r="AG20" s="35">
        <v>45603.452083333337</v>
      </c>
      <c r="AH20" s="21" t="s">
        <v>1983</v>
      </c>
      <c r="AI20" s="25">
        <v>1000</v>
      </c>
      <c r="AJ20" s="21" t="s">
        <v>1984</v>
      </c>
      <c r="AK20" s="21" t="s">
        <v>1922</v>
      </c>
      <c r="AL20" s="21" t="str">
        <f>IF(AD20-AI20&gt;0,(AD20-AI20)&amp;" bags - damaged in transit","None")</f>
        <v>None</v>
      </c>
      <c r="AM20" s="21" t="s">
        <v>844</v>
      </c>
      <c r="AN20" s="21" t="s">
        <v>848</v>
      </c>
      <c r="AO20" s="21" t="s">
        <v>1985</v>
      </c>
      <c r="AP20" s="21" t="str">
        <f>IF(AO20="Pending","Not yet invoiced",IF(AI20=AD20,"Matched","Invoiced on received qty ("&amp;AI20&amp;" of "&amp;AD20&amp;")"))</f>
        <v>Matched</v>
      </c>
      <c r="AQ20" s="21" t="s">
        <v>1986</v>
      </c>
    </row>
    <row r="21" spans="1:43" x14ac:dyDescent="0.3">
      <c r="A21" s="21" t="s">
        <v>1999</v>
      </c>
      <c r="B21" s="35">
        <v>45603.541666666664</v>
      </c>
      <c r="C21" s="21" t="s">
        <v>1909</v>
      </c>
      <c r="D21" s="21" t="s">
        <v>1988</v>
      </c>
      <c r="E21" s="21" t="s">
        <v>1927</v>
      </c>
      <c r="F21" s="21" t="s">
        <v>768</v>
      </c>
      <c r="G21" s="35">
        <v>45603.80395833333</v>
      </c>
      <c r="H21" s="21" t="s">
        <v>1912</v>
      </c>
      <c r="I21" s="21" t="s">
        <v>1913</v>
      </c>
      <c r="J21" s="21" t="s">
        <v>1914</v>
      </c>
      <c r="K21" s="21" t="s">
        <v>1823</v>
      </c>
      <c r="L21" s="21" t="s">
        <v>1080</v>
      </c>
      <c r="M21" s="21" t="s">
        <v>1824</v>
      </c>
      <c r="N21" s="21" t="s">
        <v>1989</v>
      </c>
      <c r="O21" s="21" t="s">
        <v>1990</v>
      </c>
      <c r="P21" s="21" t="s">
        <v>1930</v>
      </c>
      <c r="Q21" s="21" t="s">
        <v>1213</v>
      </c>
      <c r="R21" s="21" t="s">
        <v>1236</v>
      </c>
      <c r="S21" s="21" t="s">
        <v>1127</v>
      </c>
      <c r="T21" s="21" t="s">
        <v>1917</v>
      </c>
      <c r="U21" s="21" t="s">
        <v>1697</v>
      </c>
      <c r="V21" s="21" t="str">
        <f>_xlfn.XLOOKUP(U21,'T07'!$D$3:$D$1500,'T07'!$BI$3:$BI$1500)&amp;" / "&amp;_xlfn.XLOOKUP(U21,'T07'!$D$3:$D$1500,'T07'!$BJ$3:$BJ$1500)</f>
        <v>LHR-HTV-2013-23962 / HTV</v>
      </c>
      <c r="W21" s="21" t="s">
        <v>1917</v>
      </c>
      <c r="X21" s="21" t="s">
        <v>1700</v>
      </c>
      <c r="Y21" s="21" t="s">
        <v>2000</v>
      </c>
      <c r="Z21" s="21">
        <v>1</v>
      </c>
      <c r="AA21" s="21" t="s">
        <v>1828</v>
      </c>
      <c r="AB21" s="21" t="s">
        <v>1804</v>
      </c>
      <c r="AC21" s="25">
        <v>2000</v>
      </c>
      <c r="AD21" s="25">
        <v>250</v>
      </c>
      <c r="AE21" s="21" t="s">
        <v>2001</v>
      </c>
      <c r="AF21" s="21" t="s">
        <v>2002</v>
      </c>
      <c r="AG21" s="35">
        <v>45603.823958333327</v>
      </c>
      <c r="AH21" s="21" t="s">
        <v>1934</v>
      </c>
      <c r="AI21" s="25">
        <v>250</v>
      </c>
      <c r="AJ21" s="21" t="s">
        <v>1081</v>
      </c>
      <c r="AK21" s="21" t="s">
        <v>1922</v>
      </c>
      <c r="AL21" s="21" t="str">
        <f>IF(AD21-AI21&gt;0,(AD21-AI21)&amp;" bags - damaged in transit","None")</f>
        <v>None</v>
      </c>
      <c r="AM21" s="21" t="s">
        <v>844</v>
      </c>
      <c r="AN21" s="21" t="s">
        <v>848</v>
      </c>
      <c r="AO21" s="21" t="s">
        <v>1994</v>
      </c>
      <c r="AP21" s="21" t="str">
        <f>IF(AO21="Pending","Not yet invoiced",IF(AI21=AD21,"Matched","Invoiced on received qty ("&amp;AI21&amp;" of "&amp;AD21&amp;")"))</f>
        <v>Matched</v>
      </c>
      <c r="AQ21" s="21" t="s">
        <v>1995</v>
      </c>
    </row>
    <row r="22" spans="1:43" x14ac:dyDescent="0.3">
      <c r="A22" s="21" t="s">
        <v>1999</v>
      </c>
      <c r="B22" s="35">
        <v>45603.541666666664</v>
      </c>
      <c r="C22" s="21" t="s">
        <v>1909</v>
      </c>
      <c r="D22" s="21" t="s">
        <v>1988</v>
      </c>
      <c r="E22" s="21" t="s">
        <v>1927</v>
      </c>
      <c r="F22" s="21" t="s">
        <v>768</v>
      </c>
      <c r="G22" s="35">
        <v>45603.80395833333</v>
      </c>
      <c r="H22" s="21" t="s">
        <v>1912</v>
      </c>
      <c r="I22" s="21" t="s">
        <v>1913</v>
      </c>
      <c r="J22" s="21" t="s">
        <v>1914</v>
      </c>
      <c r="K22" s="21" t="s">
        <v>1823</v>
      </c>
      <c r="L22" s="21" t="s">
        <v>1080</v>
      </c>
      <c r="M22" s="21" t="s">
        <v>1824</v>
      </c>
      <c r="N22" s="21" t="s">
        <v>1989</v>
      </c>
      <c r="O22" s="21" t="s">
        <v>1990</v>
      </c>
      <c r="P22" s="21" t="s">
        <v>1930</v>
      </c>
      <c r="Q22" s="21" t="s">
        <v>1213</v>
      </c>
      <c r="R22" s="21" t="s">
        <v>1236</v>
      </c>
      <c r="S22" s="21" t="s">
        <v>1127</v>
      </c>
      <c r="T22" s="21" t="s">
        <v>1917</v>
      </c>
      <c r="U22" s="21" t="s">
        <v>1697</v>
      </c>
      <c r="V22" s="21" t="str">
        <f>_xlfn.XLOOKUP(U22,'T07'!$D$3:$D$1500,'T07'!$BI$3:$BI$1500)&amp;" / "&amp;_xlfn.XLOOKUP(U22,'T07'!$D$3:$D$1500,'T07'!$BJ$3:$BJ$1500)</f>
        <v>LHR-HTV-2013-23962 / HTV</v>
      </c>
      <c r="W22" s="21" t="s">
        <v>1917</v>
      </c>
      <c r="X22" s="21" t="s">
        <v>1700</v>
      </c>
      <c r="Y22" s="21" t="s">
        <v>2000</v>
      </c>
      <c r="Z22" s="21">
        <v>2</v>
      </c>
      <c r="AA22" s="21" t="s">
        <v>1826</v>
      </c>
      <c r="AB22" s="21" t="s">
        <v>1804</v>
      </c>
      <c r="AC22" s="25">
        <v>500</v>
      </c>
      <c r="AD22" s="25">
        <v>250</v>
      </c>
      <c r="AE22" s="21" t="s">
        <v>2003</v>
      </c>
      <c r="AF22" s="21" t="s">
        <v>2002</v>
      </c>
      <c r="AG22" s="35">
        <v>45603.823958333327</v>
      </c>
      <c r="AH22" s="21" t="s">
        <v>1934</v>
      </c>
      <c r="AI22" s="25">
        <v>250</v>
      </c>
      <c r="AJ22" s="21" t="s">
        <v>1081</v>
      </c>
      <c r="AK22" s="21" t="s">
        <v>1922</v>
      </c>
      <c r="AL22" s="21" t="str">
        <f>IF(AD22-AI22&gt;0,(AD22-AI22)&amp;" bags - damaged in transit","None")</f>
        <v>None</v>
      </c>
      <c r="AM22" s="21" t="s">
        <v>844</v>
      </c>
      <c r="AN22" s="21" t="s">
        <v>848</v>
      </c>
      <c r="AO22" s="21" t="s">
        <v>1994</v>
      </c>
      <c r="AP22" s="21" t="str">
        <f>IF(AO22="Pending","Not yet invoiced",IF(AI22=AD22,"Matched","Invoiced on received qty ("&amp;AI22&amp;" of "&amp;AD22&amp;")"))</f>
        <v>Matched</v>
      </c>
      <c r="AQ22" s="21" t="s">
        <v>1995</v>
      </c>
    </row>
    <row r="23" spans="1:43" x14ac:dyDescent="0.3">
      <c r="A23" s="21" t="s">
        <v>2004</v>
      </c>
      <c r="B23" s="35">
        <v>45607.583333333336</v>
      </c>
      <c r="C23" s="21" t="s">
        <v>1909</v>
      </c>
      <c r="D23" s="21" t="s">
        <v>1979</v>
      </c>
      <c r="E23" s="21" t="s">
        <v>1945</v>
      </c>
      <c r="F23" s="21" t="s">
        <v>768</v>
      </c>
      <c r="G23" s="35">
        <v>45607.68208333334</v>
      </c>
      <c r="H23" s="21" t="s">
        <v>1912</v>
      </c>
      <c r="I23" s="21" t="s">
        <v>1913</v>
      </c>
      <c r="J23" s="21" t="s">
        <v>1914</v>
      </c>
      <c r="K23" s="21" t="s">
        <v>1819</v>
      </c>
      <c r="L23" s="21" t="s">
        <v>1156</v>
      </c>
      <c r="M23" s="21" t="s">
        <v>1161</v>
      </c>
      <c r="N23" s="21" t="s">
        <v>1980</v>
      </c>
      <c r="O23" s="21" t="s">
        <v>1165</v>
      </c>
      <c r="P23" s="21" t="s">
        <v>1916</v>
      </c>
      <c r="Q23" s="21" t="s">
        <v>1278</v>
      </c>
      <c r="R23" s="21" t="s">
        <v>1317</v>
      </c>
      <c r="S23" s="21" t="s">
        <v>1104</v>
      </c>
      <c r="T23" s="21" t="s">
        <v>1917</v>
      </c>
      <c r="U23" s="21" t="s">
        <v>1677</v>
      </c>
      <c r="V23" s="21" t="str">
        <f>_xlfn.XLOOKUP(U23,'T07'!$D$3:$D$1500,'T07'!$BI$3:$BI$1500)&amp;" / "&amp;_xlfn.XLOOKUP(U23,'T07'!$D$3:$D$1500,'T07'!$BJ$3:$BJ$1500)</f>
        <v>LHR-HTV-2010-55907 / HTV</v>
      </c>
      <c r="W23" s="21" t="s">
        <v>1917</v>
      </c>
      <c r="X23" s="21" t="s">
        <v>1679</v>
      </c>
      <c r="Y23" s="21" t="s">
        <v>1942</v>
      </c>
      <c r="Z23" s="21">
        <v>1</v>
      </c>
      <c r="AA23" s="21" t="s">
        <v>1803</v>
      </c>
      <c r="AB23" s="21" t="s">
        <v>1804</v>
      </c>
      <c r="AC23" s="25">
        <v>3000</v>
      </c>
      <c r="AD23" s="25">
        <v>1000</v>
      </c>
      <c r="AE23" s="21" t="s">
        <v>2005</v>
      </c>
      <c r="AF23" s="21" t="s">
        <v>2006</v>
      </c>
      <c r="AG23" s="35">
        <v>45607.702083333337</v>
      </c>
      <c r="AH23" s="21" t="s">
        <v>1983</v>
      </c>
      <c r="AI23" s="25">
        <v>1000</v>
      </c>
      <c r="AJ23" s="21" t="s">
        <v>1984</v>
      </c>
      <c r="AK23" s="21" t="s">
        <v>1922</v>
      </c>
      <c r="AL23" s="21" t="str">
        <f>IF(AD23-AI23&gt;0,(AD23-AI23)&amp;" bags - damaged in transit","None")</f>
        <v>None</v>
      </c>
      <c r="AM23" s="21" t="s">
        <v>844</v>
      </c>
      <c r="AN23" s="21" t="s">
        <v>848</v>
      </c>
      <c r="AO23" s="21" t="s">
        <v>1985</v>
      </c>
      <c r="AP23" s="21" t="str">
        <f>IF(AO23="Pending","Not yet invoiced",IF(AI23=AD23,"Matched","Invoiced on received qty ("&amp;AI23&amp;" of "&amp;AD23&amp;")"))</f>
        <v>Matched</v>
      </c>
      <c r="AQ23" s="21" t="s">
        <v>1986</v>
      </c>
    </row>
    <row r="24" spans="1:43" x14ac:dyDescent="0.3">
      <c r="A24" s="21" t="s">
        <v>2007</v>
      </c>
      <c r="B24" s="35">
        <v>45610.291666666664</v>
      </c>
      <c r="C24" s="21" t="s">
        <v>1909</v>
      </c>
      <c r="D24" s="21" t="s">
        <v>1988</v>
      </c>
      <c r="E24" s="21" t="s">
        <v>1927</v>
      </c>
      <c r="F24" s="21" t="s">
        <v>768</v>
      </c>
      <c r="G24" s="35">
        <v>45610.55395833333</v>
      </c>
      <c r="H24" s="21" t="s">
        <v>1912</v>
      </c>
      <c r="I24" s="21" t="s">
        <v>1913</v>
      </c>
      <c r="J24" s="21" t="s">
        <v>1914</v>
      </c>
      <c r="K24" s="21" t="s">
        <v>1823</v>
      </c>
      <c r="L24" s="21" t="s">
        <v>1080</v>
      </c>
      <c r="M24" s="21" t="s">
        <v>1824</v>
      </c>
      <c r="N24" s="21" t="s">
        <v>1989</v>
      </c>
      <c r="O24" s="21" t="s">
        <v>1990</v>
      </c>
      <c r="P24" s="21" t="s">
        <v>1930</v>
      </c>
      <c r="Q24" s="21" t="s">
        <v>1213</v>
      </c>
      <c r="R24" s="21" t="s">
        <v>1264</v>
      </c>
      <c r="S24" s="21" t="s">
        <v>1127</v>
      </c>
      <c r="T24" s="21" t="s">
        <v>1917</v>
      </c>
      <c r="U24" s="21" t="s">
        <v>1697</v>
      </c>
      <c r="V24" s="21" t="str">
        <f>_xlfn.XLOOKUP(U24,'T07'!$D$3:$D$1500,'T07'!$BI$3:$BI$1500)&amp;" / "&amp;_xlfn.XLOOKUP(U24,'T07'!$D$3:$D$1500,'T07'!$BJ$3:$BJ$1500)</f>
        <v>LHR-HTV-2013-23962 / HTV</v>
      </c>
      <c r="W24" s="21" t="s">
        <v>1917</v>
      </c>
      <c r="X24" s="21" t="s">
        <v>1700</v>
      </c>
      <c r="Y24" s="21" t="s">
        <v>2008</v>
      </c>
      <c r="Z24" s="21">
        <v>1</v>
      </c>
      <c r="AA24" s="21" t="s">
        <v>1828</v>
      </c>
      <c r="AB24" s="21" t="s">
        <v>1804</v>
      </c>
      <c r="AC24" s="25">
        <v>1750</v>
      </c>
      <c r="AD24" s="25">
        <v>500</v>
      </c>
      <c r="AE24" s="21" t="s">
        <v>2009</v>
      </c>
      <c r="AF24" s="21" t="s">
        <v>2010</v>
      </c>
      <c r="AG24" s="35">
        <v>45610.573958333327</v>
      </c>
      <c r="AH24" s="21" t="s">
        <v>1934</v>
      </c>
      <c r="AI24" s="25">
        <v>500</v>
      </c>
      <c r="AJ24" s="21" t="s">
        <v>1081</v>
      </c>
      <c r="AK24" s="21" t="s">
        <v>1922</v>
      </c>
      <c r="AL24" s="21" t="str">
        <f>IF(AD24-AI24&gt;0,(AD24-AI24)&amp;" bags - damaged in transit","None")</f>
        <v>None</v>
      </c>
      <c r="AM24" s="21" t="s">
        <v>844</v>
      </c>
      <c r="AN24" s="21" t="s">
        <v>848</v>
      </c>
      <c r="AO24" s="21" t="s">
        <v>1994</v>
      </c>
      <c r="AP24" s="21" t="str">
        <f>IF(AO24="Pending","Not yet invoiced",IF(AI24=AD24,"Matched","Invoiced on received qty ("&amp;AI24&amp;" of "&amp;AD24&amp;")"))</f>
        <v>Matched</v>
      </c>
      <c r="AQ24" s="21" t="s">
        <v>1995</v>
      </c>
    </row>
    <row r="25" spans="1:43" x14ac:dyDescent="0.3">
      <c r="A25" s="21" t="s">
        <v>2011</v>
      </c>
      <c r="B25" s="35">
        <v>45613.291666666664</v>
      </c>
      <c r="C25" s="21" t="s">
        <v>1909</v>
      </c>
      <c r="D25" s="21" t="s">
        <v>1979</v>
      </c>
      <c r="E25" s="21" t="s">
        <v>1927</v>
      </c>
      <c r="F25" s="21" t="s">
        <v>768</v>
      </c>
      <c r="G25" s="35">
        <v>45613.390416666669</v>
      </c>
      <c r="H25" s="21" t="s">
        <v>1912</v>
      </c>
      <c r="I25" s="21" t="s">
        <v>1913</v>
      </c>
      <c r="J25" s="21" t="s">
        <v>1914</v>
      </c>
      <c r="K25" s="21" t="s">
        <v>1819</v>
      </c>
      <c r="L25" s="21" t="s">
        <v>1156</v>
      </c>
      <c r="M25" s="21" t="s">
        <v>1161</v>
      </c>
      <c r="N25" s="21" t="s">
        <v>1980</v>
      </c>
      <c r="O25" s="21" t="s">
        <v>1165</v>
      </c>
      <c r="P25" s="21" t="s">
        <v>1916</v>
      </c>
      <c r="Q25" s="21" t="s">
        <v>1213</v>
      </c>
      <c r="R25" s="21" t="s">
        <v>1264</v>
      </c>
      <c r="S25" s="21" t="s">
        <v>1127</v>
      </c>
      <c r="T25" s="21" t="s">
        <v>1917</v>
      </c>
      <c r="U25" s="21" t="s">
        <v>1677</v>
      </c>
      <c r="V25" s="21" t="str">
        <f>_xlfn.XLOOKUP(U25,'T07'!$D$3:$D$1500,'T07'!$BI$3:$BI$1500)&amp;" / "&amp;_xlfn.XLOOKUP(U25,'T07'!$D$3:$D$1500,'T07'!$BJ$3:$BJ$1500)</f>
        <v>LHR-HTV-2010-55907 / HTV</v>
      </c>
      <c r="W25" s="21" t="s">
        <v>1917</v>
      </c>
      <c r="X25" s="21" t="s">
        <v>1679</v>
      </c>
      <c r="Y25" s="21" t="s">
        <v>2008</v>
      </c>
      <c r="Z25" s="21">
        <v>1</v>
      </c>
      <c r="AA25" s="21" t="s">
        <v>1803</v>
      </c>
      <c r="AB25" s="21" t="s">
        <v>1804</v>
      </c>
      <c r="AC25" s="25">
        <v>2000</v>
      </c>
      <c r="AD25" s="25">
        <v>500</v>
      </c>
      <c r="AE25" s="21" t="s">
        <v>2012</v>
      </c>
      <c r="AF25" s="21" t="s">
        <v>2013</v>
      </c>
      <c r="AG25" s="35">
        <v>45613.410416666666</v>
      </c>
      <c r="AH25" s="21" t="s">
        <v>1934</v>
      </c>
      <c r="AI25" s="25">
        <v>500</v>
      </c>
      <c r="AJ25" s="21" t="s">
        <v>1984</v>
      </c>
      <c r="AK25" s="21" t="s">
        <v>1922</v>
      </c>
      <c r="AL25" s="21" t="str">
        <f>IF(AD25-AI25&gt;0,(AD25-AI25)&amp;" bags - damaged in transit","None")</f>
        <v>None</v>
      </c>
      <c r="AM25" s="21" t="s">
        <v>844</v>
      </c>
      <c r="AN25" s="21" t="s">
        <v>848</v>
      </c>
      <c r="AO25" s="21" t="s">
        <v>1985</v>
      </c>
      <c r="AP25" s="21" t="str">
        <f>IF(AO25="Pending","Not yet invoiced",IF(AI25=AD25,"Matched","Invoiced on received qty ("&amp;AI25&amp;" of "&amp;AD25&amp;")"))</f>
        <v>Matched</v>
      </c>
      <c r="AQ25" s="21" t="s">
        <v>1995</v>
      </c>
    </row>
    <row r="26" spans="1:43" x14ac:dyDescent="0.3">
      <c r="A26" s="21" t="s">
        <v>2014</v>
      </c>
      <c r="B26" s="35">
        <v>45615.291666666664</v>
      </c>
      <c r="C26" s="21" t="s">
        <v>1909</v>
      </c>
      <c r="D26" s="21" t="s">
        <v>1979</v>
      </c>
      <c r="E26" s="21" t="s">
        <v>1945</v>
      </c>
      <c r="F26" s="21" t="s">
        <v>768</v>
      </c>
      <c r="G26" s="35">
        <v>45615.390416666669</v>
      </c>
      <c r="H26" s="21" t="s">
        <v>1912</v>
      </c>
      <c r="I26" s="21" t="s">
        <v>1913</v>
      </c>
      <c r="J26" s="21" t="s">
        <v>1914</v>
      </c>
      <c r="K26" s="21" t="s">
        <v>1819</v>
      </c>
      <c r="L26" s="21" t="s">
        <v>1156</v>
      </c>
      <c r="M26" s="21" t="s">
        <v>1161</v>
      </c>
      <c r="N26" s="21" t="s">
        <v>1980</v>
      </c>
      <c r="O26" s="21" t="s">
        <v>1165</v>
      </c>
      <c r="P26" s="21" t="s">
        <v>1916</v>
      </c>
      <c r="Q26" s="21" t="s">
        <v>1278</v>
      </c>
      <c r="R26" s="21" t="s">
        <v>1310</v>
      </c>
      <c r="S26" s="21" t="s">
        <v>1247</v>
      </c>
      <c r="T26" s="21" t="s">
        <v>1917</v>
      </c>
      <c r="U26" s="21" t="s">
        <v>1766</v>
      </c>
      <c r="V26" s="21" t="str">
        <f>_xlfn.XLOOKUP(U26,'T07'!$D$3:$D$1500,'T07'!$BI$3:$BI$1500)&amp;" / "&amp;_xlfn.XLOOKUP(U26,'T07'!$D$3:$D$1500,'T07'!$BJ$3:$BJ$1500)</f>
        <v>LHR-LTV-2019-66685 / LTV</v>
      </c>
      <c r="W26" s="21" t="s">
        <v>1917</v>
      </c>
      <c r="X26" s="21" t="s">
        <v>1768</v>
      </c>
      <c r="Y26" s="21" t="s">
        <v>1948</v>
      </c>
      <c r="Z26" s="21">
        <v>1</v>
      </c>
      <c r="AA26" s="21" t="s">
        <v>1803</v>
      </c>
      <c r="AB26" s="21" t="s">
        <v>1804</v>
      </c>
      <c r="AC26" s="25">
        <v>1500</v>
      </c>
      <c r="AD26" s="25">
        <v>200</v>
      </c>
      <c r="AE26" s="21" t="s">
        <v>2015</v>
      </c>
      <c r="AF26" s="21" t="s">
        <v>2016</v>
      </c>
      <c r="AG26" s="35">
        <v>45615.410416666666</v>
      </c>
      <c r="AH26" s="21" t="s">
        <v>1934</v>
      </c>
      <c r="AI26" s="25">
        <v>200</v>
      </c>
      <c r="AJ26" s="21" t="s">
        <v>1984</v>
      </c>
      <c r="AK26" s="21" t="s">
        <v>1922</v>
      </c>
      <c r="AL26" s="21" t="str">
        <f>IF(AD26-AI26&gt;0,(AD26-AI26)&amp;" bags - damaged in transit","None")</f>
        <v>None</v>
      </c>
      <c r="AM26" s="21" t="s">
        <v>844</v>
      </c>
      <c r="AN26" s="21" t="s">
        <v>848</v>
      </c>
      <c r="AO26" s="21" t="s">
        <v>1985</v>
      </c>
      <c r="AP26" s="21" t="str">
        <f>IF(AO26="Pending","Not yet invoiced",IF(AI26=AD26,"Matched","Invoiced on received qty ("&amp;AI26&amp;" of "&amp;AD26&amp;")"))</f>
        <v>Matched</v>
      </c>
      <c r="AQ26" s="21" t="s">
        <v>1986</v>
      </c>
    </row>
    <row r="27" spans="1:43" x14ac:dyDescent="0.3">
      <c r="A27" s="21" t="s">
        <v>2017</v>
      </c>
      <c r="B27" s="35">
        <v>45615.541666666664</v>
      </c>
      <c r="C27" s="21" t="s">
        <v>1909</v>
      </c>
      <c r="D27" s="21" t="s">
        <v>1988</v>
      </c>
      <c r="E27" s="21" t="s">
        <v>1927</v>
      </c>
      <c r="F27" s="21" t="s">
        <v>768</v>
      </c>
      <c r="G27" s="35">
        <v>45615.80395833333</v>
      </c>
      <c r="H27" s="21" t="s">
        <v>1912</v>
      </c>
      <c r="I27" s="21" t="s">
        <v>1913</v>
      </c>
      <c r="J27" s="21" t="s">
        <v>1914</v>
      </c>
      <c r="K27" s="21" t="s">
        <v>1823</v>
      </c>
      <c r="L27" s="21" t="s">
        <v>1080</v>
      </c>
      <c r="M27" s="21" t="s">
        <v>1824</v>
      </c>
      <c r="N27" s="21" t="s">
        <v>1989</v>
      </c>
      <c r="O27" s="21" t="s">
        <v>1990</v>
      </c>
      <c r="P27" s="21" t="s">
        <v>1930</v>
      </c>
      <c r="Q27" s="21" t="s">
        <v>1278</v>
      </c>
      <c r="R27" s="21" t="s">
        <v>1280</v>
      </c>
      <c r="S27" s="21" t="s">
        <v>1247</v>
      </c>
      <c r="T27" s="21" t="s">
        <v>1917</v>
      </c>
      <c r="U27" s="21" t="s">
        <v>1766</v>
      </c>
      <c r="V27" s="21" t="str">
        <f>_xlfn.XLOOKUP(U27,'T07'!$D$3:$D$1500,'T07'!$BI$3:$BI$1500)&amp;" / "&amp;_xlfn.XLOOKUP(U27,'T07'!$D$3:$D$1500,'T07'!$BJ$3:$BJ$1500)</f>
        <v>LHR-LTV-2019-66685 / LTV</v>
      </c>
      <c r="W27" s="21" t="s">
        <v>1917</v>
      </c>
      <c r="X27" s="21" t="s">
        <v>1768</v>
      </c>
      <c r="Y27" s="21" t="s">
        <v>2018</v>
      </c>
      <c r="Z27" s="21">
        <v>1</v>
      </c>
      <c r="AA27" s="21" t="s">
        <v>1828</v>
      </c>
      <c r="AB27" s="21" t="s">
        <v>1804</v>
      </c>
      <c r="AC27" s="25">
        <v>1250</v>
      </c>
      <c r="AD27" s="25">
        <v>200</v>
      </c>
      <c r="AE27" s="21" t="s">
        <v>2019</v>
      </c>
      <c r="AF27" s="21" t="s">
        <v>2020</v>
      </c>
      <c r="AG27" s="35">
        <v>45615.823958333327</v>
      </c>
      <c r="AH27" s="21" t="s">
        <v>1934</v>
      </c>
      <c r="AI27" s="25">
        <v>200</v>
      </c>
      <c r="AJ27" s="21" t="s">
        <v>1081</v>
      </c>
      <c r="AK27" s="21" t="s">
        <v>1922</v>
      </c>
      <c r="AL27" s="21" t="str">
        <f>IF(AD27-AI27&gt;0,(AD27-AI27)&amp;" bags - damaged in transit","None")</f>
        <v>None</v>
      </c>
      <c r="AM27" s="21" t="s">
        <v>844</v>
      </c>
      <c r="AN27" s="21" t="s">
        <v>848</v>
      </c>
      <c r="AO27" s="21" t="s">
        <v>1994</v>
      </c>
      <c r="AP27" s="21" t="str">
        <f>IF(AO27="Pending","Not yet invoiced",IF(AI27=AD27,"Matched","Invoiced on received qty ("&amp;AI27&amp;" of "&amp;AD27&amp;")"))</f>
        <v>Matched</v>
      </c>
      <c r="AQ27" s="21" t="s">
        <v>1986</v>
      </c>
    </row>
    <row r="28" spans="1:43" x14ac:dyDescent="0.3">
      <c r="A28" s="21" t="s">
        <v>2021</v>
      </c>
      <c r="B28" s="35">
        <v>45619.416666666664</v>
      </c>
      <c r="C28" s="21" t="s">
        <v>1909</v>
      </c>
      <c r="D28" s="21" t="s">
        <v>1988</v>
      </c>
      <c r="E28" s="21" t="s">
        <v>1927</v>
      </c>
      <c r="F28" s="21" t="s">
        <v>768</v>
      </c>
      <c r="G28" s="35">
        <v>45619.67895833333</v>
      </c>
      <c r="H28" s="21" t="s">
        <v>1912</v>
      </c>
      <c r="I28" s="21" t="s">
        <v>1913</v>
      </c>
      <c r="J28" s="21" t="s">
        <v>1914</v>
      </c>
      <c r="K28" s="21" t="s">
        <v>1823</v>
      </c>
      <c r="L28" s="21" t="s">
        <v>1080</v>
      </c>
      <c r="M28" s="21" t="s">
        <v>1824</v>
      </c>
      <c r="N28" s="21" t="s">
        <v>1989</v>
      </c>
      <c r="O28" s="21" t="s">
        <v>1990</v>
      </c>
      <c r="P28" s="21" t="s">
        <v>1930</v>
      </c>
      <c r="Q28" s="21" t="s">
        <v>1213</v>
      </c>
      <c r="R28" s="21" t="s">
        <v>1271</v>
      </c>
      <c r="S28" s="21" t="s">
        <v>1127</v>
      </c>
      <c r="T28" s="21" t="s">
        <v>1917</v>
      </c>
      <c r="U28" s="21" t="s">
        <v>1711</v>
      </c>
      <c r="V28" s="21" t="str">
        <f>_xlfn.XLOOKUP(U28,'T07'!$D$3:$D$1500,'T07'!$BI$3:$BI$1500)&amp;" / "&amp;_xlfn.XLOOKUP(U28,'T07'!$D$3:$D$1500,'T07'!$BJ$3:$BJ$1500)</f>
        <v>LHR-HTV-2008-42260 / HTV</v>
      </c>
      <c r="W28" s="21" t="s">
        <v>1917</v>
      </c>
      <c r="X28" s="21" t="s">
        <v>1713</v>
      </c>
      <c r="Y28" s="21" t="s">
        <v>2022</v>
      </c>
      <c r="Z28" s="21">
        <v>1</v>
      </c>
      <c r="AA28" s="21" t="s">
        <v>1828</v>
      </c>
      <c r="AB28" s="21" t="s">
        <v>1804</v>
      </c>
      <c r="AC28" s="25">
        <v>1050</v>
      </c>
      <c r="AD28" s="25">
        <v>500</v>
      </c>
      <c r="AE28" s="21" t="s">
        <v>2023</v>
      </c>
      <c r="AF28" s="21" t="s">
        <v>2024</v>
      </c>
      <c r="AG28" s="35">
        <v>45619.698958333327</v>
      </c>
      <c r="AH28" s="21" t="s">
        <v>1934</v>
      </c>
      <c r="AI28" s="25">
        <v>500</v>
      </c>
      <c r="AJ28" s="21" t="s">
        <v>1081</v>
      </c>
      <c r="AK28" s="21" t="s">
        <v>1922</v>
      </c>
      <c r="AL28" s="21" t="str">
        <f>IF(AD28-AI28&gt;0,(AD28-AI28)&amp;" bags - damaged in transit","None")</f>
        <v>None</v>
      </c>
      <c r="AM28" s="21" t="s">
        <v>844</v>
      </c>
      <c r="AN28" s="21" t="s">
        <v>848</v>
      </c>
      <c r="AO28" s="21" t="s">
        <v>1994</v>
      </c>
      <c r="AP28" s="21" t="str">
        <f>IF(AO28="Pending","Not yet invoiced",IF(AI28=AD28,"Matched","Invoiced on received qty ("&amp;AI28&amp;" of "&amp;AD28&amp;")"))</f>
        <v>Matched</v>
      </c>
      <c r="AQ28" s="21" t="s">
        <v>1995</v>
      </c>
    </row>
    <row r="29" spans="1:43" x14ac:dyDescent="0.3">
      <c r="A29" s="21" t="s">
        <v>2025</v>
      </c>
      <c r="B29" s="35">
        <v>45619.583333333336</v>
      </c>
      <c r="C29" s="21" t="s">
        <v>1909</v>
      </c>
      <c r="D29" s="21" t="s">
        <v>1979</v>
      </c>
      <c r="E29" s="21" t="s">
        <v>1945</v>
      </c>
      <c r="F29" s="21" t="s">
        <v>768</v>
      </c>
      <c r="G29" s="35">
        <v>45619.68208333334</v>
      </c>
      <c r="H29" s="21" t="s">
        <v>1912</v>
      </c>
      <c r="I29" s="21" t="s">
        <v>1913</v>
      </c>
      <c r="J29" s="21" t="s">
        <v>1914</v>
      </c>
      <c r="K29" s="21" t="s">
        <v>1819</v>
      </c>
      <c r="L29" s="21" t="s">
        <v>1156</v>
      </c>
      <c r="M29" s="21" t="s">
        <v>1161</v>
      </c>
      <c r="N29" s="21" t="s">
        <v>1980</v>
      </c>
      <c r="O29" s="21" t="s">
        <v>1165</v>
      </c>
      <c r="P29" s="21" t="s">
        <v>1916</v>
      </c>
      <c r="Q29" s="21" t="s">
        <v>1213</v>
      </c>
      <c r="R29" s="21" t="s">
        <v>1264</v>
      </c>
      <c r="S29" s="21" t="s">
        <v>1127</v>
      </c>
      <c r="T29" s="21" t="s">
        <v>1917</v>
      </c>
      <c r="U29" s="21" t="s">
        <v>1782</v>
      </c>
      <c r="V29" s="21" t="str">
        <f>_xlfn.XLOOKUP(U29,'T07'!$D$3:$D$1500,'T07'!$BI$3:$BI$1500)&amp;" / "&amp;_xlfn.XLOOKUP(U29,'T07'!$D$3:$D$1500,'T07'!$BJ$3:$BJ$1500)</f>
        <v>LHR-HTV-2014-51184 / HTV</v>
      </c>
      <c r="W29" s="21" t="s">
        <v>1917</v>
      </c>
      <c r="X29" s="21" t="s">
        <v>1785</v>
      </c>
      <c r="Y29" s="21" t="s">
        <v>2008</v>
      </c>
      <c r="Z29" s="21">
        <v>1</v>
      </c>
      <c r="AA29" s="21" t="s">
        <v>1803</v>
      </c>
      <c r="AB29" s="21" t="s">
        <v>1804</v>
      </c>
      <c r="AC29" s="25">
        <v>1300</v>
      </c>
      <c r="AD29" s="25">
        <v>500</v>
      </c>
      <c r="AE29" s="21" t="s">
        <v>2026</v>
      </c>
      <c r="AF29" s="21" t="s">
        <v>2027</v>
      </c>
      <c r="AG29" s="35">
        <v>45619.702083333337</v>
      </c>
      <c r="AH29" s="21" t="s">
        <v>1934</v>
      </c>
      <c r="AI29" s="25">
        <v>500</v>
      </c>
      <c r="AJ29" s="21" t="s">
        <v>1984</v>
      </c>
      <c r="AK29" s="21" t="s">
        <v>1922</v>
      </c>
      <c r="AL29" s="21" t="str">
        <f>IF(AD29-AI29&gt;0,(AD29-AI29)&amp;" bags - damaged in transit","None")</f>
        <v>None</v>
      </c>
      <c r="AM29" s="21" t="s">
        <v>844</v>
      </c>
      <c r="AN29" s="21" t="s">
        <v>848</v>
      </c>
      <c r="AO29" s="21" t="s">
        <v>1985</v>
      </c>
      <c r="AP29" s="21" t="str">
        <f>IF(AO29="Pending","Not yet invoiced",IF(AI29=AD29,"Matched","Invoiced on received qty ("&amp;AI29&amp;" of "&amp;AD29&amp;")"))</f>
        <v>Matched</v>
      </c>
      <c r="AQ29" s="21" t="s">
        <v>1995</v>
      </c>
    </row>
    <row r="30" spans="1:43" x14ac:dyDescent="0.3">
      <c r="A30" s="21" t="s">
        <v>2028</v>
      </c>
      <c r="B30" s="35">
        <v>45628.458333333336</v>
      </c>
      <c r="C30" s="21" t="s">
        <v>1909</v>
      </c>
      <c r="D30" s="21" t="s">
        <v>2029</v>
      </c>
      <c r="E30" s="21" t="s">
        <v>1911</v>
      </c>
      <c r="F30" s="21" t="s">
        <v>1817</v>
      </c>
      <c r="G30" s="35">
        <v>45628.569583333338</v>
      </c>
      <c r="H30" s="21" t="s">
        <v>1912</v>
      </c>
      <c r="I30" s="21" t="s">
        <v>1913</v>
      </c>
      <c r="J30" s="21" t="s">
        <v>1914</v>
      </c>
      <c r="K30" s="21" t="s">
        <v>1830</v>
      </c>
      <c r="L30" s="21" t="s">
        <v>1133</v>
      </c>
      <c r="M30" s="21" t="s">
        <v>1139</v>
      </c>
      <c r="N30" s="21" t="s">
        <v>1140</v>
      </c>
      <c r="O30" s="21" t="s">
        <v>2030</v>
      </c>
      <c r="P30" s="21" t="s">
        <v>1916</v>
      </c>
      <c r="Q30" s="21" t="s">
        <v>1339</v>
      </c>
      <c r="R30" s="21" t="s">
        <v>1341</v>
      </c>
      <c r="S30" s="21" t="s">
        <v>1343</v>
      </c>
      <c r="T30" s="21" t="s">
        <v>1917</v>
      </c>
      <c r="U30" s="21" t="s">
        <v>1753</v>
      </c>
      <c r="V30" s="21" t="str">
        <f>_xlfn.XLOOKUP(U30,'T07'!$D$3:$D$1500,'T07'!$BI$3:$BI$1500)&amp;" / "&amp;_xlfn.XLOOKUP(U30,'T07'!$D$3:$D$1500,'T07'!$BJ$3:$BJ$1500)</f>
        <v>LHR-HTV-2009-86678 / HTV</v>
      </c>
      <c r="W30" s="21" t="s">
        <v>1917</v>
      </c>
      <c r="X30" s="21" t="s">
        <v>1755</v>
      </c>
      <c r="Y30" s="21" t="s">
        <v>1953</v>
      </c>
      <c r="Z30" s="21">
        <v>1</v>
      </c>
      <c r="AA30" s="21" t="s">
        <v>1815</v>
      </c>
      <c r="AB30" s="21" t="s">
        <v>783</v>
      </c>
      <c r="AC30" s="25">
        <v>260</v>
      </c>
      <c r="AD30" s="25">
        <v>30</v>
      </c>
      <c r="AE30" s="21" t="s">
        <v>2031</v>
      </c>
      <c r="AF30" s="21" t="s">
        <v>2032</v>
      </c>
      <c r="AG30" s="35">
        <v>45628.589583333334</v>
      </c>
      <c r="AH30" s="21" t="s">
        <v>1921</v>
      </c>
      <c r="AI30" s="25">
        <v>30</v>
      </c>
      <c r="AJ30" s="21" t="s">
        <v>1141</v>
      </c>
      <c r="AK30" s="21" t="s">
        <v>1922</v>
      </c>
      <c r="AL30" s="21" t="str">
        <f>IF(AD30-AI30&gt;0,(AD30-AI30)&amp;" bags - damaged in transit","None")</f>
        <v>None</v>
      </c>
      <c r="AM30" s="21" t="s">
        <v>844</v>
      </c>
      <c r="AN30" s="21" t="s">
        <v>848</v>
      </c>
      <c r="AO30" s="21" t="s">
        <v>2033</v>
      </c>
      <c r="AP30" s="21" t="str">
        <f>IF(AO30="Pending","Not yet invoiced",IF(AI30=AD30,"Matched","Invoiced on received qty ("&amp;AI30&amp;" of "&amp;AD30&amp;")"))</f>
        <v>Matched</v>
      </c>
      <c r="AQ30" s="21" t="s">
        <v>2034</v>
      </c>
    </row>
    <row r="31" spans="1:43" x14ac:dyDescent="0.3">
      <c r="A31" s="21" t="s">
        <v>2035</v>
      </c>
      <c r="B31" s="35">
        <v>45632.541666666664</v>
      </c>
      <c r="C31" s="21" t="s">
        <v>1909</v>
      </c>
      <c r="D31" s="21" t="s">
        <v>2029</v>
      </c>
      <c r="E31" s="21" t="s">
        <v>1911</v>
      </c>
      <c r="F31" s="21" t="s">
        <v>1817</v>
      </c>
      <c r="G31" s="35">
        <v>45632.652916666666</v>
      </c>
      <c r="H31" s="21" t="s">
        <v>1912</v>
      </c>
      <c r="I31" s="21" t="s">
        <v>1913</v>
      </c>
      <c r="J31" s="21" t="s">
        <v>1914</v>
      </c>
      <c r="K31" s="21" t="s">
        <v>1830</v>
      </c>
      <c r="L31" s="21" t="s">
        <v>1133</v>
      </c>
      <c r="M31" s="21" t="s">
        <v>1139</v>
      </c>
      <c r="N31" s="21" t="s">
        <v>1140</v>
      </c>
      <c r="O31" s="21" t="s">
        <v>2030</v>
      </c>
      <c r="P31" s="21" t="s">
        <v>1916</v>
      </c>
      <c r="Q31" s="21" t="s">
        <v>1339</v>
      </c>
      <c r="R31" s="21" t="s">
        <v>1350</v>
      </c>
      <c r="S31" s="21" t="s">
        <v>1352</v>
      </c>
      <c r="T31" s="21" t="s">
        <v>1917</v>
      </c>
      <c r="U31" s="21" t="s">
        <v>1711</v>
      </c>
      <c r="V31" s="21" t="str">
        <f>_xlfn.XLOOKUP(U31,'T07'!$D$3:$D$1500,'T07'!$BI$3:$BI$1500)&amp;" / "&amp;_xlfn.XLOOKUP(U31,'T07'!$D$3:$D$1500,'T07'!$BJ$3:$BJ$1500)</f>
        <v>LHR-HTV-2008-42260 / HTV</v>
      </c>
      <c r="W31" s="21" t="s">
        <v>1917</v>
      </c>
      <c r="X31" s="21" t="s">
        <v>1713</v>
      </c>
      <c r="Y31" s="21" t="s">
        <v>1918</v>
      </c>
      <c r="Z31" s="21">
        <v>1</v>
      </c>
      <c r="AA31" s="21" t="s">
        <v>1815</v>
      </c>
      <c r="AB31" s="21" t="s">
        <v>783</v>
      </c>
      <c r="AC31" s="25">
        <v>230</v>
      </c>
      <c r="AD31" s="25">
        <v>40</v>
      </c>
      <c r="AE31" s="21" t="s">
        <v>2036</v>
      </c>
      <c r="AF31" s="21" t="s">
        <v>2037</v>
      </c>
      <c r="AG31" s="35">
        <v>45632.672916666663</v>
      </c>
      <c r="AH31" s="21" t="s">
        <v>1921</v>
      </c>
      <c r="AI31" s="25">
        <v>40</v>
      </c>
      <c r="AJ31" s="21" t="s">
        <v>1141</v>
      </c>
      <c r="AK31" s="21" t="s">
        <v>1922</v>
      </c>
      <c r="AL31" s="21" t="str">
        <f>IF(AD31-AI31&gt;0,(AD31-AI31)&amp;" bags - damaged in transit","None")</f>
        <v>None</v>
      </c>
      <c r="AM31" s="21" t="s">
        <v>844</v>
      </c>
      <c r="AN31" s="21" t="s">
        <v>848</v>
      </c>
      <c r="AO31" s="21" t="s">
        <v>2033</v>
      </c>
      <c r="AP31" s="21" t="str">
        <f>IF(AO31="Pending","Not yet invoiced",IF(AI31=AD31,"Matched","Invoiced on received qty ("&amp;AI31&amp;" of "&amp;AD31&amp;")"))</f>
        <v>Matched</v>
      </c>
      <c r="AQ31" s="21" t="s">
        <v>2034</v>
      </c>
    </row>
    <row r="32" spans="1:43" x14ac:dyDescent="0.3">
      <c r="A32" s="21" t="s">
        <v>2038</v>
      </c>
      <c r="B32" s="35">
        <v>45636.458333333336</v>
      </c>
      <c r="C32" s="21" t="s">
        <v>1909</v>
      </c>
      <c r="D32" s="21" t="s">
        <v>2029</v>
      </c>
      <c r="E32" s="21" t="s">
        <v>1911</v>
      </c>
      <c r="F32" s="21" t="s">
        <v>1817</v>
      </c>
      <c r="G32" s="35">
        <v>45636.569583333338</v>
      </c>
      <c r="H32" s="21" t="s">
        <v>1912</v>
      </c>
      <c r="I32" s="21" t="s">
        <v>1913</v>
      </c>
      <c r="J32" s="21" t="s">
        <v>1914</v>
      </c>
      <c r="K32" s="21" t="s">
        <v>1830</v>
      </c>
      <c r="L32" s="21" t="s">
        <v>1133</v>
      </c>
      <c r="M32" s="21" t="s">
        <v>1139</v>
      </c>
      <c r="N32" s="21" t="s">
        <v>1140</v>
      </c>
      <c r="O32" s="21" t="s">
        <v>2030</v>
      </c>
      <c r="P32" s="21" t="s">
        <v>1916</v>
      </c>
      <c r="Q32" s="21" t="s">
        <v>1339</v>
      </c>
      <c r="R32" s="21" t="s">
        <v>1360</v>
      </c>
      <c r="S32" s="21" t="s">
        <v>1343</v>
      </c>
      <c r="T32" s="21" t="s">
        <v>1917</v>
      </c>
      <c r="U32" s="21" t="s">
        <v>1724</v>
      </c>
      <c r="V32" s="21" t="str">
        <f>_xlfn.XLOOKUP(U32,'T07'!$D$3:$D$1500,'T07'!$BI$3:$BI$1500)&amp;" / "&amp;_xlfn.XLOOKUP(U32,'T07'!$D$3:$D$1500,'T07'!$BJ$3:$BJ$1500)</f>
        <v>LHR-HTV-2008-90487 / HTV</v>
      </c>
      <c r="W32" s="21" t="s">
        <v>1917</v>
      </c>
      <c r="X32" s="21" t="s">
        <v>1726</v>
      </c>
      <c r="Y32" s="21" t="s">
        <v>1963</v>
      </c>
      <c r="Z32" s="21">
        <v>1</v>
      </c>
      <c r="AA32" s="21" t="s">
        <v>1815</v>
      </c>
      <c r="AB32" s="21" t="s">
        <v>783</v>
      </c>
      <c r="AC32" s="25">
        <v>190</v>
      </c>
      <c r="AD32" s="25">
        <v>30</v>
      </c>
      <c r="AE32" s="21" t="s">
        <v>2039</v>
      </c>
      <c r="AF32" s="21" t="s">
        <v>2040</v>
      </c>
      <c r="AG32" s="35">
        <v>45636.589583333334</v>
      </c>
      <c r="AH32" s="21" t="s">
        <v>1921</v>
      </c>
      <c r="AI32" s="25">
        <v>30</v>
      </c>
      <c r="AJ32" s="21" t="s">
        <v>1141</v>
      </c>
      <c r="AK32" s="21" t="s">
        <v>1922</v>
      </c>
      <c r="AL32" s="21" t="str">
        <f>IF(AD32-AI32&gt;0,(AD32-AI32)&amp;" bags - damaged in transit","None")</f>
        <v>None</v>
      </c>
      <c r="AM32" s="21" t="s">
        <v>844</v>
      </c>
      <c r="AN32" s="21" t="s">
        <v>848</v>
      </c>
      <c r="AO32" s="21" t="s">
        <v>2033</v>
      </c>
      <c r="AP32" s="21" t="str">
        <f>IF(AO32="Pending","Not yet invoiced",IF(AI32=AD32,"Matched","Invoiced on received qty ("&amp;AI32&amp;" of "&amp;AD32&amp;")"))</f>
        <v>Matched</v>
      </c>
      <c r="AQ32" s="21" t="s">
        <v>2034</v>
      </c>
    </row>
    <row r="33" spans="1:43" x14ac:dyDescent="0.3">
      <c r="A33" s="21" t="s">
        <v>2041</v>
      </c>
      <c r="B33" s="35">
        <v>45640.583333333336</v>
      </c>
      <c r="C33" s="21" t="s">
        <v>1909</v>
      </c>
      <c r="D33" s="21" t="s">
        <v>2029</v>
      </c>
      <c r="E33" s="21" t="s">
        <v>1911</v>
      </c>
      <c r="F33" s="21" t="s">
        <v>1817</v>
      </c>
      <c r="G33" s="35">
        <v>45640.694583333338</v>
      </c>
      <c r="H33" s="21" t="s">
        <v>1912</v>
      </c>
      <c r="I33" s="21" t="s">
        <v>1913</v>
      </c>
      <c r="J33" s="21" t="s">
        <v>1914</v>
      </c>
      <c r="K33" s="21" t="s">
        <v>1830</v>
      </c>
      <c r="L33" s="21" t="s">
        <v>1133</v>
      </c>
      <c r="M33" s="21" t="s">
        <v>1139</v>
      </c>
      <c r="N33" s="21" t="s">
        <v>1140</v>
      </c>
      <c r="O33" s="21" t="s">
        <v>2030</v>
      </c>
      <c r="P33" s="21" t="s">
        <v>1916</v>
      </c>
      <c r="Q33" s="21" t="s">
        <v>1339</v>
      </c>
      <c r="R33" s="21" t="s">
        <v>1341</v>
      </c>
      <c r="S33" s="21" t="s">
        <v>1343</v>
      </c>
      <c r="T33" s="21" t="s">
        <v>1917</v>
      </c>
      <c r="U33" s="21" t="s">
        <v>1753</v>
      </c>
      <c r="V33" s="21" t="str">
        <f>_xlfn.XLOOKUP(U33,'T07'!$D$3:$D$1500,'T07'!$BI$3:$BI$1500)&amp;" / "&amp;_xlfn.XLOOKUP(U33,'T07'!$D$3:$D$1500,'T07'!$BJ$3:$BJ$1500)</f>
        <v>LHR-HTV-2009-86678 / HTV</v>
      </c>
      <c r="W33" s="21" t="s">
        <v>1917</v>
      </c>
      <c r="X33" s="21" t="s">
        <v>1755</v>
      </c>
      <c r="Y33" s="21" t="s">
        <v>1953</v>
      </c>
      <c r="Z33" s="21">
        <v>1</v>
      </c>
      <c r="AA33" s="21" t="s">
        <v>1815</v>
      </c>
      <c r="AB33" s="21" t="s">
        <v>783</v>
      </c>
      <c r="AC33" s="25">
        <v>160</v>
      </c>
      <c r="AD33" s="25">
        <v>30</v>
      </c>
      <c r="AE33" s="21" t="s">
        <v>2042</v>
      </c>
      <c r="AF33" s="21" t="s">
        <v>2043</v>
      </c>
      <c r="AG33" s="35">
        <v>45640.714583333334</v>
      </c>
      <c r="AH33" s="21" t="s">
        <v>1921</v>
      </c>
      <c r="AI33" s="25">
        <v>30</v>
      </c>
      <c r="AJ33" s="21" t="s">
        <v>1141</v>
      </c>
      <c r="AK33" s="21" t="s">
        <v>1922</v>
      </c>
      <c r="AL33" s="21" t="str">
        <f>IF(AD33-AI33&gt;0,(AD33-AI33)&amp;" bags - damaged in transit","None")</f>
        <v>None</v>
      </c>
      <c r="AM33" s="21" t="s">
        <v>844</v>
      </c>
      <c r="AN33" s="21" t="s">
        <v>848</v>
      </c>
      <c r="AO33" s="21" t="s">
        <v>2033</v>
      </c>
      <c r="AP33" s="21" t="str">
        <f>IF(AO33="Pending","Not yet invoiced",IF(AI33=AD33,"Matched","Invoiced on received qty ("&amp;AI33&amp;" of "&amp;AD33&amp;")"))</f>
        <v>Matched</v>
      </c>
      <c r="AQ33" s="21" t="s">
        <v>2034</v>
      </c>
    </row>
    <row r="34" spans="1:43" x14ac:dyDescent="0.3">
      <c r="A34" s="21" t="s">
        <v>2044</v>
      </c>
      <c r="B34" s="35">
        <v>45641.458333333336</v>
      </c>
      <c r="C34" s="21" t="s">
        <v>1909</v>
      </c>
      <c r="D34" s="21" t="s">
        <v>2029</v>
      </c>
      <c r="E34" s="21" t="s">
        <v>1911</v>
      </c>
      <c r="F34" s="21" t="s">
        <v>1817</v>
      </c>
      <c r="G34" s="35">
        <v>45641.569583333338</v>
      </c>
      <c r="H34" s="21" t="s">
        <v>1912</v>
      </c>
      <c r="I34" s="21" t="s">
        <v>1913</v>
      </c>
      <c r="J34" s="21" t="s">
        <v>1914</v>
      </c>
      <c r="K34" s="21" t="s">
        <v>1830</v>
      </c>
      <c r="L34" s="21" t="s">
        <v>1133</v>
      </c>
      <c r="M34" s="21" t="s">
        <v>1139</v>
      </c>
      <c r="N34" s="21" t="s">
        <v>1140</v>
      </c>
      <c r="O34" s="21" t="s">
        <v>2030</v>
      </c>
      <c r="P34" s="21" t="s">
        <v>1916</v>
      </c>
      <c r="Q34" s="21" t="s">
        <v>1339</v>
      </c>
      <c r="R34" s="21" t="s">
        <v>1360</v>
      </c>
      <c r="S34" s="21" t="s">
        <v>1343</v>
      </c>
      <c r="T34" s="21" t="s">
        <v>1917</v>
      </c>
      <c r="U34" s="21" t="s">
        <v>1782</v>
      </c>
      <c r="V34" s="21" t="str">
        <f>_xlfn.XLOOKUP(U34,'T07'!$D$3:$D$1500,'T07'!$BI$3:$BI$1500)&amp;" / "&amp;_xlfn.XLOOKUP(U34,'T07'!$D$3:$D$1500,'T07'!$BJ$3:$BJ$1500)</f>
        <v>LHR-HTV-2014-51184 / HTV</v>
      </c>
      <c r="W34" s="21" t="s">
        <v>1917</v>
      </c>
      <c r="X34" s="21" t="s">
        <v>1785</v>
      </c>
      <c r="Y34" s="21" t="s">
        <v>1963</v>
      </c>
      <c r="Z34" s="21">
        <v>1</v>
      </c>
      <c r="AA34" s="21" t="s">
        <v>1815</v>
      </c>
      <c r="AB34" s="21" t="s">
        <v>783</v>
      </c>
      <c r="AC34" s="25">
        <v>130</v>
      </c>
      <c r="AD34" s="25">
        <v>28</v>
      </c>
      <c r="AE34" s="21" t="s">
        <v>2045</v>
      </c>
      <c r="AF34" s="21" t="s">
        <v>2046</v>
      </c>
      <c r="AG34" s="35">
        <v>45641.589583333334</v>
      </c>
      <c r="AH34" s="21" t="s">
        <v>1921</v>
      </c>
      <c r="AI34" s="25">
        <v>28</v>
      </c>
      <c r="AJ34" s="21" t="s">
        <v>1141</v>
      </c>
      <c r="AK34" s="21" t="s">
        <v>1922</v>
      </c>
      <c r="AL34" s="21" t="str">
        <f>IF(AD34-AI34&gt;0,(AD34-AI34)&amp;" bags - damaged in transit","None")</f>
        <v>None</v>
      </c>
      <c r="AM34" s="21" t="s">
        <v>844</v>
      </c>
      <c r="AN34" s="21" t="s">
        <v>848</v>
      </c>
      <c r="AO34" s="21" t="s">
        <v>2033</v>
      </c>
      <c r="AP34" s="21" t="str">
        <f>IF(AO34="Pending","Not yet invoiced",IF(AI34=AD34,"Matched","Invoiced on received qty ("&amp;AI34&amp;" of "&amp;AD34&amp;")"))</f>
        <v>Matched</v>
      </c>
      <c r="AQ34" s="21" t="s">
        <v>2034</v>
      </c>
    </row>
    <row r="35" spans="1:43" x14ac:dyDescent="0.3">
      <c r="A35" s="21" t="s">
        <v>2047</v>
      </c>
      <c r="B35" s="35">
        <v>45645.541666666664</v>
      </c>
      <c r="C35" s="21" t="s">
        <v>1909</v>
      </c>
      <c r="D35" s="21" t="s">
        <v>2029</v>
      </c>
      <c r="E35" s="21" t="s">
        <v>1911</v>
      </c>
      <c r="F35" s="21" t="s">
        <v>1817</v>
      </c>
      <c r="G35" s="35">
        <v>45645.652916666666</v>
      </c>
      <c r="H35" s="21" t="s">
        <v>1912</v>
      </c>
      <c r="I35" s="21" t="s">
        <v>1913</v>
      </c>
      <c r="J35" s="21" t="s">
        <v>1914</v>
      </c>
      <c r="K35" s="21" t="s">
        <v>1830</v>
      </c>
      <c r="L35" s="21" t="s">
        <v>1133</v>
      </c>
      <c r="M35" s="21" t="s">
        <v>1139</v>
      </c>
      <c r="N35" s="21" t="s">
        <v>1140</v>
      </c>
      <c r="O35" s="21" t="s">
        <v>2030</v>
      </c>
      <c r="P35" s="21" t="s">
        <v>1916</v>
      </c>
      <c r="Q35" s="21" t="s">
        <v>1339</v>
      </c>
      <c r="R35" s="21" t="s">
        <v>1350</v>
      </c>
      <c r="S35" s="21" t="s">
        <v>1352</v>
      </c>
      <c r="T35" s="21" t="s">
        <v>1917</v>
      </c>
      <c r="U35" s="21" t="s">
        <v>1724</v>
      </c>
      <c r="V35" s="21" t="str">
        <f>_xlfn.XLOOKUP(U35,'T07'!$D$3:$D$1500,'T07'!$BI$3:$BI$1500)&amp;" / "&amp;_xlfn.XLOOKUP(U35,'T07'!$D$3:$D$1500,'T07'!$BJ$3:$BJ$1500)</f>
        <v>LHR-HTV-2008-90487 / HTV</v>
      </c>
      <c r="W35" s="21" t="s">
        <v>1917</v>
      </c>
      <c r="X35" s="21" t="s">
        <v>1726</v>
      </c>
      <c r="Y35" s="21" t="s">
        <v>1918</v>
      </c>
      <c r="Z35" s="21">
        <v>1</v>
      </c>
      <c r="AA35" s="21" t="s">
        <v>1815</v>
      </c>
      <c r="AB35" s="21" t="s">
        <v>783</v>
      </c>
      <c r="AC35" s="25">
        <v>102</v>
      </c>
      <c r="AD35" s="25">
        <v>39</v>
      </c>
      <c r="AE35" s="21" t="s">
        <v>2048</v>
      </c>
      <c r="AF35" s="21" t="s">
        <v>2049</v>
      </c>
      <c r="AG35" s="35">
        <v>45645.672916666663</v>
      </c>
      <c r="AH35" s="21" t="s">
        <v>1921</v>
      </c>
      <c r="AI35" s="25">
        <v>39</v>
      </c>
      <c r="AJ35" s="21" t="s">
        <v>1141</v>
      </c>
      <c r="AK35" s="21" t="s">
        <v>1922</v>
      </c>
      <c r="AL35" s="21" t="str">
        <f>IF(AD35-AI35&gt;0,(AD35-AI35)&amp;" bags - damaged in transit","None")</f>
        <v>None</v>
      </c>
      <c r="AM35" s="21" t="s">
        <v>844</v>
      </c>
      <c r="AN35" s="21" t="s">
        <v>848</v>
      </c>
      <c r="AO35" s="21" t="s">
        <v>2033</v>
      </c>
      <c r="AP35" s="21" t="str">
        <f>IF(AO35="Pending","Not yet invoiced",IF(AI35=AD35,"Matched","Invoiced on received qty ("&amp;AI35&amp;" of "&amp;AD35&amp;")"))</f>
        <v>Matched</v>
      </c>
      <c r="AQ35" s="21" t="s">
        <v>2034</v>
      </c>
    </row>
    <row r="36" spans="1:43" x14ac:dyDescent="0.3">
      <c r="A36" s="21" t="s">
        <v>2050</v>
      </c>
      <c r="B36" s="35">
        <v>45650.666666666664</v>
      </c>
      <c r="C36" s="21" t="s">
        <v>1909</v>
      </c>
      <c r="D36" s="21" t="s">
        <v>2029</v>
      </c>
      <c r="E36" s="21" t="s">
        <v>1911</v>
      </c>
      <c r="F36" s="21" t="s">
        <v>1817</v>
      </c>
      <c r="G36" s="35">
        <v>45650.777916666666</v>
      </c>
      <c r="H36" s="21" t="s">
        <v>1912</v>
      </c>
      <c r="I36" s="21" t="s">
        <v>1913</v>
      </c>
      <c r="J36" s="21" t="s">
        <v>1914</v>
      </c>
      <c r="K36" s="21" t="s">
        <v>1830</v>
      </c>
      <c r="L36" s="21" t="s">
        <v>1133</v>
      </c>
      <c r="M36" s="21" t="s">
        <v>1139</v>
      </c>
      <c r="N36" s="21" t="s">
        <v>1140</v>
      </c>
      <c r="O36" s="21" t="s">
        <v>2030</v>
      </c>
      <c r="P36" s="21" t="s">
        <v>1916</v>
      </c>
      <c r="Q36" s="21" t="s">
        <v>1339</v>
      </c>
      <c r="R36" s="21" t="s">
        <v>1367</v>
      </c>
      <c r="S36" s="21" t="s">
        <v>1352</v>
      </c>
      <c r="T36" s="21" t="s">
        <v>1917</v>
      </c>
      <c r="U36" s="21" t="s">
        <v>1782</v>
      </c>
      <c r="V36" s="21" t="str">
        <f>_xlfn.XLOOKUP(U36,'T07'!$D$3:$D$1500,'T07'!$BI$3:$BI$1500)&amp;" / "&amp;_xlfn.XLOOKUP(U36,'T07'!$D$3:$D$1500,'T07'!$BJ$3:$BJ$1500)</f>
        <v>LHR-HTV-2014-51184 / HTV</v>
      </c>
      <c r="W36" s="21" t="s">
        <v>1917</v>
      </c>
      <c r="X36" s="21" t="s">
        <v>1785</v>
      </c>
      <c r="Y36" s="21" t="s">
        <v>2051</v>
      </c>
      <c r="Z36" s="21">
        <v>1</v>
      </c>
      <c r="AA36" s="21" t="s">
        <v>1815</v>
      </c>
      <c r="AB36" s="21" t="s">
        <v>783</v>
      </c>
      <c r="AC36" s="25">
        <v>63</v>
      </c>
      <c r="AD36" s="25">
        <v>38</v>
      </c>
      <c r="AE36" s="21" t="s">
        <v>2052</v>
      </c>
      <c r="AF36" s="21" t="s">
        <v>2053</v>
      </c>
      <c r="AG36" s="35">
        <v>45650.797916666663</v>
      </c>
      <c r="AH36" s="21" t="s">
        <v>1921</v>
      </c>
      <c r="AI36" s="25">
        <v>38</v>
      </c>
      <c r="AJ36" s="21" t="s">
        <v>1141</v>
      </c>
      <c r="AK36" s="21" t="s">
        <v>1922</v>
      </c>
      <c r="AL36" s="21" t="str">
        <f>IF(AD36-AI36&gt;0,(AD36-AI36)&amp;" bags - damaged in transit","None")</f>
        <v>None</v>
      </c>
      <c r="AM36" s="21" t="s">
        <v>844</v>
      </c>
      <c r="AN36" s="21" t="s">
        <v>848</v>
      </c>
      <c r="AO36" s="21" t="s">
        <v>2033</v>
      </c>
      <c r="AP36" s="21" t="str">
        <f>IF(AO36="Pending","Not yet invoiced",IF(AI36=AD36,"Matched","Invoiced on received qty ("&amp;AI36&amp;" of "&amp;AD36&amp;")"))</f>
        <v>Matched</v>
      </c>
      <c r="AQ36" s="21" t="s">
        <v>2034</v>
      </c>
    </row>
    <row r="37" spans="1:43" x14ac:dyDescent="0.3">
      <c r="A37" s="21" t="s">
        <v>2054</v>
      </c>
      <c r="B37" s="35">
        <v>45659.458333333336</v>
      </c>
      <c r="C37" s="21" t="s">
        <v>1909</v>
      </c>
      <c r="D37" s="21" t="s">
        <v>2055</v>
      </c>
      <c r="E37" s="21" t="s">
        <v>2056</v>
      </c>
      <c r="F37" s="21" t="s">
        <v>768</v>
      </c>
      <c r="G37" s="35">
        <v>45659.720625000002</v>
      </c>
      <c r="H37" s="21" t="s">
        <v>1912</v>
      </c>
      <c r="I37" s="21" t="s">
        <v>1913</v>
      </c>
      <c r="J37" s="21" t="s">
        <v>1914</v>
      </c>
      <c r="K37" s="21" t="s">
        <v>1823</v>
      </c>
      <c r="L37" s="21" t="s">
        <v>1080</v>
      </c>
      <c r="M37" s="21" t="s">
        <v>1824</v>
      </c>
      <c r="N37" s="21" t="s">
        <v>1989</v>
      </c>
      <c r="O37" s="21" t="s">
        <v>1990</v>
      </c>
      <c r="P37" s="21" t="s">
        <v>1930</v>
      </c>
      <c r="Q37" s="21" t="s">
        <v>1213</v>
      </c>
      <c r="R37" s="21" t="s">
        <v>1216</v>
      </c>
      <c r="S37" s="21" t="s">
        <v>1104</v>
      </c>
      <c r="T37" s="21" t="s">
        <v>1917</v>
      </c>
      <c r="U37" s="21" t="s">
        <v>1711</v>
      </c>
      <c r="V37" s="21" t="str">
        <f>_xlfn.XLOOKUP(U37,'T07'!$D$3:$D$1500,'T07'!$BI$3:$BI$1500)&amp;" / "&amp;_xlfn.XLOOKUP(U37,'T07'!$D$3:$D$1500,'T07'!$BJ$3:$BJ$1500)</f>
        <v>LHR-HTV-2008-42260 / HTV</v>
      </c>
      <c r="W37" s="21" t="s">
        <v>1917</v>
      </c>
      <c r="X37" s="21" t="s">
        <v>1713</v>
      </c>
      <c r="Y37" s="21" t="s">
        <v>2057</v>
      </c>
      <c r="Z37" s="21">
        <v>1</v>
      </c>
      <c r="AA37" s="21" t="s">
        <v>1842</v>
      </c>
      <c r="AB37" s="21" t="s">
        <v>1804</v>
      </c>
      <c r="AC37" s="25">
        <v>2500</v>
      </c>
      <c r="AD37" s="25">
        <v>1000</v>
      </c>
      <c r="AE37" s="21" t="s">
        <v>2058</v>
      </c>
      <c r="AF37" s="21" t="s">
        <v>2059</v>
      </c>
      <c r="AG37" s="35">
        <v>45659.740624999999</v>
      </c>
      <c r="AH37" s="21" t="s">
        <v>1983</v>
      </c>
      <c r="AI37" s="25">
        <v>1000</v>
      </c>
      <c r="AJ37" s="21" t="s">
        <v>1081</v>
      </c>
      <c r="AK37" s="21" t="s">
        <v>1922</v>
      </c>
      <c r="AL37" s="21" t="str">
        <f>IF(AD37-AI37&gt;0,(AD37-AI37)&amp;" bags - damaged in transit","None")</f>
        <v>None</v>
      </c>
      <c r="AM37" s="21" t="s">
        <v>844</v>
      </c>
      <c r="AN37" s="21" t="s">
        <v>848</v>
      </c>
      <c r="AO37" s="21" t="s">
        <v>2060</v>
      </c>
      <c r="AP37" s="21" t="str">
        <f>IF(AO37="Pending","Not yet invoiced",IF(AI37=AD37,"Matched","Invoiced on received qty ("&amp;AI37&amp;" of "&amp;AD37&amp;")"))</f>
        <v>Matched</v>
      </c>
      <c r="AQ37" s="21" t="s">
        <v>2061</v>
      </c>
    </row>
    <row r="38" spans="1:43" x14ac:dyDescent="0.3">
      <c r="A38" s="21" t="s">
        <v>2062</v>
      </c>
      <c r="B38" s="35">
        <v>45660.25</v>
      </c>
      <c r="C38" s="21" t="s">
        <v>1909</v>
      </c>
      <c r="D38" s="21" t="s">
        <v>2063</v>
      </c>
      <c r="E38" s="21" t="s">
        <v>2056</v>
      </c>
      <c r="F38" s="21" t="s">
        <v>768</v>
      </c>
      <c r="G38" s="35">
        <v>45660.387291666666</v>
      </c>
      <c r="H38" s="21" t="s">
        <v>1912</v>
      </c>
      <c r="I38" s="21" t="s">
        <v>1913</v>
      </c>
      <c r="J38" s="21" t="s">
        <v>1914</v>
      </c>
      <c r="K38" s="21" t="s">
        <v>1844</v>
      </c>
      <c r="L38" s="21" t="s">
        <v>1065</v>
      </c>
      <c r="M38" s="21" t="s">
        <v>1845</v>
      </c>
      <c r="N38" s="21" t="s">
        <v>2064</v>
      </c>
      <c r="O38" s="21" t="s">
        <v>2065</v>
      </c>
      <c r="P38" s="21" t="s">
        <v>1930</v>
      </c>
      <c r="Q38" s="21" t="s">
        <v>1213</v>
      </c>
      <c r="R38" s="21" t="s">
        <v>1271</v>
      </c>
      <c r="S38" s="21" t="s">
        <v>1127</v>
      </c>
      <c r="T38" s="21" t="s">
        <v>1917</v>
      </c>
      <c r="U38" s="21" t="s">
        <v>1739</v>
      </c>
      <c r="V38" s="21" t="str">
        <f>_xlfn.XLOOKUP(U38,'T07'!$D$3:$D$1500,'T07'!$BI$3:$BI$1500)&amp;" / "&amp;_xlfn.XLOOKUP(U38,'T07'!$D$3:$D$1500,'T07'!$BJ$3:$BJ$1500)</f>
        <v>LHR-HTV-2020-13470 / HTV</v>
      </c>
      <c r="W38" s="21" t="s">
        <v>1917</v>
      </c>
      <c r="X38" s="21" t="s">
        <v>1742</v>
      </c>
      <c r="Y38" s="21" t="s">
        <v>2022</v>
      </c>
      <c r="Z38" s="21">
        <v>1</v>
      </c>
      <c r="AA38" s="21" t="s">
        <v>1842</v>
      </c>
      <c r="AB38" s="21" t="s">
        <v>1804</v>
      </c>
      <c r="AC38" s="25">
        <v>3500</v>
      </c>
      <c r="AD38" s="25">
        <v>500</v>
      </c>
      <c r="AE38" s="21" t="s">
        <v>2066</v>
      </c>
      <c r="AF38" s="21" t="s">
        <v>2067</v>
      </c>
      <c r="AG38" s="35">
        <v>45660.407291666663</v>
      </c>
      <c r="AH38" s="21" t="s">
        <v>1934</v>
      </c>
      <c r="AI38" s="25">
        <v>500</v>
      </c>
      <c r="AJ38" s="21" t="s">
        <v>1067</v>
      </c>
      <c r="AK38" s="21" t="s">
        <v>1922</v>
      </c>
      <c r="AL38" s="21" t="str">
        <f>IF(AD38-AI38&gt;0,(AD38-AI38)&amp;" bags - damaged in transit","None")</f>
        <v>None</v>
      </c>
      <c r="AM38" s="21" t="s">
        <v>844</v>
      </c>
      <c r="AN38" s="21" t="s">
        <v>848</v>
      </c>
      <c r="AO38" s="21" t="s">
        <v>2068</v>
      </c>
      <c r="AP38" s="21" t="str">
        <f>IF(AO38="Pending","Not yet invoiced",IF(AI38=AD38,"Matched","Invoiced on received qty ("&amp;AI38&amp;" of "&amp;AD38&amp;")"))</f>
        <v>Matched</v>
      </c>
      <c r="AQ38" s="21" t="s">
        <v>2061</v>
      </c>
    </row>
    <row r="39" spans="1:43" x14ac:dyDescent="0.3">
      <c r="A39" s="21" t="s">
        <v>2069</v>
      </c>
      <c r="B39" s="35">
        <v>45665.708333333336</v>
      </c>
      <c r="C39" s="21" t="s">
        <v>1909</v>
      </c>
      <c r="D39" s="21" t="s">
        <v>2063</v>
      </c>
      <c r="E39" s="21" t="s">
        <v>1927</v>
      </c>
      <c r="F39" s="21" t="s">
        <v>768</v>
      </c>
      <c r="G39" s="35">
        <v>45665.845625000002</v>
      </c>
      <c r="H39" s="21" t="s">
        <v>1912</v>
      </c>
      <c r="I39" s="21" t="s">
        <v>1913</v>
      </c>
      <c r="J39" s="21" t="s">
        <v>1914</v>
      </c>
      <c r="K39" s="21" t="s">
        <v>1844</v>
      </c>
      <c r="L39" s="21" t="s">
        <v>1065</v>
      </c>
      <c r="M39" s="21" t="s">
        <v>1845</v>
      </c>
      <c r="N39" s="21" t="s">
        <v>2064</v>
      </c>
      <c r="O39" s="21" t="s">
        <v>2065</v>
      </c>
      <c r="P39" s="21" t="s">
        <v>1930</v>
      </c>
      <c r="Q39" s="21" t="s">
        <v>1213</v>
      </c>
      <c r="R39" s="21" t="s">
        <v>1271</v>
      </c>
      <c r="S39" s="21" t="s">
        <v>1127</v>
      </c>
      <c r="T39" s="21" t="s">
        <v>1917</v>
      </c>
      <c r="U39" s="21" t="s">
        <v>1724</v>
      </c>
      <c r="V39" s="21" t="str">
        <f>_xlfn.XLOOKUP(U39,'T07'!$D$3:$D$1500,'T07'!$BI$3:$BI$1500)&amp;" / "&amp;_xlfn.XLOOKUP(U39,'T07'!$D$3:$D$1500,'T07'!$BJ$3:$BJ$1500)</f>
        <v>LHR-HTV-2008-90487 / HTV</v>
      </c>
      <c r="W39" s="21" t="s">
        <v>1917</v>
      </c>
      <c r="X39" s="21" t="s">
        <v>1726</v>
      </c>
      <c r="Y39" s="21" t="s">
        <v>2022</v>
      </c>
      <c r="Z39" s="21">
        <v>1</v>
      </c>
      <c r="AA39" s="21" t="s">
        <v>1842</v>
      </c>
      <c r="AB39" s="21" t="s">
        <v>1804</v>
      </c>
      <c r="AC39" s="25">
        <v>3000</v>
      </c>
      <c r="AD39" s="25">
        <v>500</v>
      </c>
      <c r="AE39" s="21" t="s">
        <v>2070</v>
      </c>
      <c r="AF39" s="21" t="s">
        <v>2071</v>
      </c>
      <c r="AG39" s="35">
        <v>45665.865624999999</v>
      </c>
      <c r="AH39" s="21" t="s">
        <v>1934</v>
      </c>
      <c r="AI39" s="25">
        <v>498</v>
      </c>
      <c r="AJ39" s="21" t="s">
        <v>1067</v>
      </c>
      <c r="AK39" s="21" t="s">
        <v>1922</v>
      </c>
      <c r="AL39" s="21" t="str">
        <f>IF(AD39-AI39&gt;0,(AD39-AI39)&amp;" bags - damaged in transit","None")</f>
        <v>2 bags - damaged in transit</v>
      </c>
      <c r="AM39" s="21" t="s">
        <v>2072</v>
      </c>
      <c r="AN39" s="21" t="s">
        <v>2073</v>
      </c>
      <c r="AO39" s="21" t="s">
        <v>2068</v>
      </c>
      <c r="AP39" s="21" t="str">
        <f>IF(AO39="Pending","Not yet invoiced",IF(AI39=AD39,"Matched","Invoiced on received qty ("&amp;AI39&amp;" of "&amp;AD39&amp;")"))</f>
        <v>Invoiced on received qty (498 of 500)</v>
      </c>
      <c r="AQ39" s="21" t="s">
        <v>2061</v>
      </c>
    </row>
    <row r="40" spans="1:43" x14ac:dyDescent="0.3">
      <c r="A40" s="21" t="s">
        <v>2074</v>
      </c>
      <c r="B40" s="35">
        <v>45666.333333333336</v>
      </c>
      <c r="C40" s="21" t="s">
        <v>1909</v>
      </c>
      <c r="D40" s="21" t="s">
        <v>2055</v>
      </c>
      <c r="E40" s="21" t="s">
        <v>2056</v>
      </c>
      <c r="F40" s="21" t="s">
        <v>768</v>
      </c>
      <c r="G40" s="35">
        <v>45666.595625000002</v>
      </c>
      <c r="H40" s="21" t="s">
        <v>1912</v>
      </c>
      <c r="I40" s="21" t="s">
        <v>1913</v>
      </c>
      <c r="J40" s="21" t="s">
        <v>1914</v>
      </c>
      <c r="K40" s="21" t="s">
        <v>1823</v>
      </c>
      <c r="L40" s="21" t="s">
        <v>1080</v>
      </c>
      <c r="M40" s="21" t="s">
        <v>1824</v>
      </c>
      <c r="N40" s="21" t="s">
        <v>1989</v>
      </c>
      <c r="O40" s="21" t="s">
        <v>1990</v>
      </c>
      <c r="P40" s="21" t="s">
        <v>1930</v>
      </c>
      <c r="Q40" s="21" t="s">
        <v>1213</v>
      </c>
      <c r="R40" s="21" t="s">
        <v>1271</v>
      </c>
      <c r="S40" s="21" t="s">
        <v>1127</v>
      </c>
      <c r="T40" s="21" t="s">
        <v>1917</v>
      </c>
      <c r="U40" s="21" t="s">
        <v>1753</v>
      </c>
      <c r="V40" s="21" t="str">
        <f>_xlfn.XLOOKUP(U40,'T07'!$D$3:$D$1500,'T07'!$BI$3:$BI$1500)&amp;" / "&amp;_xlfn.XLOOKUP(U40,'T07'!$D$3:$D$1500,'T07'!$BJ$3:$BJ$1500)</f>
        <v>LHR-HTV-2009-86678 / HTV</v>
      </c>
      <c r="W40" s="21" t="s">
        <v>1917</v>
      </c>
      <c r="X40" s="21" t="s">
        <v>1755</v>
      </c>
      <c r="Y40" s="21" t="s">
        <v>2022</v>
      </c>
      <c r="Z40" s="21">
        <v>1</v>
      </c>
      <c r="AA40" s="21" t="s">
        <v>1842</v>
      </c>
      <c r="AB40" s="21" t="s">
        <v>1804</v>
      </c>
      <c r="AC40" s="25">
        <v>1500</v>
      </c>
      <c r="AD40" s="25">
        <v>250</v>
      </c>
      <c r="AE40" s="21" t="s">
        <v>2075</v>
      </c>
      <c r="AF40" s="21" t="s">
        <v>2076</v>
      </c>
      <c r="AG40" s="35">
        <v>45666.615624999999</v>
      </c>
      <c r="AH40" s="21" t="s">
        <v>1934</v>
      </c>
      <c r="AI40" s="25">
        <v>250</v>
      </c>
      <c r="AJ40" s="21" t="s">
        <v>1081</v>
      </c>
      <c r="AK40" s="21" t="s">
        <v>1922</v>
      </c>
      <c r="AL40" s="21" t="str">
        <f>IF(AD40-AI40&gt;0,(AD40-AI40)&amp;" bags - damaged in transit","None")</f>
        <v>None</v>
      </c>
      <c r="AM40" s="21" t="s">
        <v>844</v>
      </c>
      <c r="AN40" s="21" t="s">
        <v>848</v>
      </c>
      <c r="AO40" s="21" t="s">
        <v>2060</v>
      </c>
      <c r="AP40" s="21" t="str">
        <f>IF(AO40="Pending","Not yet invoiced",IF(AI40=AD40,"Matched","Invoiced on received qty ("&amp;AI40&amp;" of "&amp;AD40&amp;")"))</f>
        <v>Matched</v>
      </c>
      <c r="AQ40" s="21" t="s">
        <v>2061</v>
      </c>
    </row>
    <row r="41" spans="1:43" x14ac:dyDescent="0.3">
      <c r="A41" s="21" t="s">
        <v>2074</v>
      </c>
      <c r="B41" s="35">
        <v>45666.333333333336</v>
      </c>
      <c r="C41" s="21" t="s">
        <v>1909</v>
      </c>
      <c r="D41" s="21" t="s">
        <v>2055</v>
      </c>
      <c r="E41" s="21" t="s">
        <v>2056</v>
      </c>
      <c r="F41" s="21" t="s">
        <v>768</v>
      </c>
      <c r="G41" s="35">
        <v>45666.595625000002</v>
      </c>
      <c r="H41" s="21" t="s">
        <v>1912</v>
      </c>
      <c r="I41" s="21" t="s">
        <v>1913</v>
      </c>
      <c r="J41" s="21" t="s">
        <v>1914</v>
      </c>
      <c r="K41" s="21" t="s">
        <v>1823</v>
      </c>
      <c r="L41" s="21" t="s">
        <v>1080</v>
      </c>
      <c r="M41" s="21" t="s">
        <v>1824</v>
      </c>
      <c r="N41" s="21" t="s">
        <v>1989</v>
      </c>
      <c r="O41" s="21" t="s">
        <v>1990</v>
      </c>
      <c r="P41" s="21" t="s">
        <v>1930</v>
      </c>
      <c r="Q41" s="21" t="s">
        <v>1213</v>
      </c>
      <c r="R41" s="21" t="s">
        <v>1271</v>
      </c>
      <c r="S41" s="21" t="s">
        <v>1127</v>
      </c>
      <c r="T41" s="21" t="s">
        <v>1917</v>
      </c>
      <c r="U41" s="21" t="s">
        <v>1753</v>
      </c>
      <c r="V41" s="21" t="str">
        <f>_xlfn.XLOOKUP(U41,'T07'!$D$3:$D$1500,'T07'!$BI$3:$BI$1500)&amp;" / "&amp;_xlfn.XLOOKUP(U41,'T07'!$D$3:$D$1500,'T07'!$BJ$3:$BJ$1500)</f>
        <v>LHR-HTV-2009-86678 / HTV</v>
      </c>
      <c r="W41" s="21" t="s">
        <v>1917</v>
      </c>
      <c r="X41" s="21" t="s">
        <v>1755</v>
      </c>
      <c r="Y41" s="21" t="s">
        <v>2022</v>
      </c>
      <c r="Z41" s="21">
        <v>2</v>
      </c>
      <c r="AA41" s="21" t="s">
        <v>1840</v>
      </c>
      <c r="AB41" s="21" t="s">
        <v>1841</v>
      </c>
      <c r="AC41" s="25">
        <v>1000</v>
      </c>
      <c r="AD41" s="25">
        <v>250</v>
      </c>
      <c r="AE41" s="21" t="s">
        <v>2077</v>
      </c>
      <c r="AF41" s="21" t="s">
        <v>2076</v>
      </c>
      <c r="AG41" s="35">
        <v>45666.615624999999</v>
      </c>
      <c r="AH41" s="21" t="s">
        <v>1934</v>
      </c>
      <c r="AI41" s="25">
        <v>250</v>
      </c>
      <c r="AJ41" s="21" t="s">
        <v>1081</v>
      </c>
      <c r="AK41" s="21" t="s">
        <v>1922</v>
      </c>
      <c r="AL41" s="21" t="str">
        <f>IF(AD41-AI41&gt;0,(AD41-AI41)&amp;" bags - damaged in transit","None")</f>
        <v>None</v>
      </c>
      <c r="AM41" s="21" t="s">
        <v>844</v>
      </c>
      <c r="AN41" s="21" t="s">
        <v>848</v>
      </c>
      <c r="AO41" s="21" t="s">
        <v>2060</v>
      </c>
      <c r="AP41" s="21" t="str">
        <f>IF(AO41="Pending","Not yet invoiced",IF(AI41=AD41,"Matched","Invoiced on received qty ("&amp;AI41&amp;" of "&amp;AD41&amp;")"))</f>
        <v>Matched</v>
      </c>
      <c r="AQ41" s="21" t="s">
        <v>2061</v>
      </c>
    </row>
    <row r="42" spans="1:43" x14ac:dyDescent="0.3">
      <c r="A42" s="21" t="s">
        <v>2078</v>
      </c>
      <c r="B42" s="35">
        <v>45668.5</v>
      </c>
      <c r="C42" s="21" t="s">
        <v>1909</v>
      </c>
      <c r="D42" s="21" t="s">
        <v>2063</v>
      </c>
      <c r="E42" s="21" t="s">
        <v>2056</v>
      </c>
      <c r="F42" s="21" t="s">
        <v>768</v>
      </c>
      <c r="G42" s="35">
        <v>45668.637291666666</v>
      </c>
      <c r="H42" s="21" t="s">
        <v>1912</v>
      </c>
      <c r="I42" s="21" t="s">
        <v>1913</v>
      </c>
      <c r="J42" s="21" t="s">
        <v>1914</v>
      </c>
      <c r="K42" s="21" t="s">
        <v>1844</v>
      </c>
      <c r="L42" s="21" t="s">
        <v>1065</v>
      </c>
      <c r="M42" s="21" t="s">
        <v>1845</v>
      </c>
      <c r="N42" s="21" t="s">
        <v>2064</v>
      </c>
      <c r="O42" s="21" t="s">
        <v>2065</v>
      </c>
      <c r="P42" s="21" t="s">
        <v>1930</v>
      </c>
      <c r="Q42" s="21" t="s">
        <v>1213</v>
      </c>
      <c r="R42" s="21" t="s">
        <v>1264</v>
      </c>
      <c r="S42" s="21" t="s">
        <v>1127</v>
      </c>
      <c r="T42" s="21" t="s">
        <v>1917</v>
      </c>
      <c r="U42" s="21" t="s">
        <v>1724</v>
      </c>
      <c r="V42" s="21" t="str">
        <f>_xlfn.XLOOKUP(U42,'T07'!$D$3:$D$1500,'T07'!$BI$3:$BI$1500)&amp;" / "&amp;_xlfn.XLOOKUP(U42,'T07'!$D$3:$D$1500,'T07'!$BJ$3:$BJ$1500)</f>
        <v>LHR-HTV-2008-90487 / HTV</v>
      </c>
      <c r="W42" s="21" t="s">
        <v>1917</v>
      </c>
      <c r="X42" s="21" t="s">
        <v>1726</v>
      </c>
      <c r="Y42" s="21" t="s">
        <v>2008</v>
      </c>
      <c r="Z42" s="21">
        <v>1</v>
      </c>
      <c r="AA42" s="21" t="s">
        <v>1842</v>
      </c>
      <c r="AB42" s="21" t="s">
        <v>1804</v>
      </c>
      <c r="AC42" s="25">
        <v>2500</v>
      </c>
      <c r="AD42" s="25">
        <v>500</v>
      </c>
      <c r="AE42" s="21" t="s">
        <v>2079</v>
      </c>
      <c r="AF42" s="21" t="s">
        <v>2080</v>
      </c>
      <c r="AG42" s="35">
        <v>45668.657291666663</v>
      </c>
      <c r="AH42" s="21" t="s">
        <v>1934</v>
      </c>
      <c r="AI42" s="25">
        <v>500</v>
      </c>
      <c r="AJ42" s="21" t="s">
        <v>1067</v>
      </c>
      <c r="AK42" s="21" t="s">
        <v>1922</v>
      </c>
      <c r="AL42" s="21" t="str">
        <f>IF(AD42-AI42&gt;0,(AD42-AI42)&amp;" bags - damaged in transit","None")</f>
        <v>None</v>
      </c>
      <c r="AM42" s="21" t="s">
        <v>844</v>
      </c>
      <c r="AN42" s="21" t="s">
        <v>848</v>
      </c>
      <c r="AO42" s="21" t="s">
        <v>2068</v>
      </c>
      <c r="AP42" s="21" t="str">
        <f>IF(AO42="Pending","Not yet invoiced",IF(AI42=AD42,"Matched","Invoiced on received qty ("&amp;AI42&amp;" of "&amp;AD42&amp;")"))</f>
        <v>Matched</v>
      </c>
      <c r="AQ42" s="21" t="s">
        <v>2061</v>
      </c>
    </row>
    <row r="43" spans="1:43" x14ac:dyDescent="0.3">
      <c r="A43" s="21" t="s">
        <v>2081</v>
      </c>
      <c r="B43" s="35">
        <v>45669.333333333336</v>
      </c>
      <c r="C43" s="21" t="s">
        <v>1909</v>
      </c>
      <c r="D43" s="21" t="s">
        <v>2055</v>
      </c>
      <c r="E43" s="21" t="s">
        <v>2056</v>
      </c>
      <c r="F43" s="21" t="s">
        <v>768</v>
      </c>
      <c r="G43" s="35">
        <v>45669.595625000002</v>
      </c>
      <c r="H43" s="21" t="s">
        <v>1912</v>
      </c>
      <c r="I43" s="21" t="s">
        <v>1913</v>
      </c>
      <c r="J43" s="21" t="s">
        <v>1914</v>
      </c>
      <c r="K43" s="21" t="s">
        <v>1823</v>
      </c>
      <c r="L43" s="21" t="s">
        <v>1080</v>
      </c>
      <c r="M43" s="21" t="s">
        <v>1824</v>
      </c>
      <c r="N43" s="21" t="s">
        <v>1989</v>
      </c>
      <c r="O43" s="21" t="s">
        <v>1990</v>
      </c>
      <c r="P43" s="21" t="s">
        <v>1930</v>
      </c>
      <c r="Q43" s="21" t="s">
        <v>1278</v>
      </c>
      <c r="R43" s="21" t="s">
        <v>1294</v>
      </c>
      <c r="S43" s="21" t="s">
        <v>1127</v>
      </c>
      <c r="T43" s="21" t="s">
        <v>1917</v>
      </c>
      <c r="U43" s="21" t="s">
        <v>1697</v>
      </c>
      <c r="V43" s="21" t="str">
        <f>_xlfn.XLOOKUP(U43,'T07'!$D$3:$D$1500,'T07'!$BI$3:$BI$1500)&amp;" / "&amp;_xlfn.XLOOKUP(U43,'T07'!$D$3:$D$1500,'T07'!$BJ$3:$BJ$1500)</f>
        <v>LHR-HTV-2013-23962 / HTV</v>
      </c>
      <c r="W43" s="21" t="s">
        <v>1917</v>
      </c>
      <c r="X43" s="21" t="s">
        <v>1700</v>
      </c>
      <c r="Y43" s="21" t="s">
        <v>1957</v>
      </c>
      <c r="Z43" s="21">
        <v>1</v>
      </c>
      <c r="AA43" s="21" t="s">
        <v>1842</v>
      </c>
      <c r="AB43" s="21" t="s">
        <v>1804</v>
      </c>
      <c r="AC43" s="25">
        <v>1250</v>
      </c>
      <c r="AD43" s="25">
        <v>500</v>
      </c>
      <c r="AE43" s="21" t="s">
        <v>2082</v>
      </c>
      <c r="AF43" s="21" t="s">
        <v>2083</v>
      </c>
      <c r="AG43" s="35">
        <v>45669.615624999999</v>
      </c>
      <c r="AH43" s="21" t="s">
        <v>1934</v>
      </c>
      <c r="AI43" s="25">
        <v>500</v>
      </c>
      <c r="AJ43" s="21" t="s">
        <v>1081</v>
      </c>
      <c r="AK43" s="21" t="s">
        <v>1922</v>
      </c>
      <c r="AL43" s="21" t="str">
        <f>IF(AD43-AI43&gt;0,(AD43-AI43)&amp;" bags - damaged in transit","None")</f>
        <v>None</v>
      </c>
      <c r="AM43" s="21" t="s">
        <v>844</v>
      </c>
      <c r="AN43" s="21" t="s">
        <v>848</v>
      </c>
      <c r="AO43" s="21" t="s">
        <v>2060</v>
      </c>
      <c r="AP43" s="21" t="str">
        <f>IF(AO43="Pending","Not yet invoiced",IF(AI43=AD43,"Matched","Invoiced on received qty ("&amp;AI43&amp;" of "&amp;AD43&amp;")"))</f>
        <v>Matched</v>
      </c>
      <c r="AQ43" s="21" t="s">
        <v>2084</v>
      </c>
    </row>
    <row r="44" spans="1:43" x14ac:dyDescent="0.3">
      <c r="A44" s="21" t="s">
        <v>2085</v>
      </c>
      <c r="B44" s="35">
        <v>45673.291666666664</v>
      </c>
      <c r="C44" s="21" t="s">
        <v>1909</v>
      </c>
      <c r="D44" s="21" t="s">
        <v>2063</v>
      </c>
      <c r="E44" s="21" t="s">
        <v>1927</v>
      </c>
      <c r="F44" s="21" t="s">
        <v>768</v>
      </c>
      <c r="G44" s="35">
        <v>45673.42895833333</v>
      </c>
      <c r="H44" s="21" t="s">
        <v>1912</v>
      </c>
      <c r="I44" s="21" t="s">
        <v>1913</v>
      </c>
      <c r="J44" s="21" t="s">
        <v>1914</v>
      </c>
      <c r="K44" s="21" t="s">
        <v>1844</v>
      </c>
      <c r="L44" s="21" t="s">
        <v>1065</v>
      </c>
      <c r="M44" s="21" t="s">
        <v>1845</v>
      </c>
      <c r="N44" s="21" t="s">
        <v>2064</v>
      </c>
      <c r="O44" s="21" t="s">
        <v>2065</v>
      </c>
      <c r="P44" s="21" t="s">
        <v>1930</v>
      </c>
      <c r="Q44" s="21" t="s">
        <v>1278</v>
      </c>
      <c r="R44" s="21" t="s">
        <v>1302</v>
      </c>
      <c r="S44" s="21" t="s">
        <v>1127</v>
      </c>
      <c r="T44" s="21" t="s">
        <v>1917</v>
      </c>
      <c r="U44" s="21" t="s">
        <v>1753</v>
      </c>
      <c r="V44" s="21" t="str">
        <f>_xlfn.XLOOKUP(U44,'T07'!$D$3:$D$1500,'T07'!$BI$3:$BI$1500)&amp;" / "&amp;_xlfn.XLOOKUP(U44,'T07'!$D$3:$D$1500,'T07'!$BJ$3:$BJ$1500)</f>
        <v>LHR-HTV-2009-86678 / HTV</v>
      </c>
      <c r="W44" s="21" t="s">
        <v>1917</v>
      </c>
      <c r="X44" s="21" t="s">
        <v>1755</v>
      </c>
      <c r="Y44" s="21" t="s">
        <v>2086</v>
      </c>
      <c r="Z44" s="21">
        <v>1</v>
      </c>
      <c r="AA44" s="21" t="s">
        <v>1842</v>
      </c>
      <c r="AB44" s="21" t="s">
        <v>1804</v>
      </c>
      <c r="AC44" s="25">
        <v>2000</v>
      </c>
      <c r="AD44" s="25">
        <v>500</v>
      </c>
      <c r="AE44" s="21" t="s">
        <v>2087</v>
      </c>
      <c r="AF44" s="21" t="s">
        <v>2088</v>
      </c>
      <c r="AG44" s="35">
        <v>45673.448958333327</v>
      </c>
      <c r="AH44" s="21" t="s">
        <v>1934</v>
      </c>
      <c r="AI44" s="25">
        <v>500</v>
      </c>
      <c r="AJ44" s="21" t="s">
        <v>1067</v>
      </c>
      <c r="AK44" s="21" t="s">
        <v>1922</v>
      </c>
      <c r="AL44" s="21" t="str">
        <f>IF(AD44-AI44&gt;0,(AD44-AI44)&amp;" bags - damaged in transit","None")</f>
        <v>None</v>
      </c>
      <c r="AM44" s="21" t="s">
        <v>844</v>
      </c>
      <c r="AN44" s="21" t="s">
        <v>848</v>
      </c>
      <c r="AO44" s="21" t="s">
        <v>2068</v>
      </c>
      <c r="AP44" s="21" t="str">
        <f>IF(AO44="Pending","Not yet invoiced",IF(AI44=AD44,"Matched","Invoiced on received qty ("&amp;AI44&amp;" of "&amp;AD44&amp;")"))</f>
        <v>Matched</v>
      </c>
      <c r="AQ44" s="21" t="s">
        <v>2084</v>
      </c>
    </row>
    <row r="45" spans="1:43" x14ac:dyDescent="0.3">
      <c r="A45" s="21" t="s">
        <v>2089</v>
      </c>
      <c r="B45" s="35">
        <v>45673.541666666664</v>
      </c>
      <c r="C45" s="21" t="s">
        <v>1909</v>
      </c>
      <c r="D45" s="21" t="s">
        <v>2055</v>
      </c>
      <c r="E45" s="21" t="s">
        <v>2056</v>
      </c>
      <c r="F45" s="21" t="s">
        <v>768</v>
      </c>
      <c r="G45" s="35">
        <v>45673.80395833333</v>
      </c>
      <c r="H45" s="21" t="s">
        <v>1912</v>
      </c>
      <c r="I45" s="21" t="s">
        <v>1913</v>
      </c>
      <c r="J45" s="21" t="s">
        <v>1914</v>
      </c>
      <c r="K45" s="21" t="s">
        <v>1823</v>
      </c>
      <c r="L45" s="21" t="s">
        <v>1080</v>
      </c>
      <c r="M45" s="21" t="s">
        <v>1824</v>
      </c>
      <c r="N45" s="21" t="s">
        <v>1989</v>
      </c>
      <c r="O45" s="21" t="s">
        <v>1990</v>
      </c>
      <c r="P45" s="21" t="s">
        <v>1930</v>
      </c>
      <c r="Q45" s="21" t="s">
        <v>1213</v>
      </c>
      <c r="R45" s="21" t="s">
        <v>1264</v>
      </c>
      <c r="S45" s="21" t="s">
        <v>1127</v>
      </c>
      <c r="T45" s="21" t="s">
        <v>1917</v>
      </c>
      <c r="U45" s="21" t="s">
        <v>1677</v>
      </c>
      <c r="V45" s="21" t="str">
        <f>_xlfn.XLOOKUP(U45,'T07'!$D$3:$D$1500,'T07'!$BI$3:$BI$1500)&amp;" / "&amp;_xlfn.XLOOKUP(U45,'T07'!$D$3:$D$1500,'T07'!$BJ$3:$BJ$1500)</f>
        <v>LHR-HTV-2010-55907 / HTV</v>
      </c>
      <c r="W45" s="21" t="s">
        <v>1917</v>
      </c>
      <c r="X45" s="21" t="s">
        <v>1679</v>
      </c>
      <c r="Y45" s="21" t="s">
        <v>2008</v>
      </c>
      <c r="Z45" s="21">
        <v>1</v>
      </c>
      <c r="AA45" s="21" t="s">
        <v>1842</v>
      </c>
      <c r="AB45" s="21" t="s">
        <v>1804</v>
      </c>
      <c r="AC45" s="25">
        <v>750</v>
      </c>
      <c r="AD45" s="25">
        <v>250</v>
      </c>
      <c r="AE45" s="21" t="s">
        <v>2090</v>
      </c>
      <c r="AF45" s="21" t="s">
        <v>2091</v>
      </c>
      <c r="AG45" s="35">
        <v>45673.823958333327</v>
      </c>
      <c r="AH45" s="21" t="s">
        <v>1934</v>
      </c>
      <c r="AI45" s="25">
        <v>250</v>
      </c>
      <c r="AJ45" s="21" t="s">
        <v>1081</v>
      </c>
      <c r="AK45" s="21" t="s">
        <v>1922</v>
      </c>
      <c r="AL45" s="21" t="str">
        <f>IF(AD45-AI45&gt;0,(AD45-AI45)&amp;" bags - damaged in transit","None")</f>
        <v>None</v>
      </c>
      <c r="AM45" s="21" t="s">
        <v>844</v>
      </c>
      <c r="AN45" s="21" t="s">
        <v>848</v>
      </c>
      <c r="AO45" s="21" t="s">
        <v>2060</v>
      </c>
      <c r="AP45" s="21" t="str">
        <f>IF(AO45="Pending","Not yet invoiced",IF(AI45=AD45,"Matched","Invoiced on received qty ("&amp;AI45&amp;" of "&amp;AD45&amp;")"))</f>
        <v>Matched</v>
      </c>
      <c r="AQ45" s="21" t="s">
        <v>2061</v>
      </c>
    </row>
    <row r="46" spans="1:43" x14ac:dyDescent="0.3">
      <c r="A46" s="21" t="s">
        <v>2089</v>
      </c>
      <c r="B46" s="35">
        <v>45673.541666666664</v>
      </c>
      <c r="C46" s="21" t="s">
        <v>1909</v>
      </c>
      <c r="D46" s="21" t="s">
        <v>2055</v>
      </c>
      <c r="E46" s="21" t="s">
        <v>2056</v>
      </c>
      <c r="F46" s="21" t="s">
        <v>768</v>
      </c>
      <c r="G46" s="35">
        <v>45673.80395833333</v>
      </c>
      <c r="H46" s="21" t="s">
        <v>1912</v>
      </c>
      <c r="I46" s="21" t="s">
        <v>1913</v>
      </c>
      <c r="J46" s="21" t="s">
        <v>1914</v>
      </c>
      <c r="K46" s="21" t="s">
        <v>1823</v>
      </c>
      <c r="L46" s="21" t="s">
        <v>1080</v>
      </c>
      <c r="M46" s="21" t="s">
        <v>1824</v>
      </c>
      <c r="N46" s="21" t="s">
        <v>1989</v>
      </c>
      <c r="O46" s="21" t="s">
        <v>1990</v>
      </c>
      <c r="P46" s="21" t="s">
        <v>1930</v>
      </c>
      <c r="Q46" s="21" t="s">
        <v>1213</v>
      </c>
      <c r="R46" s="21" t="s">
        <v>1264</v>
      </c>
      <c r="S46" s="21" t="s">
        <v>1127</v>
      </c>
      <c r="T46" s="21" t="s">
        <v>1917</v>
      </c>
      <c r="U46" s="21" t="s">
        <v>1677</v>
      </c>
      <c r="V46" s="21" t="str">
        <f>_xlfn.XLOOKUP(U46,'T07'!$D$3:$D$1500,'T07'!$BI$3:$BI$1500)&amp;" / "&amp;_xlfn.XLOOKUP(U46,'T07'!$D$3:$D$1500,'T07'!$BJ$3:$BJ$1500)</f>
        <v>LHR-HTV-2010-55907 / HTV</v>
      </c>
      <c r="W46" s="21" t="s">
        <v>1917</v>
      </c>
      <c r="X46" s="21" t="s">
        <v>1679</v>
      </c>
      <c r="Y46" s="21" t="s">
        <v>2008</v>
      </c>
      <c r="Z46" s="21">
        <v>2</v>
      </c>
      <c r="AA46" s="21" t="s">
        <v>1840</v>
      </c>
      <c r="AB46" s="21" t="s">
        <v>1841</v>
      </c>
      <c r="AC46" s="25">
        <v>750</v>
      </c>
      <c r="AD46" s="25">
        <v>250</v>
      </c>
      <c r="AE46" s="21" t="s">
        <v>2092</v>
      </c>
      <c r="AF46" s="21" t="s">
        <v>2091</v>
      </c>
      <c r="AG46" s="35">
        <v>45673.823958333327</v>
      </c>
      <c r="AH46" s="21" t="s">
        <v>1934</v>
      </c>
      <c r="AI46" s="25">
        <v>250</v>
      </c>
      <c r="AJ46" s="21" t="s">
        <v>1081</v>
      </c>
      <c r="AK46" s="21" t="s">
        <v>1922</v>
      </c>
      <c r="AL46" s="21" t="str">
        <f>IF(AD46-AI46&gt;0,(AD46-AI46)&amp;" bags - damaged in transit","None")</f>
        <v>None</v>
      </c>
      <c r="AM46" s="21" t="s">
        <v>844</v>
      </c>
      <c r="AN46" s="21" t="s">
        <v>848</v>
      </c>
      <c r="AO46" s="21" t="s">
        <v>2060</v>
      </c>
      <c r="AP46" s="21" t="str">
        <f>IF(AO46="Pending","Not yet invoiced",IF(AI46=AD46,"Matched","Invoiced on received qty ("&amp;AI46&amp;" of "&amp;AD46&amp;")"))</f>
        <v>Matched</v>
      </c>
      <c r="AQ46" s="21" t="s">
        <v>2061</v>
      </c>
    </row>
    <row r="47" spans="1:43" x14ac:dyDescent="0.3">
      <c r="A47" s="21" t="s">
        <v>2093</v>
      </c>
      <c r="B47" s="35">
        <v>45675.458333333336</v>
      </c>
      <c r="C47" s="21" t="s">
        <v>1909</v>
      </c>
      <c r="D47" s="21" t="s">
        <v>2063</v>
      </c>
      <c r="E47" s="21" t="s">
        <v>1927</v>
      </c>
      <c r="F47" s="21" t="s">
        <v>768</v>
      </c>
      <c r="G47" s="35">
        <v>45675.595625000002</v>
      </c>
      <c r="H47" s="21" t="s">
        <v>1912</v>
      </c>
      <c r="I47" s="21" t="s">
        <v>1913</v>
      </c>
      <c r="J47" s="21" t="s">
        <v>1914</v>
      </c>
      <c r="K47" s="21" t="s">
        <v>1844</v>
      </c>
      <c r="L47" s="21" t="s">
        <v>1065</v>
      </c>
      <c r="M47" s="21" t="s">
        <v>1845</v>
      </c>
      <c r="N47" s="21" t="s">
        <v>2064</v>
      </c>
      <c r="O47" s="21" t="s">
        <v>2065</v>
      </c>
      <c r="P47" s="21" t="s">
        <v>1930</v>
      </c>
      <c r="Q47" s="21" t="s">
        <v>1278</v>
      </c>
      <c r="R47" s="21" t="s">
        <v>1332</v>
      </c>
      <c r="S47" s="21" t="s">
        <v>1127</v>
      </c>
      <c r="T47" s="21" t="s">
        <v>1917</v>
      </c>
      <c r="U47" s="21" t="s">
        <v>1782</v>
      </c>
      <c r="V47" s="21" t="str">
        <f>_xlfn.XLOOKUP(U47,'T07'!$D$3:$D$1500,'T07'!$BI$3:$BI$1500)&amp;" / "&amp;_xlfn.XLOOKUP(U47,'T07'!$D$3:$D$1500,'T07'!$BJ$3:$BJ$1500)</f>
        <v>LHR-HTV-2014-51184 / HTV</v>
      </c>
      <c r="W47" s="21" t="s">
        <v>1917</v>
      </c>
      <c r="X47" s="21" t="s">
        <v>1785</v>
      </c>
      <c r="Y47" s="21" t="s">
        <v>1931</v>
      </c>
      <c r="Z47" s="21">
        <v>1</v>
      </c>
      <c r="AA47" s="21" t="s">
        <v>1842</v>
      </c>
      <c r="AB47" s="21" t="s">
        <v>1804</v>
      </c>
      <c r="AC47" s="25">
        <v>1500</v>
      </c>
      <c r="AD47" s="25">
        <v>500</v>
      </c>
      <c r="AE47" s="21" t="s">
        <v>2094</v>
      </c>
      <c r="AF47" s="21" t="s">
        <v>2095</v>
      </c>
      <c r="AG47" s="35">
        <v>45675.615624999999</v>
      </c>
      <c r="AH47" s="21" t="s">
        <v>1934</v>
      </c>
      <c r="AI47" s="25">
        <v>500</v>
      </c>
      <c r="AJ47" s="21" t="s">
        <v>1067</v>
      </c>
      <c r="AK47" s="21" t="s">
        <v>1922</v>
      </c>
      <c r="AL47" s="21" t="str">
        <f>IF(AD47-AI47&gt;0,(AD47-AI47)&amp;" bags - damaged in transit","None")</f>
        <v>None</v>
      </c>
      <c r="AM47" s="21" t="s">
        <v>844</v>
      </c>
      <c r="AN47" s="21" t="s">
        <v>848</v>
      </c>
      <c r="AO47" s="21" t="s">
        <v>2068</v>
      </c>
      <c r="AP47" s="21" t="str">
        <f>IF(AO47="Pending","Not yet invoiced",IF(AI47=AD47,"Matched","Invoiced on received qty ("&amp;AI47&amp;" of "&amp;AD47&amp;")"))</f>
        <v>Matched</v>
      </c>
      <c r="AQ47" s="21" t="s">
        <v>2084</v>
      </c>
    </row>
    <row r="48" spans="1:43" x14ac:dyDescent="0.3">
      <c r="A48" s="21" t="s">
        <v>2096</v>
      </c>
      <c r="B48" s="35">
        <v>45678.291666666664</v>
      </c>
      <c r="C48" s="21" t="s">
        <v>1909</v>
      </c>
      <c r="D48" s="21" t="s">
        <v>2055</v>
      </c>
      <c r="E48" s="21" t="s">
        <v>2056</v>
      </c>
      <c r="F48" s="21" t="s">
        <v>768</v>
      </c>
      <c r="G48" s="35">
        <v>45678.55395833333</v>
      </c>
      <c r="H48" s="21" t="s">
        <v>1912</v>
      </c>
      <c r="I48" s="21" t="s">
        <v>1913</v>
      </c>
      <c r="J48" s="21" t="s">
        <v>1914</v>
      </c>
      <c r="K48" s="21" t="s">
        <v>1823</v>
      </c>
      <c r="L48" s="21" t="s">
        <v>1080</v>
      </c>
      <c r="M48" s="21" t="s">
        <v>1824</v>
      </c>
      <c r="N48" s="21" t="s">
        <v>1989</v>
      </c>
      <c r="O48" s="21" t="s">
        <v>1990</v>
      </c>
      <c r="P48" s="21" t="s">
        <v>1930</v>
      </c>
      <c r="Q48" s="21" t="s">
        <v>1213</v>
      </c>
      <c r="R48" s="21" t="s">
        <v>1244</v>
      </c>
      <c r="S48" s="21" t="s">
        <v>1247</v>
      </c>
      <c r="T48" s="21" t="s">
        <v>1917</v>
      </c>
      <c r="U48" s="21" t="s">
        <v>1766</v>
      </c>
      <c r="V48" s="21" t="str">
        <f>_xlfn.XLOOKUP(U48,'T07'!$D$3:$D$1500,'T07'!$BI$3:$BI$1500)&amp;" / "&amp;_xlfn.XLOOKUP(U48,'T07'!$D$3:$D$1500,'T07'!$BJ$3:$BJ$1500)</f>
        <v>LHR-LTV-2019-66685 / LTV</v>
      </c>
      <c r="W48" s="21" t="s">
        <v>1917</v>
      </c>
      <c r="X48" s="21" t="s">
        <v>1768</v>
      </c>
      <c r="Y48" s="21" t="s">
        <v>2097</v>
      </c>
      <c r="Z48" s="21">
        <v>1</v>
      </c>
      <c r="AA48" s="21" t="s">
        <v>1840</v>
      </c>
      <c r="AB48" s="21" t="s">
        <v>1841</v>
      </c>
      <c r="AC48" s="25">
        <v>500</v>
      </c>
      <c r="AD48" s="25">
        <v>100</v>
      </c>
      <c r="AE48" s="21" t="s">
        <v>2098</v>
      </c>
      <c r="AF48" s="21" t="s">
        <v>2099</v>
      </c>
      <c r="AG48" s="35">
        <v>45678.573958333327</v>
      </c>
      <c r="AH48" s="21" t="s">
        <v>1934</v>
      </c>
      <c r="AI48" s="25">
        <v>100</v>
      </c>
      <c r="AJ48" s="21" t="s">
        <v>1081</v>
      </c>
      <c r="AK48" s="21" t="s">
        <v>1922</v>
      </c>
      <c r="AL48" s="21" t="str">
        <f>IF(AD48-AI48&gt;0,(AD48-AI48)&amp;" bags - damaged in transit","None")</f>
        <v>None</v>
      </c>
      <c r="AM48" s="21" t="s">
        <v>844</v>
      </c>
      <c r="AN48" s="21" t="s">
        <v>848</v>
      </c>
      <c r="AO48" s="21" t="s">
        <v>2060</v>
      </c>
      <c r="AP48" s="21" t="str">
        <f>IF(AO48="Pending","Not yet invoiced",IF(AI48=AD48,"Matched","Invoiced on received qty ("&amp;AI48&amp;" of "&amp;AD48&amp;")"))</f>
        <v>Matched</v>
      </c>
      <c r="AQ48" s="21" t="s">
        <v>2061</v>
      </c>
    </row>
    <row r="49" spans="1:43" x14ac:dyDescent="0.3">
      <c r="A49" s="21" t="s">
        <v>2096</v>
      </c>
      <c r="B49" s="35">
        <v>45678.291666666664</v>
      </c>
      <c r="C49" s="21" t="s">
        <v>1909</v>
      </c>
      <c r="D49" s="21" t="s">
        <v>2055</v>
      </c>
      <c r="E49" s="21" t="s">
        <v>2056</v>
      </c>
      <c r="F49" s="21" t="s">
        <v>768</v>
      </c>
      <c r="G49" s="35">
        <v>45678.55395833333</v>
      </c>
      <c r="H49" s="21" t="s">
        <v>1912</v>
      </c>
      <c r="I49" s="21" t="s">
        <v>1913</v>
      </c>
      <c r="J49" s="21" t="s">
        <v>1914</v>
      </c>
      <c r="K49" s="21" t="s">
        <v>1823</v>
      </c>
      <c r="L49" s="21" t="s">
        <v>1080</v>
      </c>
      <c r="M49" s="21" t="s">
        <v>1824</v>
      </c>
      <c r="N49" s="21" t="s">
        <v>1989</v>
      </c>
      <c r="O49" s="21" t="s">
        <v>1990</v>
      </c>
      <c r="P49" s="21" t="s">
        <v>1930</v>
      </c>
      <c r="Q49" s="21" t="s">
        <v>1213</v>
      </c>
      <c r="R49" s="21" t="s">
        <v>1244</v>
      </c>
      <c r="S49" s="21" t="s">
        <v>1247</v>
      </c>
      <c r="T49" s="21" t="s">
        <v>1917</v>
      </c>
      <c r="U49" s="21" t="s">
        <v>1766</v>
      </c>
      <c r="V49" s="21" t="str">
        <f>_xlfn.XLOOKUP(U49,'T07'!$D$3:$D$1500,'T07'!$BI$3:$BI$1500)&amp;" / "&amp;_xlfn.XLOOKUP(U49,'T07'!$D$3:$D$1500,'T07'!$BJ$3:$BJ$1500)</f>
        <v>LHR-LTV-2019-66685 / LTV</v>
      </c>
      <c r="W49" s="21" t="s">
        <v>1917</v>
      </c>
      <c r="X49" s="21" t="s">
        <v>1768</v>
      </c>
      <c r="Y49" s="21" t="s">
        <v>2097</v>
      </c>
      <c r="Z49" s="21">
        <v>2</v>
      </c>
      <c r="AA49" s="21" t="s">
        <v>1842</v>
      </c>
      <c r="AB49" s="21" t="s">
        <v>1804</v>
      </c>
      <c r="AC49" s="25">
        <v>500</v>
      </c>
      <c r="AD49" s="25">
        <v>100</v>
      </c>
      <c r="AE49" s="21" t="s">
        <v>2100</v>
      </c>
      <c r="AF49" s="21" t="s">
        <v>2099</v>
      </c>
      <c r="AG49" s="35">
        <v>45678.573958333327</v>
      </c>
      <c r="AH49" s="21" t="s">
        <v>1934</v>
      </c>
      <c r="AI49" s="25">
        <v>95</v>
      </c>
      <c r="AJ49" s="21" t="s">
        <v>1081</v>
      </c>
      <c r="AK49" s="21" t="s">
        <v>1922</v>
      </c>
      <c r="AL49" s="21" t="str">
        <f>IF(AD49-AI49&gt;0,(AD49-AI49)&amp;" bags - damaged in transit","None")</f>
        <v>5 bags - damaged in transit</v>
      </c>
      <c r="AM49" s="21" t="s">
        <v>2101</v>
      </c>
      <c r="AN49" s="21" t="s">
        <v>2102</v>
      </c>
      <c r="AO49" s="21" t="s">
        <v>2060</v>
      </c>
      <c r="AP49" s="21" t="str">
        <f>IF(AO49="Pending","Not yet invoiced",IF(AI49=AD49,"Matched","Invoiced on received qty ("&amp;AI49&amp;" of "&amp;AD49&amp;")"))</f>
        <v>Invoiced on received qty (95 of 100)</v>
      </c>
      <c r="AQ49" s="21" t="s">
        <v>2061</v>
      </c>
    </row>
    <row r="50" spans="1:43" x14ac:dyDescent="0.3">
      <c r="A50" s="21" t="s">
        <v>2103</v>
      </c>
      <c r="B50" s="35">
        <v>45682.625</v>
      </c>
      <c r="C50" s="21" t="s">
        <v>1909</v>
      </c>
      <c r="D50" s="21" t="s">
        <v>2063</v>
      </c>
      <c r="E50" s="21" t="s">
        <v>2056</v>
      </c>
      <c r="F50" s="21" t="s">
        <v>768</v>
      </c>
      <c r="G50" s="35">
        <v>45682.762291666666</v>
      </c>
      <c r="H50" s="21" t="s">
        <v>1912</v>
      </c>
      <c r="I50" s="21" t="s">
        <v>1913</v>
      </c>
      <c r="J50" s="21" t="s">
        <v>1914</v>
      </c>
      <c r="K50" s="21" t="s">
        <v>1844</v>
      </c>
      <c r="L50" s="21" t="s">
        <v>1065</v>
      </c>
      <c r="M50" s="21" t="s">
        <v>1845</v>
      </c>
      <c r="N50" s="21" t="s">
        <v>2064</v>
      </c>
      <c r="O50" s="21" t="s">
        <v>2065</v>
      </c>
      <c r="P50" s="21" t="s">
        <v>1930</v>
      </c>
      <c r="Q50" s="21" t="s">
        <v>1213</v>
      </c>
      <c r="R50" s="21" t="s">
        <v>1264</v>
      </c>
      <c r="S50" s="21" t="s">
        <v>1127</v>
      </c>
      <c r="T50" s="21" t="s">
        <v>1917</v>
      </c>
      <c r="U50" s="21" t="s">
        <v>1711</v>
      </c>
      <c r="V50" s="21" t="str">
        <f>_xlfn.XLOOKUP(U50,'T07'!$D$3:$D$1500,'T07'!$BI$3:$BI$1500)&amp;" / "&amp;_xlfn.XLOOKUP(U50,'T07'!$D$3:$D$1500,'T07'!$BJ$3:$BJ$1500)</f>
        <v>LHR-HTV-2008-42260 / HTV</v>
      </c>
      <c r="W50" s="21" t="s">
        <v>1917</v>
      </c>
      <c r="X50" s="21" t="s">
        <v>1713</v>
      </c>
      <c r="Y50" s="21" t="s">
        <v>2008</v>
      </c>
      <c r="Z50" s="21">
        <v>1</v>
      </c>
      <c r="AA50" s="21" t="s">
        <v>1842</v>
      </c>
      <c r="AB50" s="21" t="s">
        <v>1804</v>
      </c>
      <c r="AC50" s="25">
        <v>1000</v>
      </c>
      <c r="AD50" s="25">
        <v>500</v>
      </c>
      <c r="AE50" s="21" t="s">
        <v>2104</v>
      </c>
      <c r="AF50" s="21" t="s">
        <v>2105</v>
      </c>
      <c r="AG50" s="35">
        <v>45682.782291666663</v>
      </c>
      <c r="AH50" s="21" t="s">
        <v>1934</v>
      </c>
      <c r="AI50" s="25">
        <v>500</v>
      </c>
      <c r="AJ50" s="21" t="s">
        <v>1067</v>
      </c>
      <c r="AK50" s="21" t="s">
        <v>1922</v>
      </c>
      <c r="AL50" s="21" t="str">
        <f>IF(AD50-AI50&gt;0,(AD50-AI50)&amp;" bags - damaged in transit","None")</f>
        <v>None</v>
      </c>
      <c r="AM50" s="21" t="s">
        <v>844</v>
      </c>
      <c r="AN50" s="21" t="s">
        <v>848</v>
      </c>
      <c r="AO50" s="21" t="s">
        <v>2068</v>
      </c>
      <c r="AP50" s="21" t="str">
        <f>IF(AO50="Pending","Not yet invoiced",IF(AI50=AD50,"Matched","Invoiced on received qty ("&amp;AI50&amp;" of "&amp;AD50&amp;")"))</f>
        <v>Matched</v>
      </c>
      <c r="AQ50" s="21" t="s">
        <v>2061</v>
      </c>
    </row>
    <row r="51" spans="1:43" x14ac:dyDescent="0.3">
      <c r="A51" s="21" t="s">
        <v>2106</v>
      </c>
      <c r="B51" s="35">
        <v>45690.583333333336</v>
      </c>
      <c r="C51" s="21" t="s">
        <v>1909</v>
      </c>
      <c r="D51" s="21" t="s">
        <v>2107</v>
      </c>
      <c r="E51" s="21" t="s">
        <v>1911</v>
      </c>
      <c r="F51" s="21" t="s">
        <v>768</v>
      </c>
      <c r="G51" s="35">
        <v>45690.856041666673</v>
      </c>
      <c r="H51" s="21" t="s">
        <v>1912</v>
      </c>
      <c r="I51" s="21" t="s">
        <v>1913</v>
      </c>
      <c r="J51" s="21" t="s">
        <v>1914</v>
      </c>
      <c r="K51" s="21" t="s">
        <v>1800</v>
      </c>
      <c r="L51" s="21" t="s">
        <v>1073</v>
      </c>
      <c r="M51" s="21" t="s">
        <v>1801</v>
      </c>
      <c r="N51" s="21" t="s">
        <v>1928</v>
      </c>
      <c r="O51" s="21" t="s">
        <v>1929</v>
      </c>
      <c r="P51" s="21" t="s">
        <v>1930</v>
      </c>
      <c r="Q51" s="21" t="s">
        <v>1213</v>
      </c>
      <c r="R51" s="21" t="s">
        <v>1236</v>
      </c>
      <c r="S51" s="21" t="s">
        <v>1127</v>
      </c>
      <c r="T51" s="21" t="s">
        <v>1917</v>
      </c>
      <c r="U51" s="21" t="s">
        <v>1677</v>
      </c>
      <c r="V51" s="21" t="str">
        <f>_xlfn.XLOOKUP(U51,'T07'!$D$3:$D$1500,'T07'!$BI$3:$BI$1500)&amp;" / "&amp;_xlfn.XLOOKUP(U51,'T07'!$D$3:$D$1500,'T07'!$BJ$3:$BJ$1500)</f>
        <v>LHR-HTV-2010-55907 / HTV</v>
      </c>
      <c r="W51" s="21" t="s">
        <v>1917</v>
      </c>
      <c r="X51" s="21" t="s">
        <v>1679</v>
      </c>
      <c r="Y51" s="21" t="s">
        <v>2000</v>
      </c>
      <c r="Z51" s="21">
        <v>1</v>
      </c>
      <c r="AA51" s="21" t="s">
        <v>1826</v>
      </c>
      <c r="AB51" s="21" t="s">
        <v>1804</v>
      </c>
      <c r="AC51" s="25">
        <v>3000</v>
      </c>
      <c r="AD51" s="25">
        <v>250</v>
      </c>
      <c r="AE51" s="21" t="s">
        <v>2108</v>
      </c>
      <c r="AF51" s="21" t="s">
        <v>2109</v>
      </c>
      <c r="AG51" s="35">
        <v>45690.87604166667</v>
      </c>
      <c r="AH51" s="21" t="s">
        <v>1934</v>
      </c>
      <c r="AI51" s="25">
        <v>244</v>
      </c>
      <c r="AJ51" s="21" t="s">
        <v>1074</v>
      </c>
      <c r="AK51" s="21" t="s">
        <v>1922</v>
      </c>
      <c r="AL51" s="21" t="str">
        <f>IF(AD51-AI51&gt;0,(AD51-AI51)&amp;" bags - damaged in transit","None")</f>
        <v>6 bags - damaged in transit</v>
      </c>
      <c r="AM51" s="21" t="s">
        <v>2110</v>
      </c>
      <c r="AN51" s="21" t="s">
        <v>2111</v>
      </c>
      <c r="AO51" s="21" t="s">
        <v>2112</v>
      </c>
      <c r="AP51" s="21" t="str">
        <f>IF(AO51="Pending","Not yet invoiced",IF(AI51=AD51,"Matched","Invoiced on received qty ("&amp;AI51&amp;" of "&amp;AD51&amp;")"))</f>
        <v>Invoiced on received qty (244 of 250)</v>
      </c>
      <c r="AQ51" s="21" t="s">
        <v>2113</v>
      </c>
    </row>
    <row r="52" spans="1:43" x14ac:dyDescent="0.3">
      <c r="A52" s="21" t="s">
        <v>2106</v>
      </c>
      <c r="B52" s="35">
        <v>45690.583333333336</v>
      </c>
      <c r="C52" s="21" t="s">
        <v>1909</v>
      </c>
      <c r="D52" s="21" t="s">
        <v>2107</v>
      </c>
      <c r="E52" s="21" t="s">
        <v>1945</v>
      </c>
      <c r="F52" s="21" t="s">
        <v>768</v>
      </c>
      <c r="G52" s="35">
        <v>45690.856041666673</v>
      </c>
      <c r="H52" s="21" t="s">
        <v>1912</v>
      </c>
      <c r="I52" s="21" t="s">
        <v>1913</v>
      </c>
      <c r="J52" s="21" t="s">
        <v>1914</v>
      </c>
      <c r="K52" s="21" t="s">
        <v>1800</v>
      </c>
      <c r="L52" s="21" t="s">
        <v>1073</v>
      </c>
      <c r="M52" s="21" t="s">
        <v>1801</v>
      </c>
      <c r="N52" s="21" t="s">
        <v>1928</v>
      </c>
      <c r="O52" s="21" t="s">
        <v>1929</v>
      </c>
      <c r="P52" s="21" t="s">
        <v>1930</v>
      </c>
      <c r="Q52" s="21" t="s">
        <v>1213</v>
      </c>
      <c r="R52" s="21" t="s">
        <v>1236</v>
      </c>
      <c r="S52" s="21" t="s">
        <v>1127</v>
      </c>
      <c r="T52" s="21" t="s">
        <v>1917</v>
      </c>
      <c r="U52" s="21" t="s">
        <v>1677</v>
      </c>
      <c r="V52" s="21" t="str">
        <f>_xlfn.XLOOKUP(U52,'T07'!$D$3:$D$1500,'T07'!$BI$3:$BI$1500)&amp;" / "&amp;_xlfn.XLOOKUP(U52,'T07'!$D$3:$D$1500,'T07'!$BJ$3:$BJ$1500)</f>
        <v>LHR-HTV-2010-55907 / HTV</v>
      </c>
      <c r="W52" s="21" t="s">
        <v>1917</v>
      </c>
      <c r="X52" s="21" t="s">
        <v>1679</v>
      </c>
      <c r="Y52" s="21" t="s">
        <v>2000</v>
      </c>
      <c r="Z52" s="21">
        <v>2</v>
      </c>
      <c r="AA52" s="21" t="s">
        <v>1803</v>
      </c>
      <c r="AB52" s="21" t="s">
        <v>1804</v>
      </c>
      <c r="AC52" s="25">
        <v>1500</v>
      </c>
      <c r="AD52" s="25">
        <v>250</v>
      </c>
      <c r="AE52" s="21" t="s">
        <v>2114</v>
      </c>
      <c r="AF52" s="21" t="s">
        <v>2109</v>
      </c>
      <c r="AG52" s="35">
        <v>45690.87604166667</v>
      </c>
      <c r="AH52" s="21" t="s">
        <v>1934</v>
      </c>
      <c r="AI52" s="25">
        <v>250</v>
      </c>
      <c r="AJ52" s="21" t="s">
        <v>1074</v>
      </c>
      <c r="AK52" s="21" t="s">
        <v>1922</v>
      </c>
      <c r="AL52" s="21" t="str">
        <f>IF(AD52-AI52&gt;0,(AD52-AI52)&amp;" bags - damaged in transit","None")</f>
        <v>None</v>
      </c>
      <c r="AM52" s="21" t="s">
        <v>844</v>
      </c>
      <c r="AN52" s="21" t="s">
        <v>848</v>
      </c>
      <c r="AO52" s="21" t="s">
        <v>2112</v>
      </c>
      <c r="AP52" s="21" t="str">
        <f>IF(AO52="Pending","Not yet invoiced",IF(AI52=AD52,"Matched","Invoiced on received qty ("&amp;AI52&amp;" of "&amp;AD52&amp;")"))</f>
        <v>Matched</v>
      </c>
      <c r="AQ52" s="21" t="s">
        <v>2113</v>
      </c>
    </row>
    <row r="53" spans="1:43" x14ac:dyDescent="0.3">
      <c r="A53" s="21" t="s">
        <v>2115</v>
      </c>
      <c r="B53" s="35">
        <v>45692.583333333336</v>
      </c>
      <c r="C53" s="21" t="s">
        <v>1909</v>
      </c>
      <c r="D53" s="21" t="s">
        <v>2116</v>
      </c>
      <c r="E53" s="21" t="s">
        <v>1927</v>
      </c>
      <c r="F53" s="21" t="s">
        <v>768</v>
      </c>
      <c r="G53" s="35">
        <v>45692.691458333335</v>
      </c>
      <c r="H53" s="21" t="s">
        <v>1912</v>
      </c>
      <c r="I53" s="21" t="s">
        <v>1913</v>
      </c>
      <c r="J53" s="21" t="s">
        <v>1914</v>
      </c>
      <c r="K53" s="21" t="s">
        <v>1849</v>
      </c>
      <c r="L53" s="21" t="s">
        <v>1181</v>
      </c>
      <c r="M53" s="21" t="s">
        <v>1183</v>
      </c>
      <c r="N53" s="21" t="s">
        <v>2117</v>
      </c>
      <c r="O53" s="21" t="s">
        <v>1187</v>
      </c>
      <c r="P53" s="21" t="s">
        <v>1916</v>
      </c>
      <c r="Q53" s="21" t="s">
        <v>1278</v>
      </c>
      <c r="R53" s="21" t="s">
        <v>1302</v>
      </c>
      <c r="S53" s="21" t="s">
        <v>1127</v>
      </c>
      <c r="T53" s="21" t="s">
        <v>1917</v>
      </c>
      <c r="U53" s="21" t="s">
        <v>1711</v>
      </c>
      <c r="V53" s="21" t="str">
        <f>_xlfn.XLOOKUP(U53,'T07'!$D$3:$D$1500,'T07'!$BI$3:$BI$1500)&amp;" / "&amp;_xlfn.XLOOKUP(U53,'T07'!$D$3:$D$1500,'T07'!$BJ$3:$BJ$1500)</f>
        <v>LHR-HTV-2008-42260 / HTV</v>
      </c>
      <c r="W53" s="21" t="s">
        <v>1917</v>
      </c>
      <c r="X53" s="21" t="s">
        <v>1713</v>
      </c>
      <c r="Y53" s="21" t="s">
        <v>2086</v>
      </c>
      <c r="Z53" s="21">
        <v>1</v>
      </c>
      <c r="AA53" s="21" t="s">
        <v>1826</v>
      </c>
      <c r="AB53" s="21" t="s">
        <v>1804</v>
      </c>
      <c r="AC53" s="25">
        <v>1500</v>
      </c>
      <c r="AD53" s="25">
        <v>500</v>
      </c>
      <c r="AE53" s="21" t="s">
        <v>2118</v>
      </c>
      <c r="AF53" s="21" t="s">
        <v>2119</v>
      </c>
      <c r="AG53" s="35">
        <v>45692.711458333331</v>
      </c>
      <c r="AH53" s="21" t="s">
        <v>1934</v>
      </c>
      <c r="AI53" s="25">
        <v>500</v>
      </c>
      <c r="AJ53" s="21" t="s">
        <v>1189</v>
      </c>
      <c r="AK53" s="21" t="s">
        <v>1922</v>
      </c>
      <c r="AL53" s="21" t="str">
        <f>IF(AD53-AI53&gt;0,(AD53-AI53)&amp;" bags - damaged in transit","None")</f>
        <v>None</v>
      </c>
      <c r="AM53" s="21" t="s">
        <v>844</v>
      </c>
      <c r="AN53" s="21" t="s">
        <v>848</v>
      </c>
      <c r="AO53" s="21" t="s">
        <v>2120</v>
      </c>
      <c r="AP53" s="21" t="str">
        <f>IF(AO53="Pending","Not yet invoiced",IF(AI53=AD53,"Matched","Invoiced on received qty ("&amp;AI53&amp;" of "&amp;AD53&amp;")"))</f>
        <v>Matched</v>
      </c>
      <c r="AQ53" s="21" t="s">
        <v>2121</v>
      </c>
    </row>
    <row r="54" spans="1:43" x14ac:dyDescent="0.3">
      <c r="A54" s="21" t="s">
        <v>2122</v>
      </c>
      <c r="B54" s="35">
        <v>45694.583333333336</v>
      </c>
      <c r="C54" s="21" t="s">
        <v>1909</v>
      </c>
      <c r="D54" s="21" t="s">
        <v>2116</v>
      </c>
      <c r="E54" s="21" t="s">
        <v>1911</v>
      </c>
      <c r="F54" s="21" t="s">
        <v>768</v>
      </c>
      <c r="G54" s="35">
        <v>45694.691458333335</v>
      </c>
      <c r="H54" s="21" t="s">
        <v>1912</v>
      </c>
      <c r="I54" s="21" t="s">
        <v>1913</v>
      </c>
      <c r="J54" s="21" t="s">
        <v>1914</v>
      </c>
      <c r="K54" s="21" t="s">
        <v>1849</v>
      </c>
      <c r="L54" s="21" t="s">
        <v>1181</v>
      </c>
      <c r="M54" s="21" t="s">
        <v>1183</v>
      </c>
      <c r="N54" s="21" t="s">
        <v>2117</v>
      </c>
      <c r="O54" s="21" t="s">
        <v>1187</v>
      </c>
      <c r="P54" s="21" t="s">
        <v>1916</v>
      </c>
      <c r="Q54" s="21" t="s">
        <v>1278</v>
      </c>
      <c r="R54" s="21" t="s">
        <v>1294</v>
      </c>
      <c r="S54" s="21" t="s">
        <v>1127</v>
      </c>
      <c r="T54" s="21" t="s">
        <v>1917</v>
      </c>
      <c r="U54" s="21" t="s">
        <v>1697</v>
      </c>
      <c r="V54" s="21" t="str">
        <f>_xlfn.XLOOKUP(U54,'T07'!$D$3:$D$1500,'T07'!$BI$3:$BI$1500)&amp;" / "&amp;_xlfn.XLOOKUP(U54,'T07'!$D$3:$D$1500,'T07'!$BJ$3:$BJ$1500)</f>
        <v>LHR-HTV-2013-23962 / HTV</v>
      </c>
      <c r="W54" s="21" t="s">
        <v>1917</v>
      </c>
      <c r="X54" s="21" t="s">
        <v>1700</v>
      </c>
      <c r="Y54" s="21" t="s">
        <v>1957</v>
      </c>
      <c r="Z54" s="21">
        <v>1</v>
      </c>
      <c r="AA54" s="21" t="s">
        <v>1826</v>
      </c>
      <c r="AB54" s="21" t="s">
        <v>1804</v>
      </c>
      <c r="AC54" s="25">
        <v>1000</v>
      </c>
      <c r="AD54" s="25">
        <v>500</v>
      </c>
      <c r="AE54" s="21" t="s">
        <v>2123</v>
      </c>
      <c r="AF54" s="21" t="s">
        <v>2124</v>
      </c>
      <c r="AG54" s="35">
        <v>45694.711458333331</v>
      </c>
      <c r="AH54" s="21" t="s">
        <v>1934</v>
      </c>
      <c r="AI54" s="25">
        <v>500</v>
      </c>
      <c r="AJ54" s="21" t="s">
        <v>1189</v>
      </c>
      <c r="AK54" s="21" t="s">
        <v>1922</v>
      </c>
      <c r="AL54" s="21" t="str">
        <f>IF(AD54-AI54&gt;0,(AD54-AI54)&amp;" bags - damaged in transit","None")</f>
        <v>None</v>
      </c>
      <c r="AM54" s="21" t="s">
        <v>844</v>
      </c>
      <c r="AN54" s="21" t="s">
        <v>848</v>
      </c>
      <c r="AO54" s="21" t="s">
        <v>2120</v>
      </c>
      <c r="AP54" s="21" t="str">
        <f>IF(AO54="Pending","Not yet invoiced",IF(AI54=AD54,"Matched","Invoiced on received qty ("&amp;AI54&amp;" of "&amp;AD54&amp;")"))</f>
        <v>Matched</v>
      </c>
      <c r="AQ54" s="21" t="s">
        <v>2121</v>
      </c>
    </row>
    <row r="55" spans="1:43" x14ac:dyDescent="0.3">
      <c r="A55" s="21" t="s">
        <v>2125</v>
      </c>
      <c r="B55" s="35">
        <v>45695.625</v>
      </c>
      <c r="C55" s="21" t="s">
        <v>1909</v>
      </c>
      <c r="D55" s="21" t="s">
        <v>2107</v>
      </c>
      <c r="E55" s="21" t="s">
        <v>1927</v>
      </c>
      <c r="F55" s="21" t="s">
        <v>768</v>
      </c>
      <c r="G55" s="35">
        <v>45695.897708333338</v>
      </c>
      <c r="H55" s="21" t="s">
        <v>1912</v>
      </c>
      <c r="I55" s="21" t="s">
        <v>1913</v>
      </c>
      <c r="J55" s="21" t="s">
        <v>1914</v>
      </c>
      <c r="K55" s="21" t="s">
        <v>1800</v>
      </c>
      <c r="L55" s="21" t="s">
        <v>1073</v>
      </c>
      <c r="M55" s="21" t="s">
        <v>1801</v>
      </c>
      <c r="N55" s="21" t="s">
        <v>1928</v>
      </c>
      <c r="O55" s="21" t="s">
        <v>1929</v>
      </c>
      <c r="P55" s="21" t="s">
        <v>1930</v>
      </c>
      <c r="Q55" s="21" t="s">
        <v>1278</v>
      </c>
      <c r="R55" s="21" t="s">
        <v>1332</v>
      </c>
      <c r="S55" s="21" t="s">
        <v>1127</v>
      </c>
      <c r="T55" s="21" t="s">
        <v>1917</v>
      </c>
      <c r="U55" s="21" t="s">
        <v>1711</v>
      </c>
      <c r="V55" s="21" t="str">
        <f>_xlfn.XLOOKUP(U55,'T07'!$D$3:$D$1500,'T07'!$BI$3:$BI$1500)&amp;" / "&amp;_xlfn.XLOOKUP(U55,'T07'!$D$3:$D$1500,'T07'!$BJ$3:$BJ$1500)</f>
        <v>LHR-HTV-2008-42260 / HTV</v>
      </c>
      <c r="W55" s="21" t="s">
        <v>1917</v>
      </c>
      <c r="X55" s="21" t="s">
        <v>1713</v>
      </c>
      <c r="Y55" s="21" t="s">
        <v>1931</v>
      </c>
      <c r="Z55" s="21">
        <v>1</v>
      </c>
      <c r="AA55" s="21" t="s">
        <v>1803</v>
      </c>
      <c r="AB55" s="21" t="s">
        <v>1804</v>
      </c>
      <c r="AC55" s="25">
        <v>1250</v>
      </c>
      <c r="AD55" s="25">
        <v>250</v>
      </c>
      <c r="AE55" s="21" t="s">
        <v>2126</v>
      </c>
      <c r="AF55" s="21" t="s">
        <v>2127</v>
      </c>
      <c r="AG55" s="35">
        <v>45695.917708333334</v>
      </c>
      <c r="AH55" s="21" t="s">
        <v>1934</v>
      </c>
      <c r="AI55" s="25">
        <v>250</v>
      </c>
      <c r="AJ55" s="21" t="s">
        <v>1074</v>
      </c>
      <c r="AK55" s="21" t="s">
        <v>1922</v>
      </c>
      <c r="AL55" s="21" t="str">
        <f>IF(AD55-AI55&gt;0,(AD55-AI55)&amp;" bags - damaged in transit","None")</f>
        <v>None</v>
      </c>
      <c r="AM55" s="21" t="s">
        <v>844</v>
      </c>
      <c r="AN55" s="21" t="s">
        <v>848</v>
      </c>
      <c r="AO55" s="21" t="s">
        <v>2112</v>
      </c>
      <c r="AP55" s="21" t="str">
        <f>IF(AO55="Pending","Not yet invoiced",IF(AI55=AD55,"Matched","Invoiced on received qty ("&amp;AI55&amp;" of "&amp;AD55&amp;")"))</f>
        <v>Matched</v>
      </c>
      <c r="AQ55" s="21" t="s">
        <v>2121</v>
      </c>
    </row>
    <row r="56" spans="1:43" x14ac:dyDescent="0.3">
      <c r="A56" s="21" t="s">
        <v>2125</v>
      </c>
      <c r="B56" s="35">
        <v>45695.625</v>
      </c>
      <c r="C56" s="21" t="s">
        <v>1909</v>
      </c>
      <c r="D56" s="21" t="s">
        <v>2107</v>
      </c>
      <c r="E56" s="21" t="s">
        <v>1927</v>
      </c>
      <c r="F56" s="21" t="s">
        <v>768</v>
      </c>
      <c r="G56" s="35">
        <v>45695.897708333338</v>
      </c>
      <c r="H56" s="21" t="s">
        <v>1912</v>
      </c>
      <c r="I56" s="21" t="s">
        <v>1913</v>
      </c>
      <c r="J56" s="21" t="s">
        <v>1914</v>
      </c>
      <c r="K56" s="21" t="s">
        <v>1800</v>
      </c>
      <c r="L56" s="21" t="s">
        <v>1073</v>
      </c>
      <c r="M56" s="21" t="s">
        <v>1801</v>
      </c>
      <c r="N56" s="21" t="s">
        <v>1928</v>
      </c>
      <c r="O56" s="21" t="s">
        <v>1929</v>
      </c>
      <c r="P56" s="21" t="s">
        <v>1930</v>
      </c>
      <c r="Q56" s="21" t="s">
        <v>1278</v>
      </c>
      <c r="R56" s="21" t="s">
        <v>1332</v>
      </c>
      <c r="S56" s="21" t="s">
        <v>1127</v>
      </c>
      <c r="T56" s="21" t="s">
        <v>1917</v>
      </c>
      <c r="U56" s="21" t="s">
        <v>1711</v>
      </c>
      <c r="V56" s="21" t="str">
        <f>_xlfn.XLOOKUP(U56,'T07'!$D$3:$D$1500,'T07'!$BI$3:$BI$1500)&amp;" / "&amp;_xlfn.XLOOKUP(U56,'T07'!$D$3:$D$1500,'T07'!$BJ$3:$BJ$1500)</f>
        <v>LHR-HTV-2008-42260 / HTV</v>
      </c>
      <c r="W56" s="21" t="s">
        <v>1917</v>
      </c>
      <c r="X56" s="21" t="s">
        <v>1713</v>
      </c>
      <c r="Y56" s="21" t="s">
        <v>1931</v>
      </c>
      <c r="Z56" s="21">
        <v>2</v>
      </c>
      <c r="AA56" s="21" t="s">
        <v>1826</v>
      </c>
      <c r="AB56" s="21" t="s">
        <v>1804</v>
      </c>
      <c r="AC56" s="25">
        <v>2750</v>
      </c>
      <c r="AD56" s="25">
        <v>250</v>
      </c>
      <c r="AE56" s="21" t="s">
        <v>2128</v>
      </c>
      <c r="AF56" s="21" t="s">
        <v>2127</v>
      </c>
      <c r="AG56" s="35">
        <v>45695.917708333334</v>
      </c>
      <c r="AH56" s="21" t="s">
        <v>1934</v>
      </c>
      <c r="AI56" s="25">
        <v>250</v>
      </c>
      <c r="AJ56" s="21" t="s">
        <v>1074</v>
      </c>
      <c r="AK56" s="21" t="s">
        <v>1922</v>
      </c>
      <c r="AL56" s="21" t="str">
        <f>IF(AD56-AI56&gt;0,(AD56-AI56)&amp;" bags - damaged in transit","None")</f>
        <v>None</v>
      </c>
      <c r="AM56" s="21" t="s">
        <v>844</v>
      </c>
      <c r="AN56" s="21" t="s">
        <v>848</v>
      </c>
      <c r="AO56" s="21" t="s">
        <v>2112</v>
      </c>
      <c r="AP56" s="21" t="str">
        <f>IF(AO56="Pending","Not yet invoiced",IF(AI56=AD56,"Matched","Invoiced on received qty ("&amp;AI56&amp;" of "&amp;AD56&amp;")"))</f>
        <v>Matched</v>
      </c>
      <c r="AQ56" s="21" t="s">
        <v>2121</v>
      </c>
    </row>
    <row r="57" spans="1:43" x14ac:dyDescent="0.3">
      <c r="A57" s="21" t="s">
        <v>2129</v>
      </c>
      <c r="B57" s="35">
        <v>45698.416666666664</v>
      </c>
      <c r="C57" s="21" t="s">
        <v>1909</v>
      </c>
      <c r="D57" s="21" t="s">
        <v>2107</v>
      </c>
      <c r="E57" s="21" t="s">
        <v>1911</v>
      </c>
      <c r="F57" s="21" t="s">
        <v>768</v>
      </c>
      <c r="G57" s="35">
        <v>45698.689375000002</v>
      </c>
      <c r="H57" s="21" t="s">
        <v>1912</v>
      </c>
      <c r="I57" s="21" t="s">
        <v>1913</v>
      </c>
      <c r="J57" s="21" t="s">
        <v>1914</v>
      </c>
      <c r="K57" s="21" t="s">
        <v>1800</v>
      </c>
      <c r="L57" s="21" t="s">
        <v>1073</v>
      </c>
      <c r="M57" s="21" t="s">
        <v>1801</v>
      </c>
      <c r="N57" s="21" t="s">
        <v>1928</v>
      </c>
      <c r="O57" s="21" t="s">
        <v>1929</v>
      </c>
      <c r="P57" s="21" t="s">
        <v>1930</v>
      </c>
      <c r="Q57" s="21" t="s">
        <v>1278</v>
      </c>
      <c r="R57" s="21" t="s">
        <v>1287</v>
      </c>
      <c r="S57" s="21" t="s">
        <v>1104</v>
      </c>
      <c r="T57" s="21" t="s">
        <v>1917</v>
      </c>
      <c r="U57" s="21" t="s">
        <v>1739</v>
      </c>
      <c r="V57" s="21" t="str">
        <f>_xlfn.XLOOKUP(U57,'T07'!$D$3:$D$1500,'T07'!$BI$3:$BI$1500)&amp;" / "&amp;_xlfn.XLOOKUP(U57,'T07'!$D$3:$D$1500,'T07'!$BJ$3:$BJ$1500)</f>
        <v>LHR-HTV-2020-13470 / HTV</v>
      </c>
      <c r="W57" s="21" t="s">
        <v>1917</v>
      </c>
      <c r="X57" s="21" t="s">
        <v>1742</v>
      </c>
      <c r="Y57" s="21" t="s">
        <v>2130</v>
      </c>
      <c r="Z57" s="21">
        <v>1</v>
      </c>
      <c r="AA57" s="21" t="s">
        <v>1826</v>
      </c>
      <c r="AB57" s="21" t="s">
        <v>1804</v>
      </c>
      <c r="AC57" s="25">
        <v>2500</v>
      </c>
      <c r="AD57" s="25">
        <v>1000</v>
      </c>
      <c r="AE57" s="21" t="s">
        <v>2131</v>
      </c>
      <c r="AF57" s="21" t="s">
        <v>2132</v>
      </c>
      <c r="AG57" s="35">
        <v>45698.709374999999</v>
      </c>
      <c r="AH57" s="21" t="s">
        <v>1983</v>
      </c>
      <c r="AI57" s="25">
        <v>1000</v>
      </c>
      <c r="AJ57" s="21" t="s">
        <v>1074</v>
      </c>
      <c r="AK57" s="21" t="s">
        <v>1922</v>
      </c>
      <c r="AL57" s="21" t="str">
        <f>IF(AD57-AI57&gt;0,(AD57-AI57)&amp;" bags - damaged in transit","None")</f>
        <v>None</v>
      </c>
      <c r="AM57" s="21" t="s">
        <v>844</v>
      </c>
      <c r="AN57" s="21" t="s">
        <v>848</v>
      </c>
      <c r="AO57" s="21" t="s">
        <v>2112</v>
      </c>
      <c r="AP57" s="21" t="str">
        <f>IF(AO57="Pending","Not yet invoiced",IF(AI57=AD57,"Matched","Invoiced on received qty ("&amp;AI57&amp;" of "&amp;AD57&amp;")"))</f>
        <v>Matched</v>
      </c>
      <c r="AQ57" s="21" t="s">
        <v>2121</v>
      </c>
    </row>
    <row r="58" spans="1:43" x14ac:dyDescent="0.3">
      <c r="A58" s="21" t="s">
        <v>2133</v>
      </c>
      <c r="B58" s="35">
        <v>45700.708333333336</v>
      </c>
      <c r="C58" s="21" t="s">
        <v>1909</v>
      </c>
      <c r="D58" s="21" t="s">
        <v>2116</v>
      </c>
      <c r="E58" s="21" t="s">
        <v>1911</v>
      </c>
      <c r="F58" s="21" t="s">
        <v>768</v>
      </c>
      <c r="G58" s="35">
        <v>45700.816458333335</v>
      </c>
      <c r="H58" s="21" t="s">
        <v>1912</v>
      </c>
      <c r="I58" s="21" t="s">
        <v>1913</v>
      </c>
      <c r="J58" s="21" t="s">
        <v>1914</v>
      </c>
      <c r="K58" s="21" t="s">
        <v>1849</v>
      </c>
      <c r="L58" s="21" t="s">
        <v>1181</v>
      </c>
      <c r="M58" s="21" t="s">
        <v>1183</v>
      </c>
      <c r="N58" s="21" t="s">
        <v>2117</v>
      </c>
      <c r="O58" s="21" t="s">
        <v>1187</v>
      </c>
      <c r="P58" s="21" t="s">
        <v>1916</v>
      </c>
      <c r="Q58" s="21" t="s">
        <v>1278</v>
      </c>
      <c r="R58" s="21" t="s">
        <v>1317</v>
      </c>
      <c r="S58" s="21" t="s">
        <v>1104</v>
      </c>
      <c r="T58" s="21" t="s">
        <v>1917</v>
      </c>
      <c r="U58" s="21" t="s">
        <v>1711</v>
      </c>
      <c r="V58" s="21" t="str">
        <f>_xlfn.XLOOKUP(U58,'T07'!$D$3:$D$1500,'T07'!$BI$3:$BI$1500)&amp;" / "&amp;_xlfn.XLOOKUP(U58,'T07'!$D$3:$D$1500,'T07'!$BJ$3:$BJ$1500)</f>
        <v>LHR-HTV-2008-42260 / HTV</v>
      </c>
      <c r="W58" s="21" t="s">
        <v>1917</v>
      </c>
      <c r="X58" s="21" t="s">
        <v>1713</v>
      </c>
      <c r="Y58" s="21" t="s">
        <v>1942</v>
      </c>
      <c r="Z58" s="21">
        <v>1</v>
      </c>
      <c r="AA58" s="21" t="s">
        <v>1808</v>
      </c>
      <c r="AB58" s="21" t="s">
        <v>1804</v>
      </c>
      <c r="AC58" s="25">
        <v>2000</v>
      </c>
      <c r="AD58" s="25">
        <v>1000</v>
      </c>
      <c r="AE58" s="21" t="s">
        <v>2134</v>
      </c>
      <c r="AF58" s="21" t="s">
        <v>2135</v>
      </c>
      <c r="AG58" s="35">
        <v>45700.836458333331</v>
      </c>
      <c r="AH58" s="21" t="s">
        <v>1983</v>
      </c>
      <c r="AI58" s="25">
        <v>1000</v>
      </c>
      <c r="AJ58" s="21" t="s">
        <v>1189</v>
      </c>
      <c r="AK58" s="21" t="s">
        <v>1922</v>
      </c>
      <c r="AL58" s="21" t="str">
        <f>IF(AD58-AI58&gt;0,(AD58-AI58)&amp;" bags - damaged in transit","None")</f>
        <v>None</v>
      </c>
      <c r="AM58" s="21" t="s">
        <v>844</v>
      </c>
      <c r="AN58" s="21" t="s">
        <v>848</v>
      </c>
      <c r="AO58" s="21" t="s">
        <v>2120</v>
      </c>
      <c r="AP58" s="21" t="str">
        <f>IF(AO58="Pending","Not yet invoiced",IF(AI58=AD58,"Matched","Invoiced on received qty ("&amp;AI58&amp;" of "&amp;AD58&amp;")"))</f>
        <v>Matched</v>
      </c>
      <c r="AQ58" s="21" t="s">
        <v>2121</v>
      </c>
    </row>
    <row r="59" spans="1:43" x14ac:dyDescent="0.3">
      <c r="A59" s="21" t="s">
        <v>2136</v>
      </c>
      <c r="B59" s="35">
        <v>45703.5</v>
      </c>
      <c r="C59" s="21" t="s">
        <v>1909</v>
      </c>
      <c r="D59" s="21" t="s">
        <v>2107</v>
      </c>
      <c r="E59" s="21" t="s">
        <v>1911</v>
      </c>
      <c r="F59" s="21" t="s">
        <v>768</v>
      </c>
      <c r="G59" s="35">
        <v>45703.772708333338</v>
      </c>
      <c r="H59" s="21" t="s">
        <v>1912</v>
      </c>
      <c r="I59" s="21" t="s">
        <v>1913</v>
      </c>
      <c r="J59" s="21" t="s">
        <v>1914</v>
      </c>
      <c r="K59" s="21" t="s">
        <v>1800</v>
      </c>
      <c r="L59" s="21" t="s">
        <v>1073</v>
      </c>
      <c r="M59" s="21" t="s">
        <v>1801</v>
      </c>
      <c r="N59" s="21" t="s">
        <v>1928</v>
      </c>
      <c r="O59" s="21" t="s">
        <v>1929</v>
      </c>
      <c r="P59" s="21" t="s">
        <v>1930</v>
      </c>
      <c r="Q59" s="21" t="s">
        <v>1213</v>
      </c>
      <c r="R59" s="21" t="s">
        <v>1255</v>
      </c>
      <c r="S59" s="21" t="s">
        <v>1104</v>
      </c>
      <c r="T59" s="21" t="s">
        <v>1917</v>
      </c>
      <c r="U59" s="21" t="s">
        <v>1753</v>
      </c>
      <c r="V59" s="21" t="str">
        <f>_xlfn.XLOOKUP(U59,'T07'!$D$3:$D$1500,'T07'!$BI$3:$BI$1500)&amp;" / "&amp;_xlfn.XLOOKUP(U59,'T07'!$D$3:$D$1500,'T07'!$BJ$3:$BJ$1500)</f>
        <v>LHR-HTV-2009-86678 / HTV</v>
      </c>
      <c r="W59" s="21" t="s">
        <v>1917</v>
      </c>
      <c r="X59" s="21" t="s">
        <v>1755</v>
      </c>
      <c r="Y59" s="21" t="s">
        <v>2137</v>
      </c>
      <c r="Z59" s="21">
        <v>1</v>
      </c>
      <c r="AA59" s="21" t="s">
        <v>1826</v>
      </c>
      <c r="AB59" s="21" t="s">
        <v>1804</v>
      </c>
      <c r="AC59" s="25">
        <v>1500</v>
      </c>
      <c r="AD59" s="25">
        <v>500</v>
      </c>
      <c r="AE59" s="21" t="s">
        <v>2138</v>
      </c>
      <c r="AF59" s="21" t="s">
        <v>2139</v>
      </c>
      <c r="AG59" s="35">
        <v>45703.792708333334</v>
      </c>
      <c r="AH59" s="21" t="s">
        <v>1934</v>
      </c>
      <c r="AI59" s="25">
        <v>500</v>
      </c>
      <c r="AJ59" s="21" t="s">
        <v>1074</v>
      </c>
      <c r="AK59" s="21" t="s">
        <v>1922</v>
      </c>
      <c r="AL59" s="21" t="str">
        <f>IF(AD59-AI59&gt;0,(AD59-AI59)&amp;" bags - damaged in transit","None")</f>
        <v>None</v>
      </c>
      <c r="AM59" s="21" t="s">
        <v>844</v>
      </c>
      <c r="AN59" s="21" t="s">
        <v>848</v>
      </c>
      <c r="AO59" s="21" t="s">
        <v>2112</v>
      </c>
      <c r="AP59" s="21" t="str">
        <f>IF(AO59="Pending","Not yet invoiced",IF(AI59=AD59,"Matched","Invoiced on received qty ("&amp;AI59&amp;" of "&amp;AD59&amp;")"))</f>
        <v>Matched</v>
      </c>
      <c r="AQ59" s="21" t="s">
        <v>2113</v>
      </c>
    </row>
    <row r="60" spans="1:43" x14ac:dyDescent="0.3">
      <c r="A60" s="21" t="s">
        <v>2136</v>
      </c>
      <c r="B60" s="35">
        <v>45703.5</v>
      </c>
      <c r="C60" s="21" t="s">
        <v>1909</v>
      </c>
      <c r="D60" s="21" t="s">
        <v>2107</v>
      </c>
      <c r="E60" s="21" t="s">
        <v>1945</v>
      </c>
      <c r="F60" s="21" t="s">
        <v>768</v>
      </c>
      <c r="G60" s="35">
        <v>45703.772708333338</v>
      </c>
      <c r="H60" s="21" t="s">
        <v>1912</v>
      </c>
      <c r="I60" s="21" t="s">
        <v>1913</v>
      </c>
      <c r="J60" s="21" t="s">
        <v>1914</v>
      </c>
      <c r="K60" s="21" t="s">
        <v>1800</v>
      </c>
      <c r="L60" s="21" t="s">
        <v>1073</v>
      </c>
      <c r="M60" s="21" t="s">
        <v>1801</v>
      </c>
      <c r="N60" s="21" t="s">
        <v>1928</v>
      </c>
      <c r="O60" s="21" t="s">
        <v>1929</v>
      </c>
      <c r="P60" s="21" t="s">
        <v>1930</v>
      </c>
      <c r="Q60" s="21" t="s">
        <v>1213</v>
      </c>
      <c r="R60" s="21" t="s">
        <v>1255</v>
      </c>
      <c r="S60" s="21" t="s">
        <v>1104</v>
      </c>
      <c r="T60" s="21" t="s">
        <v>1917</v>
      </c>
      <c r="U60" s="21" t="s">
        <v>1753</v>
      </c>
      <c r="V60" s="21" t="str">
        <f>_xlfn.XLOOKUP(U60,'T07'!$D$3:$D$1500,'T07'!$BI$3:$BI$1500)&amp;" / "&amp;_xlfn.XLOOKUP(U60,'T07'!$D$3:$D$1500,'T07'!$BJ$3:$BJ$1500)</f>
        <v>LHR-HTV-2009-86678 / HTV</v>
      </c>
      <c r="W60" s="21" t="s">
        <v>1917</v>
      </c>
      <c r="X60" s="21" t="s">
        <v>1755</v>
      </c>
      <c r="Y60" s="21" t="s">
        <v>2137</v>
      </c>
      <c r="Z60" s="21">
        <v>2</v>
      </c>
      <c r="AA60" s="21" t="s">
        <v>1803</v>
      </c>
      <c r="AB60" s="21" t="s">
        <v>1804</v>
      </c>
      <c r="AC60" s="25">
        <v>1000</v>
      </c>
      <c r="AD60" s="25">
        <v>500</v>
      </c>
      <c r="AE60" s="21" t="s">
        <v>2140</v>
      </c>
      <c r="AF60" s="21" t="s">
        <v>2139</v>
      </c>
      <c r="AG60" s="35">
        <v>45703.792708333334</v>
      </c>
      <c r="AH60" s="21" t="s">
        <v>1934</v>
      </c>
      <c r="AI60" s="25">
        <v>500</v>
      </c>
      <c r="AJ60" s="21" t="s">
        <v>1074</v>
      </c>
      <c r="AK60" s="21" t="s">
        <v>1922</v>
      </c>
      <c r="AL60" s="21" t="str">
        <f>IF(AD60-AI60&gt;0,(AD60-AI60)&amp;" bags - damaged in transit","None")</f>
        <v>None</v>
      </c>
      <c r="AM60" s="21" t="s">
        <v>844</v>
      </c>
      <c r="AN60" s="21" t="s">
        <v>848</v>
      </c>
      <c r="AO60" s="21" t="s">
        <v>2112</v>
      </c>
      <c r="AP60" s="21" t="str">
        <f>IF(AO60="Pending","Not yet invoiced",IF(AI60=AD60,"Matched","Invoiced on received qty ("&amp;AI60&amp;" of "&amp;AD60&amp;")"))</f>
        <v>Matched</v>
      </c>
      <c r="AQ60" s="21" t="s">
        <v>2113</v>
      </c>
    </row>
    <row r="61" spans="1:43" x14ac:dyDescent="0.3">
      <c r="A61" s="21" t="s">
        <v>2141</v>
      </c>
      <c r="B61" s="35">
        <v>45704.625</v>
      </c>
      <c r="C61" s="21" t="s">
        <v>1909</v>
      </c>
      <c r="D61" s="21" t="s">
        <v>2116</v>
      </c>
      <c r="E61" s="21" t="s">
        <v>1927</v>
      </c>
      <c r="F61" s="21" t="s">
        <v>768</v>
      </c>
      <c r="G61" s="35">
        <v>45704.733124999999</v>
      </c>
      <c r="H61" s="21" t="s">
        <v>1912</v>
      </c>
      <c r="I61" s="21" t="s">
        <v>1913</v>
      </c>
      <c r="J61" s="21" t="s">
        <v>1914</v>
      </c>
      <c r="K61" s="21" t="s">
        <v>1849</v>
      </c>
      <c r="L61" s="21" t="s">
        <v>1181</v>
      </c>
      <c r="M61" s="21" t="s">
        <v>1183</v>
      </c>
      <c r="N61" s="21" t="s">
        <v>2117</v>
      </c>
      <c r="O61" s="21" t="s">
        <v>1187</v>
      </c>
      <c r="P61" s="21" t="s">
        <v>1916</v>
      </c>
      <c r="Q61" s="21" t="s">
        <v>1278</v>
      </c>
      <c r="R61" s="21" t="s">
        <v>1310</v>
      </c>
      <c r="S61" s="21" t="s">
        <v>1247</v>
      </c>
      <c r="T61" s="21" t="s">
        <v>1917</v>
      </c>
      <c r="U61" s="21" t="s">
        <v>1766</v>
      </c>
      <c r="V61" s="21" t="str">
        <f>_xlfn.XLOOKUP(U61,'T07'!$D$3:$D$1500,'T07'!$BI$3:$BI$1500)&amp;" / "&amp;_xlfn.XLOOKUP(U61,'T07'!$D$3:$D$1500,'T07'!$BJ$3:$BJ$1500)</f>
        <v>LHR-LTV-2019-66685 / LTV</v>
      </c>
      <c r="W61" s="21" t="s">
        <v>1917</v>
      </c>
      <c r="X61" s="21" t="s">
        <v>1768</v>
      </c>
      <c r="Y61" s="21" t="s">
        <v>1948</v>
      </c>
      <c r="Z61" s="21">
        <v>1</v>
      </c>
      <c r="AA61" s="21" t="s">
        <v>1808</v>
      </c>
      <c r="AB61" s="21" t="s">
        <v>1804</v>
      </c>
      <c r="AC61" s="25">
        <v>1000</v>
      </c>
      <c r="AD61" s="25">
        <v>200</v>
      </c>
      <c r="AE61" s="21" t="s">
        <v>2142</v>
      </c>
      <c r="AF61" s="21" t="s">
        <v>2143</v>
      </c>
      <c r="AG61" s="35">
        <v>45704.753124999996</v>
      </c>
      <c r="AH61" s="21" t="s">
        <v>1934</v>
      </c>
      <c r="AI61" s="25">
        <v>200</v>
      </c>
      <c r="AJ61" s="21" t="s">
        <v>1189</v>
      </c>
      <c r="AK61" s="21" t="s">
        <v>1922</v>
      </c>
      <c r="AL61" s="21" t="str">
        <f>IF(AD61-AI61&gt;0,(AD61-AI61)&amp;" bags - damaged in transit","None")</f>
        <v>None</v>
      </c>
      <c r="AM61" s="21" t="s">
        <v>844</v>
      </c>
      <c r="AN61" s="21" t="s">
        <v>848</v>
      </c>
      <c r="AO61" s="21" t="s">
        <v>2120</v>
      </c>
      <c r="AP61" s="21" t="str">
        <f>IF(AO61="Pending","Not yet invoiced",IF(AI61=AD61,"Matched","Invoiced on received qty ("&amp;AI61&amp;" of "&amp;AD61&amp;")"))</f>
        <v>Matched</v>
      </c>
      <c r="AQ61" s="21" t="s">
        <v>2121</v>
      </c>
    </row>
    <row r="62" spans="1:43" x14ac:dyDescent="0.3">
      <c r="A62" s="21" t="s">
        <v>2144</v>
      </c>
      <c r="B62" s="35">
        <v>45707.291666666664</v>
      </c>
      <c r="C62" s="21" t="s">
        <v>1909</v>
      </c>
      <c r="D62" s="21" t="s">
        <v>2107</v>
      </c>
      <c r="E62" s="21" t="s">
        <v>1911</v>
      </c>
      <c r="F62" s="21" t="s">
        <v>768</v>
      </c>
      <c r="G62" s="35">
        <v>45707.564375000002</v>
      </c>
      <c r="H62" s="21" t="s">
        <v>1912</v>
      </c>
      <c r="I62" s="21" t="s">
        <v>1913</v>
      </c>
      <c r="J62" s="21" t="s">
        <v>1914</v>
      </c>
      <c r="K62" s="21" t="s">
        <v>1800</v>
      </c>
      <c r="L62" s="21" t="s">
        <v>1073</v>
      </c>
      <c r="M62" s="21" t="s">
        <v>1801</v>
      </c>
      <c r="N62" s="21" t="s">
        <v>1928</v>
      </c>
      <c r="O62" s="21" t="s">
        <v>1929</v>
      </c>
      <c r="P62" s="21" t="s">
        <v>1930</v>
      </c>
      <c r="Q62" s="21" t="s">
        <v>1213</v>
      </c>
      <c r="R62" s="21" t="s">
        <v>1271</v>
      </c>
      <c r="S62" s="21" t="s">
        <v>1127</v>
      </c>
      <c r="T62" s="21" t="s">
        <v>1917</v>
      </c>
      <c r="U62" s="21" t="s">
        <v>1753</v>
      </c>
      <c r="V62" s="21" t="str">
        <f>_xlfn.XLOOKUP(U62,'T07'!$D$3:$D$1500,'T07'!$BI$3:$BI$1500)&amp;" / "&amp;_xlfn.XLOOKUP(U62,'T07'!$D$3:$D$1500,'T07'!$BJ$3:$BJ$1500)</f>
        <v>LHR-HTV-2009-86678 / HTV</v>
      </c>
      <c r="W62" s="21" t="s">
        <v>1917</v>
      </c>
      <c r="X62" s="21" t="s">
        <v>1755</v>
      </c>
      <c r="Y62" s="21" t="s">
        <v>2022</v>
      </c>
      <c r="Z62" s="21">
        <v>1</v>
      </c>
      <c r="AA62" s="21" t="s">
        <v>1826</v>
      </c>
      <c r="AB62" s="21" t="s">
        <v>1804</v>
      </c>
      <c r="AC62" s="25">
        <v>1000</v>
      </c>
      <c r="AD62" s="25">
        <v>250</v>
      </c>
      <c r="AE62" s="21" t="s">
        <v>2145</v>
      </c>
      <c r="AF62" s="21" t="s">
        <v>2146</v>
      </c>
      <c r="AG62" s="35">
        <v>45707.584374999999</v>
      </c>
      <c r="AH62" s="21" t="s">
        <v>1934</v>
      </c>
      <c r="AI62" s="25">
        <v>250</v>
      </c>
      <c r="AJ62" s="21" t="s">
        <v>1074</v>
      </c>
      <c r="AK62" s="21" t="s">
        <v>1922</v>
      </c>
      <c r="AL62" s="21" t="str">
        <f>IF(AD62-AI62&gt;0,(AD62-AI62)&amp;" bags - damaged in transit","None")</f>
        <v>None</v>
      </c>
      <c r="AM62" s="21" t="s">
        <v>844</v>
      </c>
      <c r="AN62" s="21" t="s">
        <v>848</v>
      </c>
      <c r="AO62" s="21" t="s">
        <v>2112</v>
      </c>
      <c r="AP62" s="21" t="str">
        <f>IF(AO62="Pending","Not yet invoiced",IF(AI62=AD62,"Matched","Invoiced on received qty ("&amp;AI62&amp;" of "&amp;AD62&amp;")"))</f>
        <v>Matched</v>
      </c>
      <c r="AQ62" s="21" t="s">
        <v>2113</v>
      </c>
    </row>
    <row r="63" spans="1:43" x14ac:dyDescent="0.3">
      <c r="A63" s="21" t="s">
        <v>2144</v>
      </c>
      <c r="B63" s="35">
        <v>45707.291666666664</v>
      </c>
      <c r="C63" s="21" t="s">
        <v>1909</v>
      </c>
      <c r="D63" s="21" t="s">
        <v>2107</v>
      </c>
      <c r="E63" s="21" t="s">
        <v>1945</v>
      </c>
      <c r="F63" s="21" t="s">
        <v>768</v>
      </c>
      <c r="G63" s="35">
        <v>45707.564375000002</v>
      </c>
      <c r="H63" s="21" t="s">
        <v>1912</v>
      </c>
      <c r="I63" s="21" t="s">
        <v>1913</v>
      </c>
      <c r="J63" s="21" t="s">
        <v>1914</v>
      </c>
      <c r="K63" s="21" t="s">
        <v>1800</v>
      </c>
      <c r="L63" s="21" t="s">
        <v>1073</v>
      </c>
      <c r="M63" s="21" t="s">
        <v>1801</v>
      </c>
      <c r="N63" s="21" t="s">
        <v>1928</v>
      </c>
      <c r="O63" s="21" t="s">
        <v>1929</v>
      </c>
      <c r="P63" s="21" t="s">
        <v>1930</v>
      </c>
      <c r="Q63" s="21" t="s">
        <v>1213</v>
      </c>
      <c r="R63" s="21" t="s">
        <v>1271</v>
      </c>
      <c r="S63" s="21" t="s">
        <v>1127</v>
      </c>
      <c r="T63" s="21" t="s">
        <v>1917</v>
      </c>
      <c r="U63" s="21" t="s">
        <v>1753</v>
      </c>
      <c r="V63" s="21" t="str">
        <f>_xlfn.XLOOKUP(U63,'T07'!$D$3:$D$1500,'T07'!$BI$3:$BI$1500)&amp;" / "&amp;_xlfn.XLOOKUP(U63,'T07'!$D$3:$D$1500,'T07'!$BJ$3:$BJ$1500)</f>
        <v>LHR-HTV-2009-86678 / HTV</v>
      </c>
      <c r="W63" s="21" t="s">
        <v>1917</v>
      </c>
      <c r="X63" s="21" t="s">
        <v>1755</v>
      </c>
      <c r="Y63" s="21" t="s">
        <v>2022</v>
      </c>
      <c r="Z63" s="21">
        <v>2</v>
      </c>
      <c r="AA63" s="21" t="s">
        <v>1803</v>
      </c>
      <c r="AB63" s="21" t="s">
        <v>1804</v>
      </c>
      <c r="AC63" s="25">
        <v>500</v>
      </c>
      <c r="AD63" s="25">
        <v>250</v>
      </c>
      <c r="AE63" s="21" t="s">
        <v>2147</v>
      </c>
      <c r="AF63" s="21" t="s">
        <v>2146</v>
      </c>
      <c r="AG63" s="35">
        <v>45707.584374999999</v>
      </c>
      <c r="AH63" s="21" t="s">
        <v>1934</v>
      </c>
      <c r="AI63" s="25">
        <v>250</v>
      </c>
      <c r="AJ63" s="21" t="s">
        <v>1074</v>
      </c>
      <c r="AK63" s="21" t="s">
        <v>1922</v>
      </c>
      <c r="AL63" s="21" t="str">
        <f>IF(AD63-AI63&gt;0,(AD63-AI63)&amp;" bags - damaged in transit","None")</f>
        <v>None</v>
      </c>
      <c r="AM63" s="21" t="s">
        <v>844</v>
      </c>
      <c r="AN63" s="21" t="s">
        <v>848</v>
      </c>
      <c r="AO63" s="21" t="s">
        <v>2112</v>
      </c>
      <c r="AP63" s="21" t="str">
        <f>IF(AO63="Pending","Not yet invoiced",IF(AI63=AD63,"Matched","Invoiced on received qty ("&amp;AI63&amp;" of "&amp;AD63&amp;")"))</f>
        <v>Matched</v>
      </c>
      <c r="AQ63" s="21" t="s">
        <v>2113</v>
      </c>
    </row>
    <row r="64" spans="1:43" x14ac:dyDescent="0.3">
      <c r="A64" s="21" t="s">
        <v>2148</v>
      </c>
      <c r="B64" s="35">
        <v>45707.583333333336</v>
      </c>
      <c r="C64" s="21" t="s">
        <v>1909</v>
      </c>
      <c r="D64" s="21" t="s">
        <v>2116</v>
      </c>
      <c r="E64" s="21" t="s">
        <v>1927</v>
      </c>
      <c r="F64" s="21" t="s">
        <v>768</v>
      </c>
      <c r="G64" s="35">
        <v>45707.691458333335</v>
      </c>
      <c r="H64" s="21" t="s">
        <v>1912</v>
      </c>
      <c r="I64" s="21" t="s">
        <v>1913</v>
      </c>
      <c r="J64" s="21" t="s">
        <v>1914</v>
      </c>
      <c r="K64" s="21" t="s">
        <v>1849</v>
      </c>
      <c r="L64" s="21" t="s">
        <v>1181</v>
      </c>
      <c r="M64" s="21" t="s">
        <v>1183</v>
      </c>
      <c r="N64" s="21" t="s">
        <v>2117</v>
      </c>
      <c r="O64" s="21" t="s">
        <v>1187</v>
      </c>
      <c r="P64" s="21" t="s">
        <v>1916</v>
      </c>
      <c r="Q64" s="21" t="s">
        <v>1278</v>
      </c>
      <c r="R64" s="21" t="s">
        <v>1310</v>
      </c>
      <c r="S64" s="21" t="s">
        <v>1247</v>
      </c>
      <c r="T64" s="21" t="s">
        <v>1917</v>
      </c>
      <c r="U64" s="21" t="s">
        <v>1766</v>
      </c>
      <c r="V64" s="21" t="str">
        <f>_xlfn.XLOOKUP(U64,'T07'!$D$3:$D$1500,'T07'!$BI$3:$BI$1500)&amp;" / "&amp;_xlfn.XLOOKUP(U64,'T07'!$D$3:$D$1500,'T07'!$BJ$3:$BJ$1500)</f>
        <v>LHR-LTV-2019-66685 / LTV</v>
      </c>
      <c r="W64" s="21" t="s">
        <v>1917</v>
      </c>
      <c r="X64" s="21" t="s">
        <v>1768</v>
      </c>
      <c r="Y64" s="21" t="s">
        <v>1948</v>
      </c>
      <c r="Z64" s="21">
        <v>1</v>
      </c>
      <c r="AA64" s="21" t="s">
        <v>1826</v>
      </c>
      <c r="AB64" s="21" t="s">
        <v>1804</v>
      </c>
      <c r="AC64" s="25">
        <v>500</v>
      </c>
      <c r="AD64" s="25">
        <v>100</v>
      </c>
      <c r="AE64" s="21" t="s">
        <v>2149</v>
      </c>
      <c r="AF64" s="21" t="s">
        <v>2150</v>
      </c>
      <c r="AG64" s="35">
        <v>45707.711458333331</v>
      </c>
      <c r="AH64" s="21" t="s">
        <v>1934</v>
      </c>
      <c r="AI64" s="25">
        <v>100</v>
      </c>
      <c r="AJ64" s="21" t="s">
        <v>1189</v>
      </c>
      <c r="AK64" s="21" t="s">
        <v>1922</v>
      </c>
      <c r="AL64" s="21" t="str">
        <f>IF(AD64-AI64&gt;0,(AD64-AI64)&amp;" bags - damaged in transit","None")</f>
        <v>None</v>
      </c>
      <c r="AM64" s="21" t="s">
        <v>844</v>
      </c>
      <c r="AN64" s="21" t="s">
        <v>848</v>
      </c>
      <c r="AO64" s="21" t="s">
        <v>2120</v>
      </c>
      <c r="AP64" s="21" t="str">
        <f>IF(AO64="Pending","Not yet invoiced",IF(AI64=AD64,"Matched","Invoiced on received qty ("&amp;AI64&amp;" of "&amp;AD64&amp;")"))</f>
        <v>Matched</v>
      </c>
      <c r="AQ64" s="21" t="s">
        <v>2121</v>
      </c>
    </row>
    <row r="65" spans="1:43" x14ac:dyDescent="0.3">
      <c r="A65" s="21" t="s">
        <v>2148</v>
      </c>
      <c r="B65" s="35">
        <v>45707.583333333336</v>
      </c>
      <c r="C65" s="21" t="s">
        <v>1909</v>
      </c>
      <c r="D65" s="21" t="s">
        <v>2116</v>
      </c>
      <c r="E65" s="21" t="s">
        <v>1927</v>
      </c>
      <c r="F65" s="21" t="s">
        <v>768</v>
      </c>
      <c r="G65" s="35">
        <v>45707.691458333335</v>
      </c>
      <c r="H65" s="21" t="s">
        <v>1912</v>
      </c>
      <c r="I65" s="21" t="s">
        <v>1913</v>
      </c>
      <c r="J65" s="21" t="s">
        <v>1914</v>
      </c>
      <c r="K65" s="21" t="s">
        <v>1849</v>
      </c>
      <c r="L65" s="21" t="s">
        <v>1181</v>
      </c>
      <c r="M65" s="21" t="s">
        <v>1183</v>
      </c>
      <c r="N65" s="21" t="s">
        <v>2117</v>
      </c>
      <c r="O65" s="21" t="s">
        <v>1187</v>
      </c>
      <c r="P65" s="21" t="s">
        <v>1916</v>
      </c>
      <c r="Q65" s="21" t="s">
        <v>1278</v>
      </c>
      <c r="R65" s="21" t="s">
        <v>1310</v>
      </c>
      <c r="S65" s="21" t="s">
        <v>1247</v>
      </c>
      <c r="T65" s="21" t="s">
        <v>1917</v>
      </c>
      <c r="U65" s="21" t="s">
        <v>1766</v>
      </c>
      <c r="V65" s="21" t="str">
        <f>_xlfn.XLOOKUP(U65,'T07'!$D$3:$D$1500,'T07'!$BI$3:$BI$1500)&amp;" / "&amp;_xlfn.XLOOKUP(U65,'T07'!$D$3:$D$1500,'T07'!$BJ$3:$BJ$1500)</f>
        <v>LHR-LTV-2019-66685 / LTV</v>
      </c>
      <c r="W65" s="21" t="s">
        <v>1917</v>
      </c>
      <c r="X65" s="21" t="s">
        <v>1768</v>
      </c>
      <c r="Y65" s="21" t="s">
        <v>1948</v>
      </c>
      <c r="Z65" s="21">
        <v>2</v>
      </c>
      <c r="AA65" s="21" t="s">
        <v>1808</v>
      </c>
      <c r="AB65" s="21" t="s">
        <v>1804</v>
      </c>
      <c r="AC65" s="25">
        <v>800</v>
      </c>
      <c r="AD65" s="25">
        <v>100</v>
      </c>
      <c r="AE65" s="21" t="s">
        <v>2151</v>
      </c>
      <c r="AF65" s="21" t="s">
        <v>2150</v>
      </c>
      <c r="AG65" s="35">
        <v>45707.711458333331</v>
      </c>
      <c r="AH65" s="21" t="s">
        <v>1934</v>
      </c>
      <c r="AI65" s="25">
        <v>100</v>
      </c>
      <c r="AJ65" s="21" t="s">
        <v>1189</v>
      </c>
      <c r="AK65" s="21" t="s">
        <v>1922</v>
      </c>
      <c r="AL65" s="21" t="str">
        <f>IF(AD65-AI65&gt;0,(AD65-AI65)&amp;" bags - damaged in transit","None")</f>
        <v>None</v>
      </c>
      <c r="AM65" s="21" t="s">
        <v>844</v>
      </c>
      <c r="AN65" s="21" t="s">
        <v>848</v>
      </c>
      <c r="AO65" s="21" t="s">
        <v>2120</v>
      </c>
      <c r="AP65" s="21" t="str">
        <f>IF(AO65="Pending","Not yet invoiced",IF(AI65=AD65,"Matched","Invoiced on received qty ("&amp;AI65&amp;" of "&amp;AD65&amp;")"))</f>
        <v>Matched</v>
      </c>
      <c r="AQ65" s="21" t="s">
        <v>2121</v>
      </c>
    </row>
    <row r="66" spans="1:43" x14ac:dyDescent="0.3">
      <c r="A66" s="21" t="s">
        <v>2152</v>
      </c>
      <c r="B66" s="35">
        <v>45710.708333333336</v>
      </c>
      <c r="C66" s="21" t="s">
        <v>1909</v>
      </c>
      <c r="D66" s="21" t="s">
        <v>2107</v>
      </c>
      <c r="E66" s="21" t="s">
        <v>1927</v>
      </c>
      <c r="F66" s="21" t="s">
        <v>768</v>
      </c>
      <c r="G66" s="35">
        <v>45710.981041666673</v>
      </c>
      <c r="H66" s="21" t="s">
        <v>1912</v>
      </c>
      <c r="I66" s="21" t="s">
        <v>1913</v>
      </c>
      <c r="J66" s="21" t="s">
        <v>1914</v>
      </c>
      <c r="K66" s="21" t="s">
        <v>1800</v>
      </c>
      <c r="L66" s="21" t="s">
        <v>1073</v>
      </c>
      <c r="M66" s="21" t="s">
        <v>1801</v>
      </c>
      <c r="N66" s="21" t="s">
        <v>1928</v>
      </c>
      <c r="O66" s="21" t="s">
        <v>1929</v>
      </c>
      <c r="P66" s="21" t="s">
        <v>1930</v>
      </c>
      <c r="Q66" s="21" t="s">
        <v>1278</v>
      </c>
      <c r="R66" s="21" t="s">
        <v>1280</v>
      </c>
      <c r="S66" s="21" t="s">
        <v>1247</v>
      </c>
      <c r="T66" s="21" t="s">
        <v>1917</v>
      </c>
      <c r="U66" s="21" t="s">
        <v>1766</v>
      </c>
      <c r="V66" s="21" t="str">
        <f>_xlfn.XLOOKUP(U66,'T07'!$D$3:$D$1500,'T07'!$BI$3:$BI$1500)&amp;" / "&amp;_xlfn.XLOOKUP(U66,'T07'!$D$3:$D$1500,'T07'!$BJ$3:$BJ$1500)</f>
        <v>LHR-LTV-2019-66685 / LTV</v>
      </c>
      <c r="W66" s="21" t="s">
        <v>1917</v>
      </c>
      <c r="X66" s="21" t="s">
        <v>1768</v>
      </c>
      <c r="Y66" s="21" t="s">
        <v>2018</v>
      </c>
      <c r="Z66" s="21">
        <v>1</v>
      </c>
      <c r="AA66" s="21" t="s">
        <v>1826</v>
      </c>
      <c r="AB66" s="21" t="s">
        <v>1804</v>
      </c>
      <c r="AC66" s="25">
        <v>750</v>
      </c>
      <c r="AD66" s="25">
        <v>200</v>
      </c>
      <c r="AE66" s="21" t="s">
        <v>2153</v>
      </c>
      <c r="AF66" s="21" t="s">
        <v>2154</v>
      </c>
      <c r="AG66" s="35">
        <v>45711.00104166667</v>
      </c>
      <c r="AH66" s="21" t="s">
        <v>1934</v>
      </c>
      <c r="AI66" s="25">
        <v>200</v>
      </c>
      <c r="AJ66" s="21" t="s">
        <v>1074</v>
      </c>
      <c r="AK66" s="21" t="s">
        <v>1922</v>
      </c>
      <c r="AL66" s="21" t="str">
        <f>IF(AD66-AI66&gt;0,(AD66-AI66)&amp;" bags - damaged in transit","None")</f>
        <v>None</v>
      </c>
      <c r="AM66" s="21" t="s">
        <v>844</v>
      </c>
      <c r="AN66" s="21" t="s">
        <v>848</v>
      </c>
      <c r="AO66" s="21" t="s">
        <v>2112</v>
      </c>
      <c r="AP66" s="21" t="str">
        <f>IF(AO66="Pending","Not yet invoiced",IF(AI66=AD66,"Matched","Invoiced on received qty ("&amp;AI66&amp;" of "&amp;AD66&amp;")"))</f>
        <v>Matched</v>
      </c>
      <c r="AQ66" s="21" t="s">
        <v>2121</v>
      </c>
    </row>
    <row r="67" spans="1:43" x14ac:dyDescent="0.3">
      <c r="A67" s="21" t="s">
        <v>2155</v>
      </c>
      <c r="B67" s="35">
        <v>45713.25</v>
      </c>
      <c r="C67" s="21" t="s">
        <v>1909</v>
      </c>
      <c r="D67" s="21" t="s">
        <v>2116</v>
      </c>
      <c r="E67" s="21" t="s">
        <v>1927</v>
      </c>
      <c r="F67" s="21" t="s">
        <v>768</v>
      </c>
      <c r="G67" s="35">
        <v>45713.358124999999</v>
      </c>
      <c r="H67" s="21" t="s">
        <v>1912</v>
      </c>
      <c r="I67" s="21" t="s">
        <v>1913</v>
      </c>
      <c r="J67" s="21" t="s">
        <v>1914</v>
      </c>
      <c r="K67" s="21" t="s">
        <v>1849</v>
      </c>
      <c r="L67" s="21" t="s">
        <v>1181</v>
      </c>
      <c r="M67" s="21" t="s">
        <v>1183</v>
      </c>
      <c r="N67" s="21" t="s">
        <v>2117</v>
      </c>
      <c r="O67" s="21" t="s">
        <v>1187</v>
      </c>
      <c r="P67" s="21" t="s">
        <v>1916</v>
      </c>
      <c r="Q67" s="21" t="s">
        <v>1213</v>
      </c>
      <c r="R67" s="21" t="s">
        <v>1264</v>
      </c>
      <c r="S67" s="21" t="s">
        <v>1127</v>
      </c>
      <c r="T67" s="21" t="s">
        <v>1917</v>
      </c>
      <c r="U67" s="21" t="s">
        <v>1711</v>
      </c>
      <c r="V67" s="21" t="str">
        <f>_xlfn.XLOOKUP(U67,'T07'!$D$3:$D$1500,'T07'!$BI$3:$BI$1500)&amp;" / "&amp;_xlfn.XLOOKUP(U67,'T07'!$D$3:$D$1500,'T07'!$BJ$3:$BJ$1500)</f>
        <v>LHR-HTV-2008-42260 / HTV</v>
      </c>
      <c r="W67" s="21" t="s">
        <v>1917</v>
      </c>
      <c r="X67" s="21" t="s">
        <v>1713</v>
      </c>
      <c r="Y67" s="21" t="s">
        <v>2008</v>
      </c>
      <c r="Z67" s="21">
        <v>1</v>
      </c>
      <c r="AA67" s="21" t="s">
        <v>1826</v>
      </c>
      <c r="AB67" s="21" t="s">
        <v>1804</v>
      </c>
      <c r="AC67" s="25">
        <v>400</v>
      </c>
      <c r="AD67" s="25">
        <v>250</v>
      </c>
      <c r="AE67" s="21" t="s">
        <v>2156</v>
      </c>
      <c r="AF67" s="21" t="s">
        <v>2157</v>
      </c>
      <c r="AG67" s="35">
        <v>45713.378124999996</v>
      </c>
      <c r="AH67" s="21" t="s">
        <v>1934</v>
      </c>
      <c r="AI67" s="25">
        <v>250</v>
      </c>
      <c r="AJ67" s="21" t="s">
        <v>1189</v>
      </c>
      <c r="AK67" s="21" t="s">
        <v>1922</v>
      </c>
      <c r="AL67" s="21" t="str">
        <f>IF(AD67-AI67&gt;0,(AD67-AI67)&amp;" bags - damaged in transit","None")</f>
        <v>None</v>
      </c>
      <c r="AM67" s="21" t="s">
        <v>844</v>
      </c>
      <c r="AN67" s="21" t="s">
        <v>848</v>
      </c>
      <c r="AO67" s="21" t="s">
        <v>2120</v>
      </c>
      <c r="AP67" s="21" t="str">
        <f>IF(AO67="Pending","Not yet invoiced",IF(AI67=AD67,"Matched","Invoiced on received qty ("&amp;AI67&amp;" of "&amp;AD67&amp;")"))</f>
        <v>Matched</v>
      </c>
      <c r="AQ67" s="21" t="s">
        <v>2113</v>
      </c>
    </row>
    <row r="68" spans="1:43" x14ac:dyDescent="0.3">
      <c r="A68" s="21" t="s">
        <v>2155</v>
      </c>
      <c r="B68" s="35">
        <v>45713.25</v>
      </c>
      <c r="C68" s="21" t="s">
        <v>1909</v>
      </c>
      <c r="D68" s="21" t="s">
        <v>2116</v>
      </c>
      <c r="E68" s="21" t="s">
        <v>1927</v>
      </c>
      <c r="F68" s="21" t="s">
        <v>768</v>
      </c>
      <c r="G68" s="35">
        <v>45713.358124999999</v>
      </c>
      <c r="H68" s="21" t="s">
        <v>1912</v>
      </c>
      <c r="I68" s="21" t="s">
        <v>1913</v>
      </c>
      <c r="J68" s="21" t="s">
        <v>1914</v>
      </c>
      <c r="K68" s="21" t="s">
        <v>1849</v>
      </c>
      <c r="L68" s="21" t="s">
        <v>1181</v>
      </c>
      <c r="M68" s="21" t="s">
        <v>1183</v>
      </c>
      <c r="N68" s="21" t="s">
        <v>2117</v>
      </c>
      <c r="O68" s="21" t="s">
        <v>1187</v>
      </c>
      <c r="P68" s="21" t="s">
        <v>1916</v>
      </c>
      <c r="Q68" s="21" t="s">
        <v>1213</v>
      </c>
      <c r="R68" s="21" t="s">
        <v>1264</v>
      </c>
      <c r="S68" s="21" t="s">
        <v>1127</v>
      </c>
      <c r="T68" s="21" t="s">
        <v>1917</v>
      </c>
      <c r="U68" s="21" t="s">
        <v>1711</v>
      </c>
      <c r="V68" s="21" t="str">
        <f>_xlfn.XLOOKUP(U68,'T07'!$D$3:$D$1500,'T07'!$BI$3:$BI$1500)&amp;" / "&amp;_xlfn.XLOOKUP(U68,'T07'!$D$3:$D$1500,'T07'!$BJ$3:$BJ$1500)</f>
        <v>LHR-HTV-2008-42260 / HTV</v>
      </c>
      <c r="W68" s="21" t="s">
        <v>1917</v>
      </c>
      <c r="X68" s="21" t="s">
        <v>1713</v>
      </c>
      <c r="Y68" s="21" t="s">
        <v>2008</v>
      </c>
      <c r="Z68" s="21">
        <v>2</v>
      </c>
      <c r="AA68" s="21" t="s">
        <v>1808</v>
      </c>
      <c r="AB68" s="21" t="s">
        <v>1804</v>
      </c>
      <c r="AC68" s="25">
        <v>700</v>
      </c>
      <c r="AD68" s="25">
        <v>250</v>
      </c>
      <c r="AE68" s="21" t="s">
        <v>2158</v>
      </c>
      <c r="AF68" s="21" t="s">
        <v>2157</v>
      </c>
      <c r="AG68" s="35">
        <v>45713.378124999996</v>
      </c>
      <c r="AH68" s="21" t="s">
        <v>1934</v>
      </c>
      <c r="AI68" s="25">
        <v>250</v>
      </c>
      <c r="AJ68" s="21" t="s">
        <v>1189</v>
      </c>
      <c r="AK68" s="21" t="s">
        <v>1922</v>
      </c>
      <c r="AL68" s="21" t="str">
        <f>IF(AD68-AI68&gt;0,(AD68-AI68)&amp;" bags - damaged in transit","None")</f>
        <v>None</v>
      </c>
      <c r="AM68" s="21" t="s">
        <v>844</v>
      </c>
      <c r="AN68" s="21" t="s">
        <v>848</v>
      </c>
      <c r="AO68" s="21" t="s">
        <v>2120</v>
      </c>
      <c r="AP68" s="21" t="str">
        <f>IF(AO68="Pending","Not yet invoiced",IF(AI68=AD68,"Matched","Invoiced on received qty ("&amp;AI68&amp;" of "&amp;AD68&amp;")"))</f>
        <v>Matched</v>
      </c>
      <c r="AQ68" s="21" t="s">
        <v>2113</v>
      </c>
    </row>
    <row r="69" spans="1:43" x14ac:dyDescent="0.3">
      <c r="A69" s="21" t="s">
        <v>2159</v>
      </c>
      <c r="B69" s="35">
        <v>45718.666666666664</v>
      </c>
      <c r="C69" s="21" t="s">
        <v>1909</v>
      </c>
      <c r="D69" s="21" t="s">
        <v>2160</v>
      </c>
      <c r="E69" s="21" t="s">
        <v>1911</v>
      </c>
      <c r="F69" s="21" t="s">
        <v>768</v>
      </c>
      <c r="G69" s="35">
        <v>45718.786249999997</v>
      </c>
      <c r="H69" s="21" t="s">
        <v>1912</v>
      </c>
      <c r="I69" s="21" t="s">
        <v>1913</v>
      </c>
      <c r="J69" s="21" t="s">
        <v>1914</v>
      </c>
      <c r="K69" s="21" t="s">
        <v>1813</v>
      </c>
      <c r="L69" s="21" t="s">
        <v>1089</v>
      </c>
      <c r="M69" s="21" t="s">
        <v>1097</v>
      </c>
      <c r="N69" s="21" t="s">
        <v>2161</v>
      </c>
      <c r="O69" s="21" t="s">
        <v>1101</v>
      </c>
      <c r="P69" s="21" t="s">
        <v>1916</v>
      </c>
      <c r="Q69" s="21" t="s">
        <v>1278</v>
      </c>
      <c r="R69" s="21" t="s">
        <v>1302</v>
      </c>
      <c r="S69" s="21" t="s">
        <v>1127</v>
      </c>
      <c r="T69" s="21" t="s">
        <v>1917</v>
      </c>
      <c r="U69" s="21" t="s">
        <v>1711</v>
      </c>
      <c r="V69" s="21" t="str">
        <f>_xlfn.XLOOKUP(U69,'T07'!$D$3:$D$1500,'T07'!$BI$3:$BI$1500)&amp;" / "&amp;_xlfn.XLOOKUP(U69,'T07'!$D$3:$D$1500,'T07'!$BJ$3:$BJ$1500)</f>
        <v>LHR-HTV-2008-42260 / HTV</v>
      </c>
      <c r="W69" s="21" t="s">
        <v>1917</v>
      </c>
      <c r="X69" s="21" t="s">
        <v>1713</v>
      </c>
      <c r="Y69" s="21" t="s">
        <v>2086</v>
      </c>
      <c r="Z69" s="21">
        <v>1</v>
      </c>
      <c r="AA69" s="21" t="s">
        <v>1826</v>
      </c>
      <c r="AB69" s="21" t="s">
        <v>1804</v>
      </c>
      <c r="AC69" s="25">
        <v>1500</v>
      </c>
      <c r="AD69" s="25">
        <v>500</v>
      </c>
      <c r="AE69" s="21" t="s">
        <v>2162</v>
      </c>
      <c r="AF69" s="21" t="s">
        <v>2163</v>
      </c>
      <c r="AG69" s="35">
        <v>45718.806249999994</v>
      </c>
      <c r="AH69" s="21" t="s">
        <v>1934</v>
      </c>
      <c r="AI69" s="25">
        <v>500</v>
      </c>
      <c r="AJ69" s="21" t="s">
        <v>2164</v>
      </c>
      <c r="AK69" s="21" t="s">
        <v>1922</v>
      </c>
      <c r="AL69" s="21" t="str">
        <f>IF(AD69-AI69&gt;0,(AD69-AI69)&amp;" bags - damaged in transit","None")</f>
        <v>None</v>
      </c>
      <c r="AM69" s="21" t="s">
        <v>844</v>
      </c>
      <c r="AN69" s="21" t="s">
        <v>848</v>
      </c>
      <c r="AO69" s="21" t="s">
        <v>2165</v>
      </c>
      <c r="AP69" s="21" t="str">
        <f>IF(AO69="Pending","Not yet invoiced",IF(AI69=AD69,"Matched","Invoiced on received qty ("&amp;AI69&amp;" of "&amp;AD69&amp;")"))</f>
        <v>Matched</v>
      </c>
      <c r="AQ69" s="21" t="s">
        <v>2166</v>
      </c>
    </row>
    <row r="70" spans="1:43" x14ac:dyDescent="0.3">
      <c r="A70" s="21" t="s">
        <v>2167</v>
      </c>
      <c r="B70" s="35">
        <v>45724.416666666664</v>
      </c>
      <c r="C70" s="21" t="s">
        <v>1909</v>
      </c>
      <c r="D70" s="21" t="s">
        <v>2160</v>
      </c>
      <c r="E70" s="21" t="s">
        <v>1927</v>
      </c>
      <c r="F70" s="21" t="s">
        <v>768</v>
      </c>
      <c r="G70" s="35">
        <v>45724.536249999997</v>
      </c>
      <c r="H70" s="21" t="s">
        <v>1912</v>
      </c>
      <c r="I70" s="21" t="s">
        <v>1913</v>
      </c>
      <c r="J70" s="21" t="s">
        <v>1914</v>
      </c>
      <c r="K70" s="21" t="s">
        <v>1813</v>
      </c>
      <c r="L70" s="21" t="s">
        <v>1089</v>
      </c>
      <c r="M70" s="21" t="s">
        <v>1097</v>
      </c>
      <c r="N70" s="21" t="s">
        <v>2161</v>
      </c>
      <c r="O70" s="21" t="s">
        <v>1101</v>
      </c>
      <c r="P70" s="21" t="s">
        <v>1916</v>
      </c>
      <c r="Q70" s="21" t="s">
        <v>1213</v>
      </c>
      <c r="R70" s="21" t="s">
        <v>1271</v>
      </c>
      <c r="S70" s="21" t="s">
        <v>1127</v>
      </c>
      <c r="T70" s="21" t="s">
        <v>1917</v>
      </c>
      <c r="U70" s="21" t="s">
        <v>1753</v>
      </c>
      <c r="V70" s="21" t="str">
        <f>_xlfn.XLOOKUP(U70,'T07'!$D$3:$D$1500,'T07'!$BI$3:$BI$1500)&amp;" / "&amp;_xlfn.XLOOKUP(U70,'T07'!$D$3:$D$1500,'T07'!$BJ$3:$BJ$1500)</f>
        <v>LHR-HTV-2009-86678 / HTV</v>
      </c>
      <c r="W70" s="21" t="s">
        <v>1917</v>
      </c>
      <c r="X70" s="21" t="s">
        <v>1755</v>
      </c>
      <c r="Y70" s="21" t="s">
        <v>2022</v>
      </c>
      <c r="Z70" s="21">
        <v>1</v>
      </c>
      <c r="AA70" s="21" t="s">
        <v>1803</v>
      </c>
      <c r="AB70" s="21" t="s">
        <v>1804</v>
      </c>
      <c r="AC70" s="25">
        <v>2500</v>
      </c>
      <c r="AD70" s="25">
        <v>500</v>
      </c>
      <c r="AE70" s="21" t="s">
        <v>2168</v>
      </c>
      <c r="AF70" s="21" t="s">
        <v>2169</v>
      </c>
      <c r="AG70" s="35">
        <v>45724.556249999994</v>
      </c>
      <c r="AH70" s="21" t="s">
        <v>1934</v>
      </c>
      <c r="AI70" s="25">
        <v>500</v>
      </c>
      <c r="AJ70" s="21" t="s">
        <v>2164</v>
      </c>
      <c r="AK70" s="21" t="s">
        <v>1922</v>
      </c>
      <c r="AL70" s="21" t="str">
        <f>IF(AD70-AI70&gt;0,(AD70-AI70)&amp;" bags - damaged in transit","None")</f>
        <v>None</v>
      </c>
      <c r="AM70" s="21" t="s">
        <v>844</v>
      </c>
      <c r="AN70" s="21" t="s">
        <v>848</v>
      </c>
      <c r="AO70" s="21" t="s">
        <v>2165</v>
      </c>
      <c r="AP70" s="21" t="str">
        <f>IF(AO70="Pending","Not yet invoiced",IF(AI70=AD70,"Matched","Invoiced on received qty ("&amp;AI70&amp;" of "&amp;AD70&amp;")"))</f>
        <v>Matched</v>
      </c>
      <c r="AQ70" s="21" t="s">
        <v>2170</v>
      </c>
    </row>
    <row r="71" spans="1:43" x14ac:dyDescent="0.3">
      <c r="A71" s="21" t="s">
        <v>2171</v>
      </c>
      <c r="B71" s="35">
        <v>45726.25</v>
      </c>
      <c r="C71" s="21" t="s">
        <v>1909</v>
      </c>
      <c r="D71" s="21" t="s">
        <v>2160</v>
      </c>
      <c r="E71" s="21" t="s">
        <v>1945</v>
      </c>
      <c r="F71" s="21" t="s">
        <v>768</v>
      </c>
      <c r="G71" s="35">
        <v>45726.369583333333</v>
      </c>
      <c r="H71" s="21" t="s">
        <v>1912</v>
      </c>
      <c r="I71" s="21" t="s">
        <v>1913</v>
      </c>
      <c r="J71" s="21" t="s">
        <v>1914</v>
      </c>
      <c r="K71" s="21" t="s">
        <v>1813</v>
      </c>
      <c r="L71" s="21" t="s">
        <v>1089</v>
      </c>
      <c r="M71" s="21" t="s">
        <v>1097</v>
      </c>
      <c r="N71" s="21" t="s">
        <v>2161</v>
      </c>
      <c r="O71" s="21" t="s">
        <v>1101</v>
      </c>
      <c r="P71" s="21" t="s">
        <v>1916</v>
      </c>
      <c r="Q71" s="21" t="s">
        <v>1278</v>
      </c>
      <c r="R71" s="21" t="s">
        <v>1280</v>
      </c>
      <c r="S71" s="21" t="s">
        <v>1247</v>
      </c>
      <c r="T71" s="21" t="s">
        <v>1917</v>
      </c>
      <c r="U71" s="21" t="s">
        <v>1766</v>
      </c>
      <c r="V71" s="21" t="str">
        <f>_xlfn.XLOOKUP(U71,'T07'!$D$3:$D$1500,'T07'!$BI$3:$BI$1500)&amp;" / "&amp;_xlfn.XLOOKUP(U71,'T07'!$D$3:$D$1500,'T07'!$BJ$3:$BJ$1500)</f>
        <v>LHR-LTV-2019-66685 / LTV</v>
      </c>
      <c r="W71" s="21" t="s">
        <v>1917</v>
      </c>
      <c r="X71" s="21" t="s">
        <v>1768</v>
      </c>
      <c r="Y71" s="21" t="s">
        <v>2018</v>
      </c>
      <c r="Z71" s="21">
        <v>1</v>
      </c>
      <c r="AA71" s="21" t="s">
        <v>1828</v>
      </c>
      <c r="AB71" s="21" t="s">
        <v>1804</v>
      </c>
      <c r="AC71" s="25">
        <v>500</v>
      </c>
      <c r="AD71" s="25">
        <v>100</v>
      </c>
      <c r="AE71" s="21" t="s">
        <v>2172</v>
      </c>
      <c r="AF71" s="21" t="s">
        <v>2173</v>
      </c>
      <c r="AG71" s="35">
        <v>45726.38958333333</v>
      </c>
      <c r="AH71" s="21" t="s">
        <v>1934</v>
      </c>
      <c r="AI71" s="25">
        <v>100</v>
      </c>
      <c r="AJ71" s="21" t="s">
        <v>2164</v>
      </c>
      <c r="AK71" s="21" t="s">
        <v>1922</v>
      </c>
      <c r="AL71" s="21" t="str">
        <f>IF(AD71-AI71&gt;0,(AD71-AI71)&amp;" bags - damaged in transit","None")</f>
        <v>None</v>
      </c>
      <c r="AM71" s="21" t="s">
        <v>844</v>
      </c>
      <c r="AN71" s="21" t="s">
        <v>848</v>
      </c>
      <c r="AO71" s="21" t="s">
        <v>2165</v>
      </c>
      <c r="AP71" s="21" t="str">
        <f>IF(AO71="Pending","Not yet invoiced",IF(AI71=AD71,"Matched","Invoiced on received qty ("&amp;AI71&amp;" of "&amp;AD71&amp;")"))</f>
        <v>Matched</v>
      </c>
      <c r="AQ71" s="21" t="s">
        <v>2166</v>
      </c>
    </row>
    <row r="72" spans="1:43" x14ac:dyDescent="0.3">
      <c r="A72" s="21" t="s">
        <v>2171</v>
      </c>
      <c r="B72" s="35">
        <v>45726.25</v>
      </c>
      <c r="C72" s="21" t="s">
        <v>1909</v>
      </c>
      <c r="D72" s="21" t="s">
        <v>2160</v>
      </c>
      <c r="E72" s="21" t="s">
        <v>1911</v>
      </c>
      <c r="F72" s="21" t="s">
        <v>768</v>
      </c>
      <c r="G72" s="35">
        <v>45726.369583333333</v>
      </c>
      <c r="H72" s="21" t="s">
        <v>1912</v>
      </c>
      <c r="I72" s="21" t="s">
        <v>1913</v>
      </c>
      <c r="J72" s="21" t="s">
        <v>1914</v>
      </c>
      <c r="K72" s="21" t="s">
        <v>1813</v>
      </c>
      <c r="L72" s="21" t="s">
        <v>1089</v>
      </c>
      <c r="M72" s="21" t="s">
        <v>1097</v>
      </c>
      <c r="N72" s="21" t="s">
        <v>2161</v>
      </c>
      <c r="O72" s="21" t="s">
        <v>1101</v>
      </c>
      <c r="P72" s="21" t="s">
        <v>1916</v>
      </c>
      <c r="Q72" s="21" t="s">
        <v>1278</v>
      </c>
      <c r="R72" s="21" t="s">
        <v>1280</v>
      </c>
      <c r="S72" s="21" t="s">
        <v>1247</v>
      </c>
      <c r="T72" s="21" t="s">
        <v>1917</v>
      </c>
      <c r="U72" s="21" t="s">
        <v>1766</v>
      </c>
      <c r="V72" s="21" t="str">
        <f>_xlfn.XLOOKUP(U72,'T07'!$D$3:$D$1500,'T07'!$BI$3:$BI$1500)&amp;" / "&amp;_xlfn.XLOOKUP(U72,'T07'!$D$3:$D$1500,'T07'!$BJ$3:$BJ$1500)</f>
        <v>LHR-LTV-2019-66685 / LTV</v>
      </c>
      <c r="W72" s="21" t="s">
        <v>1917</v>
      </c>
      <c r="X72" s="21" t="s">
        <v>1768</v>
      </c>
      <c r="Y72" s="21" t="s">
        <v>2018</v>
      </c>
      <c r="Z72" s="21">
        <v>2</v>
      </c>
      <c r="AA72" s="21" t="s">
        <v>1826</v>
      </c>
      <c r="AB72" s="21" t="s">
        <v>1804</v>
      </c>
      <c r="AC72" s="25">
        <v>1000</v>
      </c>
      <c r="AD72" s="25">
        <v>100</v>
      </c>
      <c r="AE72" s="21" t="s">
        <v>2174</v>
      </c>
      <c r="AF72" s="21" t="s">
        <v>2173</v>
      </c>
      <c r="AG72" s="35">
        <v>45726.38958333333</v>
      </c>
      <c r="AH72" s="21" t="s">
        <v>1934</v>
      </c>
      <c r="AI72" s="25">
        <v>100</v>
      </c>
      <c r="AJ72" s="21" t="s">
        <v>2164</v>
      </c>
      <c r="AK72" s="21" t="s">
        <v>1922</v>
      </c>
      <c r="AL72" s="21" t="str">
        <f>IF(AD72-AI72&gt;0,(AD72-AI72)&amp;" bags - damaged in transit","None")</f>
        <v>None</v>
      </c>
      <c r="AM72" s="21" t="s">
        <v>844</v>
      </c>
      <c r="AN72" s="21" t="s">
        <v>848</v>
      </c>
      <c r="AO72" s="21" t="s">
        <v>2165</v>
      </c>
      <c r="AP72" s="21" t="str">
        <f>IF(AO72="Pending","Not yet invoiced",IF(AI72=AD72,"Matched","Invoiced on received qty ("&amp;AI72&amp;" of "&amp;AD72&amp;")"))</f>
        <v>Matched</v>
      </c>
      <c r="AQ72" s="21" t="s">
        <v>2166</v>
      </c>
    </row>
    <row r="73" spans="1:43" x14ac:dyDescent="0.3">
      <c r="A73" s="21" t="s">
        <v>2175</v>
      </c>
      <c r="B73" s="35">
        <v>45732.5</v>
      </c>
      <c r="C73" s="21" t="s">
        <v>1909</v>
      </c>
      <c r="D73" s="21" t="s">
        <v>2160</v>
      </c>
      <c r="E73" s="21" t="s">
        <v>1927</v>
      </c>
      <c r="F73" s="21" t="s">
        <v>768</v>
      </c>
      <c r="G73" s="35">
        <v>45732.619583333333</v>
      </c>
      <c r="H73" s="21" t="s">
        <v>1912</v>
      </c>
      <c r="I73" s="21" t="s">
        <v>1913</v>
      </c>
      <c r="J73" s="21" t="s">
        <v>1914</v>
      </c>
      <c r="K73" s="21" t="s">
        <v>1813</v>
      </c>
      <c r="L73" s="21" t="s">
        <v>1089</v>
      </c>
      <c r="M73" s="21" t="s">
        <v>1097</v>
      </c>
      <c r="N73" s="21" t="s">
        <v>2161</v>
      </c>
      <c r="O73" s="21" t="s">
        <v>1101</v>
      </c>
      <c r="P73" s="21" t="s">
        <v>1916</v>
      </c>
      <c r="Q73" s="21" t="s">
        <v>1213</v>
      </c>
      <c r="R73" s="21" t="s">
        <v>1255</v>
      </c>
      <c r="S73" s="21" t="s">
        <v>1104</v>
      </c>
      <c r="T73" s="21" t="s">
        <v>1917</v>
      </c>
      <c r="U73" s="21" t="s">
        <v>1697</v>
      </c>
      <c r="V73" s="21" t="str">
        <f>_xlfn.XLOOKUP(U73,'T07'!$D$3:$D$1500,'T07'!$BI$3:$BI$1500)&amp;" / "&amp;_xlfn.XLOOKUP(U73,'T07'!$D$3:$D$1500,'T07'!$BJ$3:$BJ$1500)</f>
        <v>LHR-HTV-2013-23962 / HTV</v>
      </c>
      <c r="W73" s="21" t="s">
        <v>1917</v>
      </c>
      <c r="X73" s="21" t="s">
        <v>1700</v>
      </c>
      <c r="Y73" s="21" t="s">
        <v>2137</v>
      </c>
      <c r="Z73" s="21">
        <v>1</v>
      </c>
      <c r="AA73" s="21" t="s">
        <v>1803</v>
      </c>
      <c r="AB73" s="21" t="s">
        <v>1804</v>
      </c>
      <c r="AC73" s="25">
        <v>2000</v>
      </c>
      <c r="AD73" s="25">
        <v>1000</v>
      </c>
      <c r="AE73" s="21" t="s">
        <v>2176</v>
      </c>
      <c r="AF73" s="21" t="s">
        <v>2177</v>
      </c>
      <c r="AG73" s="35">
        <v>45732.63958333333</v>
      </c>
      <c r="AH73" s="21" t="s">
        <v>1983</v>
      </c>
      <c r="AI73" s="25">
        <v>1000</v>
      </c>
      <c r="AJ73" s="21" t="s">
        <v>2164</v>
      </c>
      <c r="AK73" s="21" t="s">
        <v>1922</v>
      </c>
      <c r="AL73" s="21" t="str">
        <f>IF(AD73-AI73&gt;0,(AD73-AI73)&amp;" bags - damaged in transit","None")</f>
        <v>None</v>
      </c>
      <c r="AM73" s="21" t="s">
        <v>844</v>
      </c>
      <c r="AN73" s="21" t="s">
        <v>848</v>
      </c>
      <c r="AO73" s="21" t="s">
        <v>2165</v>
      </c>
      <c r="AP73" s="21" t="str">
        <f>IF(AO73="Pending","Not yet invoiced",IF(AI73=AD73,"Matched","Invoiced on received qty ("&amp;AI73&amp;" of "&amp;AD73&amp;")"))</f>
        <v>Matched</v>
      </c>
      <c r="AQ73" s="21" t="s">
        <v>2170</v>
      </c>
    </row>
    <row r="74" spans="1:43" x14ac:dyDescent="0.3">
      <c r="A74" s="21" t="s">
        <v>2178</v>
      </c>
      <c r="B74" s="35">
        <v>45736.625</v>
      </c>
      <c r="C74" s="21" t="s">
        <v>1909</v>
      </c>
      <c r="D74" s="21" t="s">
        <v>2160</v>
      </c>
      <c r="E74" s="21" t="s">
        <v>1945</v>
      </c>
      <c r="F74" s="21" t="s">
        <v>768</v>
      </c>
      <c r="G74" s="35">
        <v>45736.744583333333</v>
      </c>
      <c r="H74" s="21" t="s">
        <v>1912</v>
      </c>
      <c r="I74" s="21" t="s">
        <v>1913</v>
      </c>
      <c r="J74" s="21" t="s">
        <v>1914</v>
      </c>
      <c r="K74" s="21" t="s">
        <v>1813</v>
      </c>
      <c r="L74" s="21" t="s">
        <v>1089</v>
      </c>
      <c r="M74" s="21" t="s">
        <v>1097</v>
      </c>
      <c r="N74" s="21" t="s">
        <v>2161</v>
      </c>
      <c r="O74" s="21" t="s">
        <v>1101</v>
      </c>
      <c r="P74" s="21" t="s">
        <v>1916</v>
      </c>
      <c r="Q74" s="21" t="s">
        <v>1213</v>
      </c>
      <c r="R74" s="21" t="s">
        <v>1236</v>
      </c>
      <c r="S74" s="21" t="s">
        <v>1127</v>
      </c>
      <c r="T74" s="21" t="s">
        <v>1917</v>
      </c>
      <c r="U74" s="21" t="s">
        <v>1739</v>
      </c>
      <c r="V74" s="21" t="str">
        <f>_xlfn.XLOOKUP(U74,'T07'!$D$3:$D$1500,'T07'!$BI$3:$BI$1500)&amp;" / "&amp;_xlfn.XLOOKUP(U74,'T07'!$D$3:$D$1500,'T07'!$BJ$3:$BJ$1500)</f>
        <v>LHR-HTV-2020-13470 / HTV</v>
      </c>
      <c r="W74" s="21" t="s">
        <v>1917</v>
      </c>
      <c r="X74" s="21" t="s">
        <v>1742</v>
      </c>
      <c r="Y74" s="21" t="s">
        <v>2000</v>
      </c>
      <c r="Z74" s="21">
        <v>1</v>
      </c>
      <c r="AA74" s="21" t="s">
        <v>1803</v>
      </c>
      <c r="AB74" s="21" t="s">
        <v>1804</v>
      </c>
      <c r="AC74" s="25">
        <v>1000</v>
      </c>
      <c r="AD74" s="25">
        <v>500</v>
      </c>
      <c r="AE74" s="21" t="s">
        <v>2179</v>
      </c>
      <c r="AF74" s="21" t="s">
        <v>2180</v>
      </c>
      <c r="AG74" s="35">
        <v>45736.76458333333</v>
      </c>
      <c r="AH74" s="21" t="s">
        <v>1934</v>
      </c>
      <c r="AI74" s="25">
        <v>494</v>
      </c>
      <c r="AJ74" s="21" t="s">
        <v>2164</v>
      </c>
      <c r="AK74" s="21" t="s">
        <v>1922</v>
      </c>
      <c r="AL74" s="21" t="str">
        <f>IF(AD74-AI74&gt;0,(AD74-AI74)&amp;" bags - damaged in transit","None")</f>
        <v>6 bags - damaged in transit</v>
      </c>
      <c r="AM74" s="21" t="s">
        <v>2181</v>
      </c>
      <c r="AN74" s="21" t="s">
        <v>2182</v>
      </c>
      <c r="AO74" s="21" t="s">
        <v>2165</v>
      </c>
      <c r="AP74" s="21" t="str">
        <f>IF(AO74="Pending","Not yet invoiced",IF(AI74=AD74,"Matched","Invoiced on received qty ("&amp;AI74&amp;" of "&amp;AD74&amp;")"))</f>
        <v>Invoiced on received qty (494 of 500)</v>
      </c>
      <c r="AQ74" s="21" t="s">
        <v>2170</v>
      </c>
    </row>
    <row r="75" spans="1:43" x14ac:dyDescent="0.3">
      <c r="A75" s="21" t="s">
        <v>2183</v>
      </c>
      <c r="B75" s="35">
        <v>45741.625</v>
      </c>
      <c r="C75" s="21" t="s">
        <v>1909</v>
      </c>
      <c r="D75" s="21" t="s">
        <v>2160</v>
      </c>
      <c r="E75" s="21" t="s">
        <v>1911</v>
      </c>
      <c r="F75" s="21" t="s">
        <v>768</v>
      </c>
      <c r="G75" s="35">
        <v>45741.744583333333</v>
      </c>
      <c r="H75" s="21" t="s">
        <v>1912</v>
      </c>
      <c r="I75" s="21" t="s">
        <v>1913</v>
      </c>
      <c r="J75" s="21" t="s">
        <v>1914</v>
      </c>
      <c r="K75" s="21" t="s">
        <v>1813</v>
      </c>
      <c r="L75" s="21" t="s">
        <v>1089</v>
      </c>
      <c r="M75" s="21" t="s">
        <v>1097</v>
      </c>
      <c r="N75" s="21" t="s">
        <v>2161</v>
      </c>
      <c r="O75" s="21" t="s">
        <v>1101</v>
      </c>
      <c r="P75" s="21" t="s">
        <v>1916</v>
      </c>
      <c r="Q75" s="21" t="s">
        <v>1278</v>
      </c>
      <c r="R75" s="21" t="s">
        <v>1302</v>
      </c>
      <c r="S75" s="21" t="s">
        <v>1127</v>
      </c>
      <c r="T75" s="21" t="s">
        <v>1917</v>
      </c>
      <c r="U75" s="21" t="s">
        <v>1782</v>
      </c>
      <c r="V75" s="21" t="str">
        <f>_xlfn.XLOOKUP(U75,'T07'!$D$3:$D$1500,'T07'!$BI$3:$BI$1500)&amp;" / "&amp;_xlfn.XLOOKUP(U75,'T07'!$D$3:$D$1500,'T07'!$BJ$3:$BJ$1500)</f>
        <v>LHR-HTV-2014-51184 / HTV</v>
      </c>
      <c r="W75" s="21" t="s">
        <v>1917</v>
      </c>
      <c r="X75" s="21" t="s">
        <v>1785</v>
      </c>
      <c r="Y75" s="21" t="s">
        <v>2086</v>
      </c>
      <c r="Z75" s="21">
        <v>1</v>
      </c>
      <c r="AA75" s="21" t="s">
        <v>1826</v>
      </c>
      <c r="AB75" s="21" t="s">
        <v>1804</v>
      </c>
      <c r="AC75" s="25">
        <v>900</v>
      </c>
      <c r="AD75" s="25">
        <v>500</v>
      </c>
      <c r="AE75" s="21" t="s">
        <v>2184</v>
      </c>
      <c r="AF75" s="21" t="s">
        <v>2185</v>
      </c>
      <c r="AG75" s="35">
        <v>45741.76458333333</v>
      </c>
      <c r="AH75" s="21" t="s">
        <v>1934</v>
      </c>
      <c r="AI75" s="25">
        <v>500</v>
      </c>
      <c r="AJ75" s="21" t="s">
        <v>2164</v>
      </c>
      <c r="AK75" s="21" t="s">
        <v>1922</v>
      </c>
      <c r="AL75" s="21" t="str">
        <f>IF(AD75-AI75&gt;0,(AD75-AI75)&amp;" bags - damaged in transit","None")</f>
        <v>None</v>
      </c>
      <c r="AM75" s="21" t="s">
        <v>844</v>
      </c>
      <c r="AN75" s="21" t="s">
        <v>848</v>
      </c>
      <c r="AO75" s="21" t="s">
        <v>2165</v>
      </c>
      <c r="AP75" s="21" t="str">
        <f>IF(AO75="Pending","Not yet invoiced",IF(AI75=AD75,"Matched","Invoiced on received qty ("&amp;AI75&amp;" of "&amp;AD75&amp;")"))</f>
        <v>Matched</v>
      </c>
      <c r="AQ75" s="21" t="s">
        <v>2166</v>
      </c>
    </row>
    <row r="76" spans="1:43" x14ac:dyDescent="0.3">
      <c r="A76" s="21" t="s">
        <v>2186</v>
      </c>
      <c r="B76" s="35">
        <v>45749.625</v>
      </c>
      <c r="C76" s="21" t="s">
        <v>1909</v>
      </c>
      <c r="D76" s="21" t="s">
        <v>2187</v>
      </c>
      <c r="E76" s="21" t="s">
        <v>1927</v>
      </c>
      <c r="F76" s="21" t="s">
        <v>768</v>
      </c>
      <c r="G76" s="35">
        <v>45749.72791666667</v>
      </c>
      <c r="H76" s="21" t="s">
        <v>2188</v>
      </c>
      <c r="I76" s="21" t="s">
        <v>1913</v>
      </c>
      <c r="J76" s="21" t="s">
        <v>1914</v>
      </c>
      <c r="K76" s="21" t="s">
        <v>1857</v>
      </c>
      <c r="L76" s="21" t="s">
        <v>1115</v>
      </c>
      <c r="M76" s="21" t="s">
        <v>1121</v>
      </c>
      <c r="N76" s="21" t="s">
        <v>2189</v>
      </c>
      <c r="O76" s="21" t="s">
        <v>1125</v>
      </c>
      <c r="P76" s="21" t="s">
        <v>2190</v>
      </c>
      <c r="Q76" s="21" t="s">
        <v>1118</v>
      </c>
      <c r="R76" s="21" t="s">
        <v>2191</v>
      </c>
      <c r="S76" s="21" t="s">
        <v>1127</v>
      </c>
      <c r="T76" s="21" t="s">
        <v>2192</v>
      </c>
      <c r="U76" s="21" t="s">
        <v>2193</v>
      </c>
      <c r="V76" s="21" t="s">
        <v>2194</v>
      </c>
      <c r="W76" s="21" t="s">
        <v>2195</v>
      </c>
      <c r="X76" s="21" t="s">
        <v>844</v>
      </c>
      <c r="Y76" s="21" t="s">
        <v>844</v>
      </c>
      <c r="Z76" s="21">
        <v>1</v>
      </c>
      <c r="AA76" s="21" t="s">
        <v>1826</v>
      </c>
      <c r="AB76" s="21" t="s">
        <v>1804</v>
      </c>
      <c r="AC76" s="25">
        <v>500</v>
      </c>
      <c r="AD76" s="25">
        <v>50</v>
      </c>
      <c r="AE76" s="21" t="s">
        <v>2196</v>
      </c>
      <c r="AF76" s="21" t="s">
        <v>2197</v>
      </c>
      <c r="AG76" s="35">
        <v>45749.747916666667</v>
      </c>
      <c r="AH76" s="21" t="s">
        <v>1934</v>
      </c>
      <c r="AI76" s="25">
        <v>50</v>
      </c>
      <c r="AJ76" s="21" t="s">
        <v>2198</v>
      </c>
      <c r="AK76" s="21" t="s">
        <v>1922</v>
      </c>
      <c r="AL76" s="21" t="str">
        <f>IF(AD76-AI76&gt;0,(AD76-AI76)&amp;" bags - damaged in transit","None")</f>
        <v>None</v>
      </c>
      <c r="AM76" s="21" t="s">
        <v>844</v>
      </c>
      <c r="AN76" s="21" t="s">
        <v>848</v>
      </c>
      <c r="AO76" s="21" t="s">
        <v>2199</v>
      </c>
      <c r="AP76" s="21" t="str">
        <f>IF(AO76="Pending","Not yet invoiced",IF(AI76=AD76,"Matched","Invoiced on received qty ("&amp;AI76&amp;" of "&amp;AD76&amp;")"))</f>
        <v>Matched</v>
      </c>
      <c r="AQ76" s="21" t="s">
        <v>2200</v>
      </c>
    </row>
    <row r="77" spans="1:43" x14ac:dyDescent="0.3">
      <c r="A77" s="21" t="s">
        <v>2186</v>
      </c>
      <c r="B77" s="35">
        <v>45749.625</v>
      </c>
      <c r="C77" s="21" t="s">
        <v>1909</v>
      </c>
      <c r="D77" s="21" t="s">
        <v>2187</v>
      </c>
      <c r="E77" s="21" t="s">
        <v>1927</v>
      </c>
      <c r="F77" s="21" t="s">
        <v>768</v>
      </c>
      <c r="G77" s="35">
        <v>45749.72791666667</v>
      </c>
      <c r="H77" s="21" t="s">
        <v>2188</v>
      </c>
      <c r="I77" s="21" t="s">
        <v>1913</v>
      </c>
      <c r="J77" s="21" t="s">
        <v>1914</v>
      </c>
      <c r="K77" s="21" t="s">
        <v>1857</v>
      </c>
      <c r="L77" s="21" t="s">
        <v>1115</v>
      </c>
      <c r="M77" s="21" t="s">
        <v>1121</v>
      </c>
      <c r="N77" s="21" t="s">
        <v>2189</v>
      </c>
      <c r="O77" s="21" t="s">
        <v>1125</v>
      </c>
      <c r="P77" s="21" t="s">
        <v>2190</v>
      </c>
      <c r="Q77" s="21" t="s">
        <v>1118</v>
      </c>
      <c r="R77" s="21" t="s">
        <v>2191</v>
      </c>
      <c r="S77" s="21" t="s">
        <v>1127</v>
      </c>
      <c r="T77" s="21" t="s">
        <v>2192</v>
      </c>
      <c r="U77" s="21" t="s">
        <v>2193</v>
      </c>
      <c r="V77" s="21" t="s">
        <v>2194</v>
      </c>
      <c r="W77" s="21" t="s">
        <v>2195</v>
      </c>
      <c r="X77" s="21" t="s">
        <v>844</v>
      </c>
      <c r="Y77" s="21" t="s">
        <v>844</v>
      </c>
      <c r="Z77" s="21">
        <v>2</v>
      </c>
      <c r="AA77" s="21" t="s">
        <v>1842</v>
      </c>
      <c r="AB77" s="21" t="s">
        <v>1804</v>
      </c>
      <c r="AC77" s="25">
        <v>500</v>
      </c>
      <c r="AD77" s="25">
        <v>50</v>
      </c>
      <c r="AE77" s="21" t="s">
        <v>2201</v>
      </c>
      <c r="AF77" s="21" t="s">
        <v>2197</v>
      </c>
      <c r="AG77" s="35">
        <v>45749.747916666667</v>
      </c>
      <c r="AH77" s="21" t="s">
        <v>1934</v>
      </c>
      <c r="AI77" s="25">
        <v>50</v>
      </c>
      <c r="AJ77" s="21" t="s">
        <v>2198</v>
      </c>
      <c r="AK77" s="21" t="s">
        <v>1922</v>
      </c>
      <c r="AL77" s="21" t="str">
        <f>IF(AD77-AI77&gt;0,(AD77-AI77)&amp;" bags - damaged in transit","None")</f>
        <v>None</v>
      </c>
      <c r="AM77" s="21" t="s">
        <v>844</v>
      </c>
      <c r="AN77" s="21" t="s">
        <v>848</v>
      </c>
      <c r="AO77" s="21" t="s">
        <v>2199</v>
      </c>
      <c r="AP77" s="21" t="str">
        <f>IF(AO77="Pending","Not yet invoiced",IF(AI77=AD77,"Matched","Invoiced on received qty ("&amp;AI77&amp;" of "&amp;AD77&amp;")"))</f>
        <v>Matched</v>
      </c>
      <c r="AQ77" s="21" t="s">
        <v>2200</v>
      </c>
    </row>
    <row r="78" spans="1:43" x14ac:dyDescent="0.3">
      <c r="A78" s="21" t="s">
        <v>2202</v>
      </c>
      <c r="B78" s="35">
        <v>45750.458333333336</v>
      </c>
      <c r="C78" s="21" t="s">
        <v>1909</v>
      </c>
      <c r="D78" s="21" t="s">
        <v>2203</v>
      </c>
      <c r="E78" s="21" t="s">
        <v>1945</v>
      </c>
      <c r="F78" s="21" t="s">
        <v>768</v>
      </c>
      <c r="G78" s="35">
        <v>45750.582083333335</v>
      </c>
      <c r="H78" s="21" t="s">
        <v>1912</v>
      </c>
      <c r="I78" s="21" t="s">
        <v>1913</v>
      </c>
      <c r="J78" s="21" t="s">
        <v>1914</v>
      </c>
      <c r="K78" s="21" t="s">
        <v>1835</v>
      </c>
      <c r="L78" s="21" t="s">
        <v>1055</v>
      </c>
      <c r="M78" s="21" t="s">
        <v>1836</v>
      </c>
      <c r="N78" s="21" t="s">
        <v>2204</v>
      </c>
      <c r="O78" s="21" t="s">
        <v>2205</v>
      </c>
      <c r="P78" s="21" t="s">
        <v>1930</v>
      </c>
      <c r="Q78" s="21" t="s">
        <v>1278</v>
      </c>
      <c r="R78" s="21" t="s">
        <v>1280</v>
      </c>
      <c r="S78" s="21" t="s">
        <v>1247</v>
      </c>
      <c r="T78" s="21" t="s">
        <v>1917</v>
      </c>
      <c r="U78" s="21" t="s">
        <v>1766</v>
      </c>
      <c r="V78" s="21" t="str">
        <f>_xlfn.XLOOKUP(U78,'T07'!$D$3:$D$1500,'T07'!$BI$3:$BI$1500)&amp;" / "&amp;_xlfn.XLOOKUP(U78,'T07'!$D$3:$D$1500,'T07'!$BJ$3:$BJ$1500)</f>
        <v>LHR-LTV-2019-66685 / LTV</v>
      </c>
      <c r="W78" s="21" t="s">
        <v>1917</v>
      </c>
      <c r="X78" s="21" t="s">
        <v>1768</v>
      </c>
      <c r="Y78" s="21" t="s">
        <v>2018</v>
      </c>
      <c r="Z78" s="21">
        <v>1</v>
      </c>
      <c r="AA78" s="21" t="s">
        <v>1859</v>
      </c>
      <c r="AB78" s="21" t="s">
        <v>1860</v>
      </c>
      <c r="AC78" s="25">
        <v>30</v>
      </c>
      <c r="AD78" s="25">
        <v>4</v>
      </c>
      <c r="AE78" s="21" t="s">
        <v>2206</v>
      </c>
      <c r="AF78" s="21" t="s">
        <v>2207</v>
      </c>
      <c r="AG78" s="35">
        <v>45750.602083333331</v>
      </c>
      <c r="AH78" s="21" t="s">
        <v>1934</v>
      </c>
      <c r="AI78" s="25">
        <v>4</v>
      </c>
      <c r="AJ78" s="21" t="s">
        <v>1056</v>
      </c>
      <c r="AK78" s="21" t="s">
        <v>1922</v>
      </c>
      <c r="AL78" s="21" t="str">
        <f>IF(AD78-AI78&gt;0,(AD78-AI78)&amp;" bags - damaged in transit","None")</f>
        <v>None</v>
      </c>
      <c r="AM78" s="21" t="s">
        <v>844</v>
      </c>
      <c r="AN78" s="21" t="s">
        <v>848</v>
      </c>
      <c r="AO78" s="21" t="s">
        <v>2208</v>
      </c>
      <c r="AP78" s="21" t="str">
        <f>IF(AO78="Pending","Not yet invoiced",IF(AI78=AD78,"Matched","Invoiced on received qty ("&amp;AI78&amp;" of "&amp;AD78&amp;")"))</f>
        <v>Matched</v>
      </c>
      <c r="AQ78" s="21" t="s">
        <v>2209</v>
      </c>
    </row>
    <row r="79" spans="1:43" x14ac:dyDescent="0.3">
      <c r="A79" s="21" t="s">
        <v>2202</v>
      </c>
      <c r="B79" s="35">
        <v>45750.458333333336</v>
      </c>
      <c r="C79" s="21" t="s">
        <v>1909</v>
      </c>
      <c r="D79" s="21" t="s">
        <v>2203</v>
      </c>
      <c r="E79" s="21" t="s">
        <v>1927</v>
      </c>
      <c r="F79" s="21" t="s">
        <v>768</v>
      </c>
      <c r="G79" s="35">
        <v>45750.582083333335</v>
      </c>
      <c r="H79" s="21" t="s">
        <v>1912</v>
      </c>
      <c r="I79" s="21" t="s">
        <v>1913</v>
      </c>
      <c r="J79" s="21" t="s">
        <v>1914</v>
      </c>
      <c r="K79" s="21" t="s">
        <v>1835</v>
      </c>
      <c r="L79" s="21" t="s">
        <v>1055</v>
      </c>
      <c r="M79" s="21" t="s">
        <v>1836</v>
      </c>
      <c r="N79" s="21" t="s">
        <v>2204</v>
      </c>
      <c r="O79" s="21" t="s">
        <v>2205</v>
      </c>
      <c r="P79" s="21" t="s">
        <v>1930</v>
      </c>
      <c r="Q79" s="21" t="s">
        <v>1278</v>
      </c>
      <c r="R79" s="21" t="s">
        <v>1280</v>
      </c>
      <c r="S79" s="21" t="s">
        <v>1247</v>
      </c>
      <c r="T79" s="21" t="s">
        <v>1917</v>
      </c>
      <c r="U79" s="21" t="s">
        <v>1766</v>
      </c>
      <c r="V79" s="21" t="str">
        <f>_xlfn.XLOOKUP(U79,'T07'!$D$3:$D$1500,'T07'!$BI$3:$BI$1500)&amp;" / "&amp;_xlfn.XLOOKUP(U79,'T07'!$D$3:$D$1500,'T07'!$BJ$3:$BJ$1500)</f>
        <v>LHR-LTV-2019-66685 / LTV</v>
      </c>
      <c r="W79" s="21" t="s">
        <v>1917</v>
      </c>
      <c r="X79" s="21" t="s">
        <v>1768</v>
      </c>
      <c r="Y79" s="21" t="s">
        <v>2018</v>
      </c>
      <c r="Z79" s="21">
        <v>2</v>
      </c>
      <c r="AA79" s="21" t="s">
        <v>1842</v>
      </c>
      <c r="AB79" s="21" t="s">
        <v>1804</v>
      </c>
      <c r="AC79" s="25">
        <v>500</v>
      </c>
      <c r="AD79" s="25">
        <v>50</v>
      </c>
      <c r="AE79" s="21" t="s">
        <v>2210</v>
      </c>
      <c r="AF79" s="21" t="s">
        <v>2207</v>
      </c>
      <c r="AG79" s="35">
        <v>45750.602083333331</v>
      </c>
      <c r="AH79" s="21" t="s">
        <v>1934</v>
      </c>
      <c r="AI79" s="25">
        <v>50</v>
      </c>
      <c r="AJ79" s="21" t="s">
        <v>1056</v>
      </c>
      <c r="AK79" s="21" t="s">
        <v>1922</v>
      </c>
      <c r="AL79" s="21" t="str">
        <f>IF(AD79-AI79&gt;0,(AD79-AI79)&amp;" bags - damaged in transit","None")</f>
        <v>None</v>
      </c>
      <c r="AM79" s="21" t="s">
        <v>844</v>
      </c>
      <c r="AN79" s="21" t="s">
        <v>848</v>
      </c>
      <c r="AO79" s="21" t="s">
        <v>2208</v>
      </c>
      <c r="AP79" s="21" t="str">
        <f>IF(AO79="Pending","Not yet invoiced",IF(AI79=AD79,"Matched","Invoiced on received qty ("&amp;AI79&amp;" of "&amp;AD79&amp;")"))</f>
        <v>Matched</v>
      </c>
      <c r="AQ79" s="21" t="s">
        <v>2209</v>
      </c>
    </row>
    <row r="80" spans="1:43" x14ac:dyDescent="0.3">
      <c r="A80" s="21" t="s">
        <v>2202</v>
      </c>
      <c r="B80" s="35">
        <v>45750.458333333336</v>
      </c>
      <c r="C80" s="21" t="s">
        <v>1909</v>
      </c>
      <c r="D80" s="21" t="s">
        <v>2203</v>
      </c>
      <c r="E80" s="21" t="s">
        <v>1927</v>
      </c>
      <c r="F80" s="21" t="s">
        <v>768</v>
      </c>
      <c r="G80" s="35">
        <v>45750.582083333335</v>
      </c>
      <c r="H80" s="21" t="s">
        <v>1912</v>
      </c>
      <c r="I80" s="21" t="s">
        <v>1913</v>
      </c>
      <c r="J80" s="21" t="s">
        <v>1914</v>
      </c>
      <c r="K80" s="21" t="s">
        <v>1835</v>
      </c>
      <c r="L80" s="21" t="s">
        <v>1055</v>
      </c>
      <c r="M80" s="21" t="s">
        <v>1836</v>
      </c>
      <c r="N80" s="21" t="s">
        <v>2204</v>
      </c>
      <c r="O80" s="21" t="s">
        <v>2205</v>
      </c>
      <c r="P80" s="21" t="s">
        <v>1930</v>
      </c>
      <c r="Q80" s="21" t="s">
        <v>1278</v>
      </c>
      <c r="R80" s="21" t="s">
        <v>1280</v>
      </c>
      <c r="S80" s="21" t="s">
        <v>1247</v>
      </c>
      <c r="T80" s="21" t="s">
        <v>1917</v>
      </c>
      <c r="U80" s="21" t="s">
        <v>1766</v>
      </c>
      <c r="V80" s="21" t="str">
        <f>_xlfn.XLOOKUP(U80,'T07'!$D$3:$D$1500,'T07'!$BI$3:$BI$1500)&amp;" / "&amp;_xlfn.XLOOKUP(U80,'T07'!$D$3:$D$1500,'T07'!$BJ$3:$BJ$1500)</f>
        <v>LHR-LTV-2019-66685 / LTV</v>
      </c>
      <c r="W80" s="21" t="s">
        <v>1917</v>
      </c>
      <c r="X80" s="21" t="s">
        <v>1768</v>
      </c>
      <c r="Y80" s="21" t="s">
        <v>2018</v>
      </c>
      <c r="Z80" s="21">
        <v>3</v>
      </c>
      <c r="AA80" s="21" t="s">
        <v>1808</v>
      </c>
      <c r="AB80" s="21" t="s">
        <v>1804</v>
      </c>
      <c r="AC80" s="25">
        <v>500</v>
      </c>
      <c r="AD80" s="25">
        <v>50</v>
      </c>
      <c r="AE80" s="21" t="s">
        <v>2211</v>
      </c>
      <c r="AF80" s="21" t="s">
        <v>2207</v>
      </c>
      <c r="AG80" s="35">
        <v>45750.602083333331</v>
      </c>
      <c r="AH80" s="21" t="s">
        <v>1934</v>
      </c>
      <c r="AI80" s="25">
        <v>50</v>
      </c>
      <c r="AJ80" s="21" t="s">
        <v>1056</v>
      </c>
      <c r="AK80" s="21" t="s">
        <v>1922</v>
      </c>
      <c r="AL80" s="21" t="str">
        <f>IF(AD80-AI80&gt;0,(AD80-AI80)&amp;" bags - damaged in transit","None")</f>
        <v>None</v>
      </c>
      <c r="AM80" s="21" t="s">
        <v>844</v>
      </c>
      <c r="AN80" s="21" t="s">
        <v>848</v>
      </c>
      <c r="AO80" s="21" t="s">
        <v>2208</v>
      </c>
      <c r="AP80" s="21" t="str">
        <f>IF(AO80="Pending","Not yet invoiced",IF(AI80=AD80,"Matched","Invoiced on received qty ("&amp;AI80&amp;" of "&amp;AD80&amp;")"))</f>
        <v>Matched</v>
      </c>
      <c r="AQ80" s="21" t="s">
        <v>2209</v>
      </c>
    </row>
    <row r="81" spans="1:43" x14ac:dyDescent="0.3">
      <c r="A81" s="21" t="s">
        <v>2212</v>
      </c>
      <c r="B81" s="35">
        <v>45754.416666666664</v>
      </c>
      <c r="C81" s="21" t="s">
        <v>1909</v>
      </c>
      <c r="D81" s="21" t="s">
        <v>2203</v>
      </c>
      <c r="E81" s="21" t="s">
        <v>1927</v>
      </c>
      <c r="F81" s="21" t="s">
        <v>768</v>
      </c>
      <c r="G81" s="35">
        <v>45754.540416666663</v>
      </c>
      <c r="H81" s="21" t="s">
        <v>1912</v>
      </c>
      <c r="I81" s="21" t="s">
        <v>1913</v>
      </c>
      <c r="J81" s="21" t="s">
        <v>1914</v>
      </c>
      <c r="K81" s="21" t="s">
        <v>1835</v>
      </c>
      <c r="L81" s="21" t="s">
        <v>1055</v>
      </c>
      <c r="M81" s="21" t="s">
        <v>1836</v>
      </c>
      <c r="N81" s="21" t="s">
        <v>2204</v>
      </c>
      <c r="O81" s="21" t="s">
        <v>2205</v>
      </c>
      <c r="P81" s="21" t="s">
        <v>1930</v>
      </c>
      <c r="Q81" s="21" t="s">
        <v>1213</v>
      </c>
      <c r="R81" s="21" t="s">
        <v>1271</v>
      </c>
      <c r="S81" s="21" t="s">
        <v>1127</v>
      </c>
      <c r="T81" s="21" t="s">
        <v>1917</v>
      </c>
      <c r="U81" s="21" t="s">
        <v>1753</v>
      </c>
      <c r="V81" s="21" t="str">
        <f>_xlfn.XLOOKUP(U81,'T07'!$D$3:$D$1500,'T07'!$BI$3:$BI$1500)&amp;" / "&amp;_xlfn.XLOOKUP(U81,'T07'!$D$3:$D$1500,'T07'!$BJ$3:$BJ$1500)</f>
        <v>LHR-HTV-2009-86678 / HTV</v>
      </c>
      <c r="W81" s="21" t="s">
        <v>1917</v>
      </c>
      <c r="X81" s="21" t="s">
        <v>1755</v>
      </c>
      <c r="Y81" s="21" t="s">
        <v>2022</v>
      </c>
      <c r="Z81" s="21">
        <v>1</v>
      </c>
      <c r="AA81" s="21" t="s">
        <v>1842</v>
      </c>
      <c r="AB81" s="21" t="s">
        <v>1804</v>
      </c>
      <c r="AC81" s="25">
        <v>450</v>
      </c>
      <c r="AD81" s="25">
        <v>50</v>
      </c>
      <c r="AE81" s="21" t="s">
        <v>2213</v>
      </c>
      <c r="AF81" s="21" t="s">
        <v>2214</v>
      </c>
      <c r="AG81" s="35">
        <v>45754.56041666666</v>
      </c>
      <c r="AH81" s="21" t="s">
        <v>1934</v>
      </c>
      <c r="AI81" s="25">
        <v>50</v>
      </c>
      <c r="AJ81" s="21" t="s">
        <v>1056</v>
      </c>
      <c r="AK81" s="21" t="s">
        <v>1922</v>
      </c>
      <c r="AL81" s="21" t="str">
        <f>IF(AD81-AI81&gt;0,(AD81-AI81)&amp;" bags - damaged in transit","None")</f>
        <v>None</v>
      </c>
      <c r="AM81" s="21" t="s">
        <v>844</v>
      </c>
      <c r="AN81" s="21" t="s">
        <v>848</v>
      </c>
      <c r="AO81" s="21" t="s">
        <v>2208</v>
      </c>
      <c r="AP81" s="21" t="str">
        <f>IF(AO81="Pending","Not yet invoiced",IF(AI81=AD81,"Matched","Invoiced on received qty ("&amp;AI81&amp;" of "&amp;AD81&amp;")"))</f>
        <v>Matched</v>
      </c>
      <c r="AQ81" s="21" t="s">
        <v>2215</v>
      </c>
    </row>
    <row r="82" spans="1:43" x14ac:dyDescent="0.3">
      <c r="A82" s="21" t="s">
        <v>2212</v>
      </c>
      <c r="B82" s="35">
        <v>45754.416666666664</v>
      </c>
      <c r="C82" s="21" t="s">
        <v>1909</v>
      </c>
      <c r="D82" s="21" t="s">
        <v>2203</v>
      </c>
      <c r="E82" s="21" t="s">
        <v>1945</v>
      </c>
      <c r="F82" s="21" t="s">
        <v>768</v>
      </c>
      <c r="G82" s="35">
        <v>45754.540416666663</v>
      </c>
      <c r="H82" s="21" t="s">
        <v>1912</v>
      </c>
      <c r="I82" s="21" t="s">
        <v>1913</v>
      </c>
      <c r="J82" s="21" t="s">
        <v>1914</v>
      </c>
      <c r="K82" s="21" t="s">
        <v>1835</v>
      </c>
      <c r="L82" s="21" t="s">
        <v>1055</v>
      </c>
      <c r="M82" s="21" t="s">
        <v>1836</v>
      </c>
      <c r="N82" s="21" t="s">
        <v>2204</v>
      </c>
      <c r="O82" s="21" t="s">
        <v>2205</v>
      </c>
      <c r="P82" s="21" t="s">
        <v>1930</v>
      </c>
      <c r="Q82" s="21" t="s">
        <v>1213</v>
      </c>
      <c r="R82" s="21" t="s">
        <v>1271</v>
      </c>
      <c r="S82" s="21" t="s">
        <v>1127</v>
      </c>
      <c r="T82" s="21" t="s">
        <v>1917</v>
      </c>
      <c r="U82" s="21" t="s">
        <v>1753</v>
      </c>
      <c r="V82" s="21" t="str">
        <f>_xlfn.XLOOKUP(U82,'T07'!$D$3:$D$1500,'T07'!$BI$3:$BI$1500)&amp;" / "&amp;_xlfn.XLOOKUP(U82,'T07'!$D$3:$D$1500,'T07'!$BJ$3:$BJ$1500)</f>
        <v>LHR-HTV-2009-86678 / HTV</v>
      </c>
      <c r="W82" s="21" t="s">
        <v>1917</v>
      </c>
      <c r="X82" s="21" t="s">
        <v>1755</v>
      </c>
      <c r="Y82" s="21" t="s">
        <v>2022</v>
      </c>
      <c r="Z82" s="21">
        <v>2</v>
      </c>
      <c r="AA82" s="21" t="s">
        <v>1859</v>
      </c>
      <c r="AB82" s="21" t="s">
        <v>1860</v>
      </c>
      <c r="AC82" s="25">
        <v>26</v>
      </c>
      <c r="AD82" s="25">
        <v>4</v>
      </c>
      <c r="AE82" s="21" t="s">
        <v>2216</v>
      </c>
      <c r="AF82" s="21" t="s">
        <v>2214</v>
      </c>
      <c r="AG82" s="35">
        <v>45754.56041666666</v>
      </c>
      <c r="AH82" s="21" t="s">
        <v>1934</v>
      </c>
      <c r="AI82" s="25">
        <v>4</v>
      </c>
      <c r="AJ82" s="21" t="s">
        <v>1056</v>
      </c>
      <c r="AK82" s="21" t="s">
        <v>1922</v>
      </c>
      <c r="AL82" s="21" t="str">
        <f>IF(AD82-AI82&gt;0,(AD82-AI82)&amp;" bags - damaged in transit","None")</f>
        <v>None</v>
      </c>
      <c r="AM82" s="21" t="s">
        <v>844</v>
      </c>
      <c r="AN82" s="21" t="s">
        <v>848</v>
      </c>
      <c r="AO82" s="21" t="s">
        <v>2208</v>
      </c>
      <c r="AP82" s="21" t="str">
        <f>IF(AO82="Pending","Not yet invoiced",IF(AI82=AD82,"Matched","Invoiced on received qty ("&amp;AI82&amp;" of "&amp;AD82&amp;")"))</f>
        <v>Matched</v>
      </c>
      <c r="AQ82" s="21" t="s">
        <v>2215</v>
      </c>
    </row>
    <row r="83" spans="1:43" x14ac:dyDescent="0.3">
      <c r="A83" s="21" t="s">
        <v>2212</v>
      </c>
      <c r="B83" s="35">
        <v>45754.416666666664</v>
      </c>
      <c r="C83" s="21" t="s">
        <v>1909</v>
      </c>
      <c r="D83" s="21" t="s">
        <v>2203</v>
      </c>
      <c r="E83" s="21" t="s">
        <v>1927</v>
      </c>
      <c r="F83" s="21" t="s">
        <v>768</v>
      </c>
      <c r="G83" s="35">
        <v>45754.540416666663</v>
      </c>
      <c r="H83" s="21" t="s">
        <v>1912</v>
      </c>
      <c r="I83" s="21" t="s">
        <v>1913</v>
      </c>
      <c r="J83" s="21" t="s">
        <v>1914</v>
      </c>
      <c r="K83" s="21" t="s">
        <v>1835</v>
      </c>
      <c r="L83" s="21" t="s">
        <v>1055</v>
      </c>
      <c r="M83" s="21" t="s">
        <v>1836</v>
      </c>
      <c r="N83" s="21" t="s">
        <v>2204</v>
      </c>
      <c r="O83" s="21" t="s">
        <v>2205</v>
      </c>
      <c r="P83" s="21" t="s">
        <v>1930</v>
      </c>
      <c r="Q83" s="21" t="s">
        <v>1213</v>
      </c>
      <c r="R83" s="21" t="s">
        <v>1271</v>
      </c>
      <c r="S83" s="21" t="s">
        <v>1127</v>
      </c>
      <c r="T83" s="21" t="s">
        <v>1917</v>
      </c>
      <c r="U83" s="21" t="s">
        <v>1753</v>
      </c>
      <c r="V83" s="21" t="str">
        <f>_xlfn.XLOOKUP(U83,'T07'!$D$3:$D$1500,'T07'!$BI$3:$BI$1500)&amp;" / "&amp;_xlfn.XLOOKUP(U83,'T07'!$D$3:$D$1500,'T07'!$BJ$3:$BJ$1500)</f>
        <v>LHR-HTV-2009-86678 / HTV</v>
      </c>
      <c r="W83" s="21" t="s">
        <v>1917</v>
      </c>
      <c r="X83" s="21" t="s">
        <v>1755</v>
      </c>
      <c r="Y83" s="21" t="s">
        <v>2022</v>
      </c>
      <c r="Z83" s="21">
        <v>3</v>
      </c>
      <c r="AA83" s="21" t="s">
        <v>1808</v>
      </c>
      <c r="AB83" s="21" t="s">
        <v>1804</v>
      </c>
      <c r="AC83" s="25">
        <v>450</v>
      </c>
      <c r="AD83" s="25">
        <v>50</v>
      </c>
      <c r="AE83" s="21" t="s">
        <v>2217</v>
      </c>
      <c r="AF83" s="21" t="s">
        <v>2214</v>
      </c>
      <c r="AG83" s="35">
        <v>45754.56041666666</v>
      </c>
      <c r="AH83" s="21" t="s">
        <v>1934</v>
      </c>
      <c r="AI83" s="25">
        <v>50</v>
      </c>
      <c r="AJ83" s="21" t="s">
        <v>1056</v>
      </c>
      <c r="AK83" s="21" t="s">
        <v>1922</v>
      </c>
      <c r="AL83" s="21" t="str">
        <f>IF(AD83-AI83&gt;0,(AD83-AI83)&amp;" bags - damaged in transit","None")</f>
        <v>None</v>
      </c>
      <c r="AM83" s="21" t="s">
        <v>844</v>
      </c>
      <c r="AN83" s="21" t="s">
        <v>848</v>
      </c>
      <c r="AO83" s="21" t="s">
        <v>2208</v>
      </c>
      <c r="AP83" s="21" t="str">
        <f>IF(AO83="Pending","Not yet invoiced",IF(AI83=AD83,"Matched","Invoiced on received qty ("&amp;AI83&amp;" of "&amp;AD83&amp;")"))</f>
        <v>Matched</v>
      </c>
      <c r="AQ83" s="21" t="s">
        <v>2215</v>
      </c>
    </row>
    <row r="84" spans="1:43" x14ac:dyDescent="0.3">
      <c r="A84" s="21" t="s">
        <v>2218</v>
      </c>
      <c r="B84" s="35">
        <v>45756.625</v>
      </c>
      <c r="C84" s="21" t="s">
        <v>1909</v>
      </c>
      <c r="D84" s="21" t="s">
        <v>2187</v>
      </c>
      <c r="E84" s="21" t="s">
        <v>1911</v>
      </c>
      <c r="F84" s="21" t="s">
        <v>768</v>
      </c>
      <c r="G84" s="35">
        <v>45756.72791666667</v>
      </c>
      <c r="H84" s="21" t="s">
        <v>2188</v>
      </c>
      <c r="I84" s="21" t="s">
        <v>1913</v>
      </c>
      <c r="J84" s="21" t="s">
        <v>1914</v>
      </c>
      <c r="K84" s="21" t="s">
        <v>1857</v>
      </c>
      <c r="L84" s="21" t="s">
        <v>1115</v>
      </c>
      <c r="M84" s="21" t="s">
        <v>1121</v>
      </c>
      <c r="N84" s="21" t="s">
        <v>2189</v>
      </c>
      <c r="O84" s="21" t="s">
        <v>1125</v>
      </c>
      <c r="P84" s="21" t="s">
        <v>2190</v>
      </c>
      <c r="Q84" s="21" t="s">
        <v>1118</v>
      </c>
      <c r="R84" s="21" t="s">
        <v>2219</v>
      </c>
      <c r="S84" s="21" t="s">
        <v>1127</v>
      </c>
      <c r="T84" s="21" t="s">
        <v>2192</v>
      </c>
      <c r="U84" s="21" t="s">
        <v>2220</v>
      </c>
      <c r="V84" s="21" t="s">
        <v>2194</v>
      </c>
      <c r="W84" s="21" t="s">
        <v>2195</v>
      </c>
      <c r="X84" s="21" t="s">
        <v>844</v>
      </c>
      <c r="Y84" s="21" t="s">
        <v>844</v>
      </c>
      <c r="Z84" s="21">
        <v>1</v>
      </c>
      <c r="AA84" s="21" t="s">
        <v>1826</v>
      </c>
      <c r="AB84" s="21" t="s">
        <v>1804</v>
      </c>
      <c r="AC84" s="25">
        <v>450</v>
      </c>
      <c r="AD84" s="25">
        <v>50</v>
      </c>
      <c r="AE84" s="21" t="s">
        <v>2221</v>
      </c>
      <c r="AF84" s="21" t="s">
        <v>2222</v>
      </c>
      <c r="AG84" s="35">
        <v>45756.747916666667</v>
      </c>
      <c r="AH84" s="21" t="s">
        <v>1934</v>
      </c>
      <c r="AI84" s="25">
        <v>50</v>
      </c>
      <c r="AJ84" s="21" t="s">
        <v>2198</v>
      </c>
      <c r="AK84" s="21" t="s">
        <v>1922</v>
      </c>
      <c r="AL84" s="21" t="str">
        <f>IF(AD84-AI84&gt;0,(AD84-AI84)&amp;" bags - damaged in transit","None")</f>
        <v>None</v>
      </c>
      <c r="AM84" s="21" t="s">
        <v>844</v>
      </c>
      <c r="AN84" s="21" t="s">
        <v>848</v>
      </c>
      <c r="AO84" s="21" t="s">
        <v>2199</v>
      </c>
      <c r="AP84" s="21" t="str">
        <f>IF(AO84="Pending","Not yet invoiced",IF(AI84=AD84,"Matched","Invoiced on received qty ("&amp;AI84&amp;" of "&amp;AD84&amp;")"))</f>
        <v>Matched</v>
      </c>
      <c r="AQ84" s="21" t="s">
        <v>2200</v>
      </c>
    </row>
    <row r="85" spans="1:43" x14ac:dyDescent="0.3">
      <c r="A85" s="21" t="s">
        <v>2218</v>
      </c>
      <c r="B85" s="35">
        <v>45756.625</v>
      </c>
      <c r="C85" s="21" t="s">
        <v>1909</v>
      </c>
      <c r="D85" s="21" t="s">
        <v>2187</v>
      </c>
      <c r="E85" s="21" t="s">
        <v>1945</v>
      </c>
      <c r="F85" s="21" t="s">
        <v>768</v>
      </c>
      <c r="G85" s="35">
        <v>45756.72791666667</v>
      </c>
      <c r="H85" s="21" t="s">
        <v>2188</v>
      </c>
      <c r="I85" s="21" t="s">
        <v>1913</v>
      </c>
      <c r="J85" s="21" t="s">
        <v>1914</v>
      </c>
      <c r="K85" s="21" t="s">
        <v>1857</v>
      </c>
      <c r="L85" s="21" t="s">
        <v>1115</v>
      </c>
      <c r="M85" s="21" t="s">
        <v>1121</v>
      </c>
      <c r="N85" s="21" t="s">
        <v>2189</v>
      </c>
      <c r="O85" s="21" t="s">
        <v>1125</v>
      </c>
      <c r="P85" s="21" t="s">
        <v>2190</v>
      </c>
      <c r="Q85" s="21" t="s">
        <v>1118</v>
      </c>
      <c r="R85" s="21" t="s">
        <v>2219</v>
      </c>
      <c r="S85" s="21" t="s">
        <v>1127</v>
      </c>
      <c r="T85" s="21" t="s">
        <v>2192</v>
      </c>
      <c r="U85" s="21" t="s">
        <v>2220</v>
      </c>
      <c r="V85" s="21" t="s">
        <v>2194</v>
      </c>
      <c r="W85" s="21" t="s">
        <v>2195</v>
      </c>
      <c r="X85" s="21" t="s">
        <v>844</v>
      </c>
      <c r="Y85" s="21" t="s">
        <v>844</v>
      </c>
      <c r="Z85" s="21">
        <v>2</v>
      </c>
      <c r="AA85" s="21" t="s">
        <v>1859</v>
      </c>
      <c r="AB85" s="21" t="s">
        <v>1860</v>
      </c>
      <c r="AC85" s="25">
        <v>30</v>
      </c>
      <c r="AD85" s="25">
        <v>4</v>
      </c>
      <c r="AE85" s="21" t="s">
        <v>2223</v>
      </c>
      <c r="AF85" s="21" t="s">
        <v>2222</v>
      </c>
      <c r="AG85" s="35">
        <v>45756.747916666667</v>
      </c>
      <c r="AH85" s="21" t="s">
        <v>1934</v>
      </c>
      <c r="AI85" s="25">
        <v>4</v>
      </c>
      <c r="AJ85" s="21" t="s">
        <v>2198</v>
      </c>
      <c r="AK85" s="21" t="s">
        <v>1922</v>
      </c>
      <c r="AL85" s="21" t="str">
        <f>IF(AD85-AI85&gt;0,(AD85-AI85)&amp;" bags - damaged in transit","None")</f>
        <v>None</v>
      </c>
      <c r="AM85" s="21" t="s">
        <v>844</v>
      </c>
      <c r="AN85" s="21" t="s">
        <v>848</v>
      </c>
      <c r="AO85" s="21" t="s">
        <v>2199</v>
      </c>
      <c r="AP85" s="21" t="str">
        <f>IF(AO85="Pending","Not yet invoiced",IF(AI85=AD85,"Matched","Invoiced on received qty ("&amp;AI85&amp;" of "&amp;AD85&amp;")"))</f>
        <v>Matched</v>
      </c>
      <c r="AQ85" s="21" t="s">
        <v>2200</v>
      </c>
    </row>
    <row r="86" spans="1:43" x14ac:dyDescent="0.3">
      <c r="A86" s="21" t="s">
        <v>2218</v>
      </c>
      <c r="B86" s="35">
        <v>45756.625</v>
      </c>
      <c r="C86" s="21" t="s">
        <v>1909</v>
      </c>
      <c r="D86" s="21" t="s">
        <v>2187</v>
      </c>
      <c r="E86" s="21" t="s">
        <v>2056</v>
      </c>
      <c r="F86" s="21" t="s">
        <v>768</v>
      </c>
      <c r="G86" s="35">
        <v>45756.72791666667</v>
      </c>
      <c r="H86" s="21" t="s">
        <v>2188</v>
      </c>
      <c r="I86" s="21" t="s">
        <v>1913</v>
      </c>
      <c r="J86" s="21" t="s">
        <v>1914</v>
      </c>
      <c r="K86" s="21" t="s">
        <v>1857</v>
      </c>
      <c r="L86" s="21" t="s">
        <v>1115</v>
      </c>
      <c r="M86" s="21" t="s">
        <v>1121</v>
      </c>
      <c r="N86" s="21" t="s">
        <v>2189</v>
      </c>
      <c r="O86" s="21" t="s">
        <v>1125</v>
      </c>
      <c r="P86" s="21" t="s">
        <v>2190</v>
      </c>
      <c r="Q86" s="21" t="s">
        <v>1118</v>
      </c>
      <c r="R86" s="21" t="s">
        <v>2219</v>
      </c>
      <c r="S86" s="21" t="s">
        <v>1127</v>
      </c>
      <c r="T86" s="21" t="s">
        <v>2192</v>
      </c>
      <c r="U86" s="21" t="s">
        <v>2220</v>
      </c>
      <c r="V86" s="21" t="s">
        <v>2194</v>
      </c>
      <c r="W86" s="21" t="s">
        <v>2195</v>
      </c>
      <c r="X86" s="21" t="s">
        <v>844</v>
      </c>
      <c r="Y86" s="21" t="s">
        <v>844</v>
      </c>
      <c r="Z86" s="21">
        <v>3</v>
      </c>
      <c r="AA86" s="21" t="s">
        <v>1842</v>
      </c>
      <c r="AB86" s="21" t="s">
        <v>1804</v>
      </c>
      <c r="AC86" s="25">
        <v>450</v>
      </c>
      <c r="AD86" s="25">
        <v>50</v>
      </c>
      <c r="AE86" s="21" t="s">
        <v>2224</v>
      </c>
      <c r="AF86" s="21" t="s">
        <v>2222</v>
      </c>
      <c r="AG86" s="35">
        <v>45756.747916666667</v>
      </c>
      <c r="AH86" s="21" t="s">
        <v>1934</v>
      </c>
      <c r="AI86" s="25">
        <v>50</v>
      </c>
      <c r="AJ86" s="21" t="s">
        <v>2198</v>
      </c>
      <c r="AK86" s="21" t="s">
        <v>1922</v>
      </c>
      <c r="AL86" s="21" t="str">
        <f>IF(AD86-AI86&gt;0,(AD86-AI86)&amp;" bags - damaged in transit","None")</f>
        <v>None</v>
      </c>
      <c r="AM86" s="21" t="s">
        <v>844</v>
      </c>
      <c r="AN86" s="21" t="s">
        <v>848</v>
      </c>
      <c r="AO86" s="21" t="s">
        <v>2199</v>
      </c>
      <c r="AP86" s="21" t="str">
        <f>IF(AO86="Pending","Not yet invoiced",IF(AI86=AD86,"Matched","Invoiced on received qty ("&amp;AI86&amp;" of "&amp;AD86&amp;")"))</f>
        <v>Matched</v>
      </c>
      <c r="AQ86" s="21" t="s">
        <v>2200</v>
      </c>
    </row>
    <row r="87" spans="1:43" x14ac:dyDescent="0.3">
      <c r="A87" s="21" t="s">
        <v>2225</v>
      </c>
      <c r="B87" s="35">
        <v>45758.416666666664</v>
      </c>
      <c r="C87" s="21" t="s">
        <v>1909</v>
      </c>
      <c r="D87" s="21" t="s">
        <v>2203</v>
      </c>
      <c r="E87" s="21" t="s">
        <v>1911</v>
      </c>
      <c r="F87" s="21" t="s">
        <v>768</v>
      </c>
      <c r="G87" s="35">
        <v>45758.540416666663</v>
      </c>
      <c r="H87" s="21" t="s">
        <v>1912</v>
      </c>
      <c r="I87" s="21" t="s">
        <v>1913</v>
      </c>
      <c r="J87" s="21" t="s">
        <v>1914</v>
      </c>
      <c r="K87" s="21" t="s">
        <v>1835</v>
      </c>
      <c r="L87" s="21" t="s">
        <v>1055</v>
      </c>
      <c r="M87" s="21" t="s">
        <v>1836</v>
      </c>
      <c r="N87" s="21" t="s">
        <v>2204</v>
      </c>
      <c r="O87" s="21" t="s">
        <v>2205</v>
      </c>
      <c r="P87" s="21" t="s">
        <v>1930</v>
      </c>
      <c r="Q87" s="21" t="s">
        <v>1213</v>
      </c>
      <c r="R87" s="21" t="s">
        <v>1244</v>
      </c>
      <c r="S87" s="21" t="s">
        <v>1247</v>
      </c>
      <c r="T87" s="21" t="s">
        <v>1917</v>
      </c>
      <c r="U87" s="21" t="s">
        <v>1766</v>
      </c>
      <c r="V87" s="21" t="str">
        <f>_xlfn.XLOOKUP(U87,'T07'!$D$3:$D$1500,'T07'!$BI$3:$BI$1500)&amp;" / "&amp;_xlfn.XLOOKUP(U87,'T07'!$D$3:$D$1500,'T07'!$BJ$3:$BJ$1500)</f>
        <v>LHR-LTV-2019-66685 / LTV</v>
      </c>
      <c r="W87" s="21" t="s">
        <v>1917</v>
      </c>
      <c r="X87" s="21" t="s">
        <v>1768</v>
      </c>
      <c r="Y87" s="21" t="s">
        <v>2097</v>
      </c>
      <c r="Z87" s="21">
        <v>1</v>
      </c>
      <c r="AA87" s="21" t="s">
        <v>1808</v>
      </c>
      <c r="AB87" s="21" t="s">
        <v>1804</v>
      </c>
      <c r="AC87" s="25">
        <v>400</v>
      </c>
      <c r="AD87" s="25">
        <v>50</v>
      </c>
      <c r="AE87" s="21" t="s">
        <v>2226</v>
      </c>
      <c r="AF87" s="21" t="s">
        <v>2227</v>
      </c>
      <c r="AG87" s="35">
        <v>45758.56041666666</v>
      </c>
      <c r="AH87" s="21" t="s">
        <v>1934</v>
      </c>
      <c r="AI87" s="25">
        <v>44</v>
      </c>
      <c r="AJ87" s="21" t="s">
        <v>1056</v>
      </c>
      <c r="AK87" s="21" t="s">
        <v>1922</v>
      </c>
      <c r="AL87" s="21" t="str">
        <f>IF(AD87-AI87&gt;0,(AD87-AI87)&amp;" bags - damaged in transit","None")</f>
        <v>6 bags - damaged in transit</v>
      </c>
      <c r="AM87" s="21" t="s">
        <v>2228</v>
      </c>
      <c r="AN87" s="21" t="s">
        <v>2229</v>
      </c>
      <c r="AO87" s="21" t="s">
        <v>2208</v>
      </c>
      <c r="AP87" s="21" t="str">
        <f>IF(AO87="Pending","Not yet invoiced",IF(AI87=AD87,"Matched","Invoiced on received qty ("&amp;AI87&amp;" of "&amp;AD87&amp;")"))</f>
        <v>Invoiced on received qty (44 of 50)</v>
      </c>
      <c r="AQ87" s="21" t="s">
        <v>2215</v>
      </c>
    </row>
    <row r="88" spans="1:43" x14ac:dyDescent="0.3">
      <c r="A88" s="21" t="s">
        <v>2225</v>
      </c>
      <c r="B88" s="35">
        <v>45758.416666666664</v>
      </c>
      <c r="C88" s="21" t="s">
        <v>1909</v>
      </c>
      <c r="D88" s="21" t="s">
        <v>2203</v>
      </c>
      <c r="E88" s="21" t="s">
        <v>2056</v>
      </c>
      <c r="F88" s="21" t="s">
        <v>768</v>
      </c>
      <c r="G88" s="35">
        <v>45758.540416666663</v>
      </c>
      <c r="H88" s="21" t="s">
        <v>1912</v>
      </c>
      <c r="I88" s="21" t="s">
        <v>1913</v>
      </c>
      <c r="J88" s="21" t="s">
        <v>1914</v>
      </c>
      <c r="K88" s="21" t="s">
        <v>1835</v>
      </c>
      <c r="L88" s="21" t="s">
        <v>1055</v>
      </c>
      <c r="M88" s="21" t="s">
        <v>1836</v>
      </c>
      <c r="N88" s="21" t="s">
        <v>2204</v>
      </c>
      <c r="O88" s="21" t="s">
        <v>2205</v>
      </c>
      <c r="P88" s="21" t="s">
        <v>1930</v>
      </c>
      <c r="Q88" s="21" t="s">
        <v>1213</v>
      </c>
      <c r="R88" s="21" t="s">
        <v>1244</v>
      </c>
      <c r="S88" s="21" t="s">
        <v>1247</v>
      </c>
      <c r="T88" s="21" t="s">
        <v>1917</v>
      </c>
      <c r="U88" s="21" t="s">
        <v>1766</v>
      </c>
      <c r="V88" s="21" t="str">
        <f>_xlfn.XLOOKUP(U88,'T07'!$D$3:$D$1500,'T07'!$BI$3:$BI$1500)&amp;" / "&amp;_xlfn.XLOOKUP(U88,'T07'!$D$3:$D$1500,'T07'!$BJ$3:$BJ$1500)</f>
        <v>LHR-LTV-2019-66685 / LTV</v>
      </c>
      <c r="W88" s="21" t="s">
        <v>1917</v>
      </c>
      <c r="X88" s="21" t="s">
        <v>1768</v>
      </c>
      <c r="Y88" s="21" t="s">
        <v>2097</v>
      </c>
      <c r="Z88" s="21">
        <v>2</v>
      </c>
      <c r="AA88" s="21" t="s">
        <v>1842</v>
      </c>
      <c r="AB88" s="21" t="s">
        <v>1804</v>
      </c>
      <c r="AC88" s="25">
        <v>400</v>
      </c>
      <c r="AD88" s="25">
        <v>50</v>
      </c>
      <c r="AE88" s="21" t="s">
        <v>2230</v>
      </c>
      <c r="AF88" s="21" t="s">
        <v>2227</v>
      </c>
      <c r="AG88" s="35">
        <v>45758.56041666666</v>
      </c>
      <c r="AH88" s="21" t="s">
        <v>1934</v>
      </c>
      <c r="AI88" s="25">
        <v>46</v>
      </c>
      <c r="AJ88" s="21" t="s">
        <v>1056</v>
      </c>
      <c r="AK88" s="21" t="s">
        <v>1922</v>
      </c>
      <c r="AL88" s="21" t="str">
        <f>IF(AD88-AI88&gt;0,(AD88-AI88)&amp;" bags - damaged in transit","None")</f>
        <v>4 bags - damaged in transit</v>
      </c>
      <c r="AM88" s="21" t="s">
        <v>2228</v>
      </c>
      <c r="AN88" s="21" t="s">
        <v>2231</v>
      </c>
      <c r="AO88" s="21" t="s">
        <v>2208</v>
      </c>
      <c r="AP88" s="21" t="str">
        <f>IF(AO88="Pending","Not yet invoiced",IF(AI88=AD88,"Matched","Invoiced on received qty ("&amp;AI88&amp;" of "&amp;AD88&amp;")"))</f>
        <v>Invoiced on received qty (46 of 50)</v>
      </c>
      <c r="AQ88" s="21" t="s">
        <v>2215</v>
      </c>
    </row>
    <row r="89" spans="1:43" x14ac:dyDescent="0.3">
      <c r="A89" s="21" t="s">
        <v>2232</v>
      </c>
      <c r="B89" s="35">
        <v>45760.458333333336</v>
      </c>
      <c r="C89" s="21" t="s">
        <v>1909</v>
      </c>
      <c r="D89" s="21" t="s">
        <v>2187</v>
      </c>
      <c r="E89" s="21" t="s">
        <v>1945</v>
      </c>
      <c r="F89" s="21" t="s">
        <v>768</v>
      </c>
      <c r="G89" s="35">
        <v>45760.561250000006</v>
      </c>
      <c r="H89" s="21" t="s">
        <v>2188</v>
      </c>
      <c r="I89" s="21" t="s">
        <v>1913</v>
      </c>
      <c r="J89" s="21" t="s">
        <v>1914</v>
      </c>
      <c r="K89" s="21" t="s">
        <v>1857</v>
      </c>
      <c r="L89" s="21" t="s">
        <v>1115</v>
      </c>
      <c r="M89" s="21" t="s">
        <v>1121</v>
      </c>
      <c r="N89" s="21" t="s">
        <v>2189</v>
      </c>
      <c r="O89" s="21" t="s">
        <v>1125</v>
      </c>
      <c r="P89" s="21" t="s">
        <v>2190</v>
      </c>
      <c r="Q89" s="21" t="s">
        <v>1118</v>
      </c>
      <c r="R89" s="21" t="s">
        <v>2233</v>
      </c>
      <c r="S89" s="21" t="s">
        <v>1127</v>
      </c>
      <c r="T89" s="21" t="s">
        <v>2192</v>
      </c>
      <c r="U89" s="21" t="s">
        <v>2234</v>
      </c>
      <c r="V89" s="21" t="s">
        <v>2194</v>
      </c>
      <c r="W89" s="21" t="s">
        <v>2195</v>
      </c>
      <c r="X89" s="21" t="s">
        <v>844</v>
      </c>
      <c r="Y89" s="21" t="s">
        <v>844</v>
      </c>
      <c r="Z89" s="21">
        <v>1</v>
      </c>
      <c r="AA89" s="21" t="s">
        <v>1859</v>
      </c>
      <c r="AB89" s="21" t="s">
        <v>1860</v>
      </c>
      <c r="AC89" s="25">
        <v>26</v>
      </c>
      <c r="AD89" s="25">
        <v>6</v>
      </c>
      <c r="AE89" s="21" t="s">
        <v>2235</v>
      </c>
      <c r="AF89" s="21" t="s">
        <v>2236</v>
      </c>
      <c r="AG89" s="35">
        <v>45760.581250000003</v>
      </c>
      <c r="AH89" s="21" t="s">
        <v>1934</v>
      </c>
      <c r="AI89" s="25">
        <v>6</v>
      </c>
      <c r="AJ89" s="21" t="s">
        <v>2198</v>
      </c>
      <c r="AK89" s="21" t="s">
        <v>1922</v>
      </c>
      <c r="AL89" s="21" t="str">
        <f>IF(AD89-AI89&gt;0,(AD89-AI89)&amp;" bags - damaged in transit","None")</f>
        <v>None</v>
      </c>
      <c r="AM89" s="21" t="s">
        <v>844</v>
      </c>
      <c r="AN89" s="21" t="s">
        <v>848</v>
      </c>
      <c r="AO89" s="21" t="s">
        <v>2199</v>
      </c>
      <c r="AP89" s="21" t="str">
        <f>IF(AO89="Pending","Not yet invoiced",IF(AI89=AD89,"Matched","Invoiced on received qty ("&amp;AI89&amp;" of "&amp;AD89&amp;")"))</f>
        <v>Matched</v>
      </c>
      <c r="AQ89" s="21" t="s">
        <v>2200</v>
      </c>
    </row>
    <row r="90" spans="1:43" x14ac:dyDescent="0.3">
      <c r="A90" s="21" t="s">
        <v>2232</v>
      </c>
      <c r="B90" s="35">
        <v>45760.458333333336</v>
      </c>
      <c r="C90" s="21" t="s">
        <v>1909</v>
      </c>
      <c r="D90" s="21" t="s">
        <v>2187</v>
      </c>
      <c r="E90" s="21" t="s">
        <v>2056</v>
      </c>
      <c r="F90" s="21" t="s">
        <v>768</v>
      </c>
      <c r="G90" s="35">
        <v>45760.561250000006</v>
      </c>
      <c r="H90" s="21" t="s">
        <v>2188</v>
      </c>
      <c r="I90" s="21" t="s">
        <v>1913</v>
      </c>
      <c r="J90" s="21" t="s">
        <v>1914</v>
      </c>
      <c r="K90" s="21" t="s">
        <v>1857</v>
      </c>
      <c r="L90" s="21" t="s">
        <v>1115</v>
      </c>
      <c r="M90" s="21" t="s">
        <v>1121</v>
      </c>
      <c r="N90" s="21" t="s">
        <v>2189</v>
      </c>
      <c r="O90" s="21" t="s">
        <v>1125</v>
      </c>
      <c r="P90" s="21" t="s">
        <v>2190</v>
      </c>
      <c r="Q90" s="21" t="s">
        <v>1118</v>
      </c>
      <c r="R90" s="21" t="s">
        <v>2233</v>
      </c>
      <c r="S90" s="21" t="s">
        <v>1127</v>
      </c>
      <c r="T90" s="21" t="s">
        <v>2192</v>
      </c>
      <c r="U90" s="21" t="s">
        <v>2234</v>
      </c>
      <c r="V90" s="21" t="s">
        <v>2194</v>
      </c>
      <c r="W90" s="21" t="s">
        <v>2195</v>
      </c>
      <c r="X90" s="21" t="s">
        <v>844</v>
      </c>
      <c r="Y90" s="21" t="s">
        <v>844</v>
      </c>
      <c r="Z90" s="21">
        <v>2</v>
      </c>
      <c r="AA90" s="21" t="s">
        <v>1842</v>
      </c>
      <c r="AB90" s="21" t="s">
        <v>1804</v>
      </c>
      <c r="AC90" s="25">
        <v>400</v>
      </c>
      <c r="AD90" s="25">
        <v>50</v>
      </c>
      <c r="AE90" s="21" t="s">
        <v>2237</v>
      </c>
      <c r="AF90" s="21" t="s">
        <v>2236</v>
      </c>
      <c r="AG90" s="35">
        <v>45760.581250000003</v>
      </c>
      <c r="AH90" s="21" t="s">
        <v>1934</v>
      </c>
      <c r="AI90" s="25">
        <v>44</v>
      </c>
      <c r="AJ90" s="21" t="s">
        <v>2198</v>
      </c>
      <c r="AK90" s="21" t="s">
        <v>1922</v>
      </c>
      <c r="AL90" s="21" t="str">
        <f>IF(AD90-AI90&gt;0,(AD90-AI90)&amp;" bags - damaged in transit","None")</f>
        <v>6 bags - damaged in transit</v>
      </c>
      <c r="AM90" s="21" t="s">
        <v>2238</v>
      </c>
      <c r="AN90" s="21" t="s">
        <v>2239</v>
      </c>
      <c r="AO90" s="21" t="s">
        <v>2199</v>
      </c>
      <c r="AP90" s="21" t="str">
        <f>IF(AO90="Pending","Not yet invoiced",IF(AI90=AD90,"Matched","Invoiced on received qty ("&amp;AI90&amp;" of "&amp;AD90&amp;")"))</f>
        <v>Invoiced on received qty (44 of 50)</v>
      </c>
      <c r="AQ90" s="21" t="s">
        <v>2200</v>
      </c>
    </row>
    <row r="91" spans="1:43" x14ac:dyDescent="0.3">
      <c r="A91" s="21" t="s">
        <v>2240</v>
      </c>
      <c r="B91" s="35">
        <v>45763.666666666664</v>
      </c>
      <c r="C91" s="21" t="s">
        <v>1909</v>
      </c>
      <c r="D91" s="21" t="s">
        <v>2203</v>
      </c>
      <c r="E91" s="21" t="s">
        <v>1945</v>
      </c>
      <c r="F91" s="21" t="s">
        <v>768</v>
      </c>
      <c r="G91" s="35">
        <v>45763.790416666663</v>
      </c>
      <c r="H91" s="21" t="s">
        <v>1912</v>
      </c>
      <c r="I91" s="21" t="s">
        <v>1913</v>
      </c>
      <c r="J91" s="21" t="s">
        <v>1914</v>
      </c>
      <c r="K91" s="21" t="s">
        <v>1835</v>
      </c>
      <c r="L91" s="21" t="s">
        <v>1055</v>
      </c>
      <c r="M91" s="21" t="s">
        <v>1836</v>
      </c>
      <c r="N91" s="21" t="s">
        <v>2204</v>
      </c>
      <c r="O91" s="21" t="s">
        <v>2205</v>
      </c>
      <c r="P91" s="21" t="s">
        <v>1930</v>
      </c>
      <c r="Q91" s="21" t="s">
        <v>1213</v>
      </c>
      <c r="R91" s="21" t="s">
        <v>1236</v>
      </c>
      <c r="S91" s="21" t="s">
        <v>1127</v>
      </c>
      <c r="T91" s="21" t="s">
        <v>1917</v>
      </c>
      <c r="U91" s="21" t="s">
        <v>1711</v>
      </c>
      <c r="V91" s="21" t="str">
        <f>_xlfn.XLOOKUP(U91,'T07'!$D$3:$D$1500,'T07'!$BI$3:$BI$1500)&amp;" / "&amp;_xlfn.XLOOKUP(U91,'T07'!$D$3:$D$1500,'T07'!$BJ$3:$BJ$1500)</f>
        <v>LHR-HTV-2008-42260 / HTV</v>
      </c>
      <c r="W91" s="21" t="s">
        <v>1917</v>
      </c>
      <c r="X91" s="21" t="s">
        <v>1713</v>
      </c>
      <c r="Y91" s="21" t="s">
        <v>2000</v>
      </c>
      <c r="Z91" s="21">
        <v>1</v>
      </c>
      <c r="AA91" s="21" t="s">
        <v>1859</v>
      </c>
      <c r="AB91" s="21" t="s">
        <v>1860</v>
      </c>
      <c r="AC91" s="25">
        <v>22</v>
      </c>
      <c r="AD91" s="25">
        <v>12</v>
      </c>
      <c r="AE91" s="21" t="s">
        <v>2241</v>
      </c>
      <c r="AF91" s="21" t="s">
        <v>2242</v>
      </c>
      <c r="AG91" s="35">
        <v>45763.81041666666</v>
      </c>
      <c r="AH91" s="21" t="s">
        <v>1934</v>
      </c>
      <c r="AI91" s="25">
        <v>12</v>
      </c>
      <c r="AJ91" s="21" t="s">
        <v>1056</v>
      </c>
      <c r="AK91" s="21" t="s">
        <v>1922</v>
      </c>
      <c r="AL91" s="21" t="str">
        <f>IF(AD91-AI91&gt;0,(AD91-AI91)&amp;" bags - damaged in transit","None")</f>
        <v>None</v>
      </c>
      <c r="AM91" s="21" t="s">
        <v>844</v>
      </c>
      <c r="AN91" s="21" t="s">
        <v>848</v>
      </c>
      <c r="AO91" s="21" t="s">
        <v>2208</v>
      </c>
      <c r="AP91" s="21" t="str">
        <f>IF(AO91="Pending","Not yet invoiced",IF(AI91=AD91,"Matched","Invoiced on received qty ("&amp;AI91&amp;" of "&amp;AD91&amp;")"))</f>
        <v>Matched</v>
      </c>
      <c r="AQ91" s="21" t="s">
        <v>2215</v>
      </c>
    </row>
    <row r="92" spans="1:43" x14ac:dyDescent="0.3">
      <c r="A92" s="21" t="s">
        <v>2243</v>
      </c>
      <c r="B92" s="35">
        <v>45764.666666666664</v>
      </c>
      <c r="C92" s="21" t="s">
        <v>1909</v>
      </c>
      <c r="D92" s="21" t="s">
        <v>2187</v>
      </c>
      <c r="E92" s="21" t="s">
        <v>1945</v>
      </c>
      <c r="F92" s="21" t="s">
        <v>768</v>
      </c>
      <c r="G92" s="35">
        <v>45764.769583333335</v>
      </c>
      <c r="H92" s="21" t="s">
        <v>2188</v>
      </c>
      <c r="I92" s="21" t="s">
        <v>1913</v>
      </c>
      <c r="J92" s="21" t="s">
        <v>1914</v>
      </c>
      <c r="K92" s="21" t="s">
        <v>1857</v>
      </c>
      <c r="L92" s="21" t="s">
        <v>1115</v>
      </c>
      <c r="M92" s="21" t="s">
        <v>1121</v>
      </c>
      <c r="N92" s="21" t="s">
        <v>2189</v>
      </c>
      <c r="O92" s="21" t="s">
        <v>1125</v>
      </c>
      <c r="P92" s="21" t="s">
        <v>2190</v>
      </c>
      <c r="Q92" s="21" t="s">
        <v>1118</v>
      </c>
      <c r="R92" s="21" t="s">
        <v>2244</v>
      </c>
      <c r="S92" s="21" t="s">
        <v>1127</v>
      </c>
      <c r="T92" s="21" t="s">
        <v>2192</v>
      </c>
      <c r="U92" s="21" t="s">
        <v>2220</v>
      </c>
      <c r="V92" s="21" t="s">
        <v>2194</v>
      </c>
      <c r="W92" s="21" t="s">
        <v>2195</v>
      </c>
      <c r="X92" s="21" t="s">
        <v>844</v>
      </c>
      <c r="Y92" s="21" t="s">
        <v>844</v>
      </c>
      <c r="Z92" s="21">
        <v>1</v>
      </c>
      <c r="AA92" s="21" t="s">
        <v>1859</v>
      </c>
      <c r="AB92" s="21" t="s">
        <v>1860</v>
      </c>
      <c r="AC92" s="25">
        <v>20</v>
      </c>
      <c r="AD92" s="25">
        <v>13</v>
      </c>
      <c r="AE92" s="21" t="s">
        <v>2245</v>
      </c>
      <c r="AF92" s="21" t="s">
        <v>2246</v>
      </c>
      <c r="AG92" s="35">
        <v>45764.789583333331</v>
      </c>
      <c r="AH92" s="21" t="s">
        <v>1934</v>
      </c>
      <c r="AI92" s="25">
        <v>13</v>
      </c>
      <c r="AJ92" s="21" t="s">
        <v>2198</v>
      </c>
      <c r="AK92" s="21" t="s">
        <v>1922</v>
      </c>
      <c r="AL92" s="21" t="str">
        <f>IF(AD92-AI92&gt;0,(AD92-AI92)&amp;" bags - damaged in transit","None")</f>
        <v>None</v>
      </c>
      <c r="AM92" s="21" t="s">
        <v>844</v>
      </c>
      <c r="AN92" s="21" t="s">
        <v>848</v>
      </c>
      <c r="AO92" s="21" t="s">
        <v>2199</v>
      </c>
      <c r="AP92" s="21" t="str">
        <f>IF(AO92="Pending","Not yet invoiced",IF(AI92=AD92,"Matched","Invoiced on received qty ("&amp;AI92&amp;" of "&amp;AD92&amp;")"))</f>
        <v>Matched</v>
      </c>
      <c r="AQ92" s="21" t="s">
        <v>2200</v>
      </c>
    </row>
    <row r="93" spans="1:43" x14ac:dyDescent="0.3">
      <c r="A93" s="21" t="s">
        <v>2243</v>
      </c>
      <c r="B93" s="35">
        <v>45764.666666666664</v>
      </c>
      <c r="C93" s="21" t="s">
        <v>1909</v>
      </c>
      <c r="D93" s="21" t="s">
        <v>2187</v>
      </c>
      <c r="E93" s="21" t="s">
        <v>1927</v>
      </c>
      <c r="F93" s="21" t="s">
        <v>768</v>
      </c>
      <c r="G93" s="35">
        <v>45764.769583333335</v>
      </c>
      <c r="H93" s="21" t="s">
        <v>2188</v>
      </c>
      <c r="I93" s="21" t="s">
        <v>1913</v>
      </c>
      <c r="J93" s="21" t="s">
        <v>1914</v>
      </c>
      <c r="K93" s="21" t="s">
        <v>1857</v>
      </c>
      <c r="L93" s="21" t="s">
        <v>1115</v>
      </c>
      <c r="M93" s="21" t="s">
        <v>1121</v>
      </c>
      <c r="N93" s="21" t="s">
        <v>2189</v>
      </c>
      <c r="O93" s="21" t="s">
        <v>1125</v>
      </c>
      <c r="P93" s="21" t="s">
        <v>2190</v>
      </c>
      <c r="Q93" s="21" t="s">
        <v>1118</v>
      </c>
      <c r="R93" s="21" t="s">
        <v>2244</v>
      </c>
      <c r="S93" s="21" t="s">
        <v>1127</v>
      </c>
      <c r="T93" s="21" t="s">
        <v>2192</v>
      </c>
      <c r="U93" s="21" t="s">
        <v>2220</v>
      </c>
      <c r="V93" s="21" t="s">
        <v>2194</v>
      </c>
      <c r="W93" s="21" t="s">
        <v>2195</v>
      </c>
      <c r="X93" s="21" t="s">
        <v>844</v>
      </c>
      <c r="Y93" s="21" t="s">
        <v>844</v>
      </c>
      <c r="Z93" s="21">
        <v>2</v>
      </c>
      <c r="AA93" s="21" t="s">
        <v>1826</v>
      </c>
      <c r="AB93" s="21" t="s">
        <v>1804</v>
      </c>
      <c r="AC93" s="25">
        <v>400</v>
      </c>
      <c r="AD93" s="25">
        <v>50</v>
      </c>
      <c r="AE93" s="21" t="s">
        <v>2247</v>
      </c>
      <c r="AF93" s="21" t="s">
        <v>2246</v>
      </c>
      <c r="AG93" s="35">
        <v>45764.789583333331</v>
      </c>
      <c r="AH93" s="21" t="s">
        <v>1934</v>
      </c>
      <c r="AI93" s="25">
        <v>50</v>
      </c>
      <c r="AJ93" s="21" t="s">
        <v>2198</v>
      </c>
      <c r="AK93" s="21" t="s">
        <v>1922</v>
      </c>
      <c r="AL93" s="21" t="str">
        <f>IF(AD93-AI93&gt;0,(AD93-AI93)&amp;" bags - damaged in transit","None")</f>
        <v>None</v>
      </c>
      <c r="AM93" s="21" t="s">
        <v>844</v>
      </c>
      <c r="AN93" s="21" t="s">
        <v>848</v>
      </c>
      <c r="AO93" s="21" t="s">
        <v>2199</v>
      </c>
      <c r="AP93" s="21" t="str">
        <f>IF(AO93="Pending","Not yet invoiced",IF(AI93=AD93,"Matched","Invoiced on received qty ("&amp;AI93&amp;" of "&amp;AD93&amp;")"))</f>
        <v>Matched</v>
      </c>
      <c r="AQ93" s="21" t="s">
        <v>2200</v>
      </c>
    </row>
    <row r="94" spans="1:43" x14ac:dyDescent="0.3">
      <c r="A94" s="21" t="s">
        <v>2248</v>
      </c>
      <c r="B94" s="35">
        <v>45766.333333333336</v>
      </c>
      <c r="C94" s="21" t="s">
        <v>1909</v>
      </c>
      <c r="D94" s="21" t="s">
        <v>2203</v>
      </c>
      <c r="E94" s="21" t="s">
        <v>1927</v>
      </c>
      <c r="F94" s="21" t="s">
        <v>768</v>
      </c>
      <c r="G94" s="35">
        <v>45766.457083333335</v>
      </c>
      <c r="H94" s="21" t="s">
        <v>1912</v>
      </c>
      <c r="I94" s="21" t="s">
        <v>1913</v>
      </c>
      <c r="J94" s="21" t="s">
        <v>1914</v>
      </c>
      <c r="K94" s="21" t="s">
        <v>1835</v>
      </c>
      <c r="L94" s="21" t="s">
        <v>1055</v>
      </c>
      <c r="M94" s="21" t="s">
        <v>1836</v>
      </c>
      <c r="N94" s="21" t="s">
        <v>2204</v>
      </c>
      <c r="O94" s="21" t="s">
        <v>2205</v>
      </c>
      <c r="P94" s="21" t="s">
        <v>1930</v>
      </c>
      <c r="Q94" s="21" t="s">
        <v>1278</v>
      </c>
      <c r="R94" s="21" t="s">
        <v>1317</v>
      </c>
      <c r="S94" s="21" t="s">
        <v>1104</v>
      </c>
      <c r="T94" s="21" t="s">
        <v>1917</v>
      </c>
      <c r="U94" s="21" t="s">
        <v>1677</v>
      </c>
      <c r="V94" s="21" t="str">
        <f>_xlfn.XLOOKUP(U94,'T07'!$D$3:$D$1500,'T07'!$BI$3:$BI$1500)&amp;" / "&amp;_xlfn.XLOOKUP(U94,'T07'!$D$3:$D$1500,'T07'!$BJ$3:$BJ$1500)</f>
        <v>LHR-HTV-2010-55907 / HTV</v>
      </c>
      <c r="W94" s="21" t="s">
        <v>1917</v>
      </c>
      <c r="X94" s="21" t="s">
        <v>1679</v>
      </c>
      <c r="Y94" s="21" t="s">
        <v>1942</v>
      </c>
      <c r="Z94" s="21">
        <v>1</v>
      </c>
      <c r="AA94" s="21" t="s">
        <v>1808</v>
      </c>
      <c r="AB94" s="21" t="s">
        <v>1804</v>
      </c>
      <c r="AC94" s="25">
        <v>350</v>
      </c>
      <c r="AD94" s="25">
        <v>50</v>
      </c>
      <c r="AE94" s="21" t="s">
        <v>2249</v>
      </c>
      <c r="AF94" s="21" t="s">
        <v>2250</v>
      </c>
      <c r="AG94" s="35">
        <v>45766.477083333331</v>
      </c>
      <c r="AH94" s="21" t="s">
        <v>1934</v>
      </c>
      <c r="AI94" s="25">
        <v>50</v>
      </c>
      <c r="AJ94" s="21" t="s">
        <v>1056</v>
      </c>
      <c r="AK94" s="21" t="s">
        <v>1922</v>
      </c>
      <c r="AL94" s="21" t="str">
        <f>IF(AD94-AI94&gt;0,(AD94-AI94)&amp;" bags - damaged in transit","None")</f>
        <v>None</v>
      </c>
      <c r="AM94" s="21" t="s">
        <v>844</v>
      </c>
      <c r="AN94" s="21" t="s">
        <v>848</v>
      </c>
      <c r="AO94" s="21" t="s">
        <v>2208</v>
      </c>
      <c r="AP94" s="21" t="str">
        <f>IF(AO94="Pending","Not yet invoiced",IF(AI94=AD94,"Matched","Invoiced on received qty ("&amp;AI94&amp;" of "&amp;AD94&amp;")"))</f>
        <v>Matched</v>
      </c>
      <c r="AQ94" s="21" t="s">
        <v>2209</v>
      </c>
    </row>
    <row r="95" spans="1:43" x14ac:dyDescent="0.3">
      <c r="A95" s="21" t="s">
        <v>2251</v>
      </c>
      <c r="B95" s="35">
        <v>45771.291666666664</v>
      </c>
      <c r="C95" s="21" t="s">
        <v>1909</v>
      </c>
      <c r="D95" s="21" t="s">
        <v>2203</v>
      </c>
      <c r="E95" s="21" t="s">
        <v>2056</v>
      </c>
      <c r="F95" s="21" t="s">
        <v>768</v>
      </c>
      <c r="G95" s="35">
        <v>45771.415416666663</v>
      </c>
      <c r="H95" s="21" t="s">
        <v>1912</v>
      </c>
      <c r="I95" s="21" t="s">
        <v>1913</v>
      </c>
      <c r="J95" s="21" t="s">
        <v>1914</v>
      </c>
      <c r="K95" s="21" t="s">
        <v>1835</v>
      </c>
      <c r="L95" s="21" t="s">
        <v>1055</v>
      </c>
      <c r="M95" s="21" t="s">
        <v>1836</v>
      </c>
      <c r="N95" s="21" t="s">
        <v>2204</v>
      </c>
      <c r="O95" s="21" t="s">
        <v>2205</v>
      </c>
      <c r="P95" s="21" t="s">
        <v>1930</v>
      </c>
      <c r="Q95" s="21" t="s">
        <v>1213</v>
      </c>
      <c r="R95" s="21" t="s">
        <v>1236</v>
      </c>
      <c r="S95" s="21" t="s">
        <v>1127</v>
      </c>
      <c r="T95" s="21" t="s">
        <v>1917</v>
      </c>
      <c r="U95" s="21" t="s">
        <v>1782</v>
      </c>
      <c r="V95" s="21" t="str">
        <f>_xlfn.XLOOKUP(U95,'T07'!$D$3:$D$1500,'T07'!$BI$3:$BI$1500)&amp;" / "&amp;_xlfn.XLOOKUP(U95,'T07'!$D$3:$D$1500,'T07'!$BJ$3:$BJ$1500)</f>
        <v>LHR-HTV-2014-51184 / HTV</v>
      </c>
      <c r="W95" s="21" t="s">
        <v>1917</v>
      </c>
      <c r="X95" s="21" t="s">
        <v>1785</v>
      </c>
      <c r="Y95" s="21" t="s">
        <v>2000</v>
      </c>
      <c r="Z95" s="21">
        <v>1</v>
      </c>
      <c r="AA95" s="21" t="s">
        <v>1842</v>
      </c>
      <c r="AB95" s="21" t="s">
        <v>1804</v>
      </c>
      <c r="AC95" s="25">
        <v>350</v>
      </c>
      <c r="AD95" s="25">
        <v>50</v>
      </c>
      <c r="AE95" s="21" t="s">
        <v>2252</v>
      </c>
      <c r="AF95" s="21" t="s">
        <v>2253</v>
      </c>
      <c r="AG95" s="35">
        <v>45771.43541666666</v>
      </c>
      <c r="AH95" s="21" t="s">
        <v>1934</v>
      </c>
      <c r="AI95" s="25">
        <v>50</v>
      </c>
      <c r="AJ95" s="21" t="s">
        <v>1056</v>
      </c>
      <c r="AK95" s="21" t="s">
        <v>1922</v>
      </c>
      <c r="AL95" s="21" t="str">
        <f>IF(AD95-AI95&gt;0,(AD95-AI95)&amp;" bags - damaged in transit","None")</f>
        <v>None</v>
      </c>
      <c r="AM95" s="21" t="s">
        <v>844</v>
      </c>
      <c r="AN95" s="21" t="s">
        <v>848</v>
      </c>
      <c r="AO95" s="21" t="s">
        <v>2208</v>
      </c>
      <c r="AP95" s="21" t="str">
        <f>IF(AO95="Pending","Not yet invoiced",IF(AI95=AD95,"Matched","Invoiced on received qty ("&amp;AI95&amp;" of "&amp;AD95&amp;")"))</f>
        <v>Matched</v>
      </c>
      <c r="AQ95" s="21" t="s">
        <v>2215</v>
      </c>
    </row>
    <row r="96" spans="1:43" x14ac:dyDescent="0.3">
      <c r="A96" s="21" t="s">
        <v>2251</v>
      </c>
      <c r="B96" s="35">
        <v>45771.291666666664</v>
      </c>
      <c r="C96" s="21" t="s">
        <v>1909</v>
      </c>
      <c r="D96" s="21" t="s">
        <v>2203</v>
      </c>
      <c r="E96" s="21" t="s">
        <v>1945</v>
      </c>
      <c r="F96" s="21" t="s">
        <v>768</v>
      </c>
      <c r="G96" s="35">
        <v>45771.415416666663</v>
      </c>
      <c r="H96" s="21" t="s">
        <v>1912</v>
      </c>
      <c r="I96" s="21" t="s">
        <v>1913</v>
      </c>
      <c r="J96" s="21" t="s">
        <v>1914</v>
      </c>
      <c r="K96" s="21" t="s">
        <v>1835</v>
      </c>
      <c r="L96" s="21" t="s">
        <v>1055</v>
      </c>
      <c r="M96" s="21" t="s">
        <v>1836</v>
      </c>
      <c r="N96" s="21" t="s">
        <v>2204</v>
      </c>
      <c r="O96" s="21" t="s">
        <v>2205</v>
      </c>
      <c r="P96" s="21" t="s">
        <v>1930</v>
      </c>
      <c r="Q96" s="21" t="s">
        <v>1213</v>
      </c>
      <c r="R96" s="21" t="s">
        <v>1236</v>
      </c>
      <c r="S96" s="21" t="s">
        <v>1127</v>
      </c>
      <c r="T96" s="21" t="s">
        <v>1917</v>
      </c>
      <c r="U96" s="21" t="s">
        <v>1782</v>
      </c>
      <c r="V96" s="21" t="str">
        <f>_xlfn.XLOOKUP(U96,'T07'!$D$3:$D$1500,'T07'!$BI$3:$BI$1500)&amp;" / "&amp;_xlfn.XLOOKUP(U96,'T07'!$D$3:$D$1500,'T07'!$BJ$3:$BJ$1500)</f>
        <v>LHR-HTV-2014-51184 / HTV</v>
      </c>
      <c r="W96" s="21" t="s">
        <v>1917</v>
      </c>
      <c r="X96" s="21" t="s">
        <v>1785</v>
      </c>
      <c r="Y96" s="21" t="s">
        <v>2000</v>
      </c>
      <c r="Z96" s="21">
        <v>2</v>
      </c>
      <c r="AA96" s="21" t="s">
        <v>1859</v>
      </c>
      <c r="AB96" s="21" t="s">
        <v>1860</v>
      </c>
      <c r="AC96" s="25">
        <v>10</v>
      </c>
      <c r="AD96" s="25">
        <v>4</v>
      </c>
      <c r="AE96" s="21" t="s">
        <v>2254</v>
      </c>
      <c r="AF96" s="21" t="s">
        <v>2253</v>
      </c>
      <c r="AG96" s="35">
        <v>45771.43541666666</v>
      </c>
      <c r="AH96" s="21" t="s">
        <v>1934</v>
      </c>
      <c r="AI96" s="25">
        <v>4</v>
      </c>
      <c r="AJ96" s="21" t="s">
        <v>1056</v>
      </c>
      <c r="AK96" s="21" t="s">
        <v>1922</v>
      </c>
      <c r="AL96" s="21" t="str">
        <f>IF(AD96-AI96&gt;0,(AD96-AI96)&amp;" bags - damaged in transit","None")</f>
        <v>None</v>
      </c>
      <c r="AM96" s="21" t="s">
        <v>844</v>
      </c>
      <c r="AN96" s="21" t="s">
        <v>848</v>
      </c>
      <c r="AO96" s="21" t="s">
        <v>2208</v>
      </c>
      <c r="AP96" s="21" t="str">
        <f>IF(AO96="Pending","Not yet invoiced",IF(AI96=AD96,"Matched","Invoiced on received qty ("&amp;AI96&amp;" of "&amp;AD96&amp;")"))</f>
        <v>Matched</v>
      </c>
      <c r="AQ96" s="21" t="s">
        <v>2215</v>
      </c>
    </row>
    <row r="97" spans="1:43" x14ac:dyDescent="0.3">
      <c r="A97" s="21" t="s">
        <v>2251</v>
      </c>
      <c r="B97" s="35">
        <v>45771.291666666664</v>
      </c>
      <c r="C97" s="21" t="s">
        <v>1909</v>
      </c>
      <c r="D97" s="21" t="s">
        <v>2203</v>
      </c>
      <c r="E97" s="21" t="s">
        <v>1911</v>
      </c>
      <c r="F97" s="21" t="s">
        <v>768</v>
      </c>
      <c r="G97" s="35">
        <v>45771.415416666663</v>
      </c>
      <c r="H97" s="21" t="s">
        <v>1912</v>
      </c>
      <c r="I97" s="21" t="s">
        <v>1913</v>
      </c>
      <c r="J97" s="21" t="s">
        <v>1914</v>
      </c>
      <c r="K97" s="21" t="s">
        <v>1835</v>
      </c>
      <c r="L97" s="21" t="s">
        <v>1055</v>
      </c>
      <c r="M97" s="21" t="s">
        <v>1836</v>
      </c>
      <c r="N97" s="21" t="s">
        <v>2204</v>
      </c>
      <c r="O97" s="21" t="s">
        <v>2205</v>
      </c>
      <c r="P97" s="21" t="s">
        <v>1930</v>
      </c>
      <c r="Q97" s="21" t="s">
        <v>1213</v>
      </c>
      <c r="R97" s="21" t="s">
        <v>1236</v>
      </c>
      <c r="S97" s="21" t="s">
        <v>1127</v>
      </c>
      <c r="T97" s="21" t="s">
        <v>1917</v>
      </c>
      <c r="U97" s="21" t="s">
        <v>1782</v>
      </c>
      <c r="V97" s="21" t="str">
        <f>_xlfn.XLOOKUP(U97,'T07'!$D$3:$D$1500,'T07'!$BI$3:$BI$1500)&amp;" / "&amp;_xlfn.XLOOKUP(U97,'T07'!$D$3:$D$1500,'T07'!$BJ$3:$BJ$1500)</f>
        <v>LHR-HTV-2014-51184 / HTV</v>
      </c>
      <c r="W97" s="21" t="s">
        <v>1917</v>
      </c>
      <c r="X97" s="21" t="s">
        <v>1785</v>
      </c>
      <c r="Y97" s="21" t="s">
        <v>2000</v>
      </c>
      <c r="Z97" s="21">
        <v>3</v>
      </c>
      <c r="AA97" s="21" t="s">
        <v>1808</v>
      </c>
      <c r="AB97" s="21" t="s">
        <v>1804</v>
      </c>
      <c r="AC97" s="25">
        <v>300</v>
      </c>
      <c r="AD97" s="25">
        <v>50</v>
      </c>
      <c r="AE97" s="21" t="s">
        <v>2255</v>
      </c>
      <c r="AF97" s="21" t="s">
        <v>2253</v>
      </c>
      <c r="AG97" s="35">
        <v>45771.43541666666</v>
      </c>
      <c r="AH97" s="21" t="s">
        <v>1934</v>
      </c>
      <c r="AI97" s="25">
        <v>50</v>
      </c>
      <c r="AJ97" s="21" t="s">
        <v>1056</v>
      </c>
      <c r="AK97" s="21" t="s">
        <v>1922</v>
      </c>
      <c r="AL97" s="21" t="str">
        <f>IF(AD97-AI97&gt;0,(AD97-AI97)&amp;" bags - damaged in transit","None")</f>
        <v>None</v>
      </c>
      <c r="AM97" s="21" t="s">
        <v>844</v>
      </c>
      <c r="AN97" s="21" t="s">
        <v>848</v>
      </c>
      <c r="AO97" s="21" t="s">
        <v>2208</v>
      </c>
      <c r="AP97" s="21" t="str">
        <f>IF(AO97="Pending","Not yet invoiced",IF(AI97=AD97,"Matched","Invoiced on received qty ("&amp;AI97&amp;" of "&amp;AD97&amp;")"))</f>
        <v>Matched</v>
      </c>
      <c r="AQ97" s="21" t="s">
        <v>2215</v>
      </c>
    </row>
    <row r="98" spans="1:43" x14ac:dyDescent="0.3">
      <c r="A98" s="21" t="s">
        <v>2256</v>
      </c>
      <c r="B98" s="35">
        <v>45771.375</v>
      </c>
      <c r="C98" s="21" t="s">
        <v>1909</v>
      </c>
      <c r="D98" s="21" t="s">
        <v>2187</v>
      </c>
      <c r="E98" s="21" t="s">
        <v>1911</v>
      </c>
      <c r="F98" s="21" t="s">
        <v>768</v>
      </c>
      <c r="G98" s="35">
        <v>45771.47791666667</v>
      </c>
      <c r="H98" s="21" t="s">
        <v>2188</v>
      </c>
      <c r="I98" s="21" t="s">
        <v>1913</v>
      </c>
      <c r="J98" s="21" t="s">
        <v>1914</v>
      </c>
      <c r="K98" s="21" t="s">
        <v>1857</v>
      </c>
      <c r="L98" s="21" t="s">
        <v>1115</v>
      </c>
      <c r="M98" s="21" t="s">
        <v>1121</v>
      </c>
      <c r="N98" s="21" t="s">
        <v>2189</v>
      </c>
      <c r="O98" s="21" t="s">
        <v>1125</v>
      </c>
      <c r="P98" s="21" t="s">
        <v>2190</v>
      </c>
      <c r="Q98" s="21" t="s">
        <v>1118</v>
      </c>
      <c r="R98" s="21" t="s">
        <v>2257</v>
      </c>
      <c r="S98" s="21" t="s">
        <v>1127</v>
      </c>
      <c r="T98" s="21" t="s">
        <v>2192</v>
      </c>
      <c r="U98" s="21" t="s">
        <v>2258</v>
      </c>
      <c r="V98" s="21" t="s">
        <v>2194</v>
      </c>
      <c r="W98" s="21" t="s">
        <v>2195</v>
      </c>
      <c r="X98" s="21" t="s">
        <v>844</v>
      </c>
      <c r="Y98" s="21" t="s">
        <v>844</v>
      </c>
      <c r="Z98" s="21">
        <v>1</v>
      </c>
      <c r="AA98" s="21" t="s">
        <v>1826</v>
      </c>
      <c r="AB98" s="21" t="s">
        <v>1804</v>
      </c>
      <c r="AC98" s="25">
        <v>350</v>
      </c>
      <c r="AD98" s="25">
        <v>50</v>
      </c>
      <c r="AE98" s="21" t="s">
        <v>2259</v>
      </c>
      <c r="AF98" s="21" t="s">
        <v>2260</v>
      </c>
      <c r="AG98" s="35">
        <v>45771.497916666667</v>
      </c>
      <c r="AH98" s="21" t="s">
        <v>1934</v>
      </c>
      <c r="AI98" s="25">
        <v>50</v>
      </c>
      <c r="AJ98" s="21" t="s">
        <v>2198</v>
      </c>
      <c r="AK98" s="21" t="s">
        <v>1922</v>
      </c>
      <c r="AL98" s="21" t="str">
        <f>IF(AD98-AI98&gt;0,(AD98-AI98)&amp;" bags - damaged in transit","None")</f>
        <v>None</v>
      </c>
      <c r="AM98" s="21" t="s">
        <v>844</v>
      </c>
      <c r="AN98" s="21" t="s">
        <v>848</v>
      </c>
      <c r="AO98" s="21" t="s">
        <v>2199</v>
      </c>
      <c r="AP98" s="21" t="str">
        <f>IF(AO98="Pending","Not yet invoiced",IF(AI98=AD98,"Matched","Invoiced on received qty ("&amp;AI98&amp;" of "&amp;AD98&amp;")"))</f>
        <v>Matched</v>
      </c>
      <c r="AQ98" s="21" t="s">
        <v>2200</v>
      </c>
    </row>
    <row r="99" spans="1:43" x14ac:dyDescent="0.3">
      <c r="A99" s="21" t="s">
        <v>2256</v>
      </c>
      <c r="B99" s="35">
        <v>45771.375</v>
      </c>
      <c r="C99" s="21" t="s">
        <v>1909</v>
      </c>
      <c r="D99" s="21" t="s">
        <v>2187</v>
      </c>
      <c r="E99" s="21" t="s">
        <v>1945</v>
      </c>
      <c r="F99" s="21" t="s">
        <v>768</v>
      </c>
      <c r="G99" s="35">
        <v>45771.47791666667</v>
      </c>
      <c r="H99" s="21" t="s">
        <v>2188</v>
      </c>
      <c r="I99" s="21" t="s">
        <v>1913</v>
      </c>
      <c r="J99" s="21" t="s">
        <v>1914</v>
      </c>
      <c r="K99" s="21" t="s">
        <v>1857</v>
      </c>
      <c r="L99" s="21" t="s">
        <v>1115</v>
      </c>
      <c r="M99" s="21" t="s">
        <v>1121</v>
      </c>
      <c r="N99" s="21" t="s">
        <v>2189</v>
      </c>
      <c r="O99" s="21" t="s">
        <v>1125</v>
      </c>
      <c r="P99" s="21" t="s">
        <v>2190</v>
      </c>
      <c r="Q99" s="21" t="s">
        <v>1118</v>
      </c>
      <c r="R99" s="21" t="s">
        <v>2257</v>
      </c>
      <c r="S99" s="21" t="s">
        <v>1127</v>
      </c>
      <c r="T99" s="21" t="s">
        <v>2192</v>
      </c>
      <c r="U99" s="21" t="s">
        <v>2258</v>
      </c>
      <c r="V99" s="21" t="s">
        <v>2194</v>
      </c>
      <c r="W99" s="21" t="s">
        <v>2195</v>
      </c>
      <c r="X99" s="21" t="s">
        <v>844</v>
      </c>
      <c r="Y99" s="21" t="s">
        <v>844</v>
      </c>
      <c r="Z99" s="21">
        <v>2</v>
      </c>
      <c r="AA99" s="21" t="s">
        <v>1859</v>
      </c>
      <c r="AB99" s="21" t="s">
        <v>1860</v>
      </c>
      <c r="AC99" s="25">
        <v>7</v>
      </c>
      <c r="AD99" s="25">
        <v>4</v>
      </c>
      <c r="AE99" s="21" t="s">
        <v>2261</v>
      </c>
      <c r="AF99" s="21" t="s">
        <v>2260</v>
      </c>
      <c r="AG99" s="35">
        <v>45771.497916666667</v>
      </c>
      <c r="AH99" s="21" t="s">
        <v>1934</v>
      </c>
      <c r="AI99" s="25">
        <v>4</v>
      </c>
      <c r="AJ99" s="21" t="s">
        <v>2198</v>
      </c>
      <c r="AK99" s="21" t="s">
        <v>1922</v>
      </c>
      <c r="AL99" s="21" t="str">
        <f>IF(AD99-AI99&gt;0,(AD99-AI99)&amp;" bags - damaged in transit","None")</f>
        <v>None</v>
      </c>
      <c r="AM99" s="21" t="s">
        <v>844</v>
      </c>
      <c r="AN99" s="21" t="s">
        <v>848</v>
      </c>
      <c r="AO99" s="21" t="s">
        <v>2199</v>
      </c>
      <c r="AP99" s="21" t="str">
        <f>IF(AO99="Pending","Not yet invoiced",IF(AI99=AD99,"Matched","Invoiced on received qty ("&amp;AI99&amp;" of "&amp;AD99&amp;")"))</f>
        <v>Matched</v>
      </c>
      <c r="AQ99" s="21" t="s">
        <v>2200</v>
      </c>
    </row>
    <row r="100" spans="1:43" x14ac:dyDescent="0.3">
      <c r="A100" s="21" t="s">
        <v>2256</v>
      </c>
      <c r="B100" s="35">
        <v>45771.375</v>
      </c>
      <c r="C100" s="21" t="s">
        <v>1909</v>
      </c>
      <c r="D100" s="21" t="s">
        <v>2187</v>
      </c>
      <c r="E100" s="21" t="s">
        <v>2056</v>
      </c>
      <c r="F100" s="21" t="s">
        <v>768</v>
      </c>
      <c r="G100" s="35">
        <v>45771.47791666667</v>
      </c>
      <c r="H100" s="21" t="s">
        <v>2188</v>
      </c>
      <c r="I100" s="21" t="s">
        <v>1913</v>
      </c>
      <c r="J100" s="21" t="s">
        <v>1914</v>
      </c>
      <c r="K100" s="21" t="s">
        <v>1857</v>
      </c>
      <c r="L100" s="21" t="s">
        <v>1115</v>
      </c>
      <c r="M100" s="21" t="s">
        <v>1121</v>
      </c>
      <c r="N100" s="21" t="s">
        <v>2189</v>
      </c>
      <c r="O100" s="21" t="s">
        <v>1125</v>
      </c>
      <c r="P100" s="21" t="s">
        <v>2190</v>
      </c>
      <c r="Q100" s="21" t="s">
        <v>1118</v>
      </c>
      <c r="R100" s="21" t="s">
        <v>2257</v>
      </c>
      <c r="S100" s="21" t="s">
        <v>1127</v>
      </c>
      <c r="T100" s="21" t="s">
        <v>2192</v>
      </c>
      <c r="U100" s="21" t="s">
        <v>2258</v>
      </c>
      <c r="V100" s="21" t="s">
        <v>2194</v>
      </c>
      <c r="W100" s="21" t="s">
        <v>2195</v>
      </c>
      <c r="X100" s="21" t="s">
        <v>844</v>
      </c>
      <c r="Y100" s="21" t="s">
        <v>844</v>
      </c>
      <c r="Z100" s="21">
        <v>3</v>
      </c>
      <c r="AA100" s="21" t="s">
        <v>1842</v>
      </c>
      <c r="AB100" s="21" t="s">
        <v>1804</v>
      </c>
      <c r="AC100" s="25">
        <v>350</v>
      </c>
      <c r="AD100" s="25">
        <v>50</v>
      </c>
      <c r="AE100" s="21" t="s">
        <v>2262</v>
      </c>
      <c r="AF100" s="21" t="s">
        <v>2260</v>
      </c>
      <c r="AG100" s="35">
        <v>45771.497916666667</v>
      </c>
      <c r="AH100" s="21" t="s">
        <v>1934</v>
      </c>
      <c r="AI100" s="25">
        <v>45</v>
      </c>
      <c r="AJ100" s="21" t="s">
        <v>2198</v>
      </c>
      <c r="AK100" s="21" t="s">
        <v>1922</v>
      </c>
      <c r="AL100" s="21" t="str">
        <f>IF(AD100-AI100&gt;0,(AD100-AI100)&amp;" bags - damaged in transit","None")</f>
        <v>5 bags - damaged in transit</v>
      </c>
      <c r="AM100" s="21" t="s">
        <v>2263</v>
      </c>
      <c r="AN100" s="21" t="s">
        <v>2264</v>
      </c>
      <c r="AO100" s="21" t="s">
        <v>2199</v>
      </c>
      <c r="AP100" s="21" t="str">
        <f>IF(AO100="Pending","Not yet invoiced",IF(AI100=AD100,"Matched","Invoiced on received qty ("&amp;AI100&amp;" of "&amp;AD100&amp;")"))</f>
        <v>Invoiced on received qty (45 of 50)</v>
      </c>
      <c r="AQ100" s="21" t="s">
        <v>2200</v>
      </c>
    </row>
    <row r="101" spans="1:43" x14ac:dyDescent="0.3">
      <c r="A101" s="21" t="s">
        <v>2265</v>
      </c>
      <c r="B101" s="35">
        <v>45780.375</v>
      </c>
      <c r="C101" s="21" t="s">
        <v>1909</v>
      </c>
      <c r="D101" s="21" t="s">
        <v>2266</v>
      </c>
      <c r="E101" s="21" t="s">
        <v>1911</v>
      </c>
      <c r="F101" s="21" t="s">
        <v>1817</v>
      </c>
      <c r="G101" s="35">
        <v>45780.494583333333</v>
      </c>
      <c r="H101" s="21" t="s">
        <v>1912</v>
      </c>
      <c r="I101" s="21" t="s">
        <v>1913</v>
      </c>
      <c r="J101" s="21" t="s">
        <v>1914</v>
      </c>
      <c r="K101" s="21" t="s">
        <v>1813</v>
      </c>
      <c r="L101" s="21" t="s">
        <v>1089</v>
      </c>
      <c r="M101" s="21" t="s">
        <v>1105</v>
      </c>
      <c r="N101" s="21" t="s">
        <v>1106</v>
      </c>
      <c r="O101" s="21" t="s">
        <v>1915</v>
      </c>
      <c r="P101" s="21" t="s">
        <v>1916</v>
      </c>
      <c r="Q101" s="21" t="s">
        <v>1339</v>
      </c>
      <c r="R101" s="21" t="s">
        <v>1350</v>
      </c>
      <c r="S101" s="21" t="s">
        <v>1352</v>
      </c>
      <c r="T101" s="21" t="s">
        <v>1917</v>
      </c>
      <c r="U101" s="21" t="s">
        <v>1739</v>
      </c>
      <c r="V101" s="21" t="str">
        <f>_xlfn.XLOOKUP(U101,'T07'!$D$3:$D$1500,'T07'!$BI$3:$BI$1500)&amp;" / "&amp;_xlfn.XLOOKUP(U101,'T07'!$D$3:$D$1500,'T07'!$BJ$3:$BJ$1500)</f>
        <v>LHR-HTV-2020-13470 / HTV</v>
      </c>
      <c r="W101" s="21" t="s">
        <v>1917</v>
      </c>
      <c r="X101" s="21" t="s">
        <v>1742</v>
      </c>
      <c r="Y101" s="21" t="s">
        <v>1918</v>
      </c>
      <c r="Z101" s="21">
        <v>1</v>
      </c>
      <c r="AA101" s="21" t="s">
        <v>1815</v>
      </c>
      <c r="AB101" s="21" t="s">
        <v>783</v>
      </c>
      <c r="AC101" s="25">
        <v>270</v>
      </c>
      <c r="AD101" s="25">
        <v>40</v>
      </c>
      <c r="AE101" s="21" t="s">
        <v>2267</v>
      </c>
      <c r="AF101" s="21" t="s">
        <v>2268</v>
      </c>
      <c r="AG101" s="35">
        <v>45780.51458333333</v>
      </c>
      <c r="AH101" s="21" t="s">
        <v>1921</v>
      </c>
      <c r="AI101" s="25">
        <v>40</v>
      </c>
      <c r="AJ101" s="21" t="s">
        <v>1107</v>
      </c>
      <c r="AK101" s="21" t="s">
        <v>1922</v>
      </c>
      <c r="AL101" s="21" t="str">
        <f>IF(AD101-AI101&gt;0,(AD101-AI101)&amp;" bags - damaged in transit","None")</f>
        <v>None</v>
      </c>
      <c r="AM101" s="21" t="s">
        <v>844</v>
      </c>
      <c r="AN101" s="21" t="s">
        <v>848</v>
      </c>
      <c r="AO101" s="21" t="s">
        <v>2269</v>
      </c>
      <c r="AP101" s="21" t="str">
        <f>IF(AO101="Pending","Not yet invoiced",IF(AI101=AD101,"Matched","Invoiced on received qty ("&amp;AI101&amp;" of "&amp;AD101&amp;")"))</f>
        <v>Matched</v>
      </c>
      <c r="AQ101" s="21" t="s">
        <v>2270</v>
      </c>
    </row>
    <row r="102" spans="1:43" x14ac:dyDescent="0.3">
      <c r="A102" s="21" t="s">
        <v>2271</v>
      </c>
      <c r="B102" s="35">
        <v>45780.5</v>
      </c>
      <c r="C102" s="21" t="s">
        <v>1909</v>
      </c>
      <c r="D102" s="21" t="s">
        <v>2272</v>
      </c>
      <c r="E102" s="21" t="s">
        <v>1927</v>
      </c>
      <c r="F102" s="21" t="s">
        <v>768</v>
      </c>
      <c r="G102" s="35">
        <v>45780.60291666667</v>
      </c>
      <c r="H102" s="21" t="s">
        <v>2188</v>
      </c>
      <c r="I102" s="21" t="s">
        <v>1913</v>
      </c>
      <c r="J102" s="21" t="s">
        <v>1914</v>
      </c>
      <c r="K102" s="21" t="s">
        <v>1857</v>
      </c>
      <c r="L102" s="21" t="s">
        <v>1115</v>
      </c>
      <c r="M102" s="21" t="s">
        <v>1121</v>
      </c>
      <c r="N102" s="21" t="s">
        <v>2189</v>
      </c>
      <c r="O102" s="21" t="s">
        <v>1125</v>
      </c>
      <c r="P102" s="21" t="s">
        <v>2190</v>
      </c>
      <c r="Q102" s="21" t="s">
        <v>1118</v>
      </c>
      <c r="R102" s="21" t="s">
        <v>2273</v>
      </c>
      <c r="S102" s="21" t="s">
        <v>1127</v>
      </c>
      <c r="T102" s="21" t="s">
        <v>2192</v>
      </c>
      <c r="U102" s="21" t="s">
        <v>2193</v>
      </c>
      <c r="V102" s="21" t="s">
        <v>2194</v>
      </c>
      <c r="W102" s="21" t="s">
        <v>2195</v>
      </c>
      <c r="X102" s="21" t="s">
        <v>844</v>
      </c>
      <c r="Y102" s="21" t="s">
        <v>844</v>
      </c>
      <c r="Z102" s="21">
        <v>1</v>
      </c>
      <c r="AA102" s="21" t="s">
        <v>1842</v>
      </c>
      <c r="AB102" s="21" t="s">
        <v>1804</v>
      </c>
      <c r="AC102" s="25">
        <v>2500</v>
      </c>
      <c r="AD102" s="25">
        <v>500</v>
      </c>
      <c r="AE102" s="21" t="s">
        <v>2274</v>
      </c>
      <c r="AF102" s="21" t="s">
        <v>2275</v>
      </c>
      <c r="AG102" s="35">
        <v>45780.622916666667</v>
      </c>
      <c r="AH102" s="21" t="s">
        <v>1934</v>
      </c>
      <c r="AI102" s="25">
        <v>500</v>
      </c>
      <c r="AJ102" s="21" t="s">
        <v>2198</v>
      </c>
      <c r="AK102" s="21" t="s">
        <v>1922</v>
      </c>
      <c r="AL102" s="21" t="str">
        <f>IF(AD102-AI102&gt;0,(AD102-AI102)&amp;" bags - damaged in transit","None")</f>
        <v>None</v>
      </c>
      <c r="AM102" s="21" t="s">
        <v>844</v>
      </c>
      <c r="AN102" s="21" t="s">
        <v>848</v>
      </c>
      <c r="AO102" s="21" t="s">
        <v>2276</v>
      </c>
      <c r="AP102" s="21" t="str">
        <f>IF(AO102="Pending","Not yet invoiced",IF(AI102=AD102,"Matched","Invoiced on received qty ("&amp;AI102&amp;" of "&amp;AD102&amp;")"))</f>
        <v>Matched</v>
      </c>
      <c r="AQ102" s="21" t="s">
        <v>2200</v>
      </c>
    </row>
    <row r="103" spans="1:43" x14ac:dyDescent="0.3">
      <c r="A103" s="21" t="s">
        <v>2277</v>
      </c>
      <c r="B103" s="35">
        <v>45783.666666666664</v>
      </c>
      <c r="C103" s="21" t="s">
        <v>1909</v>
      </c>
      <c r="D103" s="21" t="s">
        <v>2266</v>
      </c>
      <c r="E103" s="21" t="s">
        <v>1911</v>
      </c>
      <c r="F103" s="21" t="s">
        <v>1817</v>
      </c>
      <c r="G103" s="35">
        <v>45783.786249999997</v>
      </c>
      <c r="H103" s="21" t="s">
        <v>1912</v>
      </c>
      <c r="I103" s="21" t="s">
        <v>1913</v>
      </c>
      <c r="J103" s="21" t="s">
        <v>1914</v>
      </c>
      <c r="K103" s="21" t="s">
        <v>1813</v>
      </c>
      <c r="L103" s="21" t="s">
        <v>1089</v>
      </c>
      <c r="M103" s="21" t="s">
        <v>1105</v>
      </c>
      <c r="N103" s="21" t="s">
        <v>1106</v>
      </c>
      <c r="O103" s="21" t="s">
        <v>1915</v>
      </c>
      <c r="P103" s="21" t="s">
        <v>1916</v>
      </c>
      <c r="Q103" s="21" t="s">
        <v>1339</v>
      </c>
      <c r="R103" s="21" t="s">
        <v>1360</v>
      </c>
      <c r="S103" s="21" t="s">
        <v>1343</v>
      </c>
      <c r="T103" s="21" t="s">
        <v>1917</v>
      </c>
      <c r="U103" s="21" t="s">
        <v>1724</v>
      </c>
      <c r="V103" s="21" t="str">
        <f>_xlfn.XLOOKUP(U103,'T07'!$D$3:$D$1500,'T07'!$BI$3:$BI$1500)&amp;" / "&amp;_xlfn.XLOOKUP(U103,'T07'!$D$3:$D$1500,'T07'!$BJ$3:$BJ$1500)</f>
        <v>LHR-HTV-2008-90487 / HTV</v>
      </c>
      <c r="W103" s="21" t="s">
        <v>1917</v>
      </c>
      <c r="X103" s="21" t="s">
        <v>1726</v>
      </c>
      <c r="Y103" s="21" t="s">
        <v>1963</v>
      </c>
      <c r="Z103" s="21">
        <v>1</v>
      </c>
      <c r="AA103" s="21" t="s">
        <v>1815</v>
      </c>
      <c r="AB103" s="21" t="s">
        <v>783</v>
      </c>
      <c r="AC103" s="25">
        <v>230</v>
      </c>
      <c r="AD103" s="25">
        <v>27</v>
      </c>
      <c r="AE103" s="21" t="s">
        <v>2278</v>
      </c>
      <c r="AF103" s="21" t="s">
        <v>2279</v>
      </c>
      <c r="AG103" s="35">
        <v>45783.806249999994</v>
      </c>
      <c r="AH103" s="21" t="s">
        <v>1921</v>
      </c>
      <c r="AI103" s="25">
        <v>27</v>
      </c>
      <c r="AJ103" s="21" t="s">
        <v>1107</v>
      </c>
      <c r="AK103" s="21" t="s">
        <v>1922</v>
      </c>
      <c r="AL103" s="21" t="str">
        <f>IF(AD103-AI103&gt;0,(AD103-AI103)&amp;" bags - damaged in transit","None")</f>
        <v>None</v>
      </c>
      <c r="AM103" s="21" t="s">
        <v>844</v>
      </c>
      <c r="AN103" s="21" t="s">
        <v>848</v>
      </c>
      <c r="AO103" s="21" t="s">
        <v>2269</v>
      </c>
      <c r="AP103" s="21" t="str">
        <f>IF(AO103="Pending","Not yet invoiced",IF(AI103=AD103,"Matched","Invoiced on received qty ("&amp;AI103&amp;" of "&amp;AD103&amp;")"))</f>
        <v>Matched</v>
      </c>
      <c r="AQ103" s="21" t="s">
        <v>2270</v>
      </c>
    </row>
    <row r="104" spans="1:43" x14ac:dyDescent="0.3">
      <c r="A104" s="21" t="s">
        <v>2280</v>
      </c>
      <c r="B104" s="35">
        <v>45784.291666666664</v>
      </c>
      <c r="C104" s="21" t="s">
        <v>1909</v>
      </c>
      <c r="D104" s="21" t="s">
        <v>2272</v>
      </c>
      <c r="E104" s="21" t="s">
        <v>1927</v>
      </c>
      <c r="F104" s="21" t="s">
        <v>768</v>
      </c>
      <c r="G104" s="35">
        <v>45784.394583333335</v>
      </c>
      <c r="H104" s="21" t="s">
        <v>2188</v>
      </c>
      <c r="I104" s="21" t="s">
        <v>1913</v>
      </c>
      <c r="J104" s="21" t="s">
        <v>1914</v>
      </c>
      <c r="K104" s="21" t="s">
        <v>1857</v>
      </c>
      <c r="L104" s="21" t="s">
        <v>1115</v>
      </c>
      <c r="M104" s="21" t="s">
        <v>1121</v>
      </c>
      <c r="N104" s="21" t="s">
        <v>2189</v>
      </c>
      <c r="O104" s="21" t="s">
        <v>1125</v>
      </c>
      <c r="P104" s="21" t="s">
        <v>2190</v>
      </c>
      <c r="Q104" s="21" t="s">
        <v>1118</v>
      </c>
      <c r="R104" s="21" t="s">
        <v>2281</v>
      </c>
      <c r="S104" s="21" t="s">
        <v>1127</v>
      </c>
      <c r="T104" s="21" t="s">
        <v>2192</v>
      </c>
      <c r="U104" s="21" t="s">
        <v>2258</v>
      </c>
      <c r="V104" s="21" t="s">
        <v>2194</v>
      </c>
      <c r="W104" s="21" t="s">
        <v>2195</v>
      </c>
      <c r="X104" s="21" t="s">
        <v>844</v>
      </c>
      <c r="Y104" s="21" t="s">
        <v>844</v>
      </c>
      <c r="Z104" s="21">
        <v>1</v>
      </c>
      <c r="AA104" s="21" t="s">
        <v>1842</v>
      </c>
      <c r="AB104" s="21" t="s">
        <v>1804</v>
      </c>
      <c r="AC104" s="25">
        <v>2000</v>
      </c>
      <c r="AD104" s="25">
        <v>100</v>
      </c>
      <c r="AE104" s="21" t="s">
        <v>2282</v>
      </c>
      <c r="AF104" s="21" t="s">
        <v>2283</v>
      </c>
      <c r="AG104" s="35">
        <v>45784.414583333331</v>
      </c>
      <c r="AH104" s="21" t="s">
        <v>1934</v>
      </c>
      <c r="AI104" s="25">
        <v>100</v>
      </c>
      <c r="AJ104" s="21" t="s">
        <v>2198</v>
      </c>
      <c r="AK104" s="21" t="s">
        <v>1922</v>
      </c>
      <c r="AL104" s="21" t="str">
        <f>IF(AD104-AI104&gt;0,(AD104-AI104)&amp;" bags - damaged in transit","None")</f>
        <v>None</v>
      </c>
      <c r="AM104" s="21" t="s">
        <v>844</v>
      </c>
      <c r="AN104" s="21" t="s">
        <v>848</v>
      </c>
      <c r="AO104" s="21" t="s">
        <v>2276</v>
      </c>
      <c r="AP104" s="21" t="str">
        <f>IF(AO104="Pending","Not yet invoiced",IF(AI104=AD104,"Matched","Invoiced on received qty ("&amp;AI104&amp;" of "&amp;AD104&amp;")"))</f>
        <v>Matched</v>
      </c>
      <c r="AQ104" s="21" t="s">
        <v>2200</v>
      </c>
    </row>
    <row r="105" spans="1:43" x14ac:dyDescent="0.3">
      <c r="A105" s="21" t="s">
        <v>2280</v>
      </c>
      <c r="B105" s="35">
        <v>45784.291666666664</v>
      </c>
      <c r="C105" s="21" t="s">
        <v>1909</v>
      </c>
      <c r="D105" s="21" t="s">
        <v>2272</v>
      </c>
      <c r="E105" s="21" t="s">
        <v>1927</v>
      </c>
      <c r="F105" s="21" t="s">
        <v>768</v>
      </c>
      <c r="G105" s="35">
        <v>45784.394583333335</v>
      </c>
      <c r="H105" s="21" t="s">
        <v>2188</v>
      </c>
      <c r="I105" s="21" t="s">
        <v>1913</v>
      </c>
      <c r="J105" s="21" t="s">
        <v>1914</v>
      </c>
      <c r="K105" s="21" t="s">
        <v>1857</v>
      </c>
      <c r="L105" s="21" t="s">
        <v>1115</v>
      </c>
      <c r="M105" s="21" t="s">
        <v>1121</v>
      </c>
      <c r="N105" s="21" t="s">
        <v>2189</v>
      </c>
      <c r="O105" s="21" t="s">
        <v>1125</v>
      </c>
      <c r="P105" s="21" t="s">
        <v>2190</v>
      </c>
      <c r="Q105" s="21" t="s">
        <v>1118</v>
      </c>
      <c r="R105" s="21" t="s">
        <v>2281</v>
      </c>
      <c r="S105" s="21" t="s">
        <v>1127</v>
      </c>
      <c r="T105" s="21" t="s">
        <v>2192</v>
      </c>
      <c r="U105" s="21" t="s">
        <v>2258</v>
      </c>
      <c r="V105" s="21" t="s">
        <v>2194</v>
      </c>
      <c r="W105" s="21" t="s">
        <v>2195</v>
      </c>
      <c r="X105" s="21" t="s">
        <v>844</v>
      </c>
      <c r="Y105" s="21" t="s">
        <v>844</v>
      </c>
      <c r="Z105" s="21">
        <v>2</v>
      </c>
      <c r="AA105" s="21" t="s">
        <v>1865</v>
      </c>
      <c r="AB105" s="21" t="s">
        <v>1804</v>
      </c>
      <c r="AC105" s="25">
        <v>1500</v>
      </c>
      <c r="AD105" s="25">
        <v>100</v>
      </c>
      <c r="AE105" s="21" t="s">
        <v>2284</v>
      </c>
      <c r="AF105" s="21" t="s">
        <v>2283</v>
      </c>
      <c r="AG105" s="35">
        <v>45784.414583333331</v>
      </c>
      <c r="AH105" s="21" t="s">
        <v>1934</v>
      </c>
      <c r="AI105" s="25">
        <v>100</v>
      </c>
      <c r="AJ105" s="21" t="s">
        <v>2198</v>
      </c>
      <c r="AK105" s="21" t="s">
        <v>1922</v>
      </c>
      <c r="AL105" s="21" t="str">
        <f>IF(AD105-AI105&gt;0,(AD105-AI105)&amp;" bags - damaged in transit","None")</f>
        <v>None</v>
      </c>
      <c r="AM105" s="21" t="s">
        <v>844</v>
      </c>
      <c r="AN105" s="21" t="s">
        <v>848</v>
      </c>
      <c r="AO105" s="21" t="s">
        <v>2276</v>
      </c>
      <c r="AP105" s="21" t="str">
        <f>IF(AO105="Pending","Not yet invoiced",IF(AI105=AD105,"Matched","Invoiced on received qty ("&amp;AI105&amp;" of "&amp;AD105&amp;")"))</f>
        <v>Matched</v>
      </c>
      <c r="AQ105" s="21" t="s">
        <v>2200</v>
      </c>
    </row>
    <row r="106" spans="1:43" x14ac:dyDescent="0.3">
      <c r="A106" s="21" t="s">
        <v>2285</v>
      </c>
      <c r="B106" s="35">
        <v>45786.333333333336</v>
      </c>
      <c r="C106" s="21" t="s">
        <v>1909</v>
      </c>
      <c r="D106" s="21" t="s">
        <v>2272</v>
      </c>
      <c r="E106" s="21" t="s">
        <v>2056</v>
      </c>
      <c r="F106" s="21" t="s">
        <v>768</v>
      </c>
      <c r="G106" s="35">
        <v>45786.436250000006</v>
      </c>
      <c r="H106" s="21" t="s">
        <v>2188</v>
      </c>
      <c r="I106" s="21" t="s">
        <v>1913</v>
      </c>
      <c r="J106" s="21" t="s">
        <v>1914</v>
      </c>
      <c r="K106" s="21" t="s">
        <v>1857</v>
      </c>
      <c r="L106" s="21" t="s">
        <v>1115</v>
      </c>
      <c r="M106" s="21" t="s">
        <v>1121</v>
      </c>
      <c r="N106" s="21" t="s">
        <v>2189</v>
      </c>
      <c r="O106" s="21" t="s">
        <v>1125</v>
      </c>
      <c r="P106" s="21" t="s">
        <v>2190</v>
      </c>
      <c r="Q106" s="21" t="s">
        <v>1118</v>
      </c>
      <c r="R106" s="21" t="s">
        <v>2286</v>
      </c>
      <c r="S106" s="21" t="s">
        <v>1127</v>
      </c>
      <c r="T106" s="21" t="s">
        <v>2192</v>
      </c>
      <c r="U106" s="21" t="s">
        <v>2220</v>
      </c>
      <c r="V106" s="21" t="s">
        <v>2194</v>
      </c>
      <c r="W106" s="21" t="s">
        <v>2195</v>
      </c>
      <c r="X106" s="21" t="s">
        <v>844</v>
      </c>
      <c r="Y106" s="21" t="s">
        <v>844</v>
      </c>
      <c r="Z106" s="21">
        <v>1</v>
      </c>
      <c r="AA106" s="21" t="s">
        <v>1842</v>
      </c>
      <c r="AB106" s="21" t="s">
        <v>1804</v>
      </c>
      <c r="AC106" s="25">
        <v>1900</v>
      </c>
      <c r="AD106" s="25">
        <v>250</v>
      </c>
      <c r="AE106" s="21" t="s">
        <v>2287</v>
      </c>
      <c r="AF106" s="21" t="s">
        <v>2288</v>
      </c>
      <c r="AG106" s="35">
        <v>45786.456250000003</v>
      </c>
      <c r="AH106" s="21" t="s">
        <v>1934</v>
      </c>
      <c r="AI106" s="25">
        <v>250</v>
      </c>
      <c r="AJ106" s="21" t="s">
        <v>2198</v>
      </c>
      <c r="AK106" s="21" t="s">
        <v>1922</v>
      </c>
      <c r="AL106" s="21" t="str">
        <f>IF(AD106-AI106&gt;0,(AD106-AI106)&amp;" bags - damaged in transit","None")</f>
        <v>None</v>
      </c>
      <c r="AM106" s="21" t="s">
        <v>844</v>
      </c>
      <c r="AN106" s="21" t="s">
        <v>848</v>
      </c>
      <c r="AO106" s="21" t="s">
        <v>2276</v>
      </c>
      <c r="AP106" s="21" t="str">
        <f>IF(AO106="Pending","Not yet invoiced",IF(AI106=AD106,"Matched","Invoiced on received qty ("&amp;AI106&amp;" of "&amp;AD106&amp;")"))</f>
        <v>Matched</v>
      </c>
      <c r="AQ106" s="21" t="s">
        <v>2200</v>
      </c>
    </row>
    <row r="107" spans="1:43" x14ac:dyDescent="0.3">
      <c r="A107" s="21" t="s">
        <v>2285</v>
      </c>
      <c r="B107" s="35">
        <v>45786.333333333336</v>
      </c>
      <c r="C107" s="21" t="s">
        <v>1909</v>
      </c>
      <c r="D107" s="21" t="s">
        <v>2272</v>
      </c>
      <c r="E107" s="21" t="s">
        <v>1945</v>
      </c>
      <c r="F107" s="21" t="s">
        <v>768</v>
      </c>
      <c r="G107" s="35">
        <v>45786.436250000006</v>
      </c>
      <c r="H107" s="21" t="s">
        <v>2188</v>
      </c>
      <c r="I107" s="21" t="s">
        <v>1913</v>
      </c>
      <c r="J107" s="21" t="s">
        <v>1914</v>
      </c>
      <c r="K107" s="21" t="s">
        <v>1857</v>
      </c>
      <c r="L107" s="21" t="s">
        <v>1115</v>
      </c>
      <c r="M107" s="21" t="s">
        <v>1121</v>
      </c>
      <c r="N107" s="21" t="s">
        <v>2189</v>
      </c>
      <c r="O107" s="21" t="s">
        <v>1125</v>
      </c>
      <c r="P107" s="21" t="s">
        <v>2190</v>
      </c>
      <c r="Q107" s="21" t="s">
        <v>1118</v>
      </c>
      <c r="R107" s="21" t="s">
        <v>2286</v>
      </c>
      <c r="S107" s="21" t="s">
        <v>1127</v>
      </c>
      <c r="T107" s="21" t="s">
        <v>2192</v>
      </c>
      <c r="U107" s="21" t="s">
        <v>2220</v>
      </c>
      <c r="V107" s="21" t="s">
        <v>2194</v>
      </c>
      <c r="W107" s="21" t="s">
        <v>2195</v>
      </c>
      <c r="X107" s="21" t="s">
        <v>844</v>
      </c>
      <c r="Y107" s="21" t="s">
        <v>844</v>
      </c>
      <c r="Z107" s="21">
        <v>2</v>
      </c>
      <c r="AA107" s="21" t="s">
        <v>1865</v>
      </c>
      <c r="AB107" s="21" t="s">
        <v>1804</v>
      </c>
      <c r="AC107" s="25">
        <v>1400</v>
      </c>
      <c r="AD107" s="25">
        <v>250</v>
      </c>
      <c r="AE107" s="21" t="s">
        <v>2289</v>
      </c>
      <c r="AF107" s="21" t="s">
        <v>2288</v>
      </c>
      <c r="AG107" s="35">
        <v>45786.456250000003</v>
      </c>
      <c r="AH107" s="21" t="s">
        <v>1934</v>
      </c>
      <c r="AI107" s="25">
        <v>250</v>
      </c>
      <c r="AJ107" s="21" t="s">
        <v>2198</v>
      </c>
      <c r="AK107" s="21" t="s">
        <v>1922</v>
      </c>
      <c r="AL107" s="21" t="str">
        <f>IF(AD107-AI107&gt;0,(AD107-AI107)&amp;" bags - damaged in transit","None")</f>
        <v>None</v>
      </c>
      <c r="AM107" s="21" t="s">
        <v>844</v>
      </c>
      <c r="AN107" s="21" t="s">
        <v>848</v>
      </c>
      <c r="AO107" s="21" t="s">
        <v>2276</v>
      </c>
      <c r="AP107" s="21" t="str">
        <f>IF(AO107="Pending","Not yet invoiced",IF(AI107=AD107,"Matched","Invoiced on received qty ("&amp;AI107&amp;" of "&amp;AD107&amp;")"))</f>
        <v>Matched</v>
      </c>
      <c r="AQ107" s="21" t="s">
        <v>2200</v>
      </c>
    </row>
    <row r="108" spans="1:43" x14ac:dyDescent="0.3">
      <c r="A108" s="21" t="s">
        <v>2290</v>
      </c>
      <c r="B108" s="35">
        <v>45787.458333333336</v>
      </c>
      <c r="C108" s="21" t="s">
        <v>1909</v>
      </c>
      <c r="D108" s="21" t="s">
        <v>2266</v>
      </c>
      <c r="E108" s="21" t="s">
        <v>1911</v>
      </c>
      <c r="F108" s="21" t="s">
        <v>1817</v>
      </c>
      <c r="G108" s="35">
        <v>45787.577916666669</v>
      </c>
      <c r="H108" s="21" t="s">
        <v>1912</v>
      </c>
      <c r="I108" s="21" t="s">
        <v>1913</v>
      </c>
      <c r="J108" s="21" t="s">
        <v>1914</v>
      </c>
      <c r="K108" s="21" t="s">
        <v>1813</v>
      </c>
      <c r="L108" s="21" t="s">
        <v>1089</v>
      </c>
      <c r="M108" s="21" t="s">
        <v>1105</v>
      </c>
      <c r="N108" s="21" t="s">
        <v>1106</v>
      </c>
      <c r="O108" s="21" t="s">
        <v>1915</v>
      </c>
      <c r="P108" s="21" t="s">
        <v>1916</v>
      </c>
      <c r="Q108" s="21" t="s">
        <v>1339</v>
      </c>
      <c r="R108" s="21" t="s">
        <v>1341</v>
      </c>
      <c r="S108" s="21" t="s">
        <v>1343</v>
      </c>
      <c r="T108" s="21" t="s">
        <v>1917</v>
      </c>
      <c r="U108" s="21" t="s">
        <v>1739</v>
      </c>
      <c r="V108" s="21" t="str">
        <f>_xlfn.XLOOKUP(U108,'T07'!$D$3:$D$1500,'T07'!$BI$3:$BI$1500)&amp;" / "&amp;_xlfn.XLOOKUP(U108,'T07'!$D$3:$D$1500,'T07'!$BJ$3:$BJ$1500)</f>
        <v>LHR-HTV-2020-13470 / HTV</v>
      </c>
      <c r="W108" s="21" t="s">
        <v>1917</v>
      </c>
      <c r="X108" s="21" t="s">
        <v>1742</v>
      </c>
      <c r="Y108" s="21" t="s">
        <v>1953</v>
      </c>
      <c r="Z108" s="21">
        <v>1</v>
      </c>
      <c r="AA108" s="21" t="s">
        <v>1815</v>
      </c>
      <c r="AB108" s="21" t="s">
        <v>783</v>
      </c>
      <c r="AC108" s="25">
        <v>203</v>
      </c>
      <c r="AD108" s="25">
        <v>27</v>
      </c>
      <c r="AE108" s="21" t="s">
        <v>2291</v>
      </c>
      <c r="AF108" s="21" t="s">
        <v>2292</v>
      </c>
      <c r="AG108" s="35">
        <v>45787.597916666666</v>
      </c>
      <c r="AH108" s="21" t="s">
        <v>1921</v>
      </c>
      <c r="AI108" s="25">
        <v>27</v>
      </c>
      <c r="AJ108" s="21" t="s">
        <v>1107</v>
      </c>
      <c r="AK108" s="21" t="s">
        <v>1922</v>
      </c>
      <c r="AL108" s="21" t="str">
        <f>IF(AD108-AI108&gt;0,(AD108-AI108)&amp;" bags - damaged in transit","None")</f>
        <v>None</v>
      </c>
      <c r="AM108" s="21" t="s">
        <v>844</v>
      </c>
      <c r="AN108" s="21" t="s">
        <v>848</v>
      </c>
      <c r="AO108" s="21" t="s">
        <v>2269</v>
      </c>
      <c r="AP108" s="21" t="str">
        <f>IF(AO108="Pending","Not yet invoiced",IF(AI108=AD108,"Matched","Invoiced on received qty ("&amp;AI108&amp;" of "&amp;AD108&amp;")"))</f>
        <v>Matched</v>
      </c>
      <c r="AQ108" s="21" t="s">
        <v>2270</v>
      </c>
    </row>
    <row r="109" spans="1:43" x14ac:dyDescent="0.3">
      <c r="A109" s="21" t="s">
        <v>2293</v>
      </c>
      <c r="B109" s="35">
        <v>45789.375</v>
      </c>
      <c r="C109" s="21" t="s">
        <v>1909</v>
      </c>
      <c r="D109" s="21" t="s">
        <v>2266</v>
      </c>
      <c r="E109" s="21" t="s">
        <v>1911</v>
      </c>
      <c r="F109" s="21" t="s">
        <v>1817</v>
      </c>
      <c r="G109" s="35">
        <v>45789.494583333333</v>
      </c>
      <c r="H109" s="21" t="s">
        <v>1912</v>
      </c>
      <c r="I109" s="21" t="s">
        <v>1913</v>
      </c>
      <c r="J109" s="21" t="s">
        <v>1914</v>
      </c>
      <c r="K109" s="21" t="s">
        <v>1813</v>
      </c>
      <c r="L109" s="21" t="s">
        <v>1089</v>
      </c>
      <c r="M109" s="21" t="s">
        <v>1105</v>
      </c>
      <c r="N109" s="21" t="s">
        <v>1106</v>
      </c>
      <c r="O109" s="21" t="s">
        <v>1915</v>
      </c>
      <c r="P109" s="21" t="s">
        <v>1916</v>
      </c>
      <c r="Q109" s="21" t="s">
        <v>1339</v>
      </c>
      <c r="R109" s="21" t="s">
        <v>1360</v>
      </c>
      <c r="S109" s="21" t="s">
        <v>1343</v>
      </c>
      <c r="T109" s="21" t="s">
        <v>1917</v>
      </c>
      <c r="U109" s="21" t="s">
        <v>1753</v>
      </c>
      <c r="V109" s="21" t="str">
        <f>_xlfn.XLOOKUP(U109,'T07'!$D$3:$D$1500,'T07'!$BI$3:$BI$1500)&amp;" / "&amp;_xlfn.XLOOKUP(U109,'T07'!$D$3:$D$1500,'T07'!$BJ$3:$BJ$1500)</f>
        <v>LHR-HTV-2009-86678 / HTV</v>
      </c>
      <c r="W109" s="21" t="s">
        <v>1917</v>
      </c>
      <c r="X109" s="21" t="s">
        <v>1755</v>
      </c>
      <c r="Y109" s="21" t="s">
        <v>1963</v>
      </c>
      <c r="Z109" s="21">
        <v>1</v>
      </c>
      <c r="AA109" s="21" t="s">
        <v>1815</v>
      </c>
      <c r="AB109" s="21" t="s">
        <v>783</v>
      </c>
      <c r="AC109" s="25">
        <v>176</v>
      </c>
      <c r="AD109" s="25">
        <v>29</v>
      </c>
      <c r="AE109" s="21" t="s">
        <v>2294</v>
      </c>
      <c r="AF109" s="21" t="s">
        <v>2295</v>
      </c>
      <c r="AG109" s="35">
        <v>45789.51458333333</v>
      </c>
      <c r="AH109" s="21" t="s">
        <v>1921</v>
      </c>
      <c r="AI109" s="25">
        <v>29</v>
      </c>
      <c r="AJ109" s="21" t="s">
        <v>1107</v>
      </c>
      <c r="AK109" s="21" t="s">
        <v>1922</v>
      </c>
      <c r="AL109" s="21" t="str">
        <f>IF(AD109-AI109&gt;0,(AD109-AI109)&amp;" bags - damaged in transit","None")</f>
        <v>None</v>
      </c>
      <c r="AM109" s="21" t="s">
        <v>844</v>
      </c>
      <c r="AN109" s="21" t="s">
        <v>848</v>
      </c>
      <c r="AO109" s="21" t="s">
        <v>2269</v>
      </c>
      <c r="AP109" s="21" t="str">
        <f>IF(AO109="Pending","Not yet invoiced",IF(AI109=AD109,"Matched","Invoiced on received qty ("&amp;AI109&amp;" of "&amp;AD109&amp;")"))</f>
        <v>Matched</v>
      </c>
      <c r="AQ109" s="21" t="s">
        <v>2270</v>
      </c>
    </row>
    <row r="110" spans="1:43" x14ac:dyDescent="0.3">
      <c r="A110" s="21" t="s">
        <v>2296</v>
      </c>
      <c r="B110" s="35">
        <v>45793.458333333336</v>
      </c>
      <c r="C110" s="21" t="s">
        <v>1909</v>
      </c>
      <c r="D110" s="21" t="s">
        <v>2272</v>
      </c>
      <c r="E110" s="21" t="s">
        <v>2056</v>
      </c>
      <c r="F110" s="21" t="s">
        <v>768</v>
      </c>
      <c r="G110" s="35">
        <v>45793.561250000006</v>
      </c>
      <c r="H110" s="21" t="s">
        <v>2188</v>
      </c>
      <c r="I110" s="21" t="s">
        <v>1913</v>
      </c>
      <c r="J110" s="21" t="s">
        <v>1914</v>
      </c>
      <c r="K110" s="21" t="s">
        <v>1857</v>
      </c>
      <c r="L110" s="21" t="s">
        <v>1115</v>
      </c>
      <c r="M110" s="21" t="s">
        <v>1121</v>
      </c>
      <c r="N110" s="21" t="s">
        <v>2189</v>
      </c>
      <c r="O110" s="21" t="s">
        <v>1125</v>
      </c>
      <c r="P110" s="21" t="s">
        <v>2190</v>
      </c>
      <c r="Q110" s="21" t="s">
        <v>1118</v>
      </c>
      <c r="R110" s="21" t="s">
        <v>2297</v>
      </c>
      <c r="S110" s="21" t="s">
        <v>1127</v>
      </c>
      <c r="T110" s="21" t="s">
        <v>2192</v>
      </c>
      <c r="U110" s="21" t="s">
        <v>2258</v>
      </c>
      <c r="V110" s="21" t="s">
        <v>2194</v>
      </c>
      <c r="W110" s="21" t="s">
        <v>2195</v>
      </c>
      <c r="X110" s="21" t="s">
        <v>844</v>
      </c>
      <c r="Y110" s="21" t="s">
        <v>844</v>
      </c>
      <c r="Z110" s="21">
        <v>1</v>
      </c>
      <c r="AA110" s="21" t="s">
        <v>1842</v>
      </c>
      <c r="AB110" s="21" t="s">
        <v>1804</v>
      </c>
      <c r="AC110" s="25">
        <v>1650</v>
      </c>
      <c r="AD110" s="25">
        <v>500</v>
      </c>
      <c r="AE110" s="21" t="s">
        <v>2298</v>
      </c>
      <c r="AF110" s="21" t="s">
        <v>2299</v>
      </c>
      <c r="AG110" s="35">
        <v>45793.581250000003</v>
      </c>
      <c r="AH110" s="21" t="s">
        <v>1934</v>
      </c>
      <c r="AI110" s="25">
        <v>500</v>
      </c>
      <c r="AJ110" s="21" t="s">
        <v>2198</v>
      </c>
      <c r="AK110" s="21" t="s">
        <v>1922</v>
      </c>
      <c r="AL110" s="21" t="str">
        <f>IF(AD110-AI110&gt;0,(AD110-AI110)&amp;" bags - damaged in transit","None")</f>
        <v>None</v>
      </c>
      <c r="AM110" s="21" t="s">
        <v>844</v>
      </c>
      <c r="AN110" s="21" t="s">
        <v>848</v>
      </c>
      <c r="AO110" s="21" t="s">
        <v>2276</v>
      </c>
      <c r="AP110" s="21" t="str">
        <f>IF(AO110="Pending","Not yet invoiced",IF(AI110=AD110,"Matched","Invoiced on received qty ("&amp;AI110&amp;" of "&amp;AD110&amp;")"))</f>
        <v>Matched</v>
      </c>
      <c r="AQ110" s="21" t="s">
        <v>2200</v>
      </c>
    </row>
    <row r="111" spans="1:43" x14ac:dyDescent="0.3">
      <c r="A111" s="21" t="s">
        <v>2296</v>
      </c>
      <c r="B111" s="35">
        <v>45793.458333333336</v>
      </c>
      <c r="C111" s="21" t="s">
        <v>1909</v>
      </c>
      <c r="D111" s="21" t="s">
        <v>2272</v>
      </c>
      <c r="E111" s="21" t="s">
        <v>1945</v>
      </c>
      <c r="F111" s="21" t="s">
        <v>768</v>
      </c>
      <c r="G111" s="35">
        <v>45793.561250000006</v>
      </c>
      <c r="H111" s="21" t="s">
        <v>2188</v>
      </c>
      <c r="I111" s="21" t="s">
        <v>1913</v>
      </c>
      <c r="J111" s="21" t="s">
        <v>1914</v>
      </c>
      <c r="K111" s="21" t="s">
        <v>1857</v>
      </c>
      <c r="L111" s="21" t="s">
        <v>1115</v>
      </c>
      <c r="M111" s="21" t="s">
        <v>1121</v>
      </c>
      <c r="N111" s="21" t="s">
        <v>2189</v>
      </c>
      <c r="O111" s="21" t="s">
        <v>1125</v>
      </c>
      <c r="P111" s="21" t="s">
        <v>2190</v>
      </c>
      <c r="Q111" s="21" t="s">
        <v>1118</v>
      </c>
      <c r="R111" s="21" t="s">
        <v>2297</v>
      </c>
      <c r="S111" s="21" t="s">
        <v>1127</v>
      </c>
      <c r="T111" s="21" t="s">
        <v>2192</v>
      </c>
      <c r="U111" s="21" t="s">
        <v>2258</v>
      </c>
      <c r="V111" s="21" t="s">
        <v>2194</v>
      </c>
      <c r="W111" s="21" t="s">
        <v>2195</v>
      </c>
      <c r="X111" s="21" t="s">
        <v>844</v>
      </c>
      <c r="Y111" s="21" t="s">
        <v>844</v>
      </c>
      <c r="Z111" s="21">
        <v>2</v>
      </c>
      <c r="AA111" s="21" t="s">
        <v>1865</v>
      </c>
      <c r="AB111" s="21" t="s">
        <v>1804</v>
      </c>
      <c r="AC111" s="25">
        <v>1150</v>
      </c>
      <c r="AD111" s="25">
        <v>500</v>
      </c>
      <c r="AE111" s="21" t="s">
        <v>2300</v>
      </c>
      <c r="AF111" s="21" t="s">
        <v>2299</v>
      </c>
      <c r="AG111" s="35">
        <v>45793.581250000003</v>
      </c>
      <c r="AH111" s="21" t="s">
        <v>1934</v>
      </c>
      <c r="AI111" s="25">
        <v>500</v>
      </c>
      <c r="AJ111" s="21" t="s">
        <v>2198</v>
      </c>
      <c r="AK111" s="21" t="s">
        <v>1922</v>
      </c>
      <c r="AL111" s="21" t="str">
        <f>IF(AD111-AI111&gt;0,(AD111-AI111)&amp;" bags - damaged in transit","None")</f>
        <v>None</v>
      </c>
      <c r="AM111" s="21" t="s">
        <v>844</v>
      </c>
      <c r="AN111" s="21" t="s">
        <v>848</v>
      </c>
      <c r="AO111" s="21" t="s">
        <v>2276</v>
      </c>
      <c r="AP111" s="21" t="str">
        <f>IF(AO111="Pending","Not yet invoiced",IF(AI111=AD111,"Matched","Invoiced on received qty ("&amp;AI111&amp;" of "&amp;AD111&amp;")"))</f>
        <v>Matched</v>
      </c>
      <c r="AQ111" s="21" t="s">
        <v>2200</v>
      </c>
    </row>
    <row r="112" spans="1:43" x14ac:dyDescent="0.3">
      <c r="A112" s="21" t="s">
        <v>2301</v>
      </c>
      <c r="B112" s="35">
        <v>45794.625</v>
      </c>
      <c r="C112" s="21" t="s">
        <v>1909</v>
      </c>
      <c r="D112" s="21" t="s">
        <v>2266</v>
      </c>
      <c r="E112" s="21" t="s">
        <v>1911</v>
      </c>
      <c r="F112" s="21" t="s">
        <v>1817</v>
      </c>
      <c r="G112" s="35">
        <v>45794.744583333333</v>
      </c>
      <c r="H112" s="21" t="s">
        <v>1912</v>
      </c>
      <c r="I112" s="21" t="s">
        <v>1913</v>
      </c>
      <c r="J112" s="21" t="s">
        <v>1914</v>
      </c>
      <c r="K112" s="21" t="s">
        <v>1813</v>
      </c>
      <c r="L112" s="21" t="s">
        <v>1089</v>
      </c>
      <c r="M112" s="21" t="s">
        <v>1105</v>
      </c>
      <c r="N112" s="21" t="s">
        <v>1106</v>
      </c>
      <c r="O112" s="21" t="s">
        <v>1915</v>
      </c>
      <c r="P112" s="21" t="s">
        <v>1916</v>
      </c>
      <c r="Q112" s="21" t="s">
        <v>1339</v>
      </c>
      <c r="R112" s="21" t="s">
        <v>1367</v>
      </c>
      <c r="S112" s="21" t="s">
        <v>1352</v>
      </c>
      <c r="T112" s="21" t="s">
        <v>1917</v>
      </c>
      <c r="U112" s="21" t="s">
        <v>1782</v>
      </c>
      <c r="V112" s="21" t="str">
        <f>_xlfn.XLOOKUP(U112,'T07'!$D$3:$D$1500,'T07'!$BI$3:$BI$1500)&amp;" / "&amp;_xlfn.XLOOKUP(U112,'T07'!$D$3:$D$1500,'T07'!$BJ$3:$BJ$1500)</f>
        <v>LHR-HTV-2014-51184 / HTV</v>
      </c>
      <c r="W112" s="21" t="s">
        <v>1917</v>
      </c>
      <c r="X112" s="21" t="s">
        <v>1785</v>
      </c>
      <c r="Y112" s="21" t="s">
        <v>2051</v>
      </c>
      <c r="Z112" s="21">
        <v>1</v>
      </c>
      <c r="AA112" s="21" t="s">
        <v>1815</v>
      </c>
      <c r="AB112" s="21" t="s">
        <v>783</v>
      </c>
      <c r="AC112" s="25">
        <v>147</v>
      </c>
      <c r="AD112" s="25">
        <v>37</v>
      </c>
      <c r="AE112" s="21" t="s">
        <v>2302</v>
      </c>
      <c r="AF112" s="21" t="s">
        <v>2303</v>
      </c>
      <c r="AG112" s="35">
        <v>45794.76458333333</v>
      </c>
      <c r="AH112" s="21" t="s">
        <v>1921</v>
      </c>
      <c r="AI112" s="25">
        <v>37</v>
      </c>
      <c r="AJ112" s="21" t="s">
        <v>1107</v>
      </c>
      <c r="AK112" s="21" t="s">
        <v>1922</v>
      </c>
      <c r="AL112" s="21" t="str">
        <f>IF(AD112-AI112&gt;0,(AD112-AI112)&amp;" bags - damaged in transit","None")</f>
        <v>None</v>
      </c>
      <c r="AM112" s="21" t="s">
        <v>844</v>
      </c>
      <c r="AN112" s="21" t="s">
        <v>848</v>
      </c>
      <c r="AO112" s="21" t="s">
        <v>2269</v>
      </c>
      <c r="AP112" s="21" t="str">
        <f>IF(AO112="Pending","Not yet invoiced",IF(AI112=AD112,"Matched","Invoiced on received qty ("&amp;AI112&amp;" of "&amp;AD112&amp;")"))</f>
        <v>Matched</v>
      </c>
      <c r="AQ112" s="21" t="s">
        <v>2270</v>
      </c>
    </row>
    <row r="113" spans="1:43" x14ac:dyDescent="0.3">
      <c r="A113" s="21" t="s">
        <v>2304</v>
      </c>
      <c r="B113" s="35">
        <v>45797.375</v>
      </c>
      <c r="C113" s="21" t="s">
        <v>1909</v>
      </c>
      <c r="D113" s="21" t="s">
        <v>2272</v>
      </c>
      <c r="E113" s="21" t="s">
        <v>1945</v>
      </c>
      <c r="F113" s="21" t="s">
        <v>768</v>
      </c>
      <c r="G113" s="35">
        <v>45797.47791666667</v>
      </c>
      <c r="H113" s="21" t="s">
        <v>2188</v>
      </c>
      <c r="I113" s="21" t="s">
        <v>1913</v>
      </c>
      <c r="J113" s="21" t="s">
        <v>1914</v>
      </c>
      <c r="K113" s="21" t="s">
        <v>1857</v>
      </c>
      <c r="L113" s="21" t="s">
        <v>1115</v>
      </c>
      <c r="M113" s="21" t="s">
        <v>1121</v>
      </c>
      <c r="N113" s="21" t="s">
        <v>2189</v>
      </c>
      <c r="O113" s="21" t="s">
        <v>1125</v>
      </c>
      <c r="P113" s="21" t="s">
        <v>2190</v>
      </c>
      <c r="Q113" s="21" t="s">
        <v>1118</v>
      </c>
      <c r="R113" s="21" t="s">
        <v>2305</v>
      </c>
      <c r="S113" s="21" t="s">
        <v>1127</v>
      </c>
      <c r="T113" s="21" t="s">
        <v>2192</v>
      </c>
      <c r="U113" s="21" t="s">
        <v>2193</v>
      </c>
      <c r="V113" s="21" t="s">
        <v>2194</v>
      </c>
      <c r="W113" s="21" t="s">
        <v>2195</v>
      </c>
      <c r="X113" s="21" t="s">
        <v>844</v>
      </c>
      <c r="Y113" s="21" t="s">
        <v>844</v>
      </c>
      <c r="Z113" s="21">
        <v>1</v>
      </c>
      <c r="AA113" s="21" t="s">
        <v>1865</v>
      </c>
      <c r="AB113" s="21" t="s">
        <v>1804</v>
      </c>
      <c r="AC113" s="25">
        <v>650</v>
      </c>
      <c r="AD113" s="25">
        <v>250</v>
      </c>
      <c r="AE113" s="21" t="s">
        <v>2306</v>
      </c>
      <c r="AF113" s="21" t="s">
        <v>2307</v>
      </c>
      <c r="AG113" s="35">
        <v>45797.497916666667</v>
      </c>
      <c r="AH113" s="21" t="s">
        <v>1934</v>
      </c>
      <c r="AI113" s="25">
        <v>250</v>
      </c>
      <c r="AJ113" s="21" t="s">
        <v>2198</v>
      </c>
      <c r="AK113" s="21" t="s">
        <v>1922</v>
      </c>
      <c r="AL113" s="21" t="str">
        <f>IF(AD113-AI113&gt;0,(AD113-AI113)&amp;" bags - damaged in transit","None")</f>
        <v>None</v>
      </c>
      <c r="AM113" s="21" t="s">
        <v>844</v>
      </c>
      <c r="AN113" s="21" t="s">
        <v>848</v>
      </c>
      <c r="AO113" s="21" t="s">
        <v>2276</v>
      </c>
      <c r="AP113" s="21" t="str">
        <f>IF(AO113="Pending","Not yet invoiced",IF(AI113=AD113,"Matched","Invoiced on received qty ("&amp;AI113&amp;" of "&amp;AD113&amp;")"))</f>
        <v>Matched</v>
      </c>
      <c r="AQ113" s="21" t="s">
        <v>2200</v>
      </c>
    </row>
    <row r="114" spans="1:43" x14ac:dyDescent="0.3">
      <c r="A114" s="21" t="s">
        <v>2304</v>
      </c>
      <c r="B114" s="35">
        <v>45797.375</v>
      </c>
      <c r="C114" s="21" t="s">
        <v>1909</v>
      </c>
      <c r="D114" s="21" t="s">
        <v>2272</v>
      </c>
      <c r="E114" s="21" t="s">
        <v>2056</v>
      </c>
      <c r="F114" s="21" t="s">
        <v>768</v>
      </c>
      <c r="G114" s="35">
        <v>45797.47791666667</v>
      </c>
      <c r="H114" s="21" t="s">
        <v>2188</v>
      </c>
      <c r="I114" s="21" t="s">
        <v>1913</v>
      </c>
      <c r="J114" s="21" t="s">
        <v>1914</v>
      </c>
      <c r="K114" s="21" t="s">
        <v>1857</v>
      </c>
      <c r="L114" s="21" t="s">
        <v>1115</v>
      </c>
      <c r="M114" s="21" t="s">
        <v>1121</v>
      </c>
      <c r="N114" s="21" t="s">
        <v>2189</v>
      </c>
      <c r="O114" s="21" t="s">
        <v>1125</v>
      </c>
      <c r="P114" s="21" t="s">
        <v>2190</v>
      </c>
      <c r="Q114" s="21" t="s">
        <v>1118</v>
      </c>
      <c r="R114" s="21" t="s">
        <v>2305</v>
      </c>
      <c r="S114" s="21" t="s">
        <v>1127</v>
      </c>
      <c r="T114" s="21" t="s">
        <v>2192</v>
      </c>
      <c r="U114" s="21" t="s">
        <v>2193</v>
      </c>
      <c r="V114" s="21" t="s">
        <v>2194</v>
      </c>
      <c r="W114" s="21" t="s">
        <v>2195</v>
      </c>
      <c r="X114" s="21" t="s">
        <v>844</v>
      </c>
      <c r="Y114" s="21" t="s">
        <v>844</v>
      </c>
      <c r="Z114" s="21">
        <v>2</v>
      </c>
      <c r="AA114" s="21" t="s">
        <v>1842</v>
      </c>
      <c r="AB114" s="21" t="s">
        <v>1804</v>
      </c>
      <c r="AC114" s="25">
        <v>1150</v>
      </c>
      <c r="AD114" s="25">
        <v>250</v>
      </c>
      <c r="AE114" s="21" t="s">
        <v>2308</v>
      </c>
      <c r="AF114" s="21" t="s">
        <v>2307</v>
      </c>
      <c r="AG114" s="35">
        <v>45797.497916666667</v>
      </c>
      <c r="AH114" s="21" t="s">
        <v>1934</v>
      </c>
      <c r="AI114" s="25">
        <v>250</v>
      </c>
      <c r="AJ114" s="21" t="s">
        <v>2198</v>
      </c>
      <c r="AK114" s="21" t="s">
        <v>1922</v>
      </c>
      <c r="AL114" s="21" t="str">
        <f>IF(AD114-AI114&gt;0,(AD114-AI114)&amp;" bags - damaged in transit","None")</f>
        <v>None</v>
      </c>
      <c r="AM114" s="21" t="s">
        <v>844</v>
      </c>
      <c r="AN114" s="21" t="s">
        <v>848</v>
      </c>
      <c r="AO114" s="21" t="s">
        <v>2276</v>
      </c>
      <c r="AP114" s="21" t="str">
        <f>IF(AO114="Pending","Not yet invoiced",IF(AI114=AD114,"Matched","Invoiced on received qty ("&amp;AI114&amp;" of "&amp;AD114&amp;")"))</f>
        <v>Matched</v>
      </c>
      <c r="AQ114" s="21" t="s">
        <v>2200</v>
      </c>
    </row>
    <row r="115" spans="1:43" x14ac:dyDescent="0.3">
      <c r="A115" s="21" t="s">
        <v>2309</v>
      </c>
      <c r="B115" s="35">
        <v>45797.625</v>
      </c>
      <c r="C115" s="21" t="s">
        <v>1909</v>
      </c>
      <c r="D115" s="21" t="s">
        <v>2266</v>
      </c>
      <c r="E115" s="21" t="s">
        <v>1911</v>
      </c>
      <c r="F115" s="21" t="s">
        <v>1817</v>
      </c>
      <c r="G115" s="35">
        <v>45797.744583333333</v>
      </c>
      <c r="H115" s="21" t="s">
        <v>1912</v>
      </c>
      <c r="I115" s="21" t="s">
        <v>1913</v>
      </c>
      <c r="J115" s="21" t="s">
        <v>1914</v>
      </c>
      <c r="K115" s="21" t="s">
        <v>1813</v>
      </c>
      <c r="L115" s="21" t="s">
        <v>1089</v>
      </c>
      <c r="M115" s="21" t="s">
        <v>1105</v>
      </c>
      <c r="N115" s="21" t="s">
        <v>1106</v>
      </c>
      <c r="O115" s="21" t="s">
        <v>1915</v>
      </c>
      <c r="P115" s="21" t="s">
        <v>1916</v>
      </c>
      <c r="Q115" s="21" t="s">
        <v>1339</v>
      </c>
      <c r="R115" s="21" t="s">
        <v>1350</v>
      </c>
      <c r="S115" s="21" t="s">
        <v>1352</v>
      </c>
      <c r="T115" s="21" t="s">
        <v>1917</v>
      </c>
      <c r="U115" s="21" t="s">
        <v>1753</v>
      </c>
      <c r="V115" s="21" t="str">
        <f>_xlfn.XLOOKUP(U115,'T07'!$D$3:$D$1500,'T07'!$BI$3:$BI$1500)&amp;" / "&amp;_xlfn.XLOOKUP(U115,'T07'!$D$3:$D$1500,'T07'!$BJ$3:$BJ$1500)</f>
        <v>LHR-HTV-2009-86678 / HTV</v>
      </c>
      <c r="W115" s="21" t="s">
        <v>1917</v>
      </c>
      <c r="X115" s="21" t="s">
        <v>1755</v>
      </c>
      <c r="Y115" s="21" t="s">
        <v>1918</v>
      </c>
      <c r="Z115" s="21">
        <v>1</v>
      </c>
      <c r="AA115" s="21" t="s">
        <v>1815</v>
      </c>
      <c r="AB115" s="21" t="s">
        <v>783</v>
      </c>
      <c r="AC115" s="25">
        <v>110</v>
      </c>
      <c r="AD115" s="25">
        <v>40</v>
      </c>
      <c r="AE115" s="21" t="s">
        <v>2310</v>
      </c>
      <c r="AF115" s="21" t="s">
        <v>2311</v>
      </c>
      <c r="AG115" s="35">
        <v>45797.76458333333</v>
      </c>
      <c r="AH115" s="21" t="s">
        <v>1921</v>
      </c>
      <c r="AI115" s="25">
        <v>40</v>
      </c>
      <c r="AJ115" s="21" t="s">
        <v>1107</v>
      </c>
      <c r="AK115" s="21" t="s">
        <v>1922</v>
      </c>
      <c r="AL115" s="21" t="str">
        <f>IF(AD115-AI115&gt;0,(AD115-AI115)&amp;" bags - damaged in transit","None")</f>
        <v>None</v>
      </c>
      <c r="AM115" s="21" t="s">
        <v>844</v>
      </c>
      <c r="AN115" s="21" t="s">
        <v>848</v>
      </c>
      <c r="AO115" s="21" t="s">
        <v>2269</v>
      </c>
      <c r="AP115" s="21" t="str">
        <f>IF(AO115="Pending","Not yet invoiced",IF(AI115=AD115,"Matched","Invoiced on received qty ("&amp;AI115&amp;" of "&amp;AD115&amp;")"))</f>
        <v>Matched</v>
      </c>
      <c r="AQ115" s="21" t="s">
        <v>2270</v>
      </c>
    </row>
    <row r="116" spans="1:43" x14ac:dyDescent="0.3">
      <c r="A116" s="21" t="s">
        <v>2312</v>
      </c>
      <c r="B116" s="35">
        <v>45800.583333333336</v>
      </c>
      <c r="C116" s="21" t="s">
        <v>1909</v>
      </c>
      <c r="D116" s="21" t="s">
        <v>2266</v>
      </c>
      <c r="E116" s="21" t="s">
        <v>1911</v>
      </c>
      <c r="F116" s="21" t="s">
        <v>1817</v>
      </c>
      <c r="G116" s="35">
        <v>45800.702916666669</v>
      </c>
      <c r="H116" s="21" t="s">
        <v>1912</v>
      </c>
      <c r="I116" s="21" t="s">
        <v>1913</v>
      </c>
      <c r="J116" s="21" t="s">
        <v>1914</v>
      </c>
      <c r="K116" s="21" t="s">
        <v>1813</v>
      </c>
      <c r="L116" s="21" t="s">
        <v>1089</v>
      </c>
      <c r="M116" s="21" t="s">
        <v>1105</v>
      </c>
      <c r="N116" s="21" t="s">
        <v>1106</v>
      </c>
      <c r="O116" s="21" t="s">
        <v>1915</v>
      </c>
      <c r="P116" s="21" t="s">
        <v>1916</v>
      </c>
      <c r="Q116" s="21" t="s">
        <v>1339</v>
      </c>
      <c r="R116" s="21" t="s">
        <v>1350</v>
      </c>
      <c r="S116" s="21" t="s">
        <v>1352</v>
      </c>
      <c r="T116" s="21" t="s">
        <v>1917</v>
      </c>
      <c r="U116" s="21" t="s">
        <v>1782</v>
      </c>
      <c r="V116" s="21" t="str">
        <f>_xlfn.XLOOKUP(U116,'T07'!$D$3:$D$1500,'T07'!$BI$3:$BI$1500)&amp;" / "&amp;_xlfn.XLOOKUP(U116,'T07'!$D$3:$D$1500,'T07'!$BJ$3:$BJ$1500)</f>
        <v>LHR-HTV-2014-51184 / HTV</v>
      </c>
      <c r="W116" s="21" t="s">
        <v>1917</v>
      </c>
      <c r="X116" s="21" t="s">
        <v>1785</v>
      </c>
      <c r="Y116" s="21" t="s">
        <v>1918</v>
      </c>
      <c r="Z116" s="21">
        <v>1</v>
      </c>
      <c r="AA116" s="21" t="s">
        <v>1815</v>
      </c>
      <c r="AB116" s="21" t="s">
        <v>783</v>
      </c>
      <c r="AC116" s="25">
        <v>70</v>
      </c>
      <c r="AD116" s="25">
        <v>39</v>
      </c>
      <c r="AE116" s="21" t="s">
        <v>2313</v>
      </c>
      <c r="AF116" s="21" t="s">
        <v>2314</v>
      </c>
      <c r="AG116" s="35">
        <v>45800.722916666666</v>
      </c>
      <c r="AH116" s="21" t="s">
        <v>1921</v>
      </c>
      <c r="AI116" s="25">
        <v>39</v>
      </c>
      <c r="AJ116" s="21" t="s">
        <v>1107</v>
      </c>
      <c r="AK116" s="21" t="s">
        <v>1922</v>
      </c>
      <c r="AL116" s="21" t="str">
        <f>IF(AD116-AI116&gt;0,(AD116-AI116)&amp;" bags - damaged in transit","None")</f>
        <v>None</v>
      </c>
      <c r="AM116" s="21" t="s">
        <v>844</v>
      </c>
      <c r="AN116" s="21" t="s">
        <v>848</v>
      </c>
      <c r="AO116" s="21" t="s">
        <v>2269</v>
      </c>
      <c r="AP116" s="21" t="str">
        <f>IF(AO116="Pending","Not yet invoiced",IF(AI116=AD116,"Matched","Invoiced on received qty ("&amp;AI116&amp;" of "&amp;AD116&amp;")"))</f>
        <v>Matched</v>
      </c>
      <c r="AQ116" s="21" t="s">
        <v>2270</v>
      </c>
    </row>
    <row r="117" spans="1:43" x14ac:dyDescent="0.3">
      <c r="A117" s="21" t="s">
        <v>2315</v>
      </c>
      <c r="B117" s="35">
        <v>45801.666666666664</v>
      </c>
      <c r="C117" s="21" t="s">
        <v>1909</v>
      </c>
      <c r="D117" s="21" t="s">
        <v>2272</v>
      </c>
      <c r="E117" s="21" t="s">
        <v>2056</v>
      </c>
      <c r="F117" s="21" t="s">
        <v>768</v>
      </c>
      <c r="G117" s="35">
        <v>45801.769583333335</v>
      </c>
      <c r="H117" s="21" t="s">
        <v>2188</v>
      </c>
      <c r="I117" s="21" t="s">
        <v>1913</v>
      </c>
      <c r="J117" s="21" t="s">
        <v>1914</v>
      </c>
      <c r="K117" s="21" t="s">
        <v>1857</v>
      </c>
      <c r="L117" s="21" t="s">
        <v>1115</v>
      </c>
      <c r="M117" s="21" t="s">
        <v>1121</v>
      </c>
      <c r="N117" s="21" t="s">
        <v>2189</v>
      </c>
      <c r="O117" s="21" t="s">
        <v>1125</v>
      </c>
      <c r="P117" s="21" t="s">
        <v>2190</v>
      </c>
      <c r="Q117" s="21" t="s">
        <v>1118</v>
      </c>
      <c r="R117" s="21" t="s">
        <v>2316</v>
      </c>
      <c r="S117" s="21" t="s">
        <v>1127</v>
      </c>
      <c r="T117" s="21" t="s">
        <v>2192</v>
      </c>
      <c r="U117" s="21" t="s">
        <v>2220</v>
      </c>
      <c r="V117" s="21" t="s">
        <v>2194</v>
      </c>
      <c r="W117" s="21" t="s">
        <v>2195</v>
      </c>
      <c r="X117" s="21" t="s">
        <v>844</v>
      </c>
      <c r="Y117" s="21" t="s">
        <v>844</v>
      </c>
      <c r="Z117" s="21">
        <v>1</v>
      </c>
      <c r="AA117" s="21" t="s">
        <v>1842</v>
      </c>
      <c r="AB117" s="21" t="s">
        <v>1804</v>
      </c>
      <c r="AC117" s="25">
        <v>900</v>
      </c>
      <c r="AD117" s="25">
        <v>250</v>
      </c>
      <c r="AE117" s="21" t="s">
        <v>2317</v>
      </c>
      <c r="AF117" s="21" t="s">
        <v>2318</v>
      </c>
      <c r="AG117" s="35">
        <v>45801.789583333331</v>
      </c>
      <c r="AH117" s="21" t="s">
        <v>1934</v>
      </c>
      <c r="AI117" s="25">
        <v>248</v>
      </c>
      <c r="AJ117" s="21" t="s">
        <v>2198</v>
      </c>
      <c r="AK117" s="21" t="s">
        <v>1922</v>
      </c>
      <c r="AL117" s="21" t="str">
        <f>IF(AD117-AI117&gt;0,(AD117-AI117)&amp;" bags - damaged in transit","None")</f>
        <v>2 bags - damaged in transit</v>
      </c>
      <c r="AM117" s="21" t="s">
        <v>2319</v>
      </c>
      <c r="AN117" s="21" t="s">
        <v>2320</v>
      </c>
      <c r="AO117" s="21" t="s">
        <v>2276</v>
      </c>
      <c r="AP117" s="21" t="str">
        <f>IF(AO117="Pending","Not yet invoiced",IF(AI117=AD117,"Matched","Invoiced on received qty ("&amp;AI117&amp;" of "&amp;AD117&amp;")"))</f>
        <v>Invoiced on received qty (248 of 250)</v>
      </c>
      <c r="AQ117" s="21" t="s">
        <v>2200</v>
      </c>
    </row>
    <row r="118" spans="1:43" x14ac:dyDescent="0.3">
      <c r="A118" s="21" t="s">
        <v>2315</v>
      </c>
      <c r="B118" s="35">
        <v>45801.666666666664</v>
      </c>
      <c r="C118" s="21" t="s">
        <v>1909</v>
      </c>
      <c r="D118" s="21" t="s">
        <v>2272</v>
      </c>
      <c r="E118" s="21" t="s">
        <v>1945</v>
      </c>
      <c r="F118" s="21" t="s">
        <v>768</v>
      </c>
      <c r="G118" s="35">
        <v>45801.769583333335</v>
      </c>
      <c r="H118" s="21" t="s">
        <v>2188</v>
      </c>
      <c r="I118" s="21" t="s">
        <v>1913</v>
      </c>
      <c r="J118" s="21" t="s">
        <v>1914</v>
      </c>
      <c r="K118" s="21" t="s">
        <v>1857</v>
      </c>
      <c r="L118" s="21" t="s">
        <v>1115</v>
      </c>
      <c r="M118" s="21" t="s">
        <v>1121</v>
      </c>
      <c r="N118" s="21" t="s">
        <v>2189</v>
      </c>
      <c r="O118" s="21" t="s">
        <v>1125</v>
      </c>
      <c r="P118" s="21" t="s">
        <v>2190</v>
      </c>
      <c r="Q118" s="21" t="s">
        <v>1118</v>
      </c>
      <c r="R118" s="21" t="s">
        <v>2316</v>
      </c>
      <c r="S118" s="21" t="s">
        <v>1127</v>
      </c>
      <c r="T118" s="21" t="s">
        <v>2192</v>
      </c>
      <c r="U118" s="21" t="s">
        <v>2220</v>
      </c>
      <c r="V118" s="21" t="s">
        <v>2194</v>
      </c>
      <c r="W118" s="21" t="s">
        <v>2195</v>
      </c>
      <c r="X118" s="21" t="s">
        <v>844</v>
      </c>
      <c r="Y118" s="21" t="s">
        <v>844</v>
      </c>
      <c r="Z118" s="21">
        <v>2</v>
      </c>
      <c r="AA118" s="21" t="s">
        <v>1865</v>
      </c>
      <c r="AB118" s="21" t="s">
        <v>1804</v>
      </c>
      <c r="AC118" s="25">
        <v>400</v>
      </c>
      <c r="AD118" s="25">
        <v>250</v>
      </c>
      <c r="AE118" s="21" t="s">
        <v>2321</v>
      </c>
      <c r="AF118" s="21" t="s">
        <v>2318</v>
      </c>
      <c r="AG118" s="35">
        <v>45801.789583333331</v>
      </c>
      <c r="AH118" s="21" t="s">
        <v>1934</v>
      </c>
      <c r="AI118" s="25">
        <v>248</v>
      </c>
      <c r="AJ118" s="21" t="s">
        <v>2198</v>
      </c>
      <c r="AK118" s="21" t="s">
        <v>1922</v>
      </c>
      <c r="AL118" s="21" t="str">
        <f>IF(AD118-AI118&gt;0,(AD118-AI118)&amp;" bags - damaged in transit","None")</f>
        <v>2 bags - damaged in transit</v>
      </c>
      <c r="AM118" s="21" t="s">
        <v>2319</v>
      </c>
      <c r="AN118" s="21" t="s">
        <v>2322</v>
      </c>
      <c r="AO118" s="21" t="s">
        <v>2276</v>
      </c>
      <c r="AP118" s="21" t="str">
        <f>IF(AO118="Pending","Not yet invoiced",IF(AI118=AD118,"Matched","Invoiced on received qty ("&amp;AI118&amp;" of "&amp;AD118&amp;")"))</f>
        <v>Invoiced on received qty (248 of 250)</v>
      </c>
      <c r="AQ118" s="21" t="s">
        <v>2200</v>
      </c>
    </row>
    <row r="119" spans="1:43" x14ac:dyDescent="0.3">
      <c r="A119" s="21" t="s">
        <v>2323</v>
      </c>
      <c r="B119" s="35">
        <v>45809.375</v>
      </c>
      <c r="C119" s="21" t="s">
        <v>1909</v>
      </c>
      <c r="D119" s="21" t="s">
        <v>2324</v>
      </c>
      <c r="E119" s="21" t="s">
        <v>2056</v>
      </c>
      <c r="F119" s="21" t="s">
        <v>768</v>
      </c>
      <c r="G119" s="35">
        <v>45809.637291666666</v>
      </c>
      <c r="H119" s="21" t="s">
        <v>1912</v>
      </c>
      <c r="I119" s="21" t="s">
        <v>1913</v>
      </c>
      <c r="J119" s="21" t="s">
        <v>1914</v>
      </c>
      <c r="K119" s="21" t="s">
        <v>1823</v>
      </c>
      <c r="L119" s="21" t="s">
        <v>1080</v>
      </c>
      <c r="M119" s="21" t="s">
        <v>1824</v>
      </c>
      <c r="N119" s="21" t="s">
        <v>1989</v>
      </c>
      <c r="O119" s="21" t="s">
        <v>1990</v>
      </c>
      <c r="P119" s="21" t="s">
        <v>1930</v>
      </c>
      <c r="Q119" s="21" t="s">
        <v>1278</v>
      </c>
      <c r="R119" s="21" t="s">
        <v>1317</v>
      </c>
      <c r="S119" s="21" t="s">
        <v>1104</v>
      </c>
      <c r="T119" s="21" t="s">
        <v>1917</v>
      </c>
      <c r="U119" s="21" t="s">
        <v>1739</v>
      </c>
      <c r="V119" s="21" t="str">
        <f>_xlfn.XLOOKUP(U119,'T07'!$D$3:$D$1500,'T07'!$BI$3:$BI$1500)&amp;" / "&amp;_xlfn.XLOOKUP(U119,'T07'!$D$3:$D$1500,'T07'!$BJ$3:$BJ$1500)</f>
        <v>LHR-HTV-2020-13470 / HTV</v>
      </c>
      <c r="W119" s="21" t="s">
        <v>1917</v>
      </c>
      <c r="X119" s="21" t="s">
        <v>1742</v>
      </c>
      <c r="Y119" s="21" t="s">
        <v>1942</v>
      </c>
      <c r="Z119" s="21">
        <v>1</v>
      </c>
      <c r="AA119" s="21" t="s">
        <v>1842</v>
      </c>
      <c r="AB119" s="21" t="s">
        <v>1804</v>
      </c>
      <c r="AC119" s="25">
        <v>2000</v>
      </c>
      <c r="AD119" s="25">
        <v>1000</v>
      </c>
      <c r="AE119" s="21" t="s">
        <v>2325</v>
      </c>
      <c r="AF119" s="21" t="s">
        <v>2326</v>
      </c>
      <c r="AG119" s="35">
        <v>45809.657291666663</v>
      </c>
      <c r="AH119" s="21" t="s">
        <v>1983</v>
      </c>
      <c r="AI119" s="25">
        <v>1000</v>
      </c>
      <c r="AJ119" s="21" t="s">
        <v>1081</v>
      </c>
      <c r="AK119" s="21" t="s">
        <v>1922</v>
      </c>
      <c r="AL119" s="21" t="str">
        <f>IF(AD119-AI119&gt;0,(AD119-AI119)&amp;" bags - damaged in transit","None")</f>
        <v>None</v>
      </c>
      <c r="AM119" s="21" t="s">
        <v>844</v>
      </c>
      <c r="AN119" s="21" t="s">
        <v>848</v>
      </c>
      <c r="AO119" s="21" t="s">
        <v>2327</v>
      </c>
      <c r="AP119" s="21" t="str">
        <f>IF(AO119="Pending","Not yet invoiced",IF(AI119=AD119,"Matched","Invoiced on received qty ("&amp;AI119&amp;" of "&amp;AD119&amp;")"))</f>
        <v>Matched</v>
      </c>
      <c r="AQ119" s="21" t="s">
        <v>2328</v>
      </c>
    </row>
    <row r="120" spans="1:43" x14ac:dyDescent="0.3">
      <c r="A120" s="21" t="s">
        <v>2329</v>
      </c>
      <c r="B120" s="35">
        <v>45817.708333333336</v>
      </c>
      <c r="C120" s="21" t="s">
        <v>1909</v>
      </c>
      <c r="D120" s="21" t="s">
        <v>2324</v>
      </c>
      <c r="E120" s="21" t="s">
        <v>2056</v>
      </c>
      <c r="F120" s="21" t="s">
        <v>768</v>
      </c>
      <c r="G120" s="35">
        <v>45817.970625000002</v>
      </c>
      <c r="H120" s="21" t="s">
        <v>1912</v>
      </c>
      <c r="I120" s="21" t="s">
        <v>1913</v>
      </c>
      <c r="J120" s="21" t="s">
        <v>1914</v>
      </c>
      <c r="K120" s="21" t="s">
        <v>1823</v>
      </c>
      <c r="L120" s="21" t="s">
        <v>1080</v>
      </c>
      <c r="M120" s="21" t="s">
        <v>1824</v>
      </c>
      <c r="N120" s="21" t="s">
        <v>1989</v>
      </c>
      <c r="O120" s="21" t="s">
        <v>1990</v>
      </c>
      <c r="P120" s="21" t="s">
        <v>1930</v>
      </c>
      <c r="Q120" s="21" t="s">
        <v>1213</v>
      </c>
      <c r="R120" s="21" t="s">
        <v>1227</v>
      </c>
      <c r="S120" s="21" t="s">
        <v>1127</v>
      </c>
      <c r="T120" s="21" t="s">
        <v>1917</v>
      </c>
      <c r="U120" s="21" t="s">
        <v>1724</v>
      </c>
      <c r="V120" s="21" t="str">
        <f>_xlfn.XLOOKUP(U120,'T07'!$D$3:$D$1500,'T07'!$BI$3:$BI$1500)&amp;" / "&amp;_xlfn.XLOOKUP(U120,'T07'!$D$3:$D$1500,'T07'!$BJ$3:$BJ$1500)</f>
        <v>LHR-HTV-2008-90487 / HTV</v>
      </c>
      <c r="W120" s="21" t="s">
        <v>1917</v>
      </c>
      <c r="X120" s="21" t="s">
        <v>1726</v>
      </c>
      <c r="Y120" s="21" t="s">
        <v>1991</v>
      </c>
      <c r="Z120" s="21">
        <v>1</v>
      </c>
      <c r="AA120" s="21" t="s">
        <v>1840</v>
      </c>
      <c r="AB120" s="21" t="s">
        <v>1841</v>
      </c>
      <c r="AC120" s="25">
        <v>2000</v>
      </c>
      <c r="AD120" s="25">
        <v>500</v>
      </c>
      <c r="AE120" s="21" t="s">
        <v>2330</v>
      </c>
      <c r="AF120" s="21" t="s">
        <v>2331</v>
      </c>
      <c r="AG120" s="35">
        <v>45817.990624999999</v>
      </c>
      <c r="AH120" s="21" t="s">
        <v>1934</v>
      </c>
      <c r="AI120" s="25">
        <v>495</v>
      </c>
      <c r="AJ120" s="21" t="s">
        <v>1081</v>
      </c>
      <c r="AK120" s="21" t="s">
        <v>1922</v>
      </c>
      <c r="AL120" s="21" t="str">
        <f>IF(AD120-AI120&gt;0,(AD120-AI120)&amp;" bags - damaged in transit","None")</f>
        <v>5 bags - damaged in transit</v>
      </c>
      <c r="AM120" s="21" t="s">
        <v>2332</v>
      </c>
      <c r="AN120" s="21" t="s">
        <v>2333</v>
      </c>
      <c r="AO120" s="21" t="s">
        <v>2327</v>
      </c>
      <c r="AP120" s="21" t="str">
        <f>IF(AO120="Pending","Not yet invoiced",IF(AI120=AD120,"Matched","Invoiced on received qty ("&amp;AI120&amp;" of "&amp;AD120&amp;")"))</f>
        <v>Invoiced on received qty (495 of 500)</v>
      </c>
      <c r="AQ120" s="21" t="s">
        <v>2334</v>
      </c>
    </row>
    <row r="121" spans="1:43" x14ac:dyDescent="0.3">
      <c r="A121" s="21" t="s">
        <v>2335</v>
      </c>
      <c r="B121" s="35">
        <v>45819.625</v>
      </c>
      <c r="C121" s="21" t="s">
        <v>1909</v>
      </c>
      <c r="D121" s="21" t="s">
        <v>2324</v>
      </c>
      <c r="E121" s="21" t="s">
        <v>2056</v>
      </c>
      <c r="F121" s="21" t="s">
        <v>768</v>
      </c>
      <c r="G121" s="35">
        <v>45819.887291666666</v>
      </c>
      <c r="H121" s="21" t="s">
        <v>1912</v>
      </c>
      <c r="I121" s="21" t="s">
        <v>1913</v>
      </c>
      <c r="J121" s="21" t="s">
        <v>1914</v>
      </c>
      <c r="K121" s="21" t="s">
        <v>1823</v>
      </c>
      <c r="L121" s="21" t="s">
        <v>1080</v>
      </c>
      <c r="M121" s="21" t="s">
        <v>1824</v>
      </c>
      <c r="N121" s="21" t="s">
        <v>1989</v>
      </c>
      <c r="O121" s="21" t="s">
        <v>1990</v>
      </c>
      <c r="P121" s="21" t="s">
        <v>1930</v>
      </c>
      <c r="Q121" s="21" t="s">
        <v>1213</v>
      </c>
      <c r="R121" s="21" t="s">
        <v>1216</v>
      </c>
      <c r="S121" s="21" t="s">
        <v>1104</v>
      </c>
      <c r="T121" s="21" t="s">
        <v>1917</v>
      </c>
      <c r="U121" s="21" t="s">
        <v>1753</v>
      </c>
      <c r="V121" s="21" t="str">
        <f>_xlfn.XLOOKUP(U121,'T07'!$D$3:$D$1500,'T07'!$BI$3:$BI$1500)&amp;" / "&amp;_xlfn.XLOOKUP(U121,'T07'!$D$3:$D$1500,'T07'!$BJ$3:$BJ$1500)</f>
        <v>LHR-HTV-2009-86678 / HTV</v>
      </c>
      <c r="W121" s="21" t="s">
        <v>1917</v>
      </c>
      <c r="X121" s="21" t="s">
        <v>1755</v>
      </c>
      <c r="Y121" s="21" t="s">
        <v>2057</v>
      </c>
      <c r="Z121" s="21">
        <v>1</v>
      </c>
      <c r="AA121" s="21" t="s">
        <v>1842</v>
      </c>
      <c r="AB121" s="21" t="s">
        <v>1804</v>
      </c>
      <c r="AC121" s="25">
        <v>1000</v>
      </c>
      <c r="AD121" s="25">
        <v>500</v>
      </c>
      <c r="AE121" s="21" t="s">
        <v>2336</v>
      </c>
      <c r="AF121" s="21" t="s">
        <v>2337</v>
      </c>
      <c r="AG121" s="35">
        <v>45819.907291666663</v>
      </c>
      <c r="AH121" s="21" t="s">
        <v>1934</v>
      </c>
      <c r="AI121" s="25">
        <v>500</v>
      </c>
      <c r="AJ121" s="21" t="s">
        <v>1081</v>
      </c>
      <c r="AK121" s="21" t="s">
        <v>1922</v>
      </c>
      <c r="AL121" s="21" t="str">
        <f>IF(AD121-AI121&gt;0,(AD121-AI121)&amp;" bags - damaged in transit","None")</f>
        <v>None</v>
      </c>
      <c r="AM121" s="21" t="s">
        <v>844</v>
      </c>
      <c r="AN121" s="21" t="s">
        <v>848</v>
      </c>
      <c r="AO121" s="21" t="s">
        <v>2327</v>
      </c>
      <c r="AP121" s="21" t="str">
        <f>IF(AO121="Pending","Not yet invoiced",IF(AI121=AD121,"Matched","Invoiced on received qty ("&amp;AI121&amp;" of "&amp;AD121&amp;")"))</f>
        <v>Matched</v>
      </c>
      <c r="AQ121" s="21" t="s">
        <v>2334</v>
      </c>
    </row>
    <row r="122" spans="1:43" x14ac:dyDescent="0.3">
      <c r="A122" s="21" t="s">
        <v>2335</v>
      </c>
      <c r="B122" s="35">
        <v>45819.625</v>
      </c>
      <c r="C122" s="21" t="s">
        <v>1909</v>
      </c>
      <c r="D122" s="21" t="s">
        <v>2324</v>
      </c>
      <c r="E122" s="21" t="s">
        <v>2056</v>
      </c>
      <c r="F122" s="21" t="s">
        <v>768</v>
      </c>
      <c r="G122" s="35">
        <v>45819.887291666666</v>
      </c>
      <c r="H122" s="21" t="s">
        <v>1912</v>
      </c>
      <c r="I122" s="21" t="s">
        <v>1913</v>
      </c>
      <c r="J122" s="21" t="s">
        <v>1914</v>
      </c>
      <c r="K122" s="21" t="s">
        <v>1823</v>
      </c>
      <c r="L122" s="21" t="s">
        <v>1080</v>
      </c>
      <c r="M122" s="21" t="s">
        <v>1824</v>
      </c>
      <c r="N122" s="21" t="s">
        <v>1989</v>
      </c>
      <c r="O122" s="21" t="s">
        <v>1990</v>
      </c>
      <c r="P122" s="21" t="s">
        <v>1930</v>
      </c>
      <c r="Q122" s="21" t="s">
        <v>1213</v>
      </c>
      <c r="R122" s="21" t="s">
        <v>1216</v>
      </c>
      <c r="S122" s="21" t="s">
        <v>1104</v>
      </c>
      <c r="T122" s="21" t="s">
        <v>1917</v>
      </c>
      <c r="U122" s="21" t="s">
        <v>1753</v>
      </c>
      <c r="V122" s="21" t="str">
        <f>_xlfn.XLOOKUP(U122,'T07'!$D$3:$D$1500,'T07'!$BI$3:$BI$1500)&amp;" / "&amp;_xlfn.XLOOKUP(U122,'T07'!$D$3:$D$1500,'T07'!$BJ$3:$BJ$1500)</f>
        <v>LHR-HTV-2009-86678 / HTV</v>
      </c>
      <c r="W122" s="21" t="s">
        <v>1917</v>
      </c>
      <c r="X122" s="21" t="s">
        <v>1755</v>
      </c>
      <c r="Y122" s="21" t="s">
        <v>2057</v>
      </c>
      <c r="Z122" s="21">
        <v>2</v>
      </c>
      <c r="AA122" s="21" t="s">
        <v>1840</v>
      </c>
      <c r="AB122" s="21" t="s">
        <v>1841</v>
      </c>
      <c r="AC122" s="25">
        <v>1500</v>
      </c>
      <c r="AD122" s="25">
        <v>500</v>
      </c>
      <c r="AE122" s="21" t="s">
        <v>2338</v>
      </c>
      <c r="AF122" s="21" t="s">
        <v>2337</v>
      </c>
      <c r="AG122" s="35">
        <v>45819.907291666663</v>
      </c>
      <c r="AH122" s="21" t="s">
        <v>1934</v>
      </c>
      <c r="AI122" s="25">
        <v>500</v>
      </c>
      <c r="AJ122" s="21" t="s">
        <v>1081</v>
      </c>
      <c r="AK122" s="21" t="s">
        <v>1922</v>
      </c>
      <c r="AL122" s="21" t="str">
        <f>IF(AD122-AI122&gt;0,(AD122-AI122)&amp;" bags - damaged in transit","None")</f>
        <v>None</v>
      </c>
      <c r="AM122" s="21" t="s">
        <v>844</v>
      </c>
      <c r="AN122" s="21" t="s">
        <v>848</v>
      </c>
      <c r="AO122" s="21" t="s">
        <v>2327</v>
      </c>
      <c r="AP122" s="21" t="str">
        <f>IF(AO122="Pending","Not yet invoiced",IF(AI122=AD122,"Matched","Invoiced on received qty ("&amp;AI122&amp;" of "&amp;AD122&amp;")"))</f>
        <v>Matched</v>
      </c>
      <c r="AQ122" s="21" t="s">
        <v>2334</v>
      </c>
    </row>
    <row r="123" spans="1:43" x14ac:dyDescent="0.3">
      <c r="A123" s="21" t="s">
        <v>2339</v>
      </c>
      <c r="B123" s="35">
        <v>45828.458333333336</v>
      </c>
      <c r="C123" s="21" t="s">
        <v>1909</v>
      </c>
      <c r="D123" s="21" t="s">
        <v>2324</v>
      </c>
      <c r="E123" s="21" t="s">
        <v>1927</v>
      </c>
      <c r="F123" s="21" t="s">
        <v>768</v>
      </c>
      <c r="G123" s="35">
        <v>45828.720625000002</v>
      </c>
      <c r="H123" s="21" t="s">
        <v>1912</v>
      </c>
      <c r="I123" s="21" t="s">
        <v>1913</v>
      </c>
      <c r="J123" s="21" t="s">
        <v>1914</v>
      </c>
      <c r="K123" s="21" t="s">
        <v>1823</v>
      </c>
      <c r="L123" s="21" t="s">
        <v>1080</v>
      </c>
      <c r="M123" s="21" t="s">
        <v>1824</v>
      </c>
      <c r="N123" s="21" t="s">
        <v>1989</v>
      </c>
      <c r="O123" s="21" t="s">
        <v>1990</v>
      </c>
      <c r="P123" s="21" t="s">
        <v>1930</v>
      </c>
      <c r="Q123" s="21" t="s">
        <v>1213</v>
      </c>
      <c r="R123" s="21" t="s">
        <v>1271</v>
      </c>
      <c r="S123" s="21" t="s">
        <v>1127</v>
      </c>
      <c r="T123" s="21" t="s">
        <v>1917</v>
      </c>
      <c r="U123" s="21" t="s">
        <v>1711</v>
      </c>
      <c r="V123" s="21" t="str">
        <f>_xlfn.XLOOKUP(U123,'T07'!$D$3:$D$1500,'T07'!$BI$3:$BI$1500)&amp;" / "&amp;_xlfn.XLOOKUP(U123,'T07'!$D$3:$D$1500,'T07'!$BJ$3:$BJ$1500)</f>
        <v>LHR-HTV-2008-42260 / HTV</v>
      </c>
      <c r="W123" s="21" t="s">
        <v>1917</v>
      </c>
      <c r="X123" s="21" t="s">
        <v>1713</v>
      </c>
      <c r="Y123" s="21" t="s">
        <v>2022</v>
      </c>
      <c r="Z123" s="21">
        <v>1</v>
      </c>
      <c r="AA123" s="21" t="s">
        <v>1840</v>
      </c>
      <c r="AB123" s="21" t="s">
        <v>1841</v>
      </c>
      <c r="AC123" s="25">
        <v>1000</v>
      </c>
      <c r="AD123" s="25">
        <v>250</v>
      </c>
      <c r="AE123" s="21" t="s">
        <v>2340</v>
      </c>
      <c r="AF123" s="21" t="s">
        <v>2341</v>
      </c>
      <c r="AG123" s="35">
        <v>45828.740624999999</v>
      </c>
      <c r="AH123" s="21" t="s">
        <v>1934</v>
      </c>
      <c r="AI123" s="25">
        <v>250</v>
      </c>
      <c r="AJ123" s="21" t="s">
        <v>1081</v>
      </c>
      <c r="AK123" s="21" t="s">
        <v>1922</v>
      </c>
      <c r="AL123" s="21" t="str">
        <f>IF(AD123-AI123&gt;0,(AD123-AI123)&amp;" bags - damaged in transit","None")</f>
        <v>None</v>
      </c>
      <c r="AM123" s="21" t="s">
        <v>844</v>
      </c>
      <c r="AN123" s="21" t="s">
        <v>848</v>
      </c>
      <c r="AO123" s="21" t="s">
        <v>2327</v>
      </c>
      <c r="AP123" s="21" t="str">
        <f>IF(AO123="Pending","Not yet invoiced",IF(AI123=AD123,"Matched","Invoiced on received qty ("&amp;AI123&amp;" of "&amp;AD123&amp;")"))</f>
        <v>Matched</v>
      </c>
      <c r="AQ123" s="21" t="s">
        <v>2334</v>
      </c>
    </row>
    <row r="124" spans="1:43" x14ac:dyDescent="0.3">
      <c r="A124" s="21" t="s">
        <v>2339</v>
      </c>
      <c r="B124" s="35">
        <v>45828.458333333336</v>
      </c>
      <c r="C124" s="21" t="s">
        <v>1909</v>
      </c>
      <c r="D124" s="21" t="s">
        <v>2324</v>
      </c>
      <c r="E124" s="21" t="s">
        <v>1927</v>
      </c>
      <c r="F124" s="21" t="s">
        <v>768</v>
      </c>
      <c r="G124" s="35">
        <v>45828.720625000002</v>
      </c>
      <c r="H124" s="21" t="s">
        <v>1912</v>
      </c>
      <c r="I124" s="21" t="s">
        <v>1913</v>
      </c>
      <c r="J124" s="21" t="s">
        <v>1914</v>
      </c>
      <c r="K124" s="21" t="s">
        <v>1823</v>
      </c>
      <c r="L124" s="21" t="s">
        <v>1080</v>
      </c>
      <c r="M124" s="21" t="s">
        <v>1824</v>
      </c>
      <c r="N124" s="21" t="s">
        <v>1989</v>
      </c>
      <c r="O124" s="21" t="s">
        <v>1990</v>
      </c>
      <c r="P124" s="21" t="s">
        <v>1930</v>
      </c>
      <c r="Q124" s="21" t="s">
        <v>1213</v>
      </c>
      <c r="R124" s="21" t="s">
        <v>1271</v>
      </c>
      <c r="S124" s="21" t="s">
        <v>1127</v>
      </c>
      <c r="T124" s="21" t="s">
        <v>1917</v>
      </c>
      <c r="U124" s="21" t="s">
        <v>1711</v>
      </c>
      <c r="V124" s="21" t="str">
        <f>_xlfn.XLOOKUP(U124,'T07'!$D$3:$D$1500,'T07'!$BI$3:$BI$1500)&amp;" / "&amp;_xlfn.XLOOKUP(U124,'T07'!$D$3:$D$1500,'T07'!$BJ$3:$BJ$1500)</f>
        <v>LHR-HTV-2008-42260 / HTV</v>
      </c>
      <c r="W124" s="21" t="s">
        <v>1917</v>
      </c>
      <c r="X124" s="21" t="s">
        <v>1713</v>
      </c>
      <c r="Y124" s="21" t="s">
        <v>2022</v>
      </c>
      <c r="Z124" s="21">
        <v>2</v>
      </c>
      <c r="AA124" s="21" t="s">
        <v>1842</v>
      </c>
      <c r="AB124" s="21" t="s">
        <v>1804</v>
      </c>
      <c r="AC124" s="25">
        <v>500</v>
      </c>
      <c r="AD124" s="25">
        <v>250</v>
      </c>
      <c r="AE124" s="21" t="s">
        <v>2342</v>
      </c>
      <c r="AF124" s="21" t="s">
        <v>2341</v>
      </c>
      <c r="AG124" s="35">
        <v>45828.740624999999</v>
      </c>
      <c r="AH124" s="21" t="s">
        <v>1934</v>
      </c>
      <c r="AI124" s="25">
        <v>250</v>
      </c>
      <c r="AJ124" s="21" t="s">
        <v>1081</v>
      </c>
      <c r="AK124" s="21" t="s">
        <v>1922</v>
      </c>
      <c r="AL124" s="21" t="str">
        <f>IF(AD124-AI124&gt;0,(AD124-AI124)&amp;" bags - damaged in transit","None")</f>
        <v>None</v>
      </c>
      <c r="AM124" s="21" t="s">
        <v>844</v>
      </c>
      <c r="AN124" s="21" t="s">
        <v>848</v>
      </c>
      <c r="AO124" s="21" t="s">
        <v>2327</v>
      </c>
      <c r="AP124" s="21" t="str">
        <f>IF(AO124="Pending","Not yet invoiced",IF(AI124=AD124,"Matched","Invoiced on received qty ("&amp;AI124&amp;" of "&amp;AD124&amp;")"))</f>
        <v>Matched</v>
      </c>
      <c r="AQ124" s="21" t="s">
        <v>2334</v>
      </c>
    </row>
    <row r="125" spans="1:43" x14ac:dyDescent="0.3">
      <c r="A125" s="21" t="s">
        <v>2343</v>
      </c>
      <c r="B125" s="35">
        <v>45831.5</v>
      </c>
      <c r="C125" s="21" t="s">
        <v>1909</v>
      </c>
      <c r="D125" s="21" t="s">
        <v>2324</v>
      </c>
      <c r="E125" s="21" t="s">
        <v>1927</v>
      </c>
      <c r="F125" s="21" t="s">
        <v>768</v>
      </c>
      <c r="G125" s="35">
        <v>45831.762291666666</v>
      </c>
      <c r="H125" s="21" t="s">
        <v>1912</v>
      </c>
      <c r="I125" s="21" t="s">
        <v>1913</v>
      </c>
      <c r="J125" s="21" t="s">
        <v>1914</v>
      </c>
      <c r="K125" s="21" t="s">
        <v>1823</v>
      </c>
      <c r="L125" s="21" t="s">
        <v>1080</v>
      </c>
      <c r="M125" s="21" t="s">
        <v>1824</v>
      </c>
      <c r="N125" s="21" t="s">
        <v>1989</v>
      </c>
      <c r="O125" s="21" t="s">
        <v>1990</v>
      </c>
      <c r="P125" s="21" t="s">
        <v>1930</v>
      </c>
      <c r="Q125" s="21" t="s">
        <v>1213</v>
      </c>
      <c r="R125" s="21" t="s">
        <v>1271</v>
      </c>
      <c r="S125" s="21" t="s">
        <v>1127</v>
      </c>
      <c r="T125" s="21" t="s">
        <v>1917</v>
      </c>
      <c r="U125" s="21" t="s">
        <v>1711</v>
      </c>
      <c r="V125" s="21" t="str">
        <f>_xlfn.XLOOKUP(U125,'T07'!$D$3:$D$1500,'T07'!$BI$3:$BI$1500)&amp;" / "&amp;_xlfn.XLOOKUP(U125,'T07'!$D$3:$D$1500,'T07'!$BJ$3:$BJ$1500)</f>
        <v>LHR-HTV-2008-42260 / HTV</v>
      </c>
      <c r="W125" s="21" t="s">
        <v>1917</v>
      </c>
      <c r="X125" s="21" t="s">
        <v>1713</v>
      </c>
      <c r="Y125" s="21" t="s">
        <v>2022</v>
      </c>
      <c r="Z125" s="21">
        <v>1</v>
      </c>
      <c r="AA125" s="21" t="s">
        <v>1840</v>
      </c>
      <c r="AB125" s="21" t="s">
        <v>1841</v>
      </c>
      <c r="AC125" s="25">
        <v>750</v>
      </c>
      <c r="AD125" s="25">
        <v>500</v>
      </c>
      <c r="AE125" s="21" t="s">
        <v>2344</v>
      </c>
      <c r="AF125" s="21" t="s">
        <v>2345</v>
      </c>
      <c r="AG125" s="35">
        <v>45831.782291666663</v>
      </c>
      <c r="AH125" s="21" t="s">
        <v>1934</v>
      </c>
      <c r="AI125" s="25">
        <v>500</v>
      </c>
      <c r="AJ125" s="21" t="s">
        <v>1081</v>
      </c>
      <c r="AK125" s="21" t="s">
        <v>1922</v>
      </c>
      <c r="AL125" s="21" t="str">
        <f>IF(AD125-AI125&gt;0,(AD125-AI125)&amp;" bags - damaged in transit","None")</f>
        <v>None</v>
      </c>
      <c r="AM125" s="21" t="s">
        <v>844</v>
      </c>
      <c r="AN125" s="21" t="s">
        <v>848</v>
      </c>
      <c r="AO125" s="21" t="s">
        <v>2327</v>
      </c>
      <c r="AP125" s="21" t="str">
        <f>IF(AO125="Pending","Not yet invoiced",IF(AI125=AD125,"Matched","Invoiced on received qty ("&amp;AI125&amp;" of "&amp;AD125&amp;")"))</f>
        <v>Matched</v>
      </c>
      <c r="AQ125" s="21" t="s">
        <v>2334</v>
      </c>
    </row>
    <row r="126" spans="1:43" x14ac:dyDescent="0.3">
      <c r="A126" s="21" t="s">
        <v>2346</v>
      </c>
      <c r="B126" s="35">
        <v>45841.375</v>
      </c>
      <c r="C126" s="21" t="s">
        <v>1909</v>
      </c>
      <c r="D126" s="21" t="s">
        <v>2347</v>
      </c>
      <c r="E126" s="21" t="s">
        <v>1927</v>
      </c>
      <c r="F126" s="21" t="s">
        <v>768</v>
      </c>
      <c r="G126" s="35">
        <v>45841.498749999999</v>
      </c>
      <c r="H126" s="21" t="s">
        <v>1912</v>
      </c>
      <c r="I126" s="21" t="s">
        <v>1913</v>
      </c>
      <c r="J126" s="21" t="s">
        <v>1914</v>
      </c>
      <c r="K126" s="21" t="s">
        <v>1835</v>
      </c>
      <c r="L126" s="21" t="s">
        <v>1055</v>
      </c>
      <c r="M126" s="21" t="s">
        <v>1836</v>
      </c>
      <c r="N126" s="21" t="s">
        <v>2204</v>
      </c>
      <c r="O126" s="21" t="s">
        <v>2205</v>
      </c>
      <c r="P126" s="21" t="s">
        <v>1930</v>
      </c>
      <c r="Q126" s="21" t="s">
        <v>1213</v>
      </c>
      <c r="R126" s="21" t="s">
        <v>1264</v>
      </c>
      <c r="S126" s="21" t="s">
        <v>1127</v>
      </c>
      <c r="T126" s="21" t="s">
        <v>1917</v>
      </c>
      <c r="U126" s="21" t="s">
        <v>1782</v>
      </c>
      <c r="V126" s="21" t="str">
        <f>_xlfn.XLOOKUP(U126,'T07'!$D$3:$D$1500,'T07'!$BI$3:$BI$1500)&amp;" / "&amp;_xlfn.XLOOKUP(U126,'T07'!$D$3:$D$1500,'T07'!$BJ$3:$BJ$1500)</f>
        <v>LHR-HTV-2014-51184 / HTV</v>
      </c>
      <c r="W126" s="21" t="s">
        <v>1917</v>
      </c>
      <c r="X126" s="21" t="s">
        <v>1785</v>
      </c>
      <c r="Y126" s="21" t="s">
        <v>2008</v>
      </c>
      <c r="Z126" s="21">
        <v>1</v>
      </c>
      <c r="AA126" s="21" t="s">
        <v>1828</v>
      </c>
      <c r="AB126" s="21" t="s">
        <v>1804</v>
      </c>
      <c r="AC126" s="25">
        <v>500</v>
      </c>
      <c r="AD126" s="25">
        <v>50</v>
      </c>
      <c r="AE126" s="21" t="s">
        <v>2348</v>
      </c>
      <c r="AF126" s="21" t="s">
        <v>2349</v>
      </c>
      <c r="AG126" s="35">
        <v>45841.518749999996</v>
      </c>
      <c r="AH126" s="21" t="s">
        <v>1934</v>
      </c>
      <c r="AI126" s="25">
        <v>50</v>
      </c>
      <c r="AJ126" s="21" t="s">
        <v>1056</v>
      </c>
      <c r="AK126" s="21" t="s">
        <v>1922</v>
      </c>
      <c r="AL126" s="21" t="str">
        <f>IF(AD126-AI126&gt;0,(AD126-AI126)&amp;" bags - damaged in transit","None")</f>
        <v>None</v>
      </c>
      <c r="AM126" s="21" t="s">
        <v>844</v>
      </c>
      <c r="AN126" s="21" t="s">
        <v>848</v>
      </c>
      <c r="AO126" s="21" t="s">
        <v>2350</v>
      </c>
      <c r="AP126" s="21" t="str">
        <f>IF(AO126="Pending","Not yet invoiced",IF(AI126=AD126,"Matched","Invoiced on received qty ("&amp;AI126&amp;" of "&amp;AD126&amp;")"))</f>
        <v>Matched</v>
      </c>
      <c r="AQ126" s="21" t="s">
        <v>2351</v>
      </c>
    </row>
    <row r="127" spans="1:43" x14ac:dyDescent="0.3">
      <c r="A127" s="21" t="s">
        <v>2352</v>
      </c>
      <c r="B127" s="35">
        <v>45842.625</v>
      </c>
      <c r="C127" s="21" t="s">
        <v>1909</v>
      </c>
      <c r="D127" s="21" t="s">
        <v>2353</v>
      </c>
      <c r="E127" s="21" t="s">
        <v>1927</v>
      </c>
      <c r="F127" s="21" t="s">
        <v>768</v>
      </c>
      <c r="G127" s="35">
        <v>45842.775833333333</v>
      </c>
      <c r="H127" s="21" t="s">
        <v>1912</v>
      </c>
      <c r="I127" s="21" t="s">
        <v>1913</v>
      </c>
      <c r="J127" s="21" t="s">
        <v>1914</v>
      </c>
      <c r="K127" s="21" t="s">
        <v>1870</v>
      </c>
      <c r="L127" s="21" t="s">
        <v>1045</v>
      </c>
      <c r="M127" s="21" t="s">
        <v>1871</v>
      </c>
      <c r="N127" s="21" t="s">
        <v>2354</v>
      </c>
      <c r="O127" s="21" t="s">
        <v>2355</v>
      </c>
      <c r="P127" s="21" t="s">
        <v>1930</v>
      </c>
      <c r="Q127" s="21" t="s">
        <v>1278</v>
      </c>
      <c r="R127" s="21" t="s">
        <v>1294</v>
      </c>
      <c r="S127" s="21" t="s">
        <v>1127</v>
      </c>
      <c r="T127" s="21" t="s">
        <v>1917</v>
      </c>
      <c r="U127" s="21" t="s">
        <v>1711</v>
      </c>
      <c r="V127" s="21" t="str">
        <f>_xlfn.XLOOKUP(U127,'T07'!$D$3:$D$1500,'T07'!$BI$3:$BI$1500)&amp;" / "&amp;_xlfn.XLOOKUP(U127,'T07'!$D$3:$D$1500,'T07'!$BJ$3:$BJ$1500)</f>
        <v>LHR-HTV-2008-42260 / HTV</v>
      </c>
      <c r="W127" s="21" t="s">
        <v>1917</v>
      </c>
      <c r="X127" s="21" t="s">
        <v>1713</v>
      </c>
      <c r="Y127" s="21" t="s">
        <v>1957</v>
      </c>
      <c r="Z127" s="21">
        <v>1</v>
      </c>
      <c r="AA127" s="21" t="s">
        <v>1840</v>
      </c>
      <c r="AB127" s="21" t="s">
        <v>1841</v>
      </c>
      <c r="AC127" s="25">
        <v>500</v>
      </c>
      <c r="AD127" s="25">
        <v>50</v>
      </c>
      <c r="AE127" s="21" t="s">
        <v>2356</v>
      </c>
      <c r="AF127" s="21" t="s">
        <v>2357</v>
      </c>
      <c r="AG127" s="35">
        <v>45842.79583333333</v>
      </c>
      <c r="AH127" s="21" t="s">
        <v>1934</v>
      </c>
      <c r="AI127" s="25">
        <v>44</v>
      </c>
      <c r="AJ127" s="21" t="s">
        <v>1046</v>
      </c>
      <c r="AK127" s="21" t="s">
        <v>1922</v>
      </c>
      <c r="AL127" s="21" t="str">
        <f>IF(AD127-AI127&gt;0,(AD127-AI127)&amp;" bags - damaged in transit","None")</f>
        <v>6 bags - damaged in transit</v>
      </c>
      <c r="AM127" s="21" t="s">
        <v>2358</v>
      </c>
      <c r="AN127" s="21" t="s">
        <v>2359</v>
      </c>
      <c r="AO127" s="21" t="s">
        <v>2360</v>
      </c>
      <c r="AP127" s="21" t="str">
        <f>IF(AO127="Pending","Not yet invoiced",IF(AI127=AD127,"Matched","Invoiced on received qty ("&amp;AI127&amp;" of "&amp;AD127&amp;")"))</f>
        <v>Invoiced on received qty (44 of 50)</v>
      </c>
      <c r="AQ127" s="21" t="s">
        <v>2361</v>
      </c>
    </row>
    <row r="128" spans="1:43" x14ac:dyDescent="0.3">
      <c r="A128" s="21" t="s">
        <v>2362</v>
      </c>
      <c r="B128" s="35">
        <v>45844.416666666664</v>
      </c>
      <c r="C128" s="21" t="s">
        <v>1909</v>
      </c>
      <c r="D128" s="21" t="s">
        <v>2353</v>
      </c>
      <c r="E128" s="21" t="s">
        <v>1927</v>
      </c>
      <c r="F128" s="21" t="s">
        <v>768</v>
      </c>
      <c r="G128" s="35">
        <v>45844.567499999997</v>
      </c>
      <c r="H128" s="21" t="s">
        <v>1912</v>
      </c>
      <c r="I128" s="21" t="s">
        <v>1913</v>
      </c>
      <c r="J128" s="21" t="s">
        <v>1914</v>
      </c>
      <c r="K128" s="21" t="s">
        <v>1870</v>
      </c>
      <c r="L128" s="21" t="s">
        <v>1045</v>
      </c>
      <c r="M128" s="21" t="s">
        <v>1871</v>
      </c>
      <c r="N128" s="21" t="s">
        <v>2354</v>
      </c>
      <c r="O128" s="21" t="s">
        <v>2355</v>
      </c>
      <c r="P128" s="21" t="s">
        <v>1930</v>
      </c>
      <c r="Q128" s="21" t="s">
        <v>1278</v>
      </c>
      <c r="R128" s="21" t="s">
        <v>1332</v>
      </c>
      <c r="S128" s="21" t="s">
        <v>1127</v>
      </c>
      <c r="T128" s="21" t="s">
        <v>1917</v>
      </c>
      <c r="U128" s="21" t="s">
        <v>1724</v>
      </c>
      <c r="V128" s="21" t="str">
        <f>_xlfn.XLOOKUP(U128,'T07'!$D$3:$D$1500,'T07'!$BI$3:$BI$1500)&amp;" / "&amp;_xlfn.XLOOKUP(U128,'T07'!$D$3:$D$1500,'T07'!$BJ$3:$BJ$1500)</f>
        <v>LHR-HTV-2008-90487 / HTV</v>
      </c>
      <c r="W128" s="21" t="s">
        <v>1917</v>
      </c>
      <c r="X128" s="21" t="s">
        <v>1726</v>
      </c>
      <c r="Y128" s="21" t="s">
        <v>1931</v>
      </c>
      <c r="Z128" s="21">
        <v>1</v>
      </c>
      <c r="AA128" s="21" t="s">
        <v>1840</v>
      </c>
      <c r="AB128" s="21" t="s">
        <v>1841</v>
      </c>
      <c r="AC128" s="25">
        <v>450</v>
      </c>
      <c r="AD128" s="25">
        <v>50</v>
      </c>
      <c r="AE128" s="21" t="s">
        <v>2363</v>
      </c>
      <c r="AF128" s="21" t="s">
        <v>2364</v>
      </c>
      <c r="AG128" s="35">
        <v>45844.587499999994</v>
      </c>
      <c r="AH128" s="21" t="s">
        <v>1934</v>
      </c>
      <c r="AI128" s="25">
        <v>50</v>
      </c>
      <c r="AJ128" s="21" t="s">
        <v>1046</v>
      </c>
      <c r="AK128" s="21" t="s">
        <v>1922</v>
      </c>
      <c r="AL128" s="21" t="str">
        <f>IF(AD128-AI128&gt;0,(AD128-AI128)&amp;" bags - damaged in transit","None")</f>
        <v>None</v>
      </c>
      <c r="AM128" s="21" t="s">
        <v>844</v>
      </c>
      <c r="AN128" s="21" t="s">
        <v>848</v>
      </c>
      <c r="AO128" s="21" t="s">
        <v>2360</v>
      </c>
      <c r="AP128" s="21" t="str">
        <f>IF(AO128="Pending","Not yet invoiced",IF(AI128=AD128,"Matched","Invoiced on received qty ("&amp;AI128&amp;" of "&amp;AD128&amp;")"))</f>
        <v>Matched</v>
      </c>
      <c r="AQ128" s="21" t="s">
        <v>2361</v>
      </c>
    </row>
    <row r="129" spans="1:43" x14ac:dyDescent="0.3">
      <c r="A129" s="21" t="s">
        <v>2365</v>
      </c>
      <c r="B129" s="35">
        <v>45845.541666666664</v>
      </c>
      <c r="C129" s="21" t="s">
        <v>1909</v>
      </c>
      <c r="D129" s="21" t="s">
        <v>2347</v>
      </c>
      <c r="E129" s="21" t="s">
        <v>1945</v>
      </c>
      <c r="F129" s="21" t="s">
        <v>768</v>
      </c>
      <c r="G129" s="35">
        <v>45845.665416666663</v>
      </c>
      <c r="H129" s="21" t="s">
        <v>1912</v>
      </c>
      <c r="I129" s="21" t="s">
        <v>1913</v>
      </c>
      <c r="J129" s="21" t="s">
        <v>1914</v>
      </c>
      <c r="K129" s="21" t="s">
        <v>1835</v>
      </c>
      <c r="L129" s="21" t="s">
        <v>1055</v>
      </c>
      <c r="M129" s="21" t="s">
        <v>1836</v>
      </c>
      <c r="N129" s="21" t="s">
        <v>2204</v>
      </c>
      <c r="O129" s="21" t="s">
        <v>2205</v>
      </c>
      <c r="P129" s="21" t="s">
        <v>1930</v>
      </c>
      <c r="Q129" s="21" t="s">
        <v>1213</v>
      </c>
      <c r="R129" s="21" t="s">
        <v>1271</v>
      </c>
      <c r="S129" s="21" t="s">
        <v>1127</v>
      </c>
      <c r="T129" s="21" t="s">
        <v>1917</v>
      </c>
      <c r="U129" s="21" t="s">
        <v>1697</v>
      </c>
      <c r="V129" s="21" t="str">
        <f>_xlfn.XLOOKUP(U129,'T07'!$D$3:$D$1500,'T07'!$BI$3:$BI$1500)&amp;" / "&amp;_xlfn.XLOOKUP(U129,'T07'!$D$3:$D$1500,'T07'!$BJ$3:$BJ$1500)</f>
        <v>LHR-HTV-2013-23962 / HTV</v>
      </c>
      <c r="W129" s="21" t="s">
        <v>1917</v>
      </c>
      <c r="X129" s="21" t="s">
        <v>1700</v>
      </c>
      <c r="Y129" s="21" t="s">
        <v>2022</v>
      </c>
      <c r="Z129" s="21">
        <v>1</v>
      </c>
      <c r="AA129" s="21" t="s">
        <v>1828</v>
      </c>
      <c r="AB129" s="21" t="s">
        <v>1804</v>
      </c>
      <c r="AC129" s="25">
        <v>450</v>
      </c>
      <c r="AD129" s="25">
        <v>50</v>
      </c>
      <c r="AE129" s="21" t="s">
        <v>2366</v>
      </c>
      <c r="AF129" s="21" t="s">
        <v>2367</v>
      </c>
      <c r="AG129" s="35">
        <v>45845.68541666666</v>
      </c>
      <c r="AH129" s="21" t="s">
        <v>1934</v>
      </c>
      <c r="AI129" s="25">
        <v>50</v>
      </c>
      <c r="AJ129" s="21" t="s">
        <v>1056</v>
      </c>
      <c r="AK129" s="21" t="s">
        <v>1922</v>
      </c>
      <c r="AL129" s="21" t="str">
        <f>IF(AD129-AI129&gt;0,(AD129-AI129)&amp;" bags - damaged in transit","None")</f>
        <v>None</v>
      </c>
      <c r="AM129" s="21" t="s">
        <v>844</v>
      </c>
      <c r="AN129" s="21" t="s">
        <v>848</v>
      </c>
      <c r="AO129" s="21" t="s">
        <v>2350</v>
      </c>
      <c r="AP129" s="21" t="str">
        <f>IF(AO129="Pending","Not yet invoiced",IF(AI129=AD129,"Matched","Invoiced on received qty ("&amp;AI129&amp;" of "&amp;AD129&amp;")"))</f>
        <v>Matched</v>
      </c>
      <c r="AQ129" s="21" t="s">
        <v>2351</v>
      </c>
    </row>
    <row r="130" spans="1:43" x14ac:dyDescent="0.3">
      <c r="A130" s="21" t="s">
        <v>2365</v>
      </c>
      <c r="B130" s="35">
        <v>45845.541666666664</v>
      </c>
      <c r="C130" s="21" t="s">
        <v>1909</v>
      </c>
      <c r="D130" s="21" t="s">
        <v>2347</v>
      </c>
      <c r="E130" s="21" t="s">
        <v>1945</v>
      </c>
      <c r="F130" s="21" t="s">
        <v>768</v>
      </c>
      <c r="G130" s="35">
        <v>45845.665416666663</v>
      </c>
      <c r="H130" s="21" t="s">
        <v>1912</v>
      </c>
      <c r="I130" s="21" t="s">
        <v>1913</v>
      </c>
      <c r="J130" s="21" t="s">
        <v>1914</v>
      </c>
      <c r="K130" s="21" t="s">
        <v>1835</v>
      </c>
      <c r="L130" s="21" t="s">
        <v>1055</v>
      </c>
      <c r="M130" s="21" t="s">
        <v>1836</v>
      </c>
      <c r="N130" s="21" t="s">
        <v>2204</v>
      </c>
      <c r="O130" s="21" t="s">
        <v>2205</v>
      </c>
      <c r="P130" s="21" t="s">
        <v>1930</v>
      </c>
      <c r="Q130" s="21" t="s">
        <v>1213</v>
      </c>
      <c r="R130" s="21" t="s">
        <v>1271</v>
      </c>
      <c r="S130" s="21" t="s">
        <v>1127</v>
      </c>
      <c r="T130" s="21" t="s">
        <v>1917</v>
      </c>
      <c r="U130" s="21" t="s">
        <v>1697</v>
      </c>
      <c r="V130" s="21" t="str">
        <f>_xlfn.XLOOKUP(U130,'T07'!$D$3:$D$1500,'T07'!$BI$3:$BI$1500)&amp;" / "&amp;_xlfn.XLOOKUP(U130,'T07'!$D$3:$D$1500,'T07'!$BJ$3:$BJ$1500)</f>
        <v>LHR-HTV-2013-23962 / HTV</v>
      </c>
      <c r="W130" s="21" t="s">
        <v>1917</v>
      </c>
      <c r="X130" s="21" t="s">
        <v>1700</v>
      </c>
      <c r="Y130" s="21" t="s">
        <v>2022</v>
      </c>
      <c r="Z130" s="21">
        <v>2</v>
      </c>
      <c r="AA130" s="21" t="s">
        <v>1859</v>
      </c>
      <c r="AB130" s="21" t="s">
        <v>1860</v>
      </c>
      <c r="AC130" s="25">
        <v>50</v>
      </c>
      <c r="AD130" s="25">
        <v>6</v>
      </c>
      <c r="AE130" s="21" t="s">
        <v>2368</v>
      </c>
      <c r="AF130" s="21" t="s">
        <v>2367</v>
      </c>
      <c r="AG130" s="35">
        <v>45845.68541666666</v>
      </c>
      <c r="AH130" s="21" t="s">
        <v>1934</v>
      </c>
      <c r="AI130" s="25">
        <v>6</v>
      </c>
      <c r="AJ130" s="21" t="s">
        <v>1056</v>
      </c>
      <c r="AK130" s="21" t="s">
        <v>1922</v>
      </c>
      <c r="AL130" s="21" t="str">
        <f>IF(AD130-AI130&gt;0,(AD130-AI130)&amp;" bags - damaged in transit","None")</f>
        <v>None</v>
      </c>
      <c r="AM130" s="21" t="s">
        <v>844</v>
      </c>
      <c r="AN130" s="21" t="s">
        <v>848</v>
      </c>
      <c r="AO130" s="21" t="s">
        <v>2350</v>
      </c>
      <c r="AP130" s="21" t="str">
        <f>IF(AO130="Pending","Not yet invoiced",IF(AI130=AD130,"Matched","Invoiced on received qty ("&amp;AI130&amp;" of "&amp;AD130&amp;")"))</f>
        <v>Matched</v>
      </c>
      <c r="AQ130" s="21" t="s">
        <v>2351</v>
      </c>
    </row>
    <row r="131" spans="1:43" x14ac:dyDescent="0.3">
      <c r="A131" s="21" t="s">
        <v>2369</v>
      </c>
      <c r="B131" s="35">
        <v>45848.333333333336</v>
      </c>
      <c r="C131" s="21" t="s">
        <v>1909</v>
      </c>
      <c r="D131" s="21" t="s">
        <v>2353</v>
      </c>
      <c r="E131" s="21" t="s">
        <v>2056</v>
      </c>
      <c r="F131" s="21" t="s">
        <v>768</v>
      </c>
      <c r="G131" s="35">
        <v>45848.484166666669</v>
      </c>
      <c r="H131" s="21" t="s">
        <v>1912</v>
      </c>
      <c r="I131" s="21" t="s">
        <v>1913</v>
      </c>
      <c r="J131" s="21" t="s">
        <v>1914</v>
      </c>
      <c r="K131" s="21" t="s">
        <v>1870</v>
      </c>
      <c r="L131" s="21" t="s">
        <v>1045</v>
      </c>
      <c r="M131" s="21" t="s">
        <v>1871</v>
      </c>
      <c r="N131" s="21" t="s">
        <v>2354</v>
      </c>
      <c r="O131" s="21" t="s">
        <v>2355</v>
      </c>
      <c r="P131" s="21" t="s">
        <v>1930</v>
      </c>
      <c r="Q131" s="21" t="s">
        <v>1213</v>
      </c>
      <c r="R131" s="21" t="s">
        <v>1216</v>
      </c>
      <c r="S131" s="21" t="s">
        <v>1104</v>
      </c>
      <c r="T131" s="21" t="s">
        <v>1917</v>
      </c>
      <c r="U131" s="21" t="s">
        <v>1711</v>
      </c>
      <c r="V131" s="21" t="str">
        <f>_xlfn.XLOOKUP(U131,'T07'!$D$3:$D$1500,'T07'!$BI$3:$BI$1500)&amp;" / "&amp;_xlfn.XLOOKUP(U131,'T07'!$D$3:$D$1500,'T07'!$BJ$3:$BJ$1500)</f>
        <v>LHR-HTV-2008-42260 / HTV</v>
      </c>
      <c r="W131" s="21" t="s">
        <v>1917</v>
      </c>
      <c r="X131" s="21" t="s">
        <v>1713</v>
      </c>
      <c r="Y131" s="21" t="s">
        <v>2057</v>
      </c>
      <c r="Z131" s="21">
        <v>1</v>
      </c>
      <c r="AA131" s="21" t="s">
        <v>1840</v>
      </c>
      <c r="AB131" s="21" t="s">
        <v>1841</v>
      </c>
      <c r="AC131" s="25">
        <v>400</v>
      </c>
      <c r="AD131" s="25">
        <v>50</v>
      </c>
      <c r="AE131" s="21" t="s">
        <v>2370</v>
      </c>
      <c r="AF131" s="21" t="s">
        <v>2371</v>
      </c>
      <c r="AG131" s="35">
        <v>45848.504166666666</v>
      </c>
      <c r="AH131" s="21" t="s">
        <v>1934</v>
      </c>
      <c r="AI131" s="25">
        <v>50</v>
      </c>
      <c r="AJ131" s="21" t="s">
        <v>1046</v>
      </c>
      <c r="AK131" s="21" t="s">
        <v>1922</v>
      </c>
      <c r="AL131" s="21" t="str">
        <f>IF(AD131-AI131&gt;0,(AD131-AI131)&amp;" bags - damaged in transit","None")</f>
        <v>None</v>
      </c>
      <c r="AM131" s="21" t="s">
        <v>844</v>
      </c>
      <c r="AN131" s="21" t="s">
        <v>848</v>
      </c>
      <c r="AO131" s="21" t="s">
        <v>2360</v>
      </c>
      <c r="AP131" s="21" t="str">
        <f>IF(AO131="Pending","Not yet invoiced",IF(AI131=AD131,"Matched","Invoiced on received qty ("&amp;AI131&amp;" of "&amp;AD131&amp;")"))</f>
        <v>Matched</v>
      </c>
      <c r="AQ131" s="21" t="s">
        <v>2351</v>
      </c>
    </row>
    <row r="132" spans="1:43" x14ac:dyDescent="0.3">
      <c r="A132" s="21" t="s">
        <v>2369</v>
      </c>
      <c r="B132" s="35">
        <v>45848.333333333336</v>
      </c>
      <c r="C132" s="21" t="s">
        <v>1909</v>
      </c>
      <c r="D132" s="21" t="s">
        <v>2353</v>
      </c>
      <c r="E132" s="21" t="s">
        <v>1945</v>
      </c>
      <c r="F132" s="21" t="s">
        <v>768</v>
      </c>
      <c r="G132" s="35">
        <v>45848.484166666669</v>
      </c>
      <c r="H132" s="21" t="s">
        <v>1912</v>
      </c>
      <c r="I132" s="21" t="s">
        <v>1913</v>
      </c>
      <c r="J132" s="21" t="s">
        <v>1914</v>
      </c>
      <c r="K132" s="21" t="s">
        <v>1870</v>
      </c>
      <c r="L132" s="21" t="s">
        <v>1045</v>
      </c>
      <c r="M132" s="21" t="s">
        <v>1871</v>
      </c>
      <c r="N132" s="21" t="s">
        <v>2354</v>
      </c>
      <c r="O132" s="21" t="s">
        <v>2355</v>
      </c>
      <c r="P132" s="21" t="s">
        <v>1930</v>
      </c>
      <c r="Q132" s="21" t="s">
        <v>1213</v>
      </c>
      <c r="R132" s="21" t="s">
        <v>1216</v>
      </c>
      <c r="S132" s="21" t="s">
        <v>1104</v>
      </c>
      <c r="T132" s="21" t="s">
        <v>1917</v>
      </c>
      <c r="U132" s="21" t="s">
        <v>1711</v>
      </c>
      <c r="V132" s="21" t="str">
        <f>_xlfn.XLOOKUP(U132,'T07'!$D$3:$D$1500,'T07'!$BI$3:$BI$1500)&amp;" / "&amp;_xlfn.XLOOKUP(U132,'T07'!$D$3:$D$1500,'T07'!$BJ$3:$BJ$1500)</f>
        <v>LHR-HTV-2008-42260 / HTV</v>
      </c>
      <c r="W132" s="21" t="s">
        <v>1917</v>
      </c>
      <c r="X132" s="21" t="s">
        <v>1713</v>
      </c>
      <c r="Y132" s="21" t="s">
        <v>2057</v>
      </c>
      <c r="Z132" s="21">
        <v>2</v>
      </c>
      <c r="AA132" s="21" t="s">
        <v>1859</v>
      </c>
      <c r="AB132" s="21" t="s">
        <v>1860</v>
      </c>
      <c r="AC132" s="25">
        <v>20</v>
      </c>
      <c r="AD132" s="25">
        <v>8</v>
      </c>
      <c r="AE132" s="21" t="s">
        <v>2372</v>
      </c>
      <c r="AF132" s="21" t="s">
        <v>2371</v>
      </c>
      <c r="AG132" s="35">
        <v>45848.504166666666</v>
      </c>
      <c r="AH132" s="21" t="s">
        <v>1934</v>
      </c>
      <c r="AI132" s="25">
        <v>8</v>
      </c>
      <c r="AJ132" s="21" t="s">
        <v>1046</v>
      </c>
      <c r="AK132" s="21" t="s">
        <v>1922</v>
      </c>
      <c r="AL132" s="21" t="str">
        <f>IF(AD132-AI132&gt;0,(AD132-AI132)&amp;" bags - damaged in transit","None")</f>
        <v>None</v>
      </c>
      <c r="AM132" s="21" t="s">
        <v>844</v>
      </c>
      <c r="AN132" s="21" t="s">
        <v>848</v>
      </c>
      <c r="AO132" s="21" t="s">
        <v>2360</v>
      </c>
      <c r="AP132" s="21" t="str">
        <f>IF(AO132="Pending","Not yet invoiced",IF(AI132=AD132,"Matched","Invoiced on received qty ("&amp;AI132&amp;" of "&amp;AD132&amp;")"))</f>
        <v>Matched</v>
      </c>
      <c r="AQ132" s="21" t="s">
        <v>2351</v>
      </c>
    </row>
    <row r="133" spans="1:43" x14ac:dyDescent="0.3">
      <c r="A133" s="21" t="s">
        <v>2369</v>
      </c>
      <c r="B133" s="35">
        <v>45848.333333333336</v>
      </c>
      <c r="C133" s="21" t="s">
        <v>1909</v>
      </c>
      <c r="D133" s="21" t="s">
        <v>2353</v>
      </c>
      <c r="E133" s="21" t="s">
        <v>1945</v>
      </c>
      <c r="F133" s="21" t="s">
        <v>768</v>
      </c>
      <c r="G133" s="35">
        <v>45848.484166666669</v>
      </c>
      <c r="H133" s="21" t="s">
        <v>1912</v>
      </c>
      <c r="I133" s="21" t="s">
        <v>1913</v>
      </c>
      <c r="J133" s="21" t="s">
        <v>1914</v>
      </c>
      <c r="K133" s="21" t="s">
        <v>1870</v>
      </c>
      <c r="L133" s="21" t="s">
        <v>1045</v>
      </c>
      <c r="M133" s="21" t="s">
        <v>1871</v>
      </c>
      <c r="N133" s="21" t="s">
        <v>2354</v>
      </c>
      <c r="O133" s="21" t="s">
        <v>2355</v>
      </c>
      <c r="P133" s="21" t="s">
        <v>1930</v>
      </c>
      <c r="Q133" s="21" t="s">
        <v>1213</v>
      </c>
      <c r="R133" s="21" t="s">
        <v>1216</v>
      </c>
      <c r="S133" s="21" t="s">
        <v>1104</v>
      </c>
      <c r="T133" s="21" t="s">
        <v>1917</v>
      </c>
      <c r="U133" s="21" t="s">
        <v>1711</v>
      </c>
      <c r="V133" s="21" t="str">
        <f>_xlfn.XLOOKUP(U133,'T07'!$D$3:$D$1500,'T07'!$BI$3:$BI$1500)&amp;" / "&amp;_xlfn.XLOOKUP(U133,'T07'!$D$3:$D$1500,'T07'!$BJ$3:$BJ$1500)</f>
        <v>LHR-HTV-2008-42260 / HTV</v>
      </c>
      <c r="W133" s="21" t="s">
        <v>1917</v>
      </c>
      <c r="X133" s="21" t="s">
        <v>1713</v>
      </c>
      <c r="Y133" s="21" t="s">
        <v>2057</v>
      </c>
      <c r="Z133" s="21">
        <v>3</v>
      </c>
      <c r="AA133" s="21" t="s">
        <v>1803</v>
      </c>
      <c r="AB133" s="21" t="s">
        <v>1804</v>
      </c>
      <c r="AC133" s="25">
        <v>500</v>
      </c>
      <c r="AD133" s="25">
        <v>50</v>
      </c>
      <c r="AE133" s="21" t="s">
        <v>2373</v>
      </c>
      <c r="AF133" s="21" t="s">
        <v>2371</v>
      </c>
      <c r="AG133" s="35">
        <v>45848.504166666666</v>
      </c>
      <c r="AH133" s="21" t="s">
        <v>1934</v>
      </c>
      <c r="AI133" s="25">
        <v>50</v>
      </c>
      <c r="AJ133" s="21" t="s">
        <v>1046</v>
      </c>
      <c r="AK133" s="21" t="s">
        <v>1922</v>
      </c>
      <c r="AL133" s="21" t="str">
        <f>IF(AD133-AI133&gt;0,(AD133-AI133)&amp;" bags - damaged in transit","None")</f>
        <v>None</v>
      </c>
      <c r="AM133" s="21" t="s">
        <v>844</v>
      </c>
      <c r="AN133" s="21" t="s">
        <v>848</v>
      </c>
      <c r="AO133" s="21" t="s">
        <v>2360</v>
      </c>
      <c r="AP133" s="21" t="str">
        <f>IF(AO133="Pending","Not yet invoiced",IF(AI133=AD133,"Matched","Invoiced on received qty ("&amp;AI133&amp;" of "&amp;AD133&amp;")"))</f>
        <v>Matched</v>
      </c>
      <c r="AQ133" s="21" t="s">
        <v>2351</v>
      </c>
    </row>
    <row r="134" spans="1:43" x14ac:dyDescent="0.3">
      <c r="A134" s="21" t="s">
        <v>2374</v>
      </c>
      <c r="B134" s="35">
        <v>45849.416666666664</v>
      </c>
      <c r="C134" s="21" t="s">
        <v>1909</v>
      </c>
      <c r="D134" s="21" t="s">
        <v>2347</v>
      </c>
      <c r="E134" s="21" t="s">
        <v>1945</v>
      </c>
      <c r="F134" s="21" t="s">
        <v>768</v>
      </c>
      <c r="G134" s="35">
        <v>45849.540416666663</v>
      </c>
      <c r="H134" s="21" t="s">
        <v>1912</v>
      </c>
      <c r="I134" s="21" t="s">
        <v>1913</v>
      </c>
      <c r="J134" s="21" t="s">
        <v>1914</v>
      </c>
      <c r="K134" s="21" t="s">
        <v>1835</v>
      </c>
      <c r="L134" s="21" t="s">
        <v>1055</v>
      </c>
      <c r="M134" s="21" t="s">
        <v>1836</v>
      </c>
      <c r="N134" s="21" t="s">
        <v>2204</v>
      </c>
      <c r="O134" s="21" t="s">
        <v>2205</v>
      </c>
      <c r="P134" s="21" t="s">
        <v>1930</v>
      </c>
      <c r="Q134" s="21" t="s">
        <v>1213</v>
      </c>
      <c r="R134" s="21" t="s">
        <v>1236</v>
      </c>
      <c r="S134" s="21" t="s">
        <v>1127</v>
      </c>
      <c r="T134" s="21" t="s">
        <v>1917</v>
      </c>
      <c r="U134" s="21" t="s">
        <v>1711</v>
      </c>
      <c r="V134" s="21" t="str">
        <f>_xlfn.XLOOKUP(U134,'T07'!$D$3:$D$1500,'T07'!$BI$3:$BI$1500)&amp;" / "&amp;_xlfn.XLOOKUP(U134,'T07'!$D$3:$D$1500,'T07'!$BJ$3:$BJ$1500)</f>
        <v>LHR-HTV-2008-42260 / HTV</v>
      </c>
      <c r="W134" s="21" t="s">
        <v>1917</v>
      </c>
      <c r="X134" s="21" t="s">
        <v>1713</v>
      </c>
      <c r="Y134" s="21" t="s">
        <v>2000</v>
      </c>
      <c r="Z134" s="21">
        <v>1</v>
      </c>
      <c r="AA134" s="21" t="s">
        <v>1828</v>
      </c>
      <c r="AB134" s="21" t="s">
        <v>1804</v>
      </c>
      <c r="AC134" s="25">
        <v>400</v>
      </c>
      <c r="AD134" s="25">
        <v>50</v>
      </c>
      <c r="AE134" s="21" t="s">
        <v>2375</v>
      </c>
      <c r="AF134" s="21" t="s">
        <v>2376</v>
      </c>
      <c r="AG134" s="35">
        <v>45849.56041666666</v>
      </c>
      <c r="AH134" s="21" t="s">
        <v>1934</v>
      </c>
      <c r="AI134" s="25">
        <v>50</v>
      </c>
      <c r="AJ134" s="21" t="s">
        <v>1056</v>
      </c>
      <c r="AK134" s="21" t="s">
        <v>1922</v>
      </c>
      <c r="AL134" s="21" t="str">
        <f>IF(AD134-AI134&gt;0,(AD134-AI134)&amp;" bags - damaged in transit","None")</f>
        <v>None</v>
      </c>
      <c r="AM134" s="21" t="s">
        <v>844</v>
      </c>
      <c r="AN134" s="21" t="s">
        <v>848</v>
      </c>
      <c r="AO134" s="21" t="s">
        <v>2350</v>
      </c>
      <c r="AP134" s="21" t="str">
        <f>IF(AO134="Pending","Not yet invoiced",IF(AI134=AD134,"Matched","Invoiced on received qty ("&amp;AI134&amp;" of "&amp;AD134&amp;")"))</f>
        <v>Matched</v>
      </c>
      <c r="AQ134" s="21" t="s">
        <v>2351</v>
      </c>
    </row>
    <row r="135" spans="1:43" x14ac:dyDescent="0.3">
      <c r="A135" s="21" t="s">
        <v>2374</v>
      </c>
      <c r="B135" s="35">
        <v>45849.416666666664</v>
      </c>
      <c r="C135" s="21" t="s">
        <v>1909</v>
      </c>
      <c r="D135" s="21" t="s">
        <v>2347</v>
      </c>
      <c r="E135" s="21" t="s">
        <v>1945</v>
      </c>
      <c r="F135" s="21" t="s">
        <v>768</v>
      </c>
      <c r="G135" s="35">
        <v>45849.540416666663</v>
      </c>
      <c r="H135" s="21" t="s">
        <v>1912</v>
      </c>
      <c r="I135" s="21" t="s">
        <v>1913</v>
      </c>
      <c r="J135" s="21" t="s">
        <v>1914</v>
      </c>
      <c r="K135" s="21" t="s">
        <v>1835</v>
      </c>
      <c r="L135" s="21" t="s">
        <v>1055</v>
      </c>
      <c r="M135" s="21" t="s">
        <v>1836</v>
      </c>
      <c r="N135" s="21" t="s">
        <v>2204</v>
      </c>
      <c r="O135" s="21" t="s">
        <v>2205</v>
      </c>
      <c r="P135" s="21" t="s">
        <v>1930</v>
      </c>
      <c r="Q135" s="21" t="s">
        <v>1213</v>
      </c>
      <c r="R135" s="21" t="s">
        <v>1236</v>
      </c>
      <c r="S135" s="21" t="s">
        <v>1127</v>
      </c>
      <c r="T135" s="21" t="s">
        <v>1917</v>
      </c>
      <c r="U135" s="21" t="s">
        <v>1711</v>
      </c>
      <c r="V135" s="21" t="str">
        <f>_xlfn.XLOOKUP(U135,'T07'!$D$3:$D$1500,'T07'!$BI$3:$BI$1500)&amp;" / "&amp;_xlfn.XLOOKUP(U135,'T07'!$D$3:$D$1500,'T07'!$BJ$3:$BJ$1500)</f>
        <v>LHR-HTV-2008-42260 / HTV</v>
      </c>
      <c r="W135" s="21" t="s">
        <v>1917</v>
      </c>
      <c r="X135" s="21" t="s">
        <v>1713</v>
      </c>
      <c r="Y135" s="21" t="s">
        <v>2000</v>
      </c>
      <c r="Z135" s="21">
        <v>2</v>
      </c>
      <c r="AA135" s="21" t="s">
        <v>1859</v>
      </c>
      <c r="AB135" s="21" t="s">
        <v>1860</v>
      </c>
      <c r="AC135" s="25">
        <v>44</v>
      </c>
      <c r="AD135" s="25">
        <v>6</v>
      </c>
      <c r="AE135" s="21" t="s">
        <v>2377</v>
      </c>
      <c r="AF135" s="21" t="s">
        <v>2376</v>
      </c>
      <c r="AG135" s="35">
        <v>45849.56041666666</v>
      </c>
      <c r="AH135" s="21" t="s">
        <v>1934</v>
      </c>
      <c r="AI135" s="25">
        <v>6</v>
      </c>
      <c r="AJ135" s="21" t="s">
        <v>1056</v>
      </c>
      <c r="AK135" s="21" t="s">
        <v>1922</v>
      </c>
      <c r="AL135" s="21" t="str">
        <f>IF(AD135-AI135&gt;0,(AD135-AI135)&amp;" bags - damaged in transit","None")</f>
        <v>None</v>
      </c>
      <c r="AM135" s="21" t="s">
        <v>844</v>
      </c>
      <c r="AN135" s="21" t="s">
        <v>848</v>
      </c>
      <c r="AO135" s="21" t="s">
        <v>2350</v>
      </c>
      <c r="AP135" s="21" t="str">
        <f>IF(AO135="Pending","Not yet invoiced",IF(AI135=AD135,"Matched","Invoiced on received qty ("&amp;AI135&amp;" of "&amp;AD135&amp;")"))</f>
        <v>Matched</v>
      </c>
      <c r="AQ135" s="21" t="s">
        <v>2351</v>
      </c>
    </row>
    <row r="136" spans="1:43" x14ac:dyDescent="0.3">
      <c r="A136" s="21" t="s">
        <v>2378</v>
      </c>
      <c r="B136" s="35">
        <v>45852.375</v>
      </c>
      <c r="C136" s="21" t="s">
        <v>1909</v>
      </c>
      <c r="D136" s="21" t="s">
        <v>2347</v>
      </c>
      <c r="E136" s="21" t="s">
        <v>1945</v>
      </c>
      <c r="F136" s="21" t="s">
        <v>768</v>
      </c>
      <c r="G136" s="35">
        <v>45852.498749999999</v>
      </c>
      <c r="H136" s="21" t="s">
        <v>1912</v>
      </c>
      <c r="I136" s="21" t="s">
        <v>1913</v>
      </c>
      <c r="J136" s="21" t="s">
        <v>1914</v>
      </c>
      <c r="K136" s="21" t="s">
        <v>1835</v>
      </c>
      <c r="L136" s="21" t="s">
        <v>1055</v>
      </c>
      <c r="M136" s="21" t="s">
        <v>1836</v>
      </c>
      <c r="N136" s="21" t="s">
        <v>2204</v>
      </c>
      <c r="O136" s="21" t="s">
        <v>2205</v>
      </c>
      <c r="P136" s="21" t="s">
        <v>1930</v>
      </c>
      <c r="Q136" s="21" t="s">
        <v>1213</v>
      </c>
      <c r="R136" s="21" t="s">
        <v>1236</v>
      </c>
      <c r="S136" s="21" t="s">
        <v>1127</v>
      </c>
      <c r="T136" s="21" t="s">
        <v>1917</v>
      </c>
      <c r="U136" s="21" t="s">
        <v>1724</v>
      </c>
      <c r="V136" s="21" t="str">
        <f>_xlfn.XLOOKUP(U136,'T07'!$D$3:$D$1500,'T07'!$BI$3:$BI$1500)&amp;" / "&amp;_xlfn.XLOOKUP(U136,'T07'!$D$3:$D$1500,'T07'!$BJ$3:$BJ$1500)</f>
        <v>LHR-HTV-2008-90487 / HTV</v>
      </c>
      <c r="W136" s="21" t="s">
        <v>1917</v>
      </c>
      <c r="X136" s="21" t="s">
        <v>1726</v>
      </c>
      <c r="Y136" s="21" t="s">
        <v>2000</v>
      </c>
      <c r="Z136" s="21">
        <v>1</v>
      </c>
      <c r="AA136" s="21" t="s">
        <v>1828</v>
      </c>
      <c r="AB136" s="21" t="s">
        <v>1804</v>
      </c>
      <c r="AC136" s="25">
        <v>350</v>
      </c>
      <c r="AD136" s="25">
        <v>50</v>
      </c>
      <c r="AE136" s="21" t="s">
        <v>2379</v>
      </c>
      <c r="AF136" s="21" t="s">
        <v>2380</v>
      </c>
      <c r="AG136" s="35">
        <v>45852.518749999996</v>
      </c>
      <c r="AH136" s="21" t="s">
        <v>1934</v>
      </c>
      <c r="AI136" s="25">
        <v>50</v>
      </c>
      <c r="AJ136" s="21" t="s">
        <v>1056</v>
      </c>
      <c r="AK136" s="21" t="s">
        <v>1922</v>
      </c>
      <c r="AL136" s="21" t="str">
        <f>IF(AD136-AI136&gt;0,(AD136-AI136)&amp;" bags - damaged in transit","None")</f>
        <v>None</v>
      </c>
      <c r="AM136" s="21" t="s">
        <v>844</v>
      </c>
      <c r="AN136" s="21" t="s">
        <v>848</v>
      </c>
      <c r="AO136" s="21" t="s">
        <v>2350</v>
      </c>
      <c r="AP136" s="21" t="str">
        <f>IF(AO136="Pending","Not yet invoiced",IF(AI136=AD136,"Matched","Invoiced on received qty ("&amp;AI136&amp;" of "&amp;AD136&amp;")"))</f>
        <v>Matched</v>
      </c>
      <c r="AQ136" s="21" t="s">
        <v>2351</v>
      </c>
    </row>
    <row r="137" spans="1:43" x14ac:dyDescent="0.3">
      <c r="A137" s="21" t="s">
        <v>2378</v>
      </c>
      <c r="B137" s="35">
        <v>45852.375</v>
      </c>
      <c r="C137" s="21" t="s">
        <v>1909</v>
      </c>
      <c r="D137" s="21" t="s">
        <v>2347</v>
      </c>
      <c r="E137" s="21" t="s">
        <v>1945</v>
      </c>
      <c r="F137" s="21" t="s">
        <v>768</v>
      </c>
      <c r="G137" s="35">
        <v>45852.498749999999</v>
      </c>
      <c r="H137" s="21" t="s">
        <v>1912</v>
      </c>
      <c r="I137" s="21" t="s">
        <v>1913</v>
      </c>
      <c r="J137" s="21" t="s">
        <v>1914</v>
      </c>
      <c r="K137" s="21" t="s">
        <v>1835</v>
      </c>
      <c r="L137" s="21" t="s">
        <v>1055</v>
      </c>
      <c r="M137" s="21" t="s">
        <v>1836</v>
      </c>
      <c r="N137" s="21" t="s">
        <v>2204</v>
      </c>
      <c r="O137" s="21" t="s">
        <v>2205</v>
      </c>
      <c r="P137" s="21" t="s">
        <v>1930</v>
      </c>
      <c r="Q137" s="21" t="s">
        <v>1213</v>
      </c>
      <c r="R137" s="21" t="s">
        <v>1236</v>
      </c>
      <c r="S137" s="21" t="s">
        <v>1127</v>
      </c>
      <c r="T137" s="21" t="s">
        <v>1917</v>
      </c>
      <c r="U137" s="21" t="s">
        <v>1724</v>
      </c>
      <c r="V137" s="21" t="str">
        <f>_xlfn.XLOOKUP(U137,'T07'!$D$3:$D$1500,'T07'!$BI$3:$BI$1500)&amp;" / "&amp;_xlfn.XLOOKUP(U137,'T07'!$D$3:$D$1500,'T07'!$BJ$3:$BJ$1500)</f>
        <v>LHR-HTV-2008-90487 / HTV</v>
      </c>
      <c r="W137" s="21" t="s">
        <v>1917</v>
      </c>
      <c r="X137" s="21" t="s">
        <v>1726</v>
      </c>
      <c r="Y137" s="21" t="s">
        <v>2000</v>
      </c>
      <c r="Z137" s="21">
        <v>2</v>
      </c>
      <c r="AA137" s="21" t="s">
        <v>1859</v>
      </c>
      <c r="AB137" s="21" t="s">
        <v>1860</v>
      </c>
      <c r="AC137" s="25">
        <v>38</v>
      </c>
      <c r="AD137" s="25">
        <v>6</v>
      </c>
      <c r="AE137" s="21" t="s">
        <v>2381</v>
      </c>
      <c r="AF137" s="21" t="s">
        <v>2380</v>
      </c>
      <c r="AG137" s="35">
        <v>45852.518749999996</v>
      </c>
      <c r="AH137" s="21" t="s">
        <v>1934</v>
      </c>
      <c r="AI137" s="25">
        <v>6</v>
      </c>
      <c r="AJ137" s="21" t="s">
        <v>1056</v>
      </c>
      <c r="AK137" s="21" t="s">
        <v>1922</v>
      </c>
      <c r="AL137" s="21" t="str">
        <f>IF(AD137-AI137&gt;0,(AD137-AI137)&amp;" bags - damaged in transit","None")</f>
        <v>None</v>
      </c>
      <c r="AM137" s="21" t="s">
        <v>844</v>
      </c>
      <c r="AN137" s="21" t="s">
        <v>848</v>
      </c>
      <c r="AO137" s="21" t="s">
        <v>2350</v>
      </c>
      <c r="AP137" s="21" t="str">
        <f>IF(AO137="Pending","Not yet invoiced",IF(AI137=AD137,"Matched","Invoiced on received qty ("&amp;AI137&amp;" of "&amp;AD137&amp;")"))</f>
        <v>Matched</v>
      </c>
      <c r="AQ137" s="21" t="s">
        <v>2351</v>
      </c>
    </row>
    <row r="138" spans="1:43" x14ac:dyDescent="0.3">
      <c r="A138" s="21" t="s">
        <v>2382</v>
      </c>
      <c r="B138" s="35">
        <v>45853.291666666664</v>
      </c>
      <c r="C138" s="21" t="s">
        <v>1909</v>
      </c>
      <c r="D138" s="21" t="s">
        <v>2353</v>
      </c>
      <c r="E138" s="21" t="s">
        <v>1927</v>
      </c>
      <c r="F138" s="21" t="s">
        <v>768</v>
      </c>
      <c r="G138" s="35">
        <v>45853.442499999997</v>
      </c>
      <c r="H138" s="21" t="s">
        <v>1912</v>
      </c>
      <c r="I138" s="21" t="s">
        <v>1913</v>
      </c>
      <c r="J138" s="21" t="s">
        <v>1914</v>
      </c>
      <c r="K138" s="21" t="s">
        <v>1870</v>
      </c>
      <c r="L138" s="21" t="s">
        <v>1045</v>
      </c>
      <c r="M138" s="21" t="s">
        <v>1871</v>
      </c>
      <c r="N138" s="21" t="s">
        <v>2354</v>
      </c>
      <c r="O138" s="21" t="s">
        <v>2355</v>
      </c>
      <c r="P138" s="21" t="s">
        <v>1930</v>
      </c>
      <c r="Q138" s="21" t="s">
        <v>1213</v>
      </c>
      <c r="R138" s="21" t="s">
        <v>1227</v>
      </c>
      <c r="S138" s="21" t="s">
        <v>1127</v>
      </c>
      <c r="T138" s="21" t="s">
        <v>1917</v>
      </c>
      <c r="U138" s="21" t="s">
        <v>1724</v>
      </c>
      <c r="V138" s="21" t="str">
        <f>_xlfn.XLOOKUP(U138,'T07'!$D$3:$D$1500,'T07'!$BI$3:$BI$1500)&amp;" / "&amp;_xlfn.XLOOKUP(U138,'T07'!$D$3:$D$1500,'T07'!$BJ$3:$BJ$1500)</f>
        <v>LHR-HTV-2008-90487 / HTV</v>
      </c>
      <c r="W138" s="21" t="s">
        <v>1917</v>
      </c>
      <c r="X138" s="21" t="s">
        <v>1726</v>
      </c>
      <c r="Y138" s="21" t="s">
        <v>1991</v>
      </c>
      <c r="Z138" s="21">
        <v>1</v>
      </c>
      <c r="AA138" s="21" t="s">
        <v>1803</v>
      </c>
      <c r="AB138" s="21" t="s">
        <v>1804</v>
      </c>
      <c r="AC138" s="25">
        <v>450</v>
      </c>
      <c r="AD138" s="25">
        <v>50</v>
      </c>
      <c r="AE138" s="21" t="s">
        <v>2383</v>
      </c>
      <c r="AF138" s="21" t="s">
        <v>2384</v>
      </c>
      <c r="AG138" s="35">
        <v>45853.462499999994</v>
      </c>
      <c r="AH138" s="21" t="s">
        <v>1934</v>
      </c>
      <c r="AI138" s="25">
        <v>50</v>
      </c>
      <c r="AJ138" s="21" t="s">
        <v>1046</v>
      </c>
      <c r="AK138" s="21" t="s">
        <v>1922</v>
      </c>
      <c r="AL138" s="21" t="str">
        <f>IF(AD138-AI138&gt;0,(AD138-AI138)&amp;" bags - damaged in transit","None")</f>
        <v>None</v>
      </c>
      <c r="AM138" s="21" t="s">
        <v>844</v>
      </c>
      <c r="AN138" s="21" t="s">
        <v>848</v>
      </c>
      <c r="AO138" s="21" t="s">
        <v>2360</v>
      </c>
      <c r="AP138" s="21" t="str">
        <f>IF(AO138="Pending","Not yet invoiced",IF(AI138=AD138,"Matched","Invoiced on received qty ("&amp;AI138&amp;" of "&amp;AD138&amp;")"))</f>
        <v>Matched</v>
      </c>
      <c r="AQ138" s="21" t="s">
        <v>2351</v>
      </c>
    </row>
    <row r="139" spans="1:43" x14ac:dyDescent="0.3">
      <c r="A139" s="21" t="s">
        <v>2382</v>
      </c>
      <c r="B139" s="35">
        <v>45853.291666666664</v>
      </c>
      <c r="C139" s="21" t="s">
        <v>1909</v>
      </c>
      <c r="D139" s="21" t="s">
        <v>2353</v>
      </c>
      <c r="E139" s="21" t="s">
        <v>1945</v>
      </c>
      <c r="F139" s="21" t="s">
        <v>768</v>
      </c>
      <c r="G139" s="35">
        <v>45853.442499999997</v>
      </c>
      <c r="H139" s="21" t="s">
        <v>1912</v>
      </c>
      <c r="I139" s="21" t="s">
        <v>1913</v>
      </c>
      <c r="J139" s="21" t="s">
        <v>1914</v>
      </c>
      <c r="K139" s="21" t="s">
        <v>1870</v>
      </c>
      <c r="L139" s="21" t="s">
        <v>1045</v>
      </c>
      <c r="M139" s="21" t="s">
        <v>1871</v>
      </c>
      <c r="N139" s="21" t="s">
        <v>2354</v>
      </c>
      <c r="O139" s="21" t="s">
        <v>2355</v>
      </c>
      <c r="P139" s="21" t="s">
        <v>1930</v>
      </c>
      <c r="Q139" s="21" t="s">
        <v>1213</v>
      </c>
      <c r="R139" s="21" t="s">
        <v>1227</v>
      </c>
      <c r="S139" s="21" t="s">
        <v>1127</v>
      </c>
      <c r="T139" s="21" t="s">
        <v>1917</v>
      </c>
      <c r="U139" s="21" t="s">
        <v>1724</v>
      </c>
      <c r="V139" s="21" t="str">
        <f>_xlfn.XLOOKUP(U139,'T07'!$D$3:$D$1500,'T07'!$BI$3:$BI$1500)&amp;" / "&amp;_xlfn.XLOOKUP(U139,'T07'!$D$3:$D$1500,'T07'!$BJ$3:$BJ$1500)</f>
        <v>LHR-HTV-2008-90487 / HTV</v>
      </c>
      <c r="W139" s="21" t="s">
        <v>1917</v>
      </c>
      <c r="X139" s="21" t="s">
        <v>1726</v>
      </c>
      <c r="Y139" s="21" t="s">
        <v>1991</v>
      </c>
      <c r="Z139" s="21">
        <v>2</v>
      </c>
      <c r="AA139" s="21" t="s">
        <v>1859</v>
      </c>
      <c r="AB139" s="21" t="s">
        <v>1860</v>
      </c>
      <c r="AC139" s="25">
        <v>12</v>
      </c>
      <c r="AD139" s="25">
        <v>6</v>
      </c>
      <c r="AE139" s="21" t="s">
        <v>2385</v>
      </c>
      <c r="AF139" s="21" t="s">
        <v>2384</v>
      </c>
      <c r="AG139" s="35">
        <v>45853.462499999994</v>
      </c>
      <c r="AH139" s="21" t="s">
        <v>1934</v>
      </c>
      <c r="AI139" s="25">
        <v>6</v>
      </c>
      <c r="AJ139" s="21" t="s">
        <v>1046</v>
      </c>
      <c r="AK139" s="21" t="s">
        <v>1922</v>
      </c>
      <c r="AL139" s="21" t="str">
        <f>IF(AD139-AI139&gt;0,(AD139-AI139)&amp;" bags - damaged in transit","None")</f>
        <v>None</v>
      </c>
      <c r="AM139" s="21" t="s">
        <v>844</v>
      </c>
      <c r="AN139" s="21" t="s">
        <v>848</v>
      </c>
      <c r="AO139" s="21" t="s">
        <v>2360</v>
      </c>
      <c r="AP139" s="21" t="str">
        <f>IF(AO139="Pending","Not yet invoiced",IF(AI139=AD139,"Matched","Invoiced on received qty ("&amp;AI139&amp;" of "&amp;AD139&amp;")"))</f>
        <v>Matched</v>
      </c>
      <c r="AQ139" s="21" t="s">
        <v>2351</v>
      </c>
    </row>
    <row r="140" spans="1:43" x14ac:dyDescent="0.3">
      <c r="A140" s="21" t="s">
        <v>2386</v>
      </c>
      <c r="B140" s="35">
        <v>45856.333333333336</v>
      </c>
      <c r="C140" s="21" t="s">
        <v>1909</v>
      </c>
      <c r="D140" s="21" t="s">
        <v>2347</v>
      </c>
      <c r="E140" s="21" t="s">
        <v>1927</v>
      </c>
      <c r="F140" s="21" t="s">
        <v>768</v>
      </c>
      <c r="G140" s="35">
        <v>45856.457083333335</v>
      </c>
      <c r="H140" s="21" t="s">
        <v>1912</v>
      </c>
      <c r="I140" s="21" t="s">
        <v>1913</v>
      </c>
      <c r="J140" s="21" t="s">
        <v>1914</v>
      </c>
      <c r="K140" s="21" t="s">
        <v>1835</v>
      </c>
      <c r="L140" s="21" t="s">
        <v>1055</v>
      </c>
      <c r="M140" s="21" t="s">
        <v>1836</v>
      </c>
      <c r="N140" s="21" t="s">
        <v>2204</v>
      </c>
      <c r="O140" s="21" t="s">
        <v>2205</v>
      </c>
      <c r="P140" s="21" t="s">
        <v>1930</v>
      </c>
      <c r="Q140" s="21" t="s">
        <v>1278</v>
      </c>
      <c r="R140" s="21" t="s">
        <v>1280</v>
      </c>
      <c r="S140" s="21" t="s">
        <v>1247</v>
      </c>
      <c r="T140" s="21" t="s">
        <v>1917</v>
      </c>
      <c r="U140" s="21" t="s">
        <v>1766</v>
      </c>
      <c r="V140" s="21" t="str">
        <f>_xlfn.XLOOKUP(U140,'T07'!$D$3:$D$1500,'T07'!$BI$3:$BI$1500)&amp;" / "&amp;_xlfn.XLOOKUP(U140,'T07'!$D$3:$D$1500,'T07'!$BJ$3:$BJ$1500)</f>
        <v>LHR-LTV-2019-66685 / LTV</v>
      </c>
      <c r="W140" s="21" t="s">
        <v>1917</v>
      </c>
      <c r="X140" s="21" t="s">
        <v>1768</v>
      </c>
      <c r="Y140" s="21" t="s">
        <v>2018</v>
      </c>
      <c r="Z140" s="21">
        <v>1</v>
      </c>
      <c r="AA140" s="21" t="s">
        <v>1828</v>
      </c>
      <c r="AB140" s="21" t="s">
        <v>1804</v>
      </c>
      <c r="AC140" s="25">
        <v>300</v>
      </c>
      <c r="AD140" s="25">
        <v>50</v>
      </c>
      <c r="AE140" s="21" t="s">
        <v>2387</v>
      </c>
      <c r="AF140" s="21" t="s">
        <v>2388</v>
      </c>
      <c r="AG140" s="35">
        <v>45856.477083333331</v>
      </c>
      <c r="AH140" s="21" t="s">
        <v>1934</v>
      </c>
      <c r="AI140" s="25">
        <v>50</v>
      </c>
      <c r="AJ140" s="21" t="s">
        <v>1056</v>
      </c>
      <c r="AK140" s="21" t="s">
        <v>1922</v>
      </c>
      <c r="AL140" s="21" t="str">
        <f>IF(AD140-AI140&gt;0,(AD140-AI140)&amp;" bags - damaged in transit","None")</f>
        <v>None</v>
      </c>
      <c r="AM140" s="21" t="s">
        <v>844</v>
      </c>
      <c r="AN140" s="21" t="s">
        <v>848</v>
      </c>
      <c r="AO140" s="21" t="s">
        <v>2350</v>
      </c>
      <c r="AP140" s="21" t="str">
        <f>IF(AO140="Pending","Not yet invoiced",IF(AI140=AD140,"Matched","Invoiced on received qty ("&amp;AI140&amp;" of "&amp;AD140&amp;")"))</f>
        <v>Matched</v>
      </c>
      <c r="AQ140" s="21" t="s">
        <v>2361</v>
      </c>
    </row>
    <row r="141" spans="1:43" x14ac:dyDescent="0.3">
      <c r="A141" s="21" t="s">
        <v>2389</v>
      </c>
      <c r="B141" s="35">
        <v>45859.333333333336</v>
      </c>
      <c r="C141" s="21" t="s">
        <v>1909</v>
      </c>
      <c r="D141" s="21" t="s">
        <v>2353</v>
      </c>
      <c r="E141" s="21" t="s">
        <v>1927</v>
      </c>
      <c r="F141" s="21" t="s">
        <v>768</v>
      </c>
      <c r="G141" s="35">
        <v>45859.484166666669</v>
      </c>
      <c r="H141" s="21" t="s">
        <v>1912</v>
      </c>
      <c r="I141" s="21" t="s">
        <v>1913</v>
      </c>
      <c r="J141" s="21" t="s">
        <v>1914</v>
      </c>
      <c r="K141" s="21" t="s">
        <v>1870</v>
      </c>
      <c r="L141" s="21" t="s">
        <v>1045</v>
      </c>
      <c r="M141" s="21" t="s">
        <v>1871</v>
      </c>
      <c r="N141" s="21" t="s">
        <v>2354</v>
      </c>
      <c r="O141" s="21" t="s">
        <v>2355</v>
      </c>
      <c r="P141" s="21" t="s">
        <v>1930</v>
      </c>
      <c r="Q141" s="21" t="s">
        <v>1213</v>
      </c>
      <c r="R141" s="21" t="s">
        <v>1236</v>
      </c>
      <c r="S141" s="21" t="s">
        <v>1127</v>
      </c>
      <c r="T141" s="21" t="s">
        <v>1917</v>
      </c>
      <c r="U141" s="21" t="s">
        <v>1782</v>
      </c>
      <c r="V141" s="21" t="str">
        <f>_xlfn.XLOOKUP(U141,'T07'!$D$3:$D$1500,'T07'!$BI$3:$BI$1500)&amp;" / "&amp;_xlfn.XLOOKUP(U141,'T07'!$D$3:$D$1500,'T07'!$BJ$3:$BJ$1500)</f>
        <v>LHR-HTV-2014-51184 / HTV</v>
      </c>
      <c r="W141" s="21" t="s">
        <v>1917</v>
      </c>
      <c r="X141" s="21" t="s">
        <v>1785</v>
      </c>
      <c r="Y141" s="21" t="s">
        <v>2000</v>
      </c>
      <c r="Z141" s="21">
        <v>1</v>
      </c>
      <c r="AA141" s="21" t="s">
        <v>1840</v>
      </c>
      <c r="AB141" s="21" t="s">
        <v>1841</v>
      </c>
      <c r="AC141" s="25">
        <v>350</v>
      </c>
      <c r="AD141" s="25">
        <v>50</v>
      </c>
      <c r="AE141" s="21" t="s">
        <v>2390</v>
      </c>
      <c r="AF141" s="21" t="s">
        <v>2391</v>
      </c>
      <c r="AG141" s="35">
        <v>45859.504166666666</v>
      </c>
      <c r="AH141" s="21" t="s">
        <v>1934</v>
      </c>
      <c r="AI141" s="25">
        <v>45</v>
      </c>
      <c r="AJ141" s="21" t="s">
        <v>1046</v>
      </c>
      <c r="AK141" s="21" t="s">
        <v>1922</v>
      </c>
      <c r="AL141" s="21" t="str">
        <f>IF(AD141-AI141&gt;0,(AD141-AI141)&amp;" bags - damaged in transit","None")</f>
        <v>5 bags - damaged in transit</v>
      </c>
      <c r="AM141" s="21" t="s">
        <v>2392</v>
      </c>
      <c r="AN141" s="21" t="s">
        <v>2393</v>
      </c>
      <c r="AO141" s="21" t="s">
        <v>2360</v>
      </c>
      <c r="AP141" s="21" t="str">
        <f>IF(AO141="Pending","Not yet invoiced",IF(AI141=AD141,"Matched","Invoiced on received qty ("&amp;AI141&amp;" of "&amp;AD141&amp;")"))</f>
        <v>Invoiced on received qty (45 of 50)</v>
      </c>
      <c r="AQ141" s="21" t="s">
        <v>2351</v>
      </c>
    </row>
    <row r="142" spans="1:43" x14ac:dyDescent="0.3">
      <c r="A142" s="21" t="s">
        <v>2394</v>
      </c>
      <c r="B142" s="35">
        <v>45861.666666666664</v>
      </c>
      <c r="C142" s="21" t="s">
        <v>1909</v>
      </c>
      <c r="D142" s="21" t="s">
        <v>2347</v>
      </c>
      <c r="E142" s="21" t="s">
        <v>1945</v>
      </c>
      <c r="F142" s="21" t="s">
        <v>768</v>
      </c>
      <c r="G142" s="35">
        <v>45861.790416666663</v>
      </c>
      <c r="H142" s="21" t="s">
        <v>1912</v>
      </c>
      <c r="I142" s="21" t="s">
        <v>1913</v>
      </c>
      <c r="J142" s="21" t="s">
        <v>1914</v>
      </c>
      <c r="K142" s="21" t="s">
        <v>1835</v>
      </c>
      <c r="L142" s="21" t="s">
        <v>1055</v>
      </c>
      <c r="M142" s="21" t="s">
        <v>1836</v>
      </c>
      <c r="N142" s="21" t="s">
        <v>2204</v>
      </c>
      <c r="O142" s="21" t="s">
        <v>2205</v>
      </c>
      <c r="P142" s="21" t="s">
        <v>1930</v>
      </c>
      <c r="Q142" s="21" t="s">
        <v>1213</v>
      </c>
      <c r="R142" s="21" t="s">
        <v>1255</v>
      </c>
      <c r="S142" s="21" t="s">
        <v>1104</v>
      </c>
      <c r="T142" s="21" t="s">
        <v>1917</v>
      </c>
      <c r="U142" s="21" t="s">
        <v>1677</v>
      </c>
      <c r="V142" s="21" t="str">
        <f>_xlfn.XLOOKUP(U142,'T07'!$D$3:$D$1500,'T07'!$BI$3:$BI$1500)&amp;" / "&amp;_xlfn.XLOOKUP(U142,'T07'!$D$3:$D$1500,'T07'!$BJ$3:$BJ$1500)</f>
        <v>LHR-HTV-2010-55907 / HTV</v>
      </c>
      <c r="W142" s="21" t="s">
        <v>1917</v>
      </c>
      <c r="X142" s="21" t="s">
        <v>1679</v>
      </c>
      <c r="Y142" s="21" t="s">
        <v>2137</v>
      </c>
      <c r="Z142" s="21">
        <v>1</v>
      </c>
      <c r="AA142" s="21" t="s">
        <v>1859</v>
      </c>
      <c r="AB142" s="21" t="s">
        <v>1860</v>
      </c>
      <c r="AC142" s="25">
        <v>32</v>
      </c>
      <c r="AD142" s="25">
        <v>25</v>
      </c>
      <c r="AE142" s="21" t="s">
        <v>2395</v>
      </c>
      <c r="AF142" s="21" t="s">
        <v>2396</v>
      </c>
      <c r="AG142" s="35">
        <v>45861.81041666666</v>
      </c>
      <c r="AH142" s="21" t="s">
        <v>1934</v>
      </c>
      <c r="AI142" s="25">
        <v>25</v>
      </c>
      <c r="AJ142" s="21" t="s">
        <v>1056</v>
      </c>
      <c r="AK142" s="21" t="s">
        <v>1922</v>
      </c>
      <c r="AL142" s="21" t="str">
        <f>IF(AD142-AI142&gt;0,(AD142-AI142)&amp;" bags - damaged in transit","None")</f>
        <v>None</v>
      </c>
      <c r="AM142" s="21" t="s">
        <v>844</v>
      </c>
      <c r="AN142" s="21" t="s">
        <v>848</v>
      </c>
      <c r="AO142" s="21" t="s">
        <v>2350</v>
      </c>
      <c r="AP142" s="21" t="str">
        <f>IF(AO142="Pending","Not yet invoiced",IF(AI142=AD142,"Matched","Invoiced on received qty ("&amp;AI142&amp;" of "&amp;AD142&amp;")"))</f>
        <v>Matched</v>
      </c>
      <c r="AQ142" s="21" t="s">
        <v>2351</v>
      </c>
    </row>
    <row r="143" spans="1:43" x14ac:dyDescent="0.3">
      <c r="A143" s="21" t="s">
        <v>2397</v>
      </c>
      <c r="B143" s="35">
        <v>45862.5</v>
      </c>
      <c r="C143" s="21" t="s">
        <v>1909</v>
      </c>
      <c r="D143" s="21" t="s">
        <v>2353</v>
      </c>
      <c r="E143" s="21" t="s">
        <v>1945</v>
      </c>
      <c r="F143" s="21" t="s">
        <v>768</v>
      </c>
      <c r="G143" s="35">
        <v>45862.650833333333</v>
      </c>
      <c r="H143" s="21" t="s">
        <v>1912</v>
      </c>
      <c r="I143" s="21" t="s">
        <v>1913</v>
      </c>
      <c r="J143" s="21" t="s">
        <v>1914</v>
      </c>
      <c r="K143" s="21" t="s">
        <v>1870</v>
      </c>
      <c r="L143" s="21" t="s">
        <v>1045</v>
      </c>
      <c r="M143" s="21" t="s">
        <v>1871</v>
      </c>
      <c r="N143" s="21" t="s">
        <v>2354</v>
      </c>
      <c r="O143" s="21" t="s">
        <v>2355</v>
      </c>
      <c r="P143" s="21" t="s">
        <v>1930</v>
      </c>
      <c r="Q143" s="21" t="s">
        <v>1213</v>
      </c>
      <c r="R143" s="21" t="s">
        <v>1216</v>
      </c>
      <c r="S143" s="21" t="s">
        <v>1104</v>
      </c>
      <c r="T143" s="21" t="s">
        <v>1917</v>
      </c>
      <c r="U143" s="21" t="s">
        <v>1711</v>
      </c>
      <c r="V143" s="21" t="str">
        <f>_xlfn.XLOOKUP(U143,'T07'!$D$3:$D$1500,'T07'!$BI$3:$BI$1500)&amp;" / "&amp;_xlfn.XLOOKUP(U143,'T07'!$D$3:$D$1500,'T07'!$BJ$3:$BJ$1500)</f>
        <v>LHR-HTV-2008-42260 / HTV</v>
      </c>
      <c r="W143" s="21" t="s">
        <v>1917</v>
      </c>
      <c r="X143" s="21" t="s">
        <v>1713</v>
      </c>
      <c r="Y143" s="21" t="s">
        <v>2057</v>
      </c>
      <c r="Z143" s="21">
        <v>1</v>
      </c>
      <c r="AA143" s="21" t="s">
        <v>1803</v>
      </c>
      <c r="AB143" s="21" t="s">
        <v>1804</v>
      </c>
      <c r="AC143" s="25">
        <v>400</v>
      </c>
      <c r="AD143" s="25">
        <v>50</v>
      </c>
      <c r="AE143" s="21" t="s">
        <v>2398</v>
      </c>
      <c r="AF143" s="21" t="s">
        <v>2399</v>
      </c>
      <c r="AG143" s="35">
        <v>45862.67083333333</v>
      </c>
      <c r="AH143" s="21" t="s">
        <v>1934</v>
      </c>
      <c r="AI143" s="25">
        <v>50</v>
      </c>
      <c r="AJ143" s="21" t="s">
        <v>1046</v>
      </c>
      <c r="AK143" s="21" t="s">
        <v>1922</v>
      </c>
      <c r="AL143" s="21" t="str">
        <f>IF(AD143-AI143&gt;0,(AD143-AI143)&amp;" bags - damaged in transit","None")</f>
        <v>None</v>
      </c>
      <c r="AM143" s="21" t="s">
        <v>844</v>
      </c>
      <c r="AN143" s="21" t="s">
        <v>848</v>
      </c>
      <c r="AO143" s="21" t="s">
        <v>2360</v>
      </c>
      <c r="AP143" s="21" t="str">
        <f>IF(AO143="Pending","Not yet invoiced",IF(AI143=AD143,"Matched","Invoiced on received qty ("&amp;AI143&amp;" of "&amp;AD143&amp;")"))</f>
        <v>Matched</v>
      </c>
      <c r="AQ143" s="21" t="s">
        <v>2351</v>
      </c>
    </row>
    <row r="144" spans="1:43" x14ac:dyDescent="0.3">
      <c r="A144" s="21" t="s">
        <v>2397</v>
      </c>
      <c r="B144" s="35">
        <v>45862.5</v>
      </c>
      <c r="C144" s="21" t="s">
        <v>1909</v>
      </c>
      <c r="D144" s="21" t="s">
        <v>2353</v>
      </c>
      <c r="E144" s="21" t="s">
        <v>2056</v>
      </c>
      <c r="F144" s="21" t="s">
        <v>768</v>
      </c>
      <c r="G144" s="35">
        <v>45862.650833333333</v>
      </c>
      <c r="H144" s="21" t="s">
        <v>1912</v>
      </c>
      <c r="I144" s="21" t="s">
        <v>1913</v>
      </c>
      <c r="J144" s="21" t="s">
        <v>1914</v>
      </c>
      <c r="K144" s="21" t="s">
        <v>1870</v>
      </c>
      <c r="L144" s="21" t="s">
        <v>1045</v>
      </c>
      <c r="M144" s="21" t="s">
        <v>1871</v>
      </c>
      <c r="N144" s="21" t="s">
        <v>2354</v>
      </c>
      <c r="O144" s="21" t="s">
        <v>2355</v>
      </c>
      <c r="P144" s="21" t="s">
        <v>1930</v>
      </c>
      <c r="Q144" s="21" t="s">
        <v>1213</v>
      </c>
      <c r="R144" s="21" t="s">
        <v>1216</v>
      </c>
      <c r="S144" s="21" t="s">
        <v>1104</v>
      </c>
      <c r="T144" s="21" t="s">
        <v>1917</v>
      </c>
      <c r="U144" s="21" t="s">
        <v>1711</v>
      </c>
      <c r="V144" s="21" t="str">
        <f>_xlfn.XLOOKUP(U144,'T07'!$D$3:$D$1500,'T07'!$BI$3:$BI$1500)&amp;" / "&amp;_xlfn.XLOOKUP(U144,'T07'!$D$3:$D$1500,'T07'!$BJ$3:$BJ$1500)</f>
        <v>LHR-HTV-2008-42260 / HTV</v>
      </c>
      <c r="W144" s="21" t="s">
        <v>1917</v>
      </c>
      <c r="X144" s="21" t="s">
        <v>1713</v>
      </c>
      <c r="Y144" s="21" t="s">
        <v>2057</v>
      </c>
      <c r="Z144" s="21">
        <v>2</v>
      </c>
      <c r="AA144" s="21" t="s">
        <v>1840</v>
      </c>
      <c r="AB144" s="21" t="s">
        <v>1841</v>
      </c>
      <c r="AC144" s="25">
        <v>300</v>
      </c>
      <c r="AD144" s="25">
        <v>50</v>
      </c>
      <c r="AE144" s="21" t="s">
        <v>2400</v>
      </c>
      <c r="AF144" s="21" t="s">
        <v>2399</v>
      </c>
      <c r="AG144" s="35">
        <v>45862.67083333333</v>
      </c>
      <c r="AH144" s="21" t="s">
        <v>1934</v>
      </c>
      <c r="AI144" s="25">
        <v>50</v>
      </c>
      <c r="AJ144" s="21" t="s">
        <v>1046</v>
      </c>
      <c r="AK144" s="21" t="s">
        <v>1922</v>
      </c>
      <c r="AL144" s="21" t="str">
        <f>IF(AD144-AI144&gt;0,(AD144-AI144)&amp;" bags - damaged in transit","None")</f>
        <v>None</v>
      </c>
      <c r="AM144" s="21" t="s">
        <v>844</v>
      </c>
      <c r="AN144" s="21" t="s">
        <v>848</v>
      </c>
      <c r="AO144" s="21" t="s">
        <v>2360</v>
      </c>
      <c r="AP144" s="21" t="str">
        <f>IF(AO144="Pending","Not yet invoiced",IF(AI144=AD144,"Matched","Invoiced on received qty ("&amp;AI144&amp;" of "&amp;AD144&amp;")"))</f>
        <v>Matched</v>
      </c>
      <c r="AQ144" s="21" t="s">
        <v>2351</v>
      </c>
    </row>
    <row r="145" spans="1:43" x14ac:dyDescent="0.3">
      <c r="A145" s="21" t="s">
        <v>2401</v>
      </c>
      <c r="B145" s="35">
        <v>45872.375</v>
      </c>
      <c r="C145" s="21" t="s">
        <v>1909</v>
      </c>
      <c r="D145" s="21" t="s">
        <v>2402</v>
      </c>
      <c r="E145" s="21" t="s">
        <v>2056</v>
      </c>
      <c r="F145" s="21" t="s">
        <v>768</v>
      </c>
      <c r="G145" s="35">
        <v>45872.483124999999</v>
      </c>
      <c r="H145" s="21" t="s">
        <v>1912</v>
      </c>
      <c r="I145" s="21" t="s">
        <v>1913</v>
      </c>
      <c r="J145" s="21" t="s">
        <v>1914</v>
      </c>
      <c r="K145" s="21" t="s">
        <v>1849</v>
      </c>
      <c r="L145" s="21" t="s">
        <v>1181</v>
      </c>
      <c r="M145" s="21" t="s">
        <v>1183</v>
      </c>
      <c r="N145" s="21" t="s">
        <v>2117</v>
      </c>
      <c r="O145" s="21" t="s">
        <v>1187</v>
      </c>
      <c r="P145" s="21" t="s">
        <v>1916</v>
      </c>
      <c r="Q145" s="21" t="s">
        <v>1278</v>
      </c>
      <c r="R145" s="21" t="s">
        <v>1302</v>
      </c>
      <c r="S145" s="21" t="s">
        <v>1127</v>
      </c>
      <c r="T145" s="21" t="s">
        <v>1917</v>
      </c>
      <c r="U145" s="21" t="s">
        <v>1711</v>
      </c>
      <c r="V145" s="21" t="str">
        <f>_xlfn.XLOOKUP(U145,'T07'!$D$3:$D$1500,'T07'!$BI$3:$BI$1500)&amp;" / "&amp;_xlfn.XLOOKUP(U145,'T07'!$D$3:$D$1500,'T07'!$BJ$3:$BJ$1500)</f>
        <v>LHR-HTV-2008-42260 / HTV</v>
      </c>
      <c r="W145" s="21" t="s">
        <v>1917</v>
      </c>
      <c r="X145" s="21" t="s">
        <v>1713</v>
      </c>
      <c r="Y145" s="21" t="s">
        <v>2086</v>
      </c>
      <c r="Z145" s="21">
        <v>1</v>
      </c>
      <c r="AA145" s="21" t="s">
        <v>1840</v>
      </c>
      <c r="AB145" s="21" t="s">
        <v>1841</v>
      </c>
      <c r="AC145" s="25">
        <v>3000</v>
      </c>
      <c r="AD145" s="25">
        <v>500</v>
      </c>
      <c r="AE145" s="21" t="s">
        <v>2403</v>
      </c>
      <c r="AF145" s="21" t="s">
        <v>2404</v>
      </c>
      <c r="AG145" s="35">
        <v>45872.503124999996</v>
      </c>
      <c r="AH145" s="21" t="s">
        <v>1934</v>
      </c>
      <c r="AI145" s="25">
        <v>500</v>
      </c>
      <c r="AJ145" s="21" t="s">
        <v>1189</v>
      </c>
      <c r="AK145" s="21" t="s">
        <v>1922</v>
      </c>
      <c r="AL145" s="21" t="str">
        <f>IF(AD145-AI145&gt;0,(AD145-AI145)&amp;" bags - damaged in transit","None")</f>
        <v>None</v>
      </c>
      <c r="AM145" s="21" t="s">
        <v>844</v>
      </c>
      <c r="AN145" s="21" t="s">
        <v>848</v>
      </c>
      <c r="AO145" s="21" t="s">
        <v>2405</v>
      </c>
      <c r="AP145" s="21" t="str">
        <f>IF(AO145="Pending","Not yet invoiced",IF(AI145=AD145,"Matched","Invoiced on received qty ("&amp;AI145&amp;" of "&amp;AD145&amp;")"))</f>
        <v>Matched</v>
      </c>
      <c r="AQ145" s="21" t="s">
        <v>2406</v>
      </c>
    </row>
    <row r="146" spans="1:43" x14ac:dyDescent="0.3">
      <c r="A146" s="21" t="s">
        <v>2407</v>
      </c>
      <c r="B146" s="35">
        <v>45873.291666666664</v>
      </c>
      <c r="C146" s="21" t="s">
        <v>1909</v>
      </c>
      <c r="D146" s="21" t="s">
        <v>2408</v>
      </c>
      <c r="E146" s="21" t="s">
        <v>1945</v>
      </c>
      <c r="F146" s="21" t="s">
        <v>768</v>
      </c>
      <c r="G146" s="35">
        <v>45873.390416666669</v>
      </c>
      <c r="H146" s="21" t="s">
        <v>1912</v>
      </c>
      <c r="I146" s="21" t="s">
        <v>1913</v>
      </c>
      <c r="J146" s="21" t="s">
        <v>1914</v>
      </c>
      <c r="K146" s="21" t="s">
        <v>1819</v>
      </c>
      <c r="L146" s="21" t="s">
        <v>1156</v>
      </c>
      <c r="M146" s="21" t="s">
        <v>1161</v>
      </c>
      <c r="N146" s="21" t="s">
        <v>1980</v>
      </c>
      <c r="O146" s="21" t="s">
        <v>1165</v>
      </c>
      <c r="P146" s="21" t="s">
        <v>1916</v>
      </c>
      <c r="Q146" s="21" t="s">
        <v>1213</v>
      </c>
      <c r="R146" s="21" t="s">
        <v>1244</v>
      </c>
      <c r="S146" s="21" t="s">
        <v>1247</v>
      </c>
      <c r="T146" s="21" t="s">
        <v>1917</v>
      </c>
      <c r="U146" s="21" t="s">
        <v>1766</v>
      </c>
      <c r="V146" s="21" t="str">
        <f>_xlfn.XLOOKUP(U146,'T07'!$D$3:$D$1500,'T07'!$BI$3:$BI$1500)&amp;" / "&amp;_xlfn.XLOOKUP(U146,'T07'!$D$3:$D$1500,'T07'!$BJ$3:$BJ$1500)</f>
        <v>LHR-LTV-2019-66685 / LTV</v>
      </c>
      <c r="W146" s="21" t="s">
        <v>1917</v>
      </c>
      <c r="X146" s="21" t="s">
        <v>1768</v>
      </c>
      <c r="Y146" s="21" t="s">
        <v>2097</v>
      </c>
      <c r="Z146" s="21">
        <v>1</v>
      </c>
      <c r="AA146" s="21" t="s">
        <v>1859</v>
      </c>
      <c r="AB146" s="21" t="s">
        <v>1860</v>
      </c>
      <c r="AC146" s="25">
        <v>70</v>
      </c>
      <c r="AD146" s="25">
        <v>12</v>
      </c>
      <c r="AE146" s="21" t="s">
        <v>2409</v>
      </c>
      <c r="AF146" s="21" t="s">
        <v>2410</v>
      </c>
      <c r="AG146" s="35">
        <v>45873.410416666666</v>
      </c>
      <c r="AH146" s="21" t="s">
        <v>1934</v>
      </c>
      <c r="AI146" s="25">
        <v>12</v>
      </c>
      <c r="AJ146" s="21" t="s">
        <v>1984</v>
      </c>
      <c r="AK146" s="21" t="s">
        <v>1922</v>
      </c>
      <c r="AL146" s="21" t="str">
        <f>IF(AD146-AI146&gt;0,(AD146-AI146)&amp;" bags - damaged in transit","None")</f>
        <v>None</v>
      </c>
      <c r="AM146" s="21" t="s">
        <v>844</v>
      </c>
      <c r="AN146" s="21" t="s">
        <v>848</v>
      </c>
      <c r="AO146" s="21" t="s">
        <v>2411</v>
      </c>
      <c r="AP146" s="21" t="str">
        <f>IF(AO146="Pending","Not yet invoiced",IF(AI146=AD146,"Matched","Invoiced on received qty ("&amp;AI146&amp;" of "&amp;AD146&amp;")"))</f>
        <v>Matched</v>
      </c>
      <c r="AQ146" s="21" t="s">
        <v>2412</v>
      </c>
    </row>
    <row r="147" spans="1:43" x14ac:dyDescent="0.3">
      <c r="A147" s="21" t="s">
        <v>2413</v>
      </c>
      <c r="B147" s="35">
        <v>45876.291666666664</v>
      </c>
      <c r="C147" s="21" t="s">
        <v>1909</v>
      </c>
      <c r="D147" s="21" t="s">
        <v>2402</v>
      </c>
      <c r="E147" s="21" t="s">
        <v>2056</v>
      </c>
      <c r="F147" s="21" t="s">
        <v>768</v>
      </c>
      <c r="G147" s="35">
        <v>45876.399791666663</v>
      </c>
      <c r="H147" s="21" t="s">
        <v>1912</v>
      </c>
      <c r="I147" s="21" t="s">
        <v>1913</v>
      </c>
      <c r="J147" s="21" t="s">
        <v>1914</v>
      </c>
      <c r="K147" s="21" t="s">
        <v>1849</v>
      </c>
      <c r="L147" s="21" t="s">
        <v>1181</v>
      </c>
      <c r="M147" s="21" t="s">
        <v>1183</v>
      </c>
      <c r="N147" s="21" t="s">
        <v>2117</v>
      </c>
      <c r="O147" s="21" t="s">
        <v>1187</v>
      </c>
      <c r="P147" s="21" t="s">
        <v>1916</v>
      </c>
      <c r="Q147" s="21" t="s">
        <v>1278</v>
      </c>
      <c r="R147" s="21" t="s">
        <v>1280</v>
      </c>
      <c r="S147" s="21" t="s">
        <v>1247</v>
      </c>
      <c r="T147" s="21" t="s">
        <v>1917</v>
      </c>
      <c r="U147" s="21" t="s">
        <v>1766</v>
      </c>
      <c r="V147" s="21" t="str">
        <f>_xlfn.XLOOKUP(U147,'T07'!$D$3:$D$1500,'T07'!$BI$3:$BI$1500)&amp;" / "&amp;_xlfn.XLOOKUP(U147,'T07'!$D$3:$D$1500,'T07'!$BJ$3:$BJ$1500)</f>
        <v>LHR-LTV-2019-66685 / LTV</v>
      </c>
      <c r="W147" s="21" t="s">
        <v>1917</v>
      </c>
      <c r="X147" s="21" t="s">
        <v>1768</v>
      </c>
      <c r="Y147" s="21" t="s">
        <v>2018</v>
      </c>
      <c r="Z147" s="21">
        <v>1</v>
      </c>
      <c r="AA147" s="21" t="s">
        <v>1840</v>
      </c>
      <c r="AB147" s="21" t="s">
        <v>1841</v>
      </c>
      <c r="AC147" s="25">
        <v>2500</v>
      </c>
      <c r="AD147" s="25">
        <v>200</v>
      </c>
      <c r="AE147" s="21" t="s">
        <v>2414</v>
      </c>
      <c r="AF147" s="21" t="s">
        <v>2415</v>
      </c>
      <c r="AG147" s="35">
        <v>45876.41979166666</v>
      </c>
      <c r="AH147" s="21" t="s">
        <v>1934</v>
      </c>
      <c r="AI147" s="25">
        <v>197</v>
      </c>
      <c r="AJ147" s="21" t="s">
        <v>1189</v>
      </c>
      <c r="AK147" s="21" t="s">
        <v>1922</v>
      </c>
      <c r="AL147" s="21" t="str">
        <f>IF(AD147-AI147&gt;0,(AD147-AI147)&amp;" bags - damaged in transit","None")</f>
        <v>3 bags - damaged in transit</v>
      </c>
      <c r="AM147" s="21" t="s">
        <v>2416</v>
      </c>
      <c r="AN147" s="21" t="s">
        <v>2417</v>
      </c>
      <c r="AO147" s="21" t="s">
        <v>2405</v>
      </c>
      <c r="AP147" s="21" t="str">
        <f>IF(AO147="Pending","Not yet invoiced",IF(AI147=AD147,"Matched","Invoiced on received qty ("&amp;AI147&amp;" of "&amp;AD147&amp;")"))</f>
        <v>Invoiced on received qty (197 of 200)</v>
      </c>
      <c r="AQ147" s="21" t="s">
        <v>2406</v>
      </c>
    </row>
    <row r="148" spans="1:43" x14ac:dyDescent="0.3">
      <c r="A148" s="21" t="s">
        <v>2418</v>
      </c>
      <c r="B148" s="35">
        <v>45877.458333333336</v>
      </c>
      <c r="C148" s="21" t="s">
        <v>1909</v>
      </c>
      <c r="D148" s="21" t="s">
        <v>2408</v>
      </c>
      <c r="E148" s="21" t="s">
        <v>2056</v>
      </c>
      <c r="F148" s="21" t="s">
        <v>768</v>
      </c>
      <c r="G148" s="35">
        <v>45877.55708333334</v>
      </c>
      <c r="H148" s="21" t="s">
        <v>1912</v>
      </c>
      <c r="I148" s="21" t="s">
        <v>1913</v>
      </c>
      <c r="J148" s="21" t="s">
        <v>1914</v>
      </c>
      <c r="K148" s="21" t="s">
        <v>1819</v>
      </c>
      <c r="L148" s="21" t="s">
        <v>1156</v>
      </c>
      <c r="M148" s="21" t="s">
        <v>1161</v>
      </c>
      <c r="N148" s="21" t="s">
        <v>1980</v>
      </c>
      <c r="O148" s="21" t="s">
        <v>1165</v>
      </c>
      <c r="P148" s="21" t="s">
        <v>1916</v>
      </c>
      <c r="Q148" s="21" t="s">
        <v>1278</v>
      </c>
      <c r="R148" s="21" t="s">
        <v>1332</v>
      </c>
      <c r="S148" s="21" t="s">
        <v>1127</v>
      </c>
      <c r="T148" s="21" t="s">
        <v>1917</v>
      </c>
      <c r="U148" s="21" t="s">
        <v>1711</v>
      </c>
      <c r="V148" s="21" t="str">
        <f>_xlfn.XLOOKUP(U148,'T07'!$D$3:$D$1500,'T07'!$BI$3:$BI$1500)&amp;" / "&amp;_xlfn.XLOOKUP(U148,'T07'!$D$3:$D$1500,'T07'!$BJ$3:$BJ$1500)</f>
        <v>LHR-HTV-2008-42260 / HTV</v>
      </c>
      <c r="W148" s="21" t="s">
        <v>1917</v>
      </c>
      <c r="X148" s="21" t="s">
        <v>1713</v>
      </c>
      <c r="Y148" s="21" t="s">
        <v>1931</v>
      </c>
      <c r="Z148" s="21">
        <v>1</v>
      </c>
      <c r="AA148" s="21" t="s">
        <v>1842</v>
      </c>
      <c r="AB148" s="21" t="s">
        <v>1804</v>
      </c>
      <c r="AC148" s="25">
        <v>500</v>
      </c>
      <c r="AD148" s="25">
        <v>50</v>
      </c>
      <c r="AE148" s="21" t="s">
        <v>2419</v>
      </c>
      <c r="AF148" s="21" t="s">
        <v>2420</v>
      </c>
      <c r="AG148" s="35">
        <v>45877.577083333337</v>
      </c>
      <c r="AH148" s="21" t="s">
        <v>1934</v>
      </c>
      <c r="AI148" s="25">
        <v>50</v>
      </c>
      <c r="AJ148" s="21" t="s">
        <v>1984</v>
      </c>
      <c r="AK148" s="21" t="s">
        <v>1922</v>
      </c>
      <c r="AL148" s="21" t="str">
        <f>IF(AD148-AI148&gt;0,(AD148-AI148)&amp;" bags - damaged in transit","None")</f>
        <v>None</v>
      </c>
      <c r="AM148" s="21" t="s">
        <v>844</v>
      </c>
      <c r="AN148" s="21" t="s">
        <v>848</v>
      </c>
      <c r="AO148" s="21" t="s">
        <v>2411</v>
      </c>
      <c r="AP148" s="21" t="str">
        <f>IF(AO148="Pending","Not yet invoiced",IF(AI148=AD148,"Matched","Invoiced on received qty ("&amp;AI148&amp;" of "&amp;AD148&amp;")"))</f>
        <v>Matched</v>
      </c>
      <c r="AQ148" s="21" t="s">
        <v>2406</v>
      </c>
    </row>
    <row r="149" spans="1:43" x14ac:dyDescent="0.3">
      <c r="A149" s="21" t="s">
        <v>2418</v>
      </c>
      <c r="B149" s="35">
        <v>45877.458333333336</v>
      </c>
      <c r="C149" s="21" t="s">
        <v>1909</v>
      </c>
      <c r="D149" s="21" t="s">
        <v>2408</v>
      </c>
      <c r="E149" s="21" t="s">
        <v>1945</v>
      </c>
      <c r="F149" s="21" t="s">
        <v>768</v>
      </c>
      <c r="G149" s="35">
        <v>45877.55708333334</v>
      </c>
      <c r="H149" s="21" t="s">
        <v>1912</v>
      </c>
      <c r="I149" s="21" t="s">
        <v>1913</v>
      </c>
      <c r="J149" s="21" t="s">
        <v>1914</v>
      </c>
      <c r="K149" s="21" t="s">
        <v>1819</v>
      </c>
      <c r="L149" s="21" t="s">
        <v>1156</v>
      </c>
      <c r="M149" s="21" t="s">
        <v>1161</v>
      </c>
      <c r="N149" s="21" t="s">
        <v>1980</v>
      </c>
      <c r="O149" s="21" t="s">
        <v>1165</v>
      </c>
      <c r="P149" s="21" t="s">
        <v>1916</v>
      </c>
      <c r="Q149" s="21" t="s">
        <v>1278</v>
      </c>
      <c r="R149" s="21" t="s">
        <v>1332</v>
      </c>
      <c r="S149" s="21" t="s">
        <v>1127</v>
      </c>
      <c r="T149" s="21" t="s">
        <v>1917</v>
      </c>
      <c r="U149" s="21" t="s">
        <v>1711</v>
      </c>
      <c r="V149" s="21" t="str">
        <f>_xlfn.XLOOKUP(U149,'T07'!$D$3:$D$1500,'T07'!$BI$3:$BI$1500)&amp;" / "&amp;_xlfn.XLOOKUP(U149,'T07'!$D$3:$D$1500,'T07'!$BJ$3:$BJ$1500)</f>
        <v>LHR-HTV-2008-42260 / HTV</v>
      </c>
      <c r="W149" s="21" t="s">
        <v>1917</v>
      </c>
      <c r="X149" s="21" t="s">
        <v>1713</v>
      </c>
      <c r="Y149" s="21" t="s">
        <v>1931</v>
      </c>
      <c r="Z149" s="21">
        <v>2</v>
      </c>
      <c r="AA149" s="21" t="s">
        <v>1859</v>
      </c>
      <c r="AB149" s="21" t="s">
        <v>1860</v>
      </c>
      <c r="AC149" s="25">
        <v>58</v>
      </c>
      <c r="AD149" s="25">
        <v>6</v>
      </c>
      <c r="AE149" s="21" t="s">
        <v>2421</v>
      </c>
      <c r="AF149" s="21" t="s">
        <v>2420</v>
      </c>
      <c r="AG149" s="35">
        <v>45877.577083333337</v>
      </c>
      <c r="AH149" s="21" t="s">
        <v>1934</v>
      </c>
      <c r="AI149" s="25">
        <v>6</v>
      </c>
      <c r="AJ149" s="21" t="s">
        <v>1984</v>
      </c>
      <c r="AK149" s="21" t="s">
        <v>1922</v>
      </c>
      <c r="AL149" s="21" t="str">
        <f>IF(AD149-AI149&gt;0,(AD149-AI149)&amp;" bags - damaged in transit","None")</f>
        <v>None</v>
      </c>
      <c r="AM149" s="21" t="s">
        <v>844</v>
      </c>
      <c r="AN149" s="21" t="s">
        <v>848</v>
      </c>
      <c r="AO149" s="21" t="s">
        <v>2411</v>
      </c>
      <c r="AP149" s="21" t="str">
        <f>IF(AO149="Pending","Not yet invoiced",IF(AI149=AD149,"Matched","Invoiced on received qty ("&amp;AI149&amp;" of "&amp;AD149&amp;")"))</f>
        <v>Matched</v>
      </c>
      <c r="AQ149" s="21" t="s">
        <v>2406</v>
      </c>
    </row>
    <row r="150" spans="1:43" x14ac:dyDescent="0.3">
      <c r="A150" s="21" t="s">
        <v>2422</v>
      </c>
      <c r="B150" s="35">
        <v>45878.291666666664</v>
      </c>
      <c r="C150" s="21" t="s">
        <v>1909</v>
      </c>
      <c r="D150" s="21" t="s">
        <v>2408</v>
      </c>
      <c r="E150" s="21" t="s">
        <v>2056</v>
      </c>
      <c r="F150" s="21" t="s">
        <v>768</v>
      </c>
      <c r="G150" s="35">
        <v>45878.390416666669</v>
      </c>
      <c r="H150" s="21" t="s">
        <v>1912</v>
      </c>
      <c r="I150" s="21" t="s">
        <v>1913</v>
      </c>
      <c r="J150" s="21" t="s">
        <v>1914</v>
      </c>
      <c r="K150" s="21" t="s">
        <v>1819</v>
      </c>
      <c r="L150" s="21" t="s">
        <v>1156</v>
      </c>
      <c r="M150" s="21" t="s">
        <v>1161</v>
      </c>
      <c r="N150" s="21" t="s">
        <v>1980</v>
      </c>
      <c r="O150" s="21" t="s">
        <v>1165</v>
      </c>
      <c r="P150" s="21" t="s">
        <v>1916</v>
      </c>
      <c r="Q150" s="21" t="s">
        <v>1278</v>
      </c>
      <c r="R150" s="21" t="s">
        <v>1332</v>
      </c>
      <c r="S150" s="21" t="s">
        <v>1127</v>
      </c>
      <c r="T150" s="21" t="s">
        <v>1917</v>
      </c>
      <c r="U150" s="21" t="s">
        <v>1711</v>
      </c>
      <c r="V150" s="21" t="str">
        <f>_xlfn.XLOOKUP(U150,'T07'!$D$3:$D$1500,'T07'!$BI$3:$BI$1500)&amp;" / "&amp;_xlfn.XLOOKUP(U150,'T07'!$D$3:$D$1500,'T07'!$BJ$3:$BJ$1500)</f>
        <v>LHR-HTV-2008-42260 / HTV</v>
      </c>
      <c r="W150" s="21" t="s">
        <v>1917</v>
      </c>
      <c r="X150" s="21" t="s">
        <v>1713</v>
      </c>
      <c r="Y150" s="21" t="s">
        <v>1931</v>
      </c>
      <c r="Z150" s="21">
        <v>1</v>
      </c>
      <c r="AA150" s="21" t="s">
        <v>1842</v>
      </c>
      <c r="AB150" s="21" t="s">
        <v>1804</v>
      </c>
      <c r="AC150" s="25">
        <v>450</v>
      </c>
      <c r="AD150" s="25">
        <v>50</v>
      </c>
      <c r="AE150" s="21" t="s">
        <v>2423</v>
      </c>
      <c r="AF150" s="21" t="s">
        <v>2424</v>
      </c>
      <c r="AG150" s="35">
        <v>45878.410416666666</v>
      </c>
      <c r="AH150" s="21" t="s">
        <v>1934</v>
      </c>
      <c r="AI150" s="25">
        <v>50</v>
      </c>
      <c r="AJ150" s="21" t="s">
        <v>1984</v>
      </c>
      <c r="AK150" s="21" t="s">
        <v>1922</v>
      </c>
      <c r="AL150" s="21" t="str">
        <f>IF(AD150-AI150&gt;0,(AD150-AI150)&amp;" bags - damaged in transit","None")</f>
        <v>None</v>
      </c>
      <c r="AM150" s="21" t="s">
        <v>844</v>
      </c>
      <c r="AN150" s="21" t="s">
        <v>848</v>
      </c>
      <c r="AO150" s="21" t="s">
        <v>2411</v>
      </c>
      <c r="AP150" s="21" t="str">
        <f>IF(AO150="Pending","Not yet invoiced",IF(AI150=AD150,"Matched","Invoiced on received qty ("&amp;AI150&amp;" of "&amp;AD150&amp;")"))</f>
        <v>Matched</v>
      </c>
      <c r="AQ150" s="21" t="s">
        <v>2406</v>
      </c>
    </row>
    <row r="151" spans="1:43" x14ac:dyDescent="0.3">
      <c r="A151" s="21" t="s">
        <v>2422</v>
      </c>
      <c r="B151" s="35">
        <v>45878.291666666664</v>
      </c>
      <c r="C151" s="21" t="s">
        <v>1909</v>
      </c>
      <c r="D151" s="21" t="s">
        <v>2408</v>
      </c>
      <c r="E151" s="21" t="s">
        <v>1945</v>
      </c>
      <c r="F151" s="21" t="s">
        <v>768</v>
      </c>
      <c r="G151" s="35">
        <v>45878.390416666669</v>
      </c>
      <c r="H151" s="21" t="s">
        <v>1912</v>
      </c>
      <c r="I151" s="21" t="s">
        <v>1913</v>
      </c>
      <c r="J151" s="21" t="s">
        <v>1914</v>
      </c>
      <c r="K151" s="21" t="s">
        <v>1819</v>
      </c>
      <c r="L151" s="21" t="s">
        <v>1156</v>
      </c>
      <c r="M151" s="21" t="s">
        <v>1161</v>
      </c>
      <c r="N151" s="21" t="s">
        <v>1980</v>
      </c>
      <c r="O151" s="21" t="s">
        <v>1165</v>
      </c>
      <c r="P151" s="21" t="s">
        <v>1916</v>
      </c>
      <c r="Q151" s="21" t="s">
        <v>1278</v>
      </c>
      <c r="R151" s="21" t="s">
        <v>1332</v>
      </c>
      <c r="S151" s="21" t="s">
        <v>1127</v>
      </c>
      <c r="T151" s="21" t="s">
        <v>1917</v>
      </c>
      <c r="U151" s="21" t="s">
        <v>1711</v>
      </c>
      <c r="V151" s="21" t="str">
        <f>_xlfn.XLOOKUP(U151,'T07'!$D$3:$D$1500,'T07'!$BI$3:$BI$1500)&amp;" / "&amp;_xlfn.XLOOKUP(U151,'T07'!$D$3:$D$1500,'T07'!$BJ$3:$BJ$1500)</f>
        <v>LHR-HTV-2008-42260 / HTV</v>
      </c>
      <c r="W151" s="21" t="s">
        <v>1917</v>
      </c>
      <c r="X151" s="21" t="s">
        <v>1713</v>
      </c>
      <c r="Y151" s="21" t="s">
        <v>1931</v>
      </c>
      <c r="Z151" s="21">
        <v>2</v>
      </c>
      <c r="AA151" s="21" t="s">
        <v>1803</v>
      </c>
      <c r="AB151" s="21" t="s">
        <v>1804</v>
      </c>
      <c r="AC151" s="25">
        <v>500</v>
      </c>
      <c r="AD151" s="25">
        <v>50</v>
      </c>
      <c r="AE151" s="21" t="s">
        <v>2425</v>
      </c>
      <c r="AF151" s="21" t="s">
        <v>2424</v>
      </c>
      <c r="AG151" s="35">
        <v>45878.410416666666</v>
      </c>
      <c r="AH151" s="21" t="s">
        <v>1934</v>
      </c>
      <c r="AI151" s="25">
        <v>50</v>
      </c>
      <c r="AJ151" s="21" t="s">
        <v>1984</v>
      </c>
      <c r="AK151" s="21" t="s">
        <v>1922</v>
      </c>
      <c r="AL151" s="21" t="str">
        <f>IF(AD151-AI151&gt;0,(AD151-AI151)&amp;" bags - damaged in transit","None")</f>
        <v>None</v>
      </c>
      <c r="AM151" s="21" t="s">
        <v>844</v>
      </c>
      <c r="AN151" s="21" t="s">
        <v>848</v>
      </c>
      <c r="AO151" s="21" t="s">
        <v>2411</v>
      </c>
      <c r="AP151" s="21" t="str">
        <f>IF(AO151="Pending","Not yet invoiced",IF(AI151=AD151,"Matched","Invoiced on received qty ("&amp;AI151&amp;" of "&amp;AD151&amp;")"))</f>
        <v>Matched</v>
      </c>
      <c r="AQ151" s="21" t="s">
        <v>2406</v>
      </c>
    </row>
    <row r="152" spans="1:43" x14ac:dyDescent="0.3">
      <c r="A152" s="21" t="s">
        <v>2422</v>
      </c>
      <c r="B152" s="35">
        <v>45878.291666666664</v>
      </c>
      <c r="C152" s="21" t="s">
        <v>1909</v>
      </c>
      <c r="D152" s="21" t="s">
        <v>2408</v>
      </c>
      <c r="E152" s="21" t="s">
        <v>1945</v>
      </c>
      <c r="F152" s="21" t="s">
        <v>768</v>
      </c>
      <c r="G152" s="35">
        <v>45878.390416666669</v>
      </c>
      <c r="H152" s="21" t="s">
        <v>1912</v>
      </c>
      <c r="I152" s="21" t="s">
        <v>1913</v>
      </c>
      <c r="J152" s="21" t="s">
        <v>1914</v>
      </c>
      <c r="K152" s="21" t="s">
        <v>1819</v>
      </c>
      <c r="L152" s="21" t="s">
        <v>1156</v>
      </c>
      <c r="M152" s="21" t="s">
        <v>1161</v>
      </c>
      <c r="N152" s="21" t="s">
        <v>1980</v>
      </c>
      <c r="O152" s="21" t="s">
        <v>1165</v>
      </c>
      <c r="P152" s="21" t="s">
        <v>1916</v>
      </c>
      <c r="Q152" s="21" t="s">
        <v>1278</v>
      </c>
      <c r="R152" s="21" t="s">
        <v>1332</v>
      </c>
      <c r="S152" s="21" t="s">
        <v>1127</v>
      </c>
      <c r="T152" s="21" t="s">
        <v>1917</v>
      </c>
      <c r="U152" s="21" t="s">
        <v>1711</v>
      </c>
      <c r="V152" s="21" t="str">
        <f>_xlfn.XLOOKUP(U152,'T07'!$D$3:$D$1500,'T07'!$BI$3:$BI$1500)&amp;" / "&amp;_xlfn.XLOOKUP(U152,'T07'!$D$3:$D$1500,'T07'!$BJ$3:$BJ$1500)</f>
        <v>LHR-HTV-2008-42260 / HTV</v>
      </c>
      <c r="W152" s="21" t="s">
        <v>1917</v>
      </c>
      <c r="X152" s="21" t="s">
        <v>1713</v>
      </c>
      <c r="Y152" s="21" t="s">
        <v>1931</v>
      </c>
      <c r="Z152" s="21">
        <v>3</v>
      </c>
      <c r="AA152" s="21" t="s">
        <v>1859</v>
      </c>
      <c r="AB152" s="21" t="s">
        <v>1860</v>
      </c>
      <c r="AC152" s="25">
        <v>52</v>
      </c>
      <c r="AD152" s="25">
        <v>4</v>
      </c>
      <c r="AE152" s="21" t="s">
        <v>2426</v>
      </c>
      <c r="AF152" s="21" t="s">
        <v>2424</v>
      </c>
      <c r="AG152" s="35">
        <v>45878.410416666666</v>
      </c>
      <c r="AH152" s="21" t="s">
        <v>1934</v>
      </c>
      <c r="AI152" s="25">
        <v>4</v>
      </c>
      <c r="AJ152" s="21" t="s">
        <v>1984</v>
      </c>
      <c r="AK152" s="21" t="s">
        <v>1922</v>
      </c>
      <c r="AL152" s="21" t="str">
        <f>IF(AD152-AI152&gt;0,(AD152-AI152)&amp;" bags - damaged in transit","None")</f>
        <v>None</v>
      </c>
      <c r="AM152" s="21" t="s">
        <v>844</v>
      </c>
      <c r="AN152" s="21" t="s">
        <v>848</v>
      </c>
      <c r="AO152" s="21" t="s">
        <v>2411</v>
      </c>
      <c r="AP152" s="21" t="str">
        <f>IF(AO152="Pending","Not yet invoiced",IF(AI152=AD152,"Matched","Invoiced on received qty ("&amp;AI152&amp;" of "&amp;AD152&amp;")"))</f>
        <v>Matched</v>
      </c>
      <c r="AQ152" s="21" t="s">
        <v>2406</v>
      </c>
    </row>
    <row r="153" spans="1:43" x14ac:dyDescent="0.3">
      <c r="A153" s="21" t="s">
        <v>2427</v>
      </c>
      <c r="B153" s="35">
        <v>45880.291666666664</v>
      </c>
      <c r="C153" s="21" t="s">
        <v>1909</v>
      </c>
      <c r="D153" s="21" t="s">
        <v>2402</v>
      </c>
      <c r="E153" s="21" t="s">
        <v>1927</v>
      </c>
      <c r="F153" s="21" t="s">
        <v>768</v>
      </c>
      <c r="G153" s="35">
        <v>45880.399791666663</v>
      </c>
      <c r="H153" s="21" t="s">
        <v>1912</v>
      </c>
      <c r="I153" s="21" t="s">
        <v>1913</v>
      </c>
      <c r="J153" s="21" t="s">
        <v>1914</v>
      </c>
      <c r="K153" s="21" t="s">
        <v>1849</v>
      </c>
      <c r="L153" s="21" t="s">
        <v>1181</v>
      </c>
      <c r="M153" s="21" t="s">
        <v>1183</v>
      </c>
      <c r="N153" s="21" t="s">
        <v>2117</v>
      </c>
      <c r="O153" s="21" t="s">
        <v>1187</v>
      </c>
      <c r="P153" s="21" t="s">
        <v>1916</v>
      </c>
      <c r="Q153" s="21" t="s">
        <v>1213</v>
      </c>
      <c r="R153" s="21" t="s">
        <v>1227</v>
      </c>
      <c r="S153" s="21" t="s">
        <v>1127</v>
      </c>
      <c r="T153" s="21" t="s">
        <v>1917</v>
      </c>
      <c r="U153" s="21" t="s">
        <v>1697</v>
      </c>
      <c r="V153" s="21" t="str">
        <f>_xlfn.XLOOKUP(U153,'T07'!$D$3:$D$1500,'T07'!$BI$3:$BI$1500)&amp;" / "&amp;_xlfn.XLOOKUP(U153,'T07'!$D$3:$D$1500,'T07'!$BJ$3:$BJ$1500)</f>
        <v>LHR-HTV-2013-23962 / HTV</v>
      </c>
      <c r="W153" s="21" t="s">
        <v>1917</v>
      </c>
      <c r="X153" s="21" t="s">
        <v>1700</v>
      </c>
      <c r="Y153" s="21" t="s">
        <v>1991</v>
      </c>
      <c r="Z153" s="21">
        <v>1</v>
      </c>
      <c r="AA153" s="21" t="s">
        <v>1840</v>
      </c>
      <c r="AB153" s="21" t="s">
        <v>1841</v>
      </c>
      <c r="AC153" s="25">
        <v>2300</v>
      </c>
      <c r="AD153" s="25">
        <v>500</v>
      </c>
      <c r="AE153" s="21" t="s">
        <v>2428</v>
      </c>
      <c r="AF153" s="21" t="s">
        <v>2429</v>
      </c>
      <c r="AG153" s="35">
        <v>45880.41979166666</v>
      </c>
      <c r="AH153" s="21" t="s">
        <v>1934</v>
      </c>
      <c r="AI153" s="25">
        <v>500</v>
      </c>
      <c r="AJ153" s="21" t="s">
        <v>1189</v>
      </c>
      <c r="AK153" s="21" t="s">
        <v>1922</v>
      </c>
      <c r="AL153" s="21" t="str">
        <f>IF(AD153-AI153&gt;0,(AD153-AI153)&amp;" bags - damaged in transit","None")</f>
        <v>None</v>
      </c>
      <c r="AM153" s="21" t="s">
        <v>844</v>
      </c>
      <c r="AN153" s="21" t="s">
        <v>848</v>
      </c>
      <c r="AO153" s="21" t="s">
        <v>2405</v>
      </c>
      <c r="AP153" s="21" t="str">
        <f>IF(AO153="Pending","Not yet invoiced",IF(AI153=AD153,"Matched","Invoiced on received qty ("&amp;AI153&amp;" of "&amp;AD153&amp;")"))</f>
        <v>Matched</v>
      </c>
      <c r="AQ153" s="21" t="s">
        <v>2412</v>
      </c>
    </row>
    <row r="154" spans="1:43" x14ac:dyDescent="0.3">
      <c r="A154" s="21" t="s">
        <v>2430</v>
      </c>
      <c r="B154" s="35">
        <v>45885.416666666664</v>
      </c>
      <c r="C154" s="21" t="s">
        <v>1909</v>
      </c>
      <c r="D154" s="21" t="s">
        <v>2408</v>
      </c>
      <c r="E154" s="21" t="s">
        <v>2056</v>
      </c>
      <c r="F154" s="21" t="s">
        <v>768</v>
      </c>
      <c r="G154" s="35">
        <v>45885.515416666669</v>
      </c>
      <c r="H154" s="21" t="s">
        <v>1912</v>
      </c>
      <c r="I154" s="21" t="s">
        <v>1913</v>
      </c>
      <c r="J154" s="21" t="s">
        <v>1914</v>
      </c>
      <c r="K154" s="21" t="s">
        <v>1819</v>
      </c>
      <c r="L154" s="21" t="s">
        <v>1156</v>
      </c>
      <c r="M154" s="21" t="s">
        <v>1161</v>
      </c>
      <c r="N154" s="21" t="s">
        <v>1980</v>
      </c>
      <c r="O154" s="21" t="s">
        <v>1165</v>
      </c>
      <c r="P154" s="21" t="s">
        <v>1916</v>
      </c>
      <c r="Q154" s="21" t="s">
        <v>1278</v>
      </c>
      <c r="R154" s="21" t="s">
        <v>1310</v>
      </c>
      <c r="S154" s="21" t="s">
        <v>1247</v>
      </c>
      <c r="T154" s="21" t="s">
        <v>1917</v>
      </c>
      <c r="U154" s="21" t="s">
        <v>1766</v>
      </c>
      <c r="V154" s="21" t="str">
        <f>_xlfn.XLOOKUP(U154,'T07'!$D$3:$D$1500,'T07'!$BI$3:$BI$1500)&amp;" / "&amp;_xlfn.XLOOKUP(U154,'T07'!$D$3:$D$1500,'T07'!$BJ$3:$BJ$1500)</f>
        <v>LHR-LTV-2019-66685 / LTV</v>
      </c>
      <c r="W154" s="21" t="s">
        <v>1917</v>
      </c>
      <c r="X154" s="21" t="s">
        <v>1768</v>
      </c>
      <c r="Y154" s="21" t="s">
        <v>1948</v>
      </c>
      <c r="Z154" s="21">
        <v>1</v>
      </c>
      <c r="AA154" s="21" t="s">
        <v>1842</v>
      </c>
      <c r="AB154" s="21" t="s">
        <v>1804</v>
      </c>
      <c r="AC154" s="25">
        <v>400</v>
      </c>
      <c r="AD154" s="25">
        <v>50</v>
      </c>
      <c r="AE154" s="21" t="s">
        <v>2431</v>
      </c>
      <c r="AF154" s="21" t="s">
        <v>2432</v>
      </c>
      <c r="AG154" s="35">
        <v>45885.535416666666</v>
      </c>
      <c r="AH154" s="21" t="s">
        <v>1934</v>
      </c>
      <c r="AI154" s="25">
        <v>50</v>
      </c>
      <c r="AJ154" s="21" t="s">
        <v>1984</v>
      </c>
      <c r="AK154" s="21" t="s">
        <v>1922</v>
      </c>
      <c r="AL154" s="21" t="str">
        <f>IF(AD154-AI154&gt;0,(AD154-AI154)&amp;" bags - damaged in transit","None")</f>
        <v>None</v>
      </c>
      <c r="AM154" s="21" t="s">
        <v>844</v>
      </c>
      <c r="AN154" s="21" t="s">
        <v>848</v>
      </c>
      <c r="AO154" s="21" t="s">
        <v>2411</v>
      </c>
      <c r="AP154" s="21" t="str">
        <f>IF(AO154="Pending","Not yet invoiced",IF(AI154=AD154,"Matched","Invoiced on received qty ("&amp;AI154&amp;" of "&amp;AD154&amp;")"))</f>
        <v>Matched</v>
      </c>
      <c r="AQ154" s="21" t="s">
        <v>2406</v>
      </c>
    </row>
    <row r="155" spans="1:43" x14ac:dyDescent="0.3">
      <c r="A155" s="21" t="s">
        <v>2433</v>
      </c>
      <c r="B155" s="35">
        <v>45886.25</v>
      </c>
      <c r="C155" s="21" t="s">
        <v>1909</v>
      </c>
      <c r="D155" s="21" t="s">
        <v>2402</v>
      </c>
      <c r="E155" s="21" t="s">
        <v>2056</v>
      </c>
      <c r="F155" s="21" t="s">
        <v>768</v>
      </c>
      <c r="G155" s="35">
        <v>45886.358124999999</v>
      </c>
      <c r="H155" s="21" t="s">
        <v>1912</v>
      </c>
      <c r="I155" s="21" t="s">
        <v>1913</v>
      </c>
      <c r="J155" s="21" t="s">
        <v>1914</v>
      </c>
      <c r="K155" s="21" t="s">
        <v>1849</v>
      </c>
      <c r="L155" s="21" t="s">
        <v>1181</v>
      </c>
      <c r="M155" s="21" t="s">
        <v>1183</v>
      </c>
      <c r="N155" s="21" t="s">
        <v>2117</v>
      </c>
      <c r="O155" s="21" t="s">
        <v>1187</v>
      </c>
      <c r="P155" s="21" t="s">
        <v>1916</v>
      </c>
      <c r="Q155" s="21" t="s">
        <v>1213</v>
      </c>
      <c r="R155" s="21" t="s">
        <v>1255</v>
      </c>
      <c r="S155" s="21" t="s">
        <v>1104</v>
      </c>
      <c r="T155" s="21" t="s">
        <v>1917</v>
      </c>
      <c r="U155" s="21" t="s">
        <v>1697</v>
      </c>
      <c r="V155" s="21" t="str">
        <f>_xlfn.XLOOKUP(U155,'T07'!$D$3:$D$1500,'T07'!$BI$3:$BI$1500)&amp;" / "&amp;_xlfn.XLOOKUP(U155,'T07'!$D$3:$D$1500,'T07'!$BJ$3:$BJ$1500)</f>
        <v>LHR-HTV-2013-23962 / HTV</v>
      </c>
      <c r="W155" s="21" t="s">
        <v>1917</v>
      </c>
      <c r="X155" s="21" t="s">
        <v>1700</v>
      </c>
      <c r="Y155" s="21" t="s">
        <v>2137</v>
      </c>
      <c r="Z155" s="21">
        <v>1</v>
      </c>
      <c r="AA155" s="21" t="s">
        <v>1840</v>
      </c>
      <c r="AB155" s="21" t="s">
        <v>1841</v>
      </c>
      <c r="AC155" s="25">
        <v>1800</v>
      </c>
      <c r="AD155" s="25">
        <v>1000</v>
      </c>
      <c r="AE155" s="21" t="s">
        <v>2434</v>
      </c>
      <c r="AF155" s="21" t="s">
        <v>2435</v>
      </c>
      <c r="AG155" s="35">
        <v>45886.378124999996</v>
      </c>
      <c r="AH155" s="21" t="s">
        <v>1983</v>
      </c>
      <c r="AI155" s="25">
        <v>995</v>
      </c>
      <c r="AJ155" s="21" t="s">
        <v>1189</v>
      </c>
      <c r="AK155" s="21" t="s">
        <v>1922</v>
      </c>
      <c r="AL155" s="21" t="str">
        <f>IF(AD155-AI155&gt;0,(AD155-AI155)&amp;" bags - damaged in transit","None")</f>
        <v>5 bags - damaged in transit</v>
      </c>
      <c r="AM155" s="21" t="s">
        <v>2436</v>
      </c>
      <c r="AN155" s="21" t="s">
        <v>2437</v>
      </c>
      <c r="AO155" s="21" t="s">
        <v>2405</v>
      </c>
      <c r="AP155" s="21" t="str">
        <f>IF(AO155="Pending","Not yet invoiced",IF(AI155=AD155,"Matched","Invoiced on received qty ("&amp;AI155&amp;" of "&amp;AD155&amp;")"))</f>
        <v>Invoiced on received qty (995 of 1000)</v>
      </c>
      <c r="AQ155" s="21" t="s">
        <v>2412</v>
      </c>
    </row>
    <row r="156" spans="1:43" x14ac:dyDescent="0.3">
      <c r="A156" s="21" t="s">
        <v>2438</v>
      </c>
      <c r="B156" s="35">
        <v>45888.333333333336</v>
      </c>
      <c r="C156" s="21" t="s">
        <v>1909</v>
      </c>
      <c r="D156" s="21" t="s">
        <v>2408</v>
      </c>
      <c r="E156" s="21" t="s">
        <v>1945</v>
      </c>
      <c r="F156" s="21" t="s">
        <v>768</v>
      </c>
      <c r="G156" s="35">
        <v>45888.43208333334</v>
      </c>
      <c r="H156" s="21" t="s">
        <v>1912</v>
      </c>
      <c r="I156" s="21" t="s">
        <v>1913</v>
      </c>
      <c r="J156" s="21" t="s">
        <v>1914</v>
      </c>
      <c r="K156" s="21" t="s">
        <v>1819</v>
      </c>
      <c r="L156" s="21" t="s">
        <v>1156</v>
      </c>
      <c r="M156" s="21" t="s">
        <v>1161</v>
      </c>
      <c r="N156" s="21" t="s">
        <v>1980</v>
      </c>
      <c r="O156" s="21" t="s">
        <v>1165</v>
      </c>
      <c r="P156" s="21" t="s">
        <v>1916</v>
      </c>
      <c r="Q156" s="21" t="s">
        <v>1213</v>
      </c>
      <c r="R156" s="21" t="s">
        <v>1244</v>
      </c>
      <c r="S156" s="21" t="s">
        <v>1247</v>
      </c>
      <c r="T156" s="21" t="s">
        <v>1917</v>
      </c>
      <c r="U156" s="21" t="s">
        <v>1766</v>
      </c>
      <c r="V156" s="21" t="str">
        <f>_xlfn.XLOOKUP(U156,'T07'!$D$3:$D$1500,'T07'!$BI$3:$BI$1500)&amp;" / "&amp;_xlfn.XLOOKUP(U156,'T07'!$D$3:$D$1500,'T07'!$BJ$3:$BJ$1500)</f>
        <v>LHR-LTV-2019-66685 / LTV</v>
      </c>
      <c r="W156" s="21" t="s">
        <v>1917</v>
      </c>
      <c r="X156" s="21" t="s">
        <v>1768</v>
      </c>
      <c r="Y156" s="21" t="s">
        <v>2097</v>
      </c>
      <c r="Z156" s="21">
        <v>1</v>
      </c>
      <c r="AA156" s="21" t="s">
        <v>1859</v>
      </c>
      <c r="AB156" s="21" t="s">
        <v>1860</v>
      </c>
      <c r="AC156" s="25">
        <v>48</v>
      </c>
      <c r="AD156" s="25">
        <v>12</v>
      </c>
      <c r="AE156" s="21" t="s">
        <v>2439</v>
      </c>
      <c r="AF156" s="21" t="s">
        <v>2440</v>
      </c>
      <c r="AG156" s="35">
        <v>45888.452083333337</v>
      </c>
      <c r="AH156" s="21" t="s">
        <v>1934</v>
      </c>
      <c r="AI156" s="25">
        <v>12</v>
      </c>
      <c r="AJ156" s="21" t="s">
        <v>1984</v>
      </c>
      <c r="AK156" s="21" t="s">
        <v>1922</v>
      </c>
      <c r="AL156" s="21" t="str">
        <f>IF(AD156-AI156&gt;0,(AD156-AI156)&amp;" bags - damaged in transit","None")</f>
        <v>None</v>
      </c>
      <c r="AM156" s="21" t="s">
        <v>844</v>
      </c>
      <c r="AN156" s="21" t="s">
        <v>848</v>
      </c>
      <c r="AO156" s="21" t="s">
        <v>2411</v>
      </c>
      <c r="AP156" s="21" t="str">
        <f>IF(AO156="Pending","Not yet invoiced",IF(AI156=AD156,"Matched","Invoiced on received qty ("&amp;AI156&amp;" of "&amp;AD156&amp;")"))</f>
        <v>Matched</v>
      </c>
      <c r="AQ156" s="21" t="s">
        <v>2412</v>
      </c>
    </row>
    <row r="157" spans="1:43" x14ac:dyDescent="0.3">
      <c r="A157" s="21" t="s">
        <v>2441</v>
      </c>
      <c r="B157" s="35">
        <v>45891.458333333336</v>
      </c>
      <c r="C157" s="21" t="s">
        <v>1909</v>
      </c>
      <c r="D157" s="21" t="s">
        <v>2408</v>
      </c>
      <c r="E157" s="21" t="s">
        <v>1945</v>
      </c>
      <c r="F157" s="21" t="s">
        <v>768</v>
      </c>
      <c r="G157" s="35">
        <v>45891.55708333334</v>
      </c>
      <c r="H157" s="21" t="s">
        <v>1912</v>
      </c>
      <c r="I157" s="21" t="s">
        <v>1913</v>
      </c>
      <c r="J157" s="21" t="s">
        <v>1914</v>
      </c>
      <c r="K157" s="21" t="s">
        <v>1819</v>
      </c>
      <c r="L157" s="21" t="s">
        <v>1156</v>
      </c>
      <c r="M157" s="21" t="s">
        <v>1161</v>
      </c>
      <c r="N157" s="21" t="s">
        <v>1980</v>
      </c>
      <c r="O157" s="21" t="s">
        <v>1165</v>
      </c>
      <c r="P157" s="21" t="s">
        <v>1916</v>
      </c>
      <c r="Q157" s="21" t="s">
        <v>1213</v>
      </c>
      <c r="R157" s="21" t="s">
        <v>1216</v>
      </c>
      <c r="S157" s="21" t="s">
        <v>1104</v>
      </c>
      <c r="T157" s="21" t="s">
        <v>1917</v>
      </c>
      <c r="U157" s="21" t="s">
        <v>1697</v>
      </c>
      <c r="V157" s="21" t="str">
        <f>_xlfn.XLOOKUP(U157,'T07'!$D$3:$D$1500,'T07'!$BI$3:$BI$1500)&amp;" / "&amp;_xlfn.XLOOKUP(U157,'T07'!$D$3:$D$1500,'T07'!$BJ$3:$BJ$1500)</f>
        <v>LHR-HTV-2013-23962 / HTV</v>
      </c>
      <c r="W157" s="21" t="s">
        <v>1917</v>
      </c>
      <c r="X157" s="21" t="s">
        <v>1700</v>
      </c>
      <c r="Y157" s="21" t="s">
        <v>2057</v>
      </c>
      <c r="Z157" s="21">
        <v>1</v>
      </c>
      <c r="AA157" s="21" t="s">
        <v>1859</v>
      </c>
      <c r="AB157" s="21" t="s">
        <v>1860</v>
      </c>
      <c r="AC157" s="25">
        <v>36</v>
      </c>
      <c r="AD157" s="25">
        <v>25</v>
      </c>
      <c r="AE157" s="21" t="s">
        <v>2442</v>
      </c>
      <c r="AF157" s="21" t="s">
        <v>2443</v>
      </c>
      <c r="AG157" s="35">
        <v>45891.577083333337</v>
      </c>
      <c r="AH157" s="21" t="s">
        <v>1934</v>
      </c>
      <c r="AI157" s="25">
        <v>25</v>
      </c>
      <c r="AJ157" s="21" t="s">
        <v>1984</v>
      </c>
      <c r="AK157" s="21" t="s">
        <v>1922</v>
      </c>
      <c r="AL157" s="21" t="str">
        <f>IF(AD157-AI157&gt;0,(AD157-AI157)&amp;" bags - damaged in transit","None")</f>
        <v>None</v>
      </c>
      <c r="AM157" s="21" t="s">
        <v>844</v>
      </c>
      <c r="AN157" s="21" t="s">
        <v>848</v>
      </c>
      <c r="AO157" s="21" t="s">
        <v>2411</v>
      </c>
      <c r="AP157" s="21" t="str">
        <f>IF(AO157="Pending","Not yet invoiced",IF(AI157=AD157,"Matched","Invoiced on received qty ("&amp;AI157&amp;" of "&amp;AD157&amp;")"))</f>
        <v>Matched</v>
      </c>
      <c r="AQ157" s="21" t="s">
        <v>2412</v>
      </c>
    </row>
    <row r="158" spans="1:43" x14ac:dyDescent="0.3">
      <c r="A158" s="21" t="s">
        <v>2444</v>
      </c>
      <c r="B158" s="35">
        <v>45892.291666666664</v>
      </c>
      <c r="C158" s="21" t="s">
        <v>1909</v>
      </c>
      <c r="D158" s="21" t="s">
        <v>2402</v>
      </c>
      <c r="E158" s="21" t="s">
        <v>1927</v>
      </c>
      <c r="F158" s="21" t="s">
        <v>768</v>
      </c>
      <c r="G158" s="35">
        <v>45892.399791666663</v>
      </c>
      <c r="H158" s="21" t="s">
        <v>1912</v>
      </c>
      <c r="I158" s="21" t="s">
        <v>1913</v>
      </c>
      <c r="J158" s="21" t="s">
        <v>1914</v>
      </c>
      <c r="K158" s="21" t="s">
        <v>1849</v>
      </c>
      <c r="L158" s="21" t="s">
        <v>1181</v>
      </c>
      <c r="M158" s="21" t="s">
        <v>1183</v>
      </c>
      <c r="N158" s="21" t="s">
        <v>2117</v>
      </c>
      <c r="O158" s="21" t="s">
        <v>1187</v>
      </c>
      <c r="P158" s="21" t="s">
        <v>1916</v>
      </c>
      <c r="Q158" s="21" t="s">
        <v>1213</v>
      </c>
      <c r="R158" s="21" t="s">
        <v>1244</v>
      </c>
      <c r="S158" s="21" t="s">
        <v>1247</v>
      </c>
      <c r="T158" s="21" t="s">
        <v>1917</v>
      </c>
      <c r="U158" s="21" t="s">
        <v>1766</v>
      </c>
      <c r="V158" s="21" t="str">
        <f>_xlfn.XLOOKUP(U158,'T07'!$D$3:$D$1500,'T07'!$BI$3:$BI$1500)&amp;" / "&amp;_xlfn.XLOOKUP(U158,'T07'!$D$3:$D$1500,'T07'!$BJ$3:$BJ$1500)</f>
        <v>LHR-LTV-2019-66685 / LTV</v>
      </c>
      <c r="W158" s="21" t="s">
        <v>1917</v>
      </c>
      <c r="X158" s="21" t="s">
        <v>1768</v>
      </c>
      <c r="Y158" s="21" t="s">
        <v>2097</v>
      </c>
      <c r="Z158" s="21">
        <v>1</v>
      </c>
      <c r="AA158" s="21" t="s">
        <v>1840</v>
      </c>
      <c r="AB158" s="21" t="s">
        <v>1841</v>
      </c>
      <c r="AC158" s="25">
        <v>800</v>
      </c>
      <c r="AD158" s="25">
        <v>200</v>
      </c>
      <c r="AE158" s="21" t="s">
        <v>2445</v>
      </c>
      <c r="AF158" s="21" t="s">
        <v>2446</v>
      </c>
      <c r="AG158" s="35">
        <v>45892.41979166666</v>
      </c>
      <c r="AH158" s="21" t="s">
        <v>1934</v>
      </c>
      <c r="AI158" s="25">
        <v>200</v>
      </c>
      <c r="AJ158" s="21" t="s">
        <v>1189</v>
      </c>
      <c r="AK158" s="21" t="s">
        <v>1922</v>
      </c>
      <c r="AL158" s="21" t="str">
        <f>IF(AD158-AI158&gt;0,(AD158-AI158)&amp;" bags - damaged in transit","None")</f>
        <v>None</v>
      </c>
      <c r="AM158" s="21" t="s">
        <v>844</v>
      </c>
      <c r="AN158" s="21" t="s">
        <v>848</v>
      </c>
      <c r="AO158" s="21" t="s">
        <v>2405</v>
      </c>
      <c r="AP158" s="21" t="str">
        <f>IF(AO158="Pending","Not yet invoiced",IF(AI158=AD158,"Matched","Invoiced on received qty ("&amp;AI158&amp;" of "&amp;AD158&amp;")"))</f>
        <v>Matched</v>
      </c>
      <c r="AQ158" s="21" t="s">
        <v>2412</v>
      </c>
    </row>
    <row r="159" spans="1:43" x14ac:dyDescent="0.3">
      <c r="A159" s="21" t="s">
        <v>2447</v>
      </c>
      <c r="B159" s="35">
        <v>45903.583333333336</v>
      </c>
      <c r="C159" s="21" t="s">
        <v>1909</v>
      </c>
      <c r="D159" s="21" t="s">
        <v>2448</v>
      </c>
      <c r="E159" s="21" t="s">
        <v>1911</v>
      </c>
      <c r="F159" s="21" t="s">
        <v>768</v>
      </c>
      <c r="G159" s="35">
        <v>45903.720625000002</v>
      </c>
      <c r="H159" s="21" t="s">
        <v>1912</v>
      </c>
      <c r="I159" s="21" t="s">
        <v>1913</v>
      </c>
      <c r="J159" s="21" t="s">
        <v>1914</v>
      </c>
      <c r="K159" s="21" t="s">
        <v>1844</v>
      </c>
      <c r="L159" s="21" t="s">
        <v>1065</v>
      </c>
      <c r="M159" s="21" t="s">
        <v>1845</v>
      </c>
      <c r="N159" s="21" t="s">
        <v>2064</v>
      </c>
      <c r="O159" s="21" t="s">
        <v>2065</v>
      </c>
      <c r="P159" s="21" t="s">
        <v>1930</v>
      </c>
      <c r="Q159" s="21" t="s">
        <v>1278</v>
      </c>
      <c r="R159" s="21" t="s">
        <v>1332</v>
      </c>
      <c r="S159" s="21" t="s">
        <v>1127</v>
      </c>
      <c r="T159" s="21" t="s">
        <v>1917</v>
      </c>
      <c r="U159" s="21" t="s">
        <v>1724</v>
      </c>
      <c r="V159" s="21" t="str">
        <f>_xlfn.XLOOKUP(U159,'T07'!$D$3:$D$1500,'T07'!$BI$3:$BI$1500)&amp;" / "&amp;_xlfn.XLOOKUP(U159,'T07'!$D$3:$D$1500,'T07'!$BJ$3:$BJ$1500)</f>
        <v>LHR-HTV-2008-90487 / HTV</v>
      </c>
      <c r="W159" s="21" t="s">
        <v>1917</v>
      </c>
      <c r="X159" s="21" t="s">
        <v>1726</v>
      </c>
      <c r="Y159" s="21" t="s">
        <v>1931</v>
      </c>
      <c r="Z159" s="21">
        <v>1</v>
      </c>
      <c r="AA159" s="21" t="s">
        <v>1826</v>
      </c>
      <c r="AB159" s="21" t="s">
        <v>1804</v>
      </c>
      <c r="AC159" s="25">
        <v>3500</v>
      </c>
      <c r="AD159" s="25">
        <v>500</v>
      </c>
      <c r="AE159" s="21" t="s">
        <v>2449</v>
      </c>
      <c r="AF159" s="21" t="s">
        <v>2450</v>
      </c>
      <c r="AG159" s="35">
        <v>45903.740624999999</v>
      </c>
      <c r="AH159" s="21" t="s">
        <v>1934</v>
      </c>
      <c r="AI159" s="25">
        <v>500</v>
      </c>
      <c r="AJ159" s="21" t="s">
        <v>1067</v>
      </c>
      <c r="AK159" s="21" t="s">
        <v>1922</v>
      </c>
      <c r="AL159" s="21" t="str">
        <f>IF(AD159-AI159&gt;0,(AD159-AI159)&amp;" bags - damaged in transit","None")</f>
        <v>None</v>
      </c>
      <c r="AM159" s="21" t="s">
        <v>844</v>
      </c>
      <c r="AN159" s="21" t="s">
        <v>848</v>
      </c>
      <c r="AO159" s="21" t="s">
        <v>2451</v>
      </c>
      <c r="AP159" s="21" t="str">
        <f>IF(AO159="Pending","Not yet invoiced",IF(AI159=AD159,"Matched","Invoiced on received qty ("&amp;AI159&amp;" of "&amp;AD159&amp;")"))</f>
        <v>Matched</v>
      </c>
      <c r="AQ159" s="21" t="s">
        <v>2452</v>
      </c>
    </row>
    <row r="160" spans="1:43" x14ac:dyDescent="0.3">
      <c r="A160" s="21" t="s">
        <v>2453</v>
      </c>
      <c r="B160" s="35">
        <v>45907.458333333336</v>
      </c>
      <c r="C160" s="21" t="s">
        <v>1909</v>
      </c>
      <c r="D160" s="21" t="s">
        <v>2448</v>
      </c>
      <c r="E160" s="21" t="s">
        <v>1911</v>
      </c>
      <c r="F160" s="21" t="s">
        <v>768</v>
      </c>
      <c r="G160" s="35">
        <v>45907.595625000002</v>
      </c>
      <c r="H160" s="21" t="s">
        <v>1912</v>
      </c>
      <c r="I160" s="21" t="s">
        <v>1913</v>
      </c>
      <c r="J160" s="21" t="s">
        <v>1914</v>
      </c>
      <c r="K160" s="21" t="s">
        <v>1844</v>
      </c>
      <c r="L160" s="21" t="s">
        <v>1065</v>
      </c>
      <c r="M160" s="21" t="s">
        <v>1845</v>
      </c>
      <c r="N160" s="21" t="s">
        <v>2064</v>
      </c>
      <c r="O160" s="21" t="s">
        <v>2065</v>
      </c>
      <c r="P160" s="21" t="s">
        <v>1930</v>
      </c>
      <c r="Q160" s="21" t="s">
        <v>1278</v>
      </c>
      <c r="R160" s="21" t="s">
        <v>1287</v>
      </c>
      <c r="S160" s="21" t="s">
        <v>1104</v>
      </c>
      <c r="T160" s="21" t="s">
        <v>1917</v>
      </c>
      <c r="U160" s="21" t="s">
        <v>1697</v>
      </c>
      <c r="V160" s="21" t="str">
        <f>_xlfn.XLOOKUP(U160,'T07'!$D$3:$D$1500,'T07'!$BI$3:$BI$1500)&amp;" / "&amp;_xlfn.XLOOKUP(U160,'T07'!$D$3:$D$1500,'T07'!$BJ$3:$BJ$1500)</f>
        <v>LHR-HTV-2013-23962 / HTV</v>
      </c>
      <c r="W160" s="21" t="s">
        <v>1917</v>
      </c>
      <c r="X160" s="21" t="s">
        <v>1700</v>
      </c>
      <c r="Y160" s="21" t="s">
        <v>2130</v>
      </c>
      <c r="Z160" s="21">
        <v>1</v>
      </c>
      <c r="AA160" s="21" t="s">
        <v>1826</v>
      </c>
      <c r="AB160" s="21" t="s">
        <v>1804</v>
      </c>
      <c r="AC160" s="25">
        <v>3000</v>
      </c>
      <c r="AD160" s="25">
        <v>1000</v>
      </c>
      <c r="AE160" s="21" t="s">
        <v>2454</v>
      </c>
      <c r="AF160" s="21" t="s">
        <v>2455</v>
      </c>
      <c r="AG160" s="35">
        <v>45907.615624999999</v>
      </c>
      <c r="AH160" s="21" t="s">
        <v>1983</v>
      </c>
      <c r="AI160" s="25">
        <v>1000</v>
      </c>
      <c r="AJ160" s="21" t="s">
        <v>1067</v>
      </c>
      <c r="AK160" s="21" t="s">
        <v>1922</v>
      </c>
      <c r="AL160" s="21" t="str">
        <f>IF(AD160-AI160&gt;0,(AD160-AI160)&amp;" bags - damaged in transit","None")</f>
        <v>None</v>
      </c>
      <c r="AM160" s="21" t="s">
        <v>844</v>
      </c>
      <c r="AN160" s="21" t="s">
        <v>848</v>
      </c>
      <c r="AO160" s="21" t="s">
        <v>2451</v>
      </c>
      <c r="AP160" s="21" t="str">
        <f>IF(AO160="Pending","Not yet invoiced",IF(AI160=AD160,"Matched","Invoiced on received qty ("&amp;AI160&amp;" of "&amp;AD160&amp;")"))</f>
        <v>Matched</v>
      </c>
      <c r="AQ160" s="21" t="s">
        <v>2452</v>
      </c>
    </row>
    <row r="161" spans="1:43" x14ac:dyDescent="0.3">
      <c r="A161" s="21" t="s">
        <v>2456</v>
      </c>
      <c r="B161" s="35">
        <v>45912.291666666664</v>
      </c>
      <c r="C161" s="21" t="s">
        <v>1909</v>
      </c>
      <c r="D161" s="21" t="s">
        <v>2448</v>
      </c>
      <c r="E161" s="21" t="s">
        <v>1911</v>
      </c>
      <c r="F161" s="21" t="s">
        <v>768</v>
      </c>
      <c r="G161" s="35">
        <v>45912.42895833333</v>
      </c>
      <c r="H161" s="21" t="s">
        <v>1912</v>
      </c>
      <c r="I161" s="21" t="s">
        <v>1913</v>
      </c>
      <c r="J161" s="21" t="s">
        <v>1914</v>
      </c>
      <c r="K161" s="21" t="s">
        <v>1844</v>
      </c>
      <c r="L161" s="21" t="s">
        <v>1065</v>
      </c>
      <c r="M161" s="21" t="s">
        <v>1845</v>
      </c>
      <c r="N161" s="21" t="s">
        <v>2064</v>
      </c>
      <c r="O161" s="21" t="s">
        <v>2065</v>
      </c>
      <c r="P161" s="21" t="s">
        <v>1930</v>
      </c>
      <c r="Q161" s="21" t="s">
        <v>1213</v>
      </c>
      <c r="R161" s="21" t="s">
        <v>1227</v>
      </c>
      <c r="S161" s="21" t="s">
        <v>1127</v>
      </c>
      <c r="T161" s="21" t="s">
        <v>1917</v>
      </c>
      <c r="U161" s="21" t="s">
        <v>1724</v>
      </c>
      <c r="V161" s="21" t="str">
        <f>_xlfn.XLOOKUP(U161,'T07'!$D$3:$D$1500,'T07'!$BI$3:$BI$1500)&amp;" / "&amp;_xlfn.XLOOKUP(U161,'T07'!$D$3:$D$1500,'T07'!$BJ$3:$BJ$1500)</f>
        <v>LHR-HTV-2008-90487 / HTV</v>
      </c>
      <c r="W161" s="21" t="s">
        <v>1917</v>
      </c>
      <c r="X161" s="21" t="s">
        <v>1726</v>
      </c>
      <c r="Y161" s="21" t="s">
        <v>1991</v>
      </c>
      <c r="Z161" s="21">
        <v>1</v>
      </c>
      <c r="AA161" s="21" t="s">
        <v>1826</v>
      </c>
      <c r="AB161" s="21" t="s">
        <v>1804</v>
      </c>
      <c r="AC161" s="25">
        <v>2000</v>
      </c>
      <c r="AD161" s="25">
        <v>250</v>
      </c>
      <c r="AE161" s="21" t="s">
        <v>2457</v>
      </c>
      <c r="AF161" s="21" t="s">
        <v>2458</v>
      </c>
      <c r="AG161" s="35">
        <v>45912.448958333327</v>
      </c>
      <c r="AH161" s="21" t="s">
        <v>1934</v>
      </c>
      <c r="AI161" s="25">
        <v>250</v>
      </c>
      <c r="AJ161" s="21" t="s">
        <v>1067</v>
      </c>
      <c r="AK161" s="21" t="s">
        <v>1922</v>
      </c>
      <c r="AL161" s="21" t="str">
        <f>IF(AD161-AI161&gt;0,(AD161-AI161)&amp;" bags - damaged in transit","None")</f>
        <v>None</v>
      </c>
      <c r="AM161" s="21" t="s">
        <v>844</v>
      </c>
      <c r="AN161" s="21" t="s">
        <v>848</v>
      </c>
      <c r="AO161" s="21" t="s">
        <v>2451</v>
      </c>
      <c r="AP161" s="21" t="str">
        <f>IF(AO161="Pending","Not yet invoiced",IF(AI161=AD161,"Matched","Invoiced on received qty ("&amp;AI161&amp;" of "&amp;AD161&amp;")"))</f>
        <v>Matched</v>
      </c>
      <c r="AQ161" s="21" t="s">
        <v>2459</v>
      </c>
    </row>
    <row r="162" spans="1:43" x14ac:dyDescent="0.3">
      <c r="A162" s="21" t="s">
        <v>2456</v>
      </c>
      <c r="B162" s="35">
        <v>45912.291666666664</v>
      </c>
      <c r="C162" s="21" t="s">
        <v>1909</v>
      </c>
      <c r="D162" s="21" t="s">
        <v>2448</v>
      </c>
      <c r="E162" s="21" t="s">
        <v>1911</v>
      </c>
      <c r="F162" s="21" t="s">
        <v>768</v>
      </c>
      <c r="G162" s="35">
        <v>45912.42895833333</v>
      </c>
      <c r="H162" s="21" t="s">
        <v>1912</v>
      </c>
      <c r="I162" s="21" t="s">
        <v>1913</v>
      </c>
      <c r="J162" s="21" t="s">
        <v>1914</v>
      </c>
      <c r="K162" s="21" t="s">
        <v>1844</v>
      </c>
      <c r="L162" s="21" t="s">
        <v>1065</v>
      </c>
      <c r="M162" s="21" t="s">
        <v>1845</v>
      </c>
      <c r="N162" s="21" t="s">
        <v>2064</v>
      </c>
      <c r="O162" s="21" t="s">
        <v>2065</v>
      </c>
      <c r="P162" s="21" t="s">
        <v>1930</v>
      </c>
      <c r="Q162" s="21" t="s">
        <v>1213</v>
      </c>
      <c r="R162" s="21" t="s">
        <v>1227</v>
      </c>
      <c r="S162" s="21" t="s">
        <v>1127</v>
      </c>
      <c r="T162" s="21" t="s">
        <v>1917</v>
      </c>
      <c r="U162" s="21" t="s">
        <v>1724</v>
      </c>
      <c r="V162" s="21" t="str">
        <f>_xlfn.XLOOKUP(U162,'T07'!$D$3:$D$1500,'T07'!$BI$3:$BI$1500)&amp;" / "&amp;_xlfn.XLOOKUP(U162,'T07'!$D$3:$D$1500,'T07'!$BJ$3:$BJ$1500)</f>
        <v>LHR-HTV-2008-90487 / HTV</v>
      </c>
      <c r="W162" s="21" t="s">
        <v>1917</v>
      </c>
      <c r="X162" s="21" t="s">
        <v>1726</v>
      </c>
      <c r="Y162" s="21" t="s">
        <v>1991</v>
      </c>
      <c r="Z162" s="21">
        <v>2</v>
      </c>
      <c r="AA162" s="21" t="s">
        <v>1808</v>
      </c>
      <c r="AB162" s="21" t="s">
        <v>1804</v>
      </c>
      <c r="AC162" s="25">
        <v>1500</v>
      </c>
      <c r="AD162" s="25">
        <v>250</v>
      </c>
      <c r="AE162" s="21" t="s">
        <v>2460</v>
      </c>
      <c r="AF162" s="21" t="s">
        <v>2458</v>
      </c>
      <c r="AG162" s="35">
        <v>45912.448958333327</v>
      </c>
      <c r="AH162" s="21" t="s">
        <v>1934</v>
      </c>
      <c r="AI162" s="25">
        <v>250</v>
      </c>
      <c r="AJ162" s="21" t="s">
        <v>1067</v>
      </c>
      <c r="AK162" s="21" t="s">
        <v>1922</v>
      </c>
      <c r="AL162" s="21" t="str">
        <f>IF(AD162-AI162&gt;0,(AD162-AI162)&amp;" bags - damaged in transit","None")</f>
        <v>None</v>
      </c>
      <c r="AM162" s="21" t="s">
        <v>844</v>
      </c>
      <c r="AN162" s="21" t="s">
        <v>848</v>
      </c>
      <c r="AO162" s="21" t="s">
        <v>2451</v>
      </c>
      <c r="AP162" s="21" t="str">
        <f>IF(AO162="Pending","Not yet invoiced",IF(AI162=AD162,"Matched","Invoiced on received qty ("&amp;AI162&amp;" of "&amp;AD162&amp;")"))</f>
        <v>Matched</v>
      </c>
      <c r="AQ162" s="21" t="s">
        <v>2459</v>
      </c>
    </row>
    <row r="163" spans="1:43" x14ac:dyDescent="0.3">
      <c r="A163" s="21" t="s">
        <v>2461</v>
      </c>
      <c r="B163" s="35">
        <v>45915.541666666664</v>
      </c>
      <c r="C163" s="21" t="s">
        <v>1909</v>
      </c>
      <c r="D163" s="21" t="s">
        <v>2448</v>
      </c>
      <c r="E163" s="21" t="s">
        <v>1927</v>
      </c>
      <c r="F163" s="21" t="s">
        <v>768</v>
      </c>
      <c r="G163" s="35">
        <v>45915.67895833333</v>
      </c>
      <c r="H163" s="21" t="s">
        <v>1912</v>
      </c>
      <c r="I163" s="21" t="s">
        <v>1913</v>
      </c>
      <c r="J163" s="21" t="s">
        <v>1914</v>
      </c>
      <c r="K163" s="21" t="s">
        <v>1844</v>
      </c>
      <c r="L163" s="21" t="s">
        <v>1065</v>
      </c>
      <c r="M163" s="21" t="s">
        <v>1845</v>
      </c>
      <c r="N163" s="21" t="s">
        <v>2064</v>
      </c>
      <c r="O163" s="21" t="s">
        <v>2065</v>
      </c>
      <c r="P163" s="21" t="s">
        <v>1930</v>
      </c>
      <c r="Q163" s="21" t="s">
        <v>1213</v>
      </c>
      <c r="R163" s="21" t="s">
        <v>1216</v>
      </c>
      <c r="S163" s="21" t="s">
        <v>1104</v>
      </c>
      <c r="T163" s="21" t="s">
        <v>1917</v>
      </c>
      <c r="U163" s="21" t="s">
        <v>1697</v>
      </c>
      <c r="V163" s="21" t="str">
        <f>_xlfn.XLOOKUP(U163,'T07'!$D$3:$D$1500,'T07'!$BI$3:$BI$1500)&amp;" / "&amp;_xlfn.XLOOKUP(U163,'T07'!$D$3:$D$1500,'T07'!$BJ$3:$BJ$1500)</f>
        <v>LHR-HTV-2013-23962 / HTV</v>
      </c>
      <c r="W163" s="21" t="s">
        <v>1917</v>
      </c>
      <c r="X163" s="21" t="s">
        <v>1700</v>
      </c>
      <c r="Y163" s="21" t="s">
        <v>2057</v>
      </c>
      <c r="Z163" s="21">
        <v>1</v>
      </c>
      <c r="AA163" s="21" t="s">
        <v>1808</v>
      </c>
      <c r="AB163" s="21" t="s">
        <v>1804</v>
      </c>
      <c r="AC163" s="25">
        <v>1250</v>
      </c>
      <c r="AD163" s="25">
        <v>500</v>
      </c>
      <c r="AE163" s="21" t="s">
        <v>2462</v>
      </c>
      <c r="AF163" s="21" t="s">
        <v>2463</v>
      </c>
      <c r="AG163" s="35">
        <v>45915.698958333327</v>
      </c>
      <c r="AH163" s="21" t="s">
        <v>1934</v>
      </c>
      <c r="AI163" s="25">
        <v>500</v>
      </c>
      <c r="AJ163" s="21" t="s">
        <v>1067</v>
      </c>
      <c r="AK163" s="21" t="s">
        <v>1922</v>
      </c>
      <c r="AL163" s="21" t="str">
        <f>IF(AD163-AI163&gt;0,(AD163-AI163)&amp;" bags - damaged in transit","None")</f>
        <v>None</v>
      </c>
      <c r="AM163" s="21" t="s">
        <v>844</v>
      </c>
      <c r="AN163" s="21" t="s">
        <v>848</v>
      </c>
      <c r="AO163" s="21" t="s">
        <v>2451</v>
      </c>
      <c r="AP163" s="21" t="str">
        <f>IF(AO163="Pending","Not yet invoiced",IF(AI163=AD163,"Matched","Invoiced on received qty ("&amp;AI163&amp;" of "&amp;AD163&amp;")"))</f>
        <v>Matched</v>
      </c>
      <c r="AQ163" s="21" t="s">
        <v>2459</v>
      </c>
    </row>
    <row r="164" spans="1:43" x14ac:dyDescent="0.3">
      <c r="A164" s="21" t="s">
        <v>2461</v>
      </c>
      <c r="B164" s="35">
        <v>45915.541666666664</v>
      </c>
      <c r="C164" s="21" t="s">
        <v>1909</v>
      </c>
      <c r="D164" s="21" t="s">
        <v>2448</v>
      </c>
      <c r="E164" s="21" t="s">
        <v>1927</v>
      </c>
      <c r="F164" s="21" t="s">
        <v>768</v>
      </c>
      <c r="G164" s="35">
        <v>45915.67895833333</v>
      </c>
      <c r="H164" s="21" t="s">
        <v>1912</v>
      </c>
      <c r="I164" s="21" t="s">
        <v>1913</v>
      </c>
      <c r="J164" s="21" t="s">
        <v>1914</v>
      </c>
      <c r="K164" s="21" t="s">
        <v>1844</v>
      </c>
      <c r="L164" s="21" t="s">
        <v>1065</v>
      </c>
      <c r="M164" s="21" t="s">
        <v>1845</v>
      </c>
      <c r="N164" s="21" t="s">
        <v>2064</v>
      </c>
      <c r="O164" s="21" t="s">
        <v>2065</v>
      </c>
      <c r="P164" s="21" t="s">
        <v>1930</v>
      </c>
      <c r="Q164" s="21" t="s">
        <v>1213</v>
      </c>
      <c r="R164" s="21" t="s">
        <v>1216</v>
      </c>
      <c r="S164" s="21" t="s">
        <v>1104</v>
      </c>
      <c r="T164" s="21" t="s">
        <v>1917</v>
      </c>
      <c r="U164" s="21" t="s">
        <v>1697</v>
      </c>
      <c r="V164" s="21" t="str">
        <f>_xlfn.XLOOKUP(U164,'T07'!$D$3:$D$1500,'T07'!$BI$3:$BI$1500)&amp;" / "&amp;_xlfn.XLOOKUP(U164,'T07'!$D$3:$D$1500,'T07'!$BJ$3:$BJ$1500)</f>
        <v>LHR-HTV-2013-23962 / HTV</v>
      </c>
      <c r="W164" s="21" t="s">
        <v>1917</v>
      </c>
      <c r="X164" s="21" t="s">
        <v>1700</v>
      </c>
      <c r="Y164" s="21" t="s">
        <v>2057</v>
      </c>
      <c r="Z164" s="21">
        <v>2</v>
      </c>
      <c r="AA164" s="21" t="s">
        <v>1826</v>
      </c>
      <c r="AB164" s="21" t="s">
        <v>1804</v>
      </c>
      <c r="AC164" s="25">
        <v>1750</v>
      </c>
      <c r="AD164" s="25">
        <v>500</v>
      </c>
      <c r="AE164" s="21" t="s">
        <v>2464</v>
      </c>
      <c r="AF164" s="21" t="s">
        <v>2463</v>
      </c>
      <c r="AG164" s="35">
        <v>45915.698958333327</v>
      </c>
      <c r="AH164" s="21" t="s">
        <v>1934</v>
      </c>
      <c r="AI164" s="25">
        <v>500</v>
      </c>
      <c r="AJ164" s="21" t="s">
        <v>1067</v>
      </c>
      <c r="AK164" s="21" t="s">
        <v>1922</v>
      </c>
      <c r="AL164" s="21" t="str">
        <f>IF(AD164-AI164&gt;0,(AD164-AI164)&amp;" bags - damaged in transit","None")</f>
        <v>None</v>
      </c>
      <c r="AM164" s="21" t="s">
        <v>844</v>
      </c>
      <c r="AN164" s="21" t="s">
        <v>848</v>
      </c>
      <c r="AO164" s="21" t="s">
        <v>2451</v>
      </c>
      <c r="AP164" s="21" t="str">
        <f>IF(AO164="Pending","Not yet invoiced",IF(AI164=AD164,"Matched","Invoiced on received qty ("&amp;AI164&amp;" of "&amp;AD164&amp;")"))</f>
        <v>Matched</v>
      </c>
      <c r="AQ164" s="21" t="s">
        <v>2459</v>
      </c>
    </row>
    <row r="165" spans="1:43" x14ac:dyDescent="0.3">
      <c r="A165" s="21" t="s">
        <v>2465</v>
      </c>
      <c r="B165" s="35">
        <v>45920.25</v>
      </c>
      <c r="C165" s="21" t="s">
        <v>1909</v>
      </c>
      <c r="D165" s="21" t="s">
        <v>2448</v>
      </c>
      <c r="E165" s="21" t="s">
        <v>1927</v>
      </c>
      <c r="F165" s="21" t="s">
        <v>768</v>
      </c>
      <c r="G165" s="35">
        <v>45920.387291666666</v>
      </c>
      <c r="H165" s="21" t="s">
        <v>1912</v>
      </c>
      <c r="I165" s="21" t="s">
        <v>1913</v>
      </c>
      <c r="J165" s="21" t="s">
        <v>1914</v>
      </c>
      <c r="K165" s="21" t="s">
        <v>1844</v>
      </c>
      <c r="L165" s="21" t="s">
        <v>1065</v>
      </c>
      <c r="M165" s="21" t="s">
        <v>1845</v>
      </c>
      <c r="N165" s="21" t="s">
        <v>2064</v>
      </c>
      <c r="O165" s="21" t="s">
        <v>2065</v>
      </c>
      <c r="P165" s="21" t="s">
        <v>1930</v>
      </c>
      <c r="Q165" s="21" t="s">
        <v>1213</v>
      </c>
      <c r="R165" s="21" t="s">
        <v>1227</v>
      </c>
      <c r="S165" s="21" t="s">
        <v>1127</v>
      </c>
      <c r="T165" s="21" t="s">
        <v>1917</v>
      </c>
      <c r="U165" s="21" t="s">
        <v>1739</v>
      </c>
      <c r="V165" s="21" t="str">
        <f>_xlfn.XLOOKUP(U165,'T07'!$D$3:$D$1500,'T07'!$BI$3:$BI$1500)&amp;" / "&amp;_xlfn.XLOOKUP(U165,'T07'!$D$3:$D$1500,'T07'!$BJ$3:$BJ$1500)</f>
        <v>LHR-HTV-2020-13470 / HTV</v>
      </c>
      <c r="W165" s="21" t="s">
        <v>1917</v>
      </c>
      <c r="X165" s="21" t="s">
        <v>1742</v>
      </c>
      <c r="Y165" s="21" t="s">
        <v>1991</v>
      </c>
      <c r="Z165" s="21">
        <v>1</v>
      </c>
      <c r="AA165" s="21" t="s">
        <v>1808</v>
      </c>
      <c r="AB165" s="21" t="s">
        <v>1804</v>
      </c>
      <c r="AC165" s="25">
        <v>750</v>
      </c>
      <c r="AD165" s="25">
        <v>500</v>
      </c>
      <c r="AE165" s="21" t="s">
        <v>2466</v>
      </c>
      <c r="AF165" s="21" t="s">
        <v>2467</v>
      </c>
      <c r="AG165" s="35">
        <v>45920.407291666663</v>
      </c>
      <c r="AH165" s="21" t="s">
        <v>1934</v>
      </c>
      <c r="AI165" s="25">
        <v>500</v>
      </c>
      <c r="AJ165" s="21" t="s">
        <v>1067</v>
      </c>
      <c r="AK165" s="21" t="s">
        <v>1922</v>
      </c>
      <c r="AL165" s="21" t="str">
        <f>IF(AD165-AI165&gt;0,(AD165-AI165)&amp;" bags - damaged in transit","None")</f>
        <v>None</v>
      </c>
      <c r="AM165" s="21" t="s">
        <v>844</v>
      </c>
      <c r="AN165" s="21" t="s">
        <v>848</v>
      </c>
      <c r="AO165" s="21" t="s">
        <v>2451</v>
      </c>
      <c r="AP165" s="21" t="str">
        <f>IF(AO165="Pending","Not yet invoiced",IF(AI165=AD165,"Matched","Invoiced on received qty ("&amp;AI165&amp;" of "&amp;AD165&amp;")"))</f>
        <v>Matched</v>
      </c>
      <c r="AQ165" s="21" t="s">
        <v>2459</v>
      </c>
    </row>
    <row r="166" spans="1:43" x14ac:dyDescent="0.3">
      <c r="A166" s="21" t="s">
        <v>2468</v>
      </c>
      <c r="B166" s="35">
        <v>45924.416666666664</v>
      </c>
      <c r="C166" s="21" t="s">
        <v>1909</v>
      </c>
      <c r="D166" s="21" t="s">
        <v>2448</v>
      </c>
      <c r="E166" s="21" t="s">
        <v>1911</v>
      </c>
      <c r="F166" s="21" t="s">
        <v>768</v>
      </c>
      <c r="G166" s="35">
        <v>45924.55395833333</v>
      </c>
      <c r="H166" s="21" t="s">
        <v>1912</v>
      </c>
      <c r="I166" s="21" t="s">
        <v>1913</v>
      </c>
      <c r="J166" s="21" t="s">
        <v>1914</v>
      </c>
      <c r="K166" s="21" t="s">
        <v>1844</v>
      </c>
      <c r="L166" s="21" t="s">
        <v>1065</v>
      </c>
      <c r="M166" s="21" t="s">
        <v>1845</v>
      </c>
      <c r="N166" s="21" t="s">
        <v>2064</v>
      </c>
      <c r="O166" s="21" t="s">
        <v>2065</v>
      </c>
      <c r="P166" s="21" t="s">
        <v>1930</v>
      </c>
      <c r="Q166" s="21" t="s">
        <v>1278</v>
      </c>
      <c r="R166" s="21" t="s">
        <v>1332</v>
      </c>
      <c r="S166" s="21" t="s">
        <v>1127</v>
      </c>
      <c r="T166" s="21" t="s">
        <v>1917</v>
      </c>
      <c r="U166" s="21" t="s">
        <v>1677</v>
      </c>
      <c r="V166" s="21" t="str">
        <f>_xlfn.XLOOKUP(U166,'T07'!$D$3:$D$1500,'T07'!$BI$3:$BI$1500)&amp;" / "&amp;_xlfn.XLOOKUP(U166,'T07'!$D$3:$D$1500,'T07'!$BJ$3:$BJ$1500)</f>
        <v>LHR-HTV-2010-55907 / HTV</v>
      </c>
      <c r="W166" s="21" t="s">
        <v>1917</v>
      </c>
      <c r="X166" s="21" t="s">
        <v>1679</v>
      </c>
      <c r="Y166" s="21" t="s">
        <v>1931</v>
      </c>
      <c r="Z166" s="21">
        <v>1</v>
      </c>
      <c r="AA166" s="21" t="s">
        <v>1826</v>
      </c>
      <c r="AB166" s="21" t="s">
        <v>1804</v>
      </c>
      <c r="AC166" s="25">
        <v>1250</v>
      </c>
      <c r="AD166" s="25">
        <v>500</v>
      </c>
      <c r="AE166" s="21" t="s">
        <v>2469</v>
      </c>
      <c r="AF166" s="21" t="s">
        <v>2470</v>
      </c>
      <c r="AG166" s="35">
        <v>45924.573958333327</v>
      </c>
      <c r="AH166" s="21" t="s">
        <v>1934</v>
      </c>
      <c r="AI166" s="25">
        <v>500</v>
      </c>
      <c r="AJ166" s="21" t="s">
        <v>1067</v>
      </c>
      <c r="AK166" s="21" t="s">
        <v>1922</v>
      </c>
      <c r="AL166" s="21" t="str">
        <f>IF(AD166-AI166&gt;0,(AD166-AI166)&amp;" bags - damaged in transit","None")</f>
        <v>None</v>
      </c>
      <c r="AM166" s="21" t="s">
        <v>844</v>
      </c>
      <c r="AN166" s="21" t="s">
        <v>848</v>
      </c>
      <c r="AO166" s="21" t="s">
        <v>2451</v>
      </c>
      <c r="AP166" s="21" t="str">
        <f>IF(AO166="Pending","Not yet invoiced",IF(AI166=AD166,"Matched","Invoiced on received qty ("&amp;AI166&amp;" of "&amp;AD166&amp;")"))</f>
        <v>Matched</v>
      </c>
      <c r="AQ166" s="21" t="s">
        <v>2452</v>
      </c>
    </row>
    <row r="167" spans="1:43" x14ac:dyDescent="0.3">
      <c r="A167" s="21" t="s">
        <v>2471</v>
      </c>
      <c r="B167" s="35">
        <v>45931.375</v>
      </c>
      <c r="C167" s="21" t="s">
        <v>1909</v>
      </c>
      <c r="D167" s="21" t="s">
        <v>2472</v>
      </c>
      <c r="E167" s="21" t="s">
        <v>1927</v>
      </c>
      <c r="F167" s="21" t="s">
        <v>768</v>
      </c>
      <c r="G167" s="35">
        <v>45931.525833333333</v>
      </c>
      <c r="H167" s="21" t="s">
        <v>1912</v>
      </c>
      <c r="I167" s="21" t="s">
        <v>1913</v>
      </c>
      <c r="J167" s="21" t="s">
        <v>1914</v>
      </c>
      <c r="K167" s="21" t="s">
        <v>1870</v>
      </c>
      <c r="L167" s="21" t="s">
        <v>1045</v>
      </c>
      <c r="M167" s="21" t="s">
        <v>1871</v>
      </c>
      <c r="N167" s="21" t="s">
        <v>2354</v>
      </c>
      <c r="O167" s="21" t="s">
        <v>2355</v>
      </c>
      <c r="P167" s="21" t="s">
        <v>1930</v>
      </c>
      <c r="Q167" s="21" t="s">
        <v>1213</v>
      </c>
      <c r="R167" s="21" t="s">
        <v>1236</v>
      </c>
      <c r="S167" s="21" t="s">
        <v>1127</v>
      </c>
      <c r="T167" s="21" t="s">
        <v>1917</v>
      </c>
      <c r="U167" s="21" t="s">
        <v>1697</v>
      </c>
      <c r="V167" s="21" t="str">
        <f>_xlfn.XLOOKUP(U167,'T07'!$D$3:$D$1500,'T07'!$BI$3:$BI$1500)&amp;" / "&amp;_xlfn.XLOOKUP(U167,'T07'!$D$3:$D$1500,'T07'!$BJ$3:$BJ$1500)</f>
        <v>LHR-HTV-2013-23962 / HTV</v>
      </c>
      <c r="W167" s="21" t="s">
        <v>1917</v>
      </c>
      <c r="X167" s="21" t="s">
        <v>1700</v>
      </c>
      <c r="Y167" s="21" t="s">
        <v>2000</v>
      </c>
      <c r="Z167" s="21">
        <v>1</v>
      </c>
      <c r="AA167" s="21" t="s">
        <v>1808</v>
      </c>
      <c r="AB167" s="21" t="s">
        <v>1804</v>
      </c>
      <c r="AC167" s="25">
        <v>3500</v>
      </c>
      <c r="AD167" s="25">
        <v>500</v>
      </c>
      <c r="AE167" s="21" t="s">
        <v>2473</v>
      </c>
      <c r="AF167" s="21" t="s">
        <v>2474</v>
      </c>
      <c r="AG167" s="35">
        <v>45931.54583333333</v>
      </c>
      <c r="AH167" s="21" t="s">
        <v>1934</v>
      </c>
      <c r="AI167" s="25">
        <v>500</v>
      </c>
      <c r="AJ167" s="21" t="s">
        <v>1046</v>
      </c>
      <c r="AK167" s="21" t="s">
        <v>1922</v>
      </c>
      <c r="AL167" s="21" t="str">
        <f>IF(AD167-AI167&gt;0,(AD167-AI167)&amp;" bags - damaged in transit","None")</f>
        <v>None</v>
      </c>
      <c r="AM167" s="21" t="s">
        <v>844</v>
      </c>
      <c r="AN167" s="21" t="s">
        <v>848</v>
      </c>
      <c r="AO167" s="21" t="s">
        <v>2475</v>
      </c>
      <c r="AP167" s="21" t="str">
        <f>IF(AO167="Pending","Not yet invoiced",IF(AI167=AD167,"Matched","Invoiced on received qty ("&amp;AI167&amp;" of "&amp;AD167&amp;")"))</f>
        <v>Matched</v>
      </c>
      <c r="AQ167" s="21" t="s">
        <v>2476</v>
      </c>
    </row>
    <row r="168" spans="1:43" x14ac:dyDescent="0.3">
      <c r="A168" s="21" t="s">
        <v>2477</v>
      </c>
      <c r="B168" s="35">
        <v>45932.541666666664</v>
      </c>
      <c r="C168" s="21" t="s">
        <v>1909</v>
      </c>
      <c r="D168" s="21" t="s">
        <v>2478</v>
      </c>
      <c r="E168" s="21" t="s">
        <v>1911</v>
      </c>
      <c r="F168" s="21" t="s">
        <v>1817</v>
      </c>
      <c r="G168" s="35">
        <v>45932.652916666666</v>
      </c>
      <c r="H168" s="21" t="s">
        <v>1912</v>
      </c>
      <c r="I168" s="21" t="s">
        <v>1913</v>
      </c>
      <c r="J168" s="21" t="s">
        <v>1914</v>
      </c>
      <c r="K168" s="21" t="s">
        <v>1830</v>
      </c>
      <c r="L168" s="21" t="s">
        <v>1133</v>
      </c>
      <c r="M168" s="21" t="s">
        <v>1139</v>
      </c>
      <c r="N168" s="21" t="s">
        <v>1140</v>
      </c>
      <c r="O168" s="21" t="s">
        <v>2030</v>
      </c>
      <c r="P168" s="21" t="s">
        <v>1916</v>
      </c>
      <c r="Q168" s="21" t="s">
        <v>1339</v>
      </c>
      <c r="R168" s="21" t="s">
        <v>1367</v>
      </c>
      <c r="S168" s="21" t="s">
        <v>1352</v>
      </c>
      <c r="T168" s="21" t="s">
        <v>1917</v>
      </c>
      <c r="U168" s="21" t="s">
        <v>1739</v>
      </c>
      <c r="V168" s="21" t="str">
        <f>_xlfn.XLOOKUP(U168,'T07'!$D$3:$D$1500,'T07'!$BI$3:$BI$1500)&amp;" / "&amp;_xlfn.XLOOKUP(U168,'T07'!$D$3:$D$1500,'T07'!$BJ$3:$BJ$1500)</f>
        <v>LHR-HTV-2020-13470 / HTV</v>
      </c>
      <c r="W168" s="21" t="s">
        <v>1917</v>
      </c>
      <c r="X168" s="21" t="s">
        <v>1742</v>
      </c>
      <c r="Y168" s="21" t="s">
        <v>2051</v>
      </c>
      <c r="Z168" s="21">
        <v>1</v>
      </c>
      <c r="AA168" s="21" t="s">
        <v>1881</v>
      </c>
      <c r="AB168" s="21" t="s">
        <v>783</v>
      </c>
      <c r="AC168" s="25">
        <v>250</v>
      </c>
      <c r="AD168" s="25">
        <v>40</v>
      </c>
      <c r="AE168" s="21" t="s">
        <v>2479</v>
      </c>
      <c r="AF168" s="21" t="s">
        <v>2480</v>
      </c>
      <c r="AG168" s="35">
        <v>45932.672916666663</v>
      </c>
      <c r="AH168" s="21" t="s">
        <v>1921</v>
      </c>
      <c r="AI168" s="25">
        <v>40</v>
      </c>
      <c r="AJ168" s="21" t="s">
        <v>1141</v>
      </c>
      <c r="AK168" s="21" t="s">
        <v>1922</v>
      </c>
      <c r="AL168" s="21" t="str">
        <f>IF(AD168-AI168&gt;0,(AD168-AI168)&amp;" bags - damaged in transit","None")</f>
        <v>None</v>
      </c>
      <c r="AM168" s="21" t="s">
        <v>844</v>
      </c>
      <c r="AN168" s="21" t="s">
        <v>848</v>
      </c>
      <c r="AO168" s="21" t="s">
        <v>2481</v>
      </c>
      <c r="AP168" s="21" t="str">
        <f>IF(AO168="Pending","Not yet invoiced",IF(AI168=AD168,"Matched","Invoiced on received qty ("&amp;AI168&amp;" of "&amp;AD168&amp;")"))</f>
        <v>Matched</v>
      </c>
      <c r="AQ168" s="21" t="s">
        <v>2482</v>
      </c>
    </row>
    <row r="169" spans="1:43" x14ac:dyDescent="0.3">
      <c r="A169" s="21" t="s">
        <v>2483</v>
      </c>
      <c r="B169" s="35">
        <v>45937.25</v>
      </c>
      <c r="C169" s="21" t="s">
        <v>1909</v>
      </c>
      <c r="D169" s="21" t="s">
        <v>2472</v>
      </c>
      <c r="E169" s="21" t="s">
        <v>1911</v>
      </c>
      <c r="F169" s="21" t="s">
        <v>768</v>
      </c>
      <c r="G169" s="35">
        <v>45937.400833333333</v>
      </c>
      <c r="H169" s="21" t="s">
        <v>1912</v>
      </c>
      <c r="I169" s="21" t="s">
        <v>1913</v>
      </c>
      <c r="J169" s="21" t="s">
        <v>1914</v>
      </c>
      <c r="K169" s="21" t="s">
        <v>1870</v>
      </c>
      <c r="L169" s="21" t="s">
        <v>1045</v>
      </c>
      <c r="M169" s="21" t="s">
        <v>1871</v>
      </c>
      <c r="N169" s="21" t="s">
        <v>2354</v>
      </c>
      <c r="O169" s="21" t="s">
        <v>2355</v>
      </c>
      <c r="P169" s="21" t="s">
        <v>1930</v>
      </c>
      <c r="Q169" s="21" t="s">
        <v>1278</v>
      </c>
      <c r="R169" s="21" t="s">
        <v>1310</v>
      </c>
      <c r="S169" s="21" t="s">
        <v>1247</v>
      </c>
      <c r="T169" s="21" t="s">
        <v>1917</v>
      </c>
      <c r="U169" s="21" t="s">
        <v>1766</v>
      </c>
      <c r="V169" s="21" t="str">
        <f>_xlfn.XLOOKUP(U169,'T07'!$D$3:$D$1500,'T07'!$BI$3:$BI$1500)&amp;" / "&amp;_xlfn.XLOOKUP(U169,'T07'!$D$3:$D$1500,'T07'!$BJ$3:$BJ$1500)</f>
        <v>LHR-LTV-2019-66685 / LTV</v>
      </c>
      <c r="W169" s="21" t="s">
        <v>1917</v>
      </c>
      <c r="X169" s="21" t="s">
        <v>1768</v>
      </c>
      <c r="Y169" s="21" t="s">
        <v>1948</v>
      </c>
      <c r="Z169" s="21">
        <v>1</v>
      </c>
      <c r="AA169" s="21" t="s">
        <v>1808</v>
      </c>
      <c r="AB169" s="21" t="s">
        <v>1804</v>
      </c>
      <c r="AC169" s="25">
        <v>3000</v>
      </c>
      <c r="AD169" s="25">
        <v>200</v>
      </c>
      <c r="AE169" s="21" t="s">
        <v>2484</v>
      </c>
      <c r="AF169" s="21" t="s">
        <v>2485</v>
      </c>
      <c r="AG169" s="35">
        <v>45937.42083333333</v>
      </c>
      <c r="AH169" s="21" t="s">
        <v>1934</v>
      </c>
      <c r="AI169" s="25">
        <v>200</v>
      </c>
      <c r="AJ169" s="21" t="s">
        <v>1046</v>
      </c>
      <c r="AK169" s="21" t="s">
        <v>1922</v>
      </c>
      <c r="AL169" s="21" t="str">
        <f>IF(AD169-AI169&gt;0,(AD169-AI169)&amp;" bags - damaged in transit","None")</f>
        <v>None</v>
      </c>
      <c r="AM169" s="21" t="s">
        <v>844</v>
      </c>
      <c r="AN169" s="21" t="s">
        <v>848</v>
      </c>
      <c r="AO169" s="21" t="s">
        <v>2475</v>
      </c>
      <c r="AP169" s="21" t="str">
        <f>IF(AO169="Pending","Not yet invoiced",IF(AI169=AD169,"Matched","Invoiced on received qty ("&amp;AI169&amp;" of "&amp;AD169&amp;")"))</f>
        <v>Matched</v>
      </c>
      <c r="AQ169" s="21" t="s">
        <v>2486</v>
      </c>
    </row>
    <row r="170" spans="1:43" x14ac:dyDescent="0.3">
      <c r="A170" s="21" t="s">
        <v>2487</v>
      </c>
      <c r="B170" s="35">
        <v>45937.291666666664</v>
      </c>
      <c r="C170" s="21" t="s">
        <v>1909</v>
      </c>
      <c r="D170" s="21" t="s">
        <v>2478</v>
      </c>
      <c r="E170" s="21" t="s">
        <v>1911</v>
      </c>
      <c r="F170" s="21" t="s">
        <v>1817</v>
      </c>
      <c r="G170" s="35">
        <v>45937.402916666666</v>
      </c>
      <c r="H170" s="21" t="s">
        <v>1912</v>
      </c>
      <c r="I170" s="21" t="s">
        <v>1913</v>
      </c>
      <c r="J170" s="21" t="s">
        <v>1914</v>
      </c>
      <c r="K170" s="21" t="s">
        <v>1830</v>
      </c>
      <c r="L170" s="21" t="s">
        <v>1133</v>
      </c>
      <c r="M170" s="21" t="s">
        <v>1139</v>
      </c>
      <c r="N170" s="21" t="s">
        <v>1140</v>
      </c>
      <c r="O170" s="21" t="s">
        <v>2030</v>
      </c>
      <c r="P170" s="21" t="s">
        <v>1916</v>
      </c>
      <c r="Q170" s="21" t="s">
        <v>1339</v>
      </c>
      <c r="R170" s="21" t="s">
        <v>1341</v>
      </c>
      <c r="S170" s="21" t="s">
        <v>1343</v>
      </c>
      <c r="T170" s="21" t="s">
        <v>1917</v>
      </c>
      <c r="U170" s="21" t="s">
        <v>1753</v>
      </c>
      <c r="V170" s="21" t="str">
        <f>_xlfn.XLOOKUP(U170,'T07'!$D$3:$D$1500,'T07'!$BI$3:$BI$1500)&amp;" / "&amp;_xlfn.XLOOKUP(U170,'T07'!$D$3:$D$1500,'T07'!$BJ$3:$BJ$1500)</f>
        <v>LHR-HTV-2009-86678 / HTV</v>
      </c>
      <c r="W170" s="21" t="s">
        <v>1917</v>
      </c>
      <c r="X170" s="21" t="s">
        <v>1755</v>
      </c>
      <c r="Y170" s="21" t="s">
        <v>1953</v>
      </c>
      <c r="Z170" s="21">
        <v>1</v>
      </c>
      <c r="AA170" s="21" t="s">
        <v>1881</v>
      </c>
      <c r="AB170" s="21" t="s">
        <v>783</v>
      </c>
      <c r="AC170" s="25">
        <v>210</v>
      </c>
      <c r="AD170" s="25">
        <v>28</v>
      </c>
      <c r="AE170" s="21" t="s">
        <v>2488</v>
      </c>
      <c r="AF170" s="21" t="s">
        <v>2489</v>
      </c>
      <c r="AG170" s="35">
        <v>45937.422916666663</v>
      </c>
      <c r="AH170" s="21" t="s">
        <v>1921</v>
      </c>
      <c r="AI170" s="25">
        <v>28</v>
      </c>
      <c r="AJ170" s="21" t="s">
        <v>1141</v>
      </c>
      <c r="AK170" s="21" t="s">
        <v>1922</v>
      </c>
      <c r="AL170" s="21" t="str">
        <f>IF(AD170-AI170&gt;0,(AD170-AI170)&amp;" bags - damaged in transit","None")</f>
        <v>None</v>
      </c>
      <c r="AM170" s="21" t="s">
        <v>844</v>
      </c>
      <c r="AN170" s="21" t="s">
        <v>848</v>
      </c>
      <c r="AO170" s="21" t="s">
        <v>2481</v>
      </c>
      <c r="AP170" s="21" t="str">
        <f>IF(AO170="Pending","Not yet invoiced",IF(AI170=AD170,"Matched","Invoiced on received qty ("&amp;AI170&amp;" of "&amp;AD170&amp;")"))</f>
        <v>Matched</v>
      </c>
      <c r="AQ170" s="21" t="s">
        <v>2482</v>
      </c>
    </row>
    <row r="171" spans="1:43" x14ac:dyDescent="0.3">
      <c r="A171" s="21" t="s">
        <v>2490</v>
      </c>
      <c r="B171" s="35">
        <v>45938.583333333336</v>
      </c>
      <c r="C171" s="21" t="s">
        <v>1909</v>
      </c>
      <c r="D171" s="21" t="s">
        <v>2478</v>
      </c>
      <c r="E171" s="21" t="s">
        <v>1911</v>
      </c>
      <c r="F171" s="21" t="s">
        <v>1817</v>
      </c>
      <c r="G171" s="35">
        <v>45938.694583333338</v>
      </c>
      <c r="H171" s="21" t="s">
        <v>1912</v>
      </c>
      <c r="I171" s="21" t="s">
        <v>1913</v>
      </c>
      <c r="J171" s="21" t="s">
        <v>1914</v>
      </c>
      <c r="K171" s="21" t="s">
        <v>1830</v>
      </c>
      <c r="L171" s="21" t="s">
        <v>1133</v>
      </c>
      <c r="M171" s="21" t="s">
        <v>1139</v>
      </c>
      <c r="N171" s="21" t="s">
        <v>1140</v>
      </c>
      <c r="O171" s="21" t="s">
        <v>2030</v>
      </c>
      <c r="P171" s="21" t="s">
        <v>1916</v>
      </c>
      <c r="Q171" s="21" t="s">
        <v>1339</v>
      </c>
      <c r="R171" s="21" t="s">
        <v>1350</v>
      </c>
      <c r="S171" s="21" t="s">
        <v>1352</v>
      </c>
      <c r="T171" s="21" t="s">
        <v>1917</v>
      </c>
      <c r="U171" s="21" t="s">
        <v>1782</v>
      </c>
      <c r="V171" s="21" t="str">
        <f>_xlfn.XLOOKUP(U171,'T07'!$D$3:$D$1500,'T07'!$BI$3:$BI$1500)&amp;" / "&amp;_xlfn.XLOOKUP(U171,'T07'!$D$3:$D$1500,'T07'!$BJ$3:$BJ$1500)</f>
        <v>LHR-HTV-2014-51184 / HTV</v>
      </c>
      <c r="W171" s="21" t="s">
        <v>1917</v>
      </c>
      <c r="X171" s="21" t="s">
        <v>1785</v>
      </c>
      <c r="Y171" s="21" t="s">
        <v>1918</v>
      </c>
      <c r="Z171" s="21">
        <v>1</v>
      </c>
      <c r="AA171" s="21" t="s">
        <v>1881</v>
      </c>
      <c r="AB171" s="21" t="s">
        <v>783</v>
      </c>
      <c r="AC171" s="25">
        <v>182</v>
      </c>
      <c r="AD171" s="25">
        <v>38</v>
      </c>
      <c r="AE171" s="21" t="s">
        <v>2491</v>
      </c>
      <c r="AF171" s="21" t="s">
        <v>2492</v>
      </c>
      <c r="AG171" s="35">
        <v>45938.714583333334</v>
      </c>
      <c r="AH171" s="21" t="s">
        <v>1921</v>
      </c>
      <c r="AI171" s="25">
        <v>38</v>
      </c>
      <c r="AJ171" s="21" t="s">
        <v>1141</v>
      </c>
      <c r="AK171" s="21" t="s">
        <v>1922</v>
      </c>
      <c r="AL171" s="21" t="str">
        <f>IF(AD171-AI171&gt;0,(AD171-AI171)&amp;" bags - damaged in transit","None")</f>
        <v>None</v>
      </c>
      <c r="AM171" s="21" t="s">
        <v>844</v>
      </c>
      <c r="AN171" s="21" t="s">
        <v>848</v>
      </c>
      <c r="AO171" s="21" t="s">
        <v>2481</v>
      </c>
      <c r="AP171" s="21" t="str">
        <f>IF(AO171="Pending","Not yet invoiced",IF(AI171=AD171,"Matched","Invoiced on received qty ("&amp;AI171&amp;" of "&amp;AD171&amp;")"))</f>
        <v>Matched</v>
      </c>
      <c r="AQ171" s="21" t="s">
        <v>2482</v>
      </c>
    </row>
    <row r="172" spans="1:43" x14ac:dyDescent="0.3">
      <c r="A172" s="21" t="s">
        <v>2493</v>
      </c>
      <c r="B172" s="35">
        <v>45941.291666666664</v>
      </c>
      <c r="C172" s="21" t="s">
        <v>1909</v>
      </c>
      <c r="D172" s="21" t="s">
        <v>2472</v>
      </c>
      <c r="E172" s="21" t="s">
        <v>1911</v>
      </c>
      <c r="F172" s="21" t="s">
        <v>768</v>
      </c>
      <c r="G172" s="35">
        <v>45941.442499999997</v>
      </c>
      <c r="H172" s="21" t="s">
        <v>1912</v>
      </c>
      <c r="I172" s="21" t="s">
        <v>1913</v>
      </c>
      <c r="J172" s="21" t="s">
        <v>1914</v>
      </c>
      <c r="K172" s="21" t="s">
        <v>1870</v>
      </c>
      <c r="L172" s="21" t="s">
        <v>1045</v>
      </c>
      <c r="M172" s="21" t="s">
        <v>1871</v>
      </c>
      <c r="N172" s="21" t="s">
        <v>2354</v>
      </c>
      <c r="O172" s="21" t="s">
        <v>2355</v>
      </c>
      <c r="P172" s="21" t="s">
        <v>1930</v>
      </c>
      <c r="Q172" s="21" t="s">
        <v>1213</v>
      </c>
      <c r="R172" s="21" t="s">
        <v>1227</v>
      </c>
      <c r="S172" s="21" t="s">
        <v>1127</v>
      </c>
      <c r="T172" s="21" t="s">
        <v>1917</v>
      </c>
      <c r="U172" s="21" t="s">
        <v>1711</v>
      </c>
      <c r="V172" s="21" t="str">
        <f>_xlfn.XLOOKUP(U172,'T07'!$D$3:$D$1500,'T07'!$BI$3:$BI$1500)&amp;" / "&amp;_xlfn.XLOOKUP(U172,'T07'!$D$3:$D$1500,'T07'!$BJ$3:$BJ$1500)</f>
        <v>LHR-HTV-2008-42260 / HTV</v>
      </c>
      <c r="W172" s="21" t="s">
        <v>1917</v>
      </c>
      <c r="X172" s="21" t="s">
        <v>1713</v>
      </c>
      <c r="Y172" s="21" t="s">
        <v>1991</v>
      </c>
      <c r="Z172" s="21">
        <v>1</v>
      </c>
      <c r="AA172" s="21" t="s">
        <v>1808</v>
      </c>
      <c r="AB172" s="21" t="s">
        <v>1804</v>
      </c>
      <c r="AC172" s="25">
        <v>2800</v>
      </c>
      <c r="AD172" s="25">
        <v>500</v>
      </c>
      <c r="AE172" s="21" t="s">
        <v>2494</v>
      </c>
      <c r="AF172" s="21" t="s">
        <v>2495</v>
      </c>
      <c r="AG172" s="35">
        <v>45941.462499999994</v>
      </c>
      <c r="AH172" s="21" t="s">
        <v>1934</v>
      </c>
      <c r="AI172" s="25">
        <v>500</v>
      </c>
      <c r="AJ172" s="21" t="s">
        <v>1046</v>
      </c>
      <c r="AK172" s="21" t="s">
        <v>1922</v>
      </c>
      <c r="AL172" s="21" t="str">
        <f>IF(AD172-AI172&gt;0,(AD172-AI172)&amp;" bags - damaged in transit","None")</f>
        <v>None</v>
      </c>
      <c r="AM172" s="21" t="s">
        <v>844</v>
      </c>
      <c r="AN172" s="21" t="s">
        <v>848</v>
      </c>
      <c r="AO172" s="21" t="s">
        <v>2475</v>
      </c>
      <c r="AP172" s="21" t="str">
        <f>IF(AO172="Pending","Not yet invoiced",IF(AI172=AD172,"Matched","Invoiced on received qty ("&amp;AI172&amp;" of "&amp;AD172&amp;")"))</f>
        <v>Matched</v>
      </c>
      <c r="AQ172" s="21" t="s">
        <v>2476</v>
      </c>
    </row>
    <row r="173" spans="1:43" x14ac:dyDescent="0.3">
      <c r="A173" s="21" t="s">
        <v>2496</v>
      </c>
      <c r="B173" s="35">
        <v>45943.5</v>
      </c>
      <c r="C173" s="21" t="s">
        <v>1909</v>
      </c>
      <c r="D173" s="21" t="s">
        <v>2478</v>
      </c>
      <c r="E173" s="21" t="s">
        <v>1911</v>
      </c>
      <c r="F173" s="21" t="s">
        <v>1817</v>
      </c>
      <c r="G173" s="35">
        <v>45943.611250000002</v>
      </c>
      <c r="H173" s="21" t="s">
        <v>1912</v>
      </c>
      <c r="I173" s="21" t="s">
        <v>1913</v>
      </c>
      <c r="J173" s="21" t="s">
        <v>1914</v>
      </c>
      <c r="K173" s="21" t="s">
        <v>1830</v>
      </c>
      <c r="L173" s="21" t="s">
        <v>1133</v>
      </c>
      <c r="M173" s="21" t="s">
        <v>1139</v>
      </c>
      <c r="N173" s="21" t="s">
        <v>1140</v>
      </c>
      <c r="O173" s="21" t="s">
        <v>2030</v>
      </c>
      <c r="P173" s="21" t="s">
        <v>1916</v>
      </c>
      <c r="Q173" s="21" t="s">
        <v>1339</v>
      </c>
      <c r="R173" s="21" t="s">
        <v>1360</v>
      </c>
      <c r="S173" s="21" t="s">
        <v>1343</v>
      </c>
      <c r="T173" s="21" t="s">
        <v>1917</v>
      </c>
      <c r="U173" s="21" t="s">
        <v>1739</v>
      </c>
      <c r="V173" s="21" t="str">
        <f>_xlfn.XLOOKUP(U173,'T07'!$D$3:$D$1500,'T07'!$BI$3:$BI$1500)&amp;" / "&amp;_xlfn.XLOOKUP(U173,'T07'!$D$3:$D$1500,'T07'!$BJ$3:$BJ$1500)</f>
        <v>LHR-HTV-2020-13470 / HTV</v>
      </c>
      <c r="W173" s="21" t="s">
        <v>1917</v>
      </c>
      <c r="X173" s="21" t="s">
        <v>1742</v>
      </c>
      <c r="Y173" s="21" t="s">
        <v>1963</v>
      </c>
      <c r="Z173" s="21">
        <v>1</v>
      </c>
      <c r="AA173" s="21" t="s">
        <v>1881</v>
      </c>
      <c r="AB173" s="21" t="s">
        <v>783</v>
      </c>
      <c r="AC173" s="25">
        <v>144</v>
      </c>
      <c r="AD173" s="25">
        <v>27</v>
      </c>
      <c r="AE173" s="21" t="s">
        <v>2497</v>
      </c>
      <c r="AF173" s="21" t="s">
        <v>2498</v>
      </c>
      <c r="AG173" s="35">
        <v>45943.631249999999</v>
      </c>
      <c r="AH173" s="21" t="s">
        <v>1921</v>
      </c>
      <c r="AI173" s="25">
        <v>27</v>
      </c>
      <c r="AJ173" s="21" t="s">
        <v>1141</v>
      </c>
      <c r="AK173" s="21" t="s">
        <v>1922</v>
      </c>
      <c r="AL173" s="21" t="str">
        <f>IF(AD173-AI173&gt;0,(AD173-AI173)&amp;" bags - damaged in transit","None")</f>
        <v>None</v>
      </c>
      <c r="AM173" s="21" t="s">
        <v>844</v>
      </c>
      <c r="AN173" s="21" t="s">
        <v>848</v>
      </c>
      <c r="AO173" s="21" t="s">
        <v>2481</v>
      </c>
      <c r="AP173" s="21" t="str">
        <f>IF(AO173="Pending","Not yet invoiced",IF(AI173=AD173,"Matched","Invoiced on received qty ("&amp;AI173&amp;" of "&amp;AD173&amp;")"))</f>
        <v>Matched</v>
      </c>
      <c r="AQ173" s="21" t="s">
        <v>2482</v>
      </c>
    </row>
    <row r="174" spans="1:43" x14ac:dyDescent="0.3">
      <c r="A174" s="21" t="s">
        <v>2499</v>
      </c>
      <c r="B174" s="35">
        <v>45945.625</v>
      </c>
      <c r="C174" s="21" t="s">
        <v>1909</v>
      </c>
      <c r="D174" s="21" t="s">
        <v>2472</v>
      </c>
      <c r="E174" s="21" t="s">
        <v>1911</v>
      </c>
      <c r="F174" s="21" t="s">
        <v>768</v>
      </c>
      <c r="G174" s="35">
        <v>45945.775833333333</v>
      </c>
      <c r="H174" s="21" t="s">
        <v>1912</v>
      </c>
      <c r="I174" s="21" t="s">
        <v>1913</v>
      </c>
      <c r="J174" s="21" t="s">
        <v>1914</v>
      </c>
      <c r="K174" s="21" t="s">
        <v>1870</v>
      </c>
      <c r="L174" s="21" t="s">
        <v>1045</v>
      </c>
      <c r="M174" s="21" t="s">
        <v>1871</v>
      </c>
      <c r="N174" s="21" t="s">
        <v>2354</v>
      </c>
      <c r="O174" s="21" t="s">
        <v>2355</v>
      </c>
      <c r="P174" s="21" t="s">
        <v>1930</v>
      </c>
      <c r="Q174" s="21" t="s">
        <v>1213</v>
      </c>
      <c r="R174" s="21" t="s">
        <v>1236</v>
      </c>
      <c r="S174" s="21" t="s">
        <v>1127</v>
      </c>
      <c r="T174" s="21" t="s">
        <v>1917</v>
      </c>
      <c r="U174" s="21" t="s">
        <v>1724</v>
      </c>
      <c r="V174" s="21" t="str">
        <f>_xlfn.XLOOKUP(U174,'T07'!$D$3:$D$1500,'T07'!$BI$3:$BI$1500)&amp;" / "&amp;_xlfn.XLOOKUP(U174,'T07'!$D$3:$D$1500,'T07'!$BJ$3:$BJ$1500)</f>
        <v>LHR-HTV-2008-90487 / HTV</v>
      </c>
      <c r="W174" s="21" t="s">
        <v>1917</v>
      </c>
      <c r="X174" s="21" t="s">
        <v>1726</v>
      </c>
      <c r="Y174" s="21" t="s">
        <v>2000</v>
      </c>
      <c r="Z174" s="21">
        <v>1</v>
      </c>
      <c r="AA174" s="21" t="s">
        <v>1808</v>
      </c>
      <c r="AB174" s="21" t="s">
        <v>1804</v>
      </c>
      <c r="AC174" s="25">
        <v>2300</v>
      </c>
      <c r="AD174" s="25">
        <v>500</v>
      </c>
      <c r="AE174" s="21" t="s">
        <v>2500</v>
      </c>
      <c r="AF174" s="21" t="s">
        <v>2501</v>
      </c>
      <c r="AG174" s="35">
        <v>45945.79583333333</v>
      </c>
      <c r="AH174" s="21" t="s">
        <v>1934</v>
      </c>
      <c r="AI174" s="25">
        <v>500</v>
      </c>
      <c r="AJ174" s="21" t="s">
        <v>1046</v>
      </c>
      <c r="AK174" s="21" t="s">
        <v>1922</v>
      </c>
      <c r="AL174" s="21" t="str">
        <f>IF(AD174-AI174&gt;0,(AD174-AI174)&amp;" bags - damaged in transit","None")</f>
        <v>None</v>
      </c>
      <c r="AM174" s="21" t="s">
        <v>844</v>
      </c>
      <c r="AN174" s="21" t="s">
        <v>848</v>
      </c>
      <c r="AO174" s="21" t="s">
        <v>2475</v>
      </c>
      <c r="AP174" s="21" t="str">
        <f>IF(AO174="Pending","Not yet invoiced",IF(AI174=AD174,"Matched","Invoiced on received qty ("&amp;AI174&amp;" of "&amp;AD174&amp;")"))</f>
        <v>Matched</v>
      </c>
      <c r="AQ174" s="21" t="s">
        <v>2476</v>
      </c>
    </row>
    <row r="175" spans="1:43" x14ac:dyDescent="0.3">
      <c r="A175" s="21" t="s">
        <v>2502</v>
      </c>
      <c r="B175" s="35">
        <v>45948.458333333336</v>
      </c>
      <c r="C175" s="21" t="s">
        <v>1909</v>
      </c>
      <c r="D175" s="21" t="s">
        <v>2478</v>
      </c>
      <c r="E175" s="21" t="s">
        <v>1911</v>
      </c>
      <c r="F175" s="21" t="s">
        <v>1817</v>
      </c>
      <c r="G175" s="35">
        <v>45948.569583333338</v>
      </c>
      <c r="H175" s="21" t="s">
        <v>1912</v>
      </c>
      <c r="I175" s="21" t="s">
        <v>1913</v>
      </c>
      <c r="J175" s="21" t="s">
        <v>1914</v>
      </c>
      <c r="K175" s="21" t="s">
        <v>1830</v>
      </c>
      <c r="L175" s="21" t="s">
        <v>1133</v>
      </c>
      <c r="M175" s="21" t="s">
        <v>1139</v>
      </c>
      <c r="N175" s="21" t="s">
        <v>1140</v>
      </c>
      <c r="O175" s="21" t="s">
        <v>2030</v>
      </c>
      <c r="P175" s="21" t="s">
        <v>1916</v>
      </c>
      <c r="Q175" s="21" t="s">
        <v>1339</v>
      </c>
      <c r="R175" s="21" t="s">
        <v>1341</v>
      </c>
      <c r="S175" s="21" t="s">
        <v>1343</v>
      </c>
      <c r="T175" s="21" t="s">
        <v>1917</v>
      </c>
      <c r="U175" s="21" t="s">
        <v>1711</v>
      </c>
      <c r="V175" s="21" t="str">
        <f>_xlfn.XLOOKUP(U175,'T07'!$D$3:$D$1500,'T07'!$BI$3:$BI$1500)&amp;" / "&amp;_xlfn.XLOOKUP(U175,'T07'!$D$3:$D$1500,'T07'!$BJ$3:$BJ$1500)</f>
        <v>LHR-HTV-2008-42260 / HTV</v>
      </c>
      <c r="W175" s="21" t="s">
        <v>1917</v>
      </c>
      <c r="X175" s="21" t="s">
        <v>1713</v>
      </c>
      <c r="Y175" s="21" t="s">
        <v>1953</v>
      </c>
      <c r="Z175" s="21">
        <v>1</v>
      </c>
      <c r="AA175" s="21" t="s">
        <v>1881</v>
      </c>
      <c r="AB175" s="21" t="s">
        <v>783</v>
      </c>
      <c r="AC175" s="25">
        <v>117</v>
      </c>
      <c r="AD175" s="25">
        <v>27</v>
      </c>
      <c r="AE175" s="21" t="s">
        <v>2503</v>
      </c>
      <c r="AF175" s="21" t="s">
        <v>2504</v>
      </c>
      <c r="AG175" s="35">
        <v>45948.589583333334</v>
      </c>
      <c r="AH175" s="21" t="s">
        <v>1921</v>
      </c>
      <c r="AI175" s="25">
        <v>27</v>
      </c>
      <c r="AJ175" s="21" t="s">
        <v>1141</v>
      </c>
      <c r="AK175" s="21" t="s">
        <v>1922</v>
      </c>
      <c r="AL175" s="21" t="str">
        <f>IF(AD175-AI175&gt;0,(AD175-AI175)&amp;" bags - damaged in transit","None")</f>
        <v>None</v>
      </c>
      <c r="AM175" s="21" t="s">
        <v>844</v>
      </c>
      <c r="AN175" s="21" t="s">
        <v>848</v>
      </c>
      <c r="AO175" s="21" t="s">
        <v>2481</v>
      </c>
      <c r="AP175" s="21" t="str">
        <f>IF(AO175="Pending","Not yet invoiced",IF(AI175=AD175,"Matched","Invoiced on received qty ("&amp;AI175&amp;" of "&amp;AD175&amp;")"))</f>
        <v>Matched</v>
      </c>
      <c r="AQ175" s="21" t="s">
        <v>2482</v>
      </c>
    </row>
    <row r="176" spans="1:43" x14ac:dyDescent="0.3">
      <c r="A176" s="21" t="s">
        <v>2505</v>
      </c>
      <c r="B176" s="35">
        <v>45949.5</v>
      </c>
      <c r="C176" s="21" t="s">
        <v>1909</v>
      </c>
      <c r="D176" s="21" t="s">
        <v>2478</v>
      </c>
      <c r="E176" s="21" t="s">
        <v>1911</v>
      </c>
      <c r="F176" s="21" t="s">
        <v>1817</v>
      </c>
      <c r="G176" s="35">
        <v>45949.611250000002</v>
      </c>
      <c r="H176" s="21" t="s">
        <v>1912</v>
      </c>
      <c r="I176" s="21" t="s">
        <v>1913</v>
      </c>
      <c r="J176" s="21" t="s">
        <v>1914</v>
      </c>
      <c r="K176" s="21" t="s">
        <v>1830</v>
      </c>
      <c r="L176" s="21" t="s">
        <v>1133</v>
      </c>
      <c r="M176" s="21" t="s">
        <v>1139</v>
      </c>
      <c r="N176" s="21" t="s">
        <v>1140</v>
      </c>
      <c r="O176" s="21" t="s">
        <v>2030</v>
      </c>
      <c r="P176" s="21" t="s">
        <v>1916</v>
      </c>
      <c r="Q176" s="21" t="s">
        <v>1339</v>
      </c>
      <c r="R176" s="21" t="s">
        <v>1350</v>
      </c>
      <c r="S176" s="21" t="s">
        <v>1352</v>
      </c>
      <c r="T176" s="21" t="s">
        <v>1917</v>
      </c>
      <c r="U176" s="21" t="s">
        <v>1677</v>
      </c>
      <c r="V176" s="21" t="str">
        <f>_xlfn.XLOOKUP(U176,'T07'!$D$3:$D$1500,'T07'!$BI$3:$BI$1500)&amp;" / "&amp;_xlfn.XLOOKUP(U176,'T07'!$D$3:$D$1500,'T07'!$BJ$3:$BJ$1500)</f>
        <v>LHR-HTV-2010-55907 / HTV</v>
      </c>
      <c r="W176" s="21" t="s">
        <v>1917</v>
      </c>
      <c r="X176" s="21" t="s">
        <v>1679</v>
      </c>
      <c r="Y176" s="21" t="s">
        <v>1918</v>
      </c>
      <c r="Z176" s="21">
        <v>1</v>
      </c>
      <c r="AA176" s="21" t="s">
        <v>1881</v>
      </c>
      <c r="AB176" s="21" t="s">
        <v>783</v>
      </c>
      <c r="AC176" s="25">
        <v>90</v>
      </c>
      <c r="AD176" s="25">
        <v>37</v>
      </c>
      <c r="AE176" s="21" t="s">
        <v>2506</v>
      </c>
      <c r="AF176" s="21" t="s">
        <v>2507</v>
      </c>
      <c r="AG176" s="35">
        <v>45949.631249999999</v>
      </c>
      <c r="AH176" s="21" t="s">
        <v>1921</v>
      </c>
      <c r="AI176" s="25">
        <v>37</v>
      </c>
      <c r="AJ176" s="21" t="s">
        <v>1141</v>
      </c>
      <c r="AK176" s="21" t="s">
        <v>1922</v>
      </c>
      <c r="AL176" s="21" t="str">
        <f>IF(AD176-AI176&gt;0,(AD176-AI176)&amp;" bags - damaged in transit","None")</f>
        <v>None</v>
      </c>
      <c r="AM176" s="21" t="s">
        <v>844</v>
      </c>
      <c r="AN176" s="21" t="s">
        <v>848</v>
      </c>
      <c r="AO176" s="21" t="s">
        <v>2481</v>
      </c>
      <c r="AP176" s="21" t="str">
        <f>IF(AO176="Pending","Not yet invoiced",IF(AI176=AD176,"Matched","Invoiced on received qty ("&amp;AI176&amp;" of "&amp;AD176&amp;")"))</f>
        <v>Matched</v>
      </c>
      <c r="AQ176" s="21" t="s">
        <v>2482</v>
      </c>
    </row>
    <row r="177" spans="1:43" x14ac:dyDescent="0.3">
      <c r="A177" s="21" t="s">
        <v>2508</v>
      </c>
      <c r="B177" s="35">
        <v>45950.416666666664</v>
      </c>
      <c r="C177" s="21" t="s">
        <v>1909</v>
      </c>
      <c r="D177" s="21" t="s">
        <v>2472</v>
      </c>
      <c r="E177" s="21" t="s">
        <v>1911</v>
      </c>
      <c r="F177" s="21" t="s">
        <v>768</v>
      </c>
      <c r="G177" s="35">
        <v>45950.567499999997</v>
      </c>
      <c r="H177" s="21" t="s">
        <v>1912</v>
      </c>
      <c r="I177" s="21" t="s">
        <v>1913</v>
      </c>
      <c r="J177" s="21" t="s">
        <v>1914</v>
      </c>
      <c r="K177" s="21" t="s">
        <v>1870</v>
      </c>
      <c r="L177" s="21" t="s">
        <v>1045</v>
      </c>
      <c r="M177" s="21" t="s">
        <v>1871</v>
      </c>
      <c r="N177" s="21" t="s">
        <v>2354</v>
      </c>
      <c r="O177" s="21" t="s">
        <v>2355</v>
      </c>
      <c r="P177" s="21" t="s">
        <v>1930</v>
      </c>
      <c r="Q177" s="21" t="s">
        <v>1278</v>
      </c>
      <c r="R177" s="21" t="s">
        <v>1310</v>
      </c>
      <c r="S177" s="21" t="s">
        <v>1247</v>
      </c>
      <c r="T177" s="21" t="s">
        <v>1917</v>
      </c>
      <c r="U177" s="21" t="s">
        <v>1766</v>
      </c>
      <c r="V177" s="21" t="str">
        <f>_xlfn.XLOOKUP(U177,'T07'!$D$3:$D$1500,'T07'!$BI$3:$BI$1500)&amp;" / "&amp;_xlfn.XLOOKUP(U177,'T07'!$D$3:$D$1500,'T07'!$BJ$3:$BJ$1500)</f>
        <v>LHR-LTV-2019-66685 / LTV</v>
      </c>
      <c r="W177" s="21" t="s">
        <v>1917</v>
      </c>
      <c r="X177" s="21" t="s">
        <v>1768</v>
      </c>
      <c r="Y177" s="21" t="s">
        <v>1948</v>
      </c>
      <c r="Z177" s="21">
        <v>1</v>
      </c>
      <c r="AA177" s="21" t="s">
        <v>1808</v>
      </c>
      <c r="AB177" s="21" t="s">
        <v>1804</v>
      </c>
      <c r="AC177" s="25">
        <v>1800</v>
      </c>
      <c r="AD177" s="25">
        <v>200</v>
      </c>
      <c r="AE177" s="21" t="s">
        <v>2509</v>
      </c>
      <c r="AF177" s="21" t="s">
        <v>2510</v>
      </c>
      <c r="AG177" s="35">
        <v>45950.587499999994</v>
      </c>
      <c r="AH177" s="21" t="s">
        <v>1934</v>
      </c>
      <c r="AI177" s="25">
        <v>200</v>
      </c>
      <c r="AJ177" s="21" t="s">
        <v>1046</v>
      </c>
      <c r="AK177" s="21" t="s">
        <v>1922</v>
      </c>
      <c r="AL177" s="21" t="str">
        <f>IF(AD177-AI177&gt;0,(AD177-AI177)&amp;" bags - damaged in transit","None")</f>
        <v>None</v>
      </c>
      <c r="AM177" s="21" t="s">
        <v>844</v>
      </c>
      <c r="AN177" s="21" t="s">
        <v>848</v>
      </c>
      <c r="AO177" s="21" t="s">
        <v>2475</v>
      </c>
      <c r="AP177" s="21" t="str">
        <f>IF(AO177="Pending","Not yet invoiced",IF(AI177=AD177,"Matched","Invoiced on received qty ("&amp;AI177&amp;" of "&amp;AD177&amp;")"))</f>
        <v>Matched</v>
      </c>
      <c r="AQ177" s="21" t="s">
        <v>2486</v>
      </c>
    </row>
    <row r="178" spans="1:43" x14ac:dyDescent="0.3">
      <c r="A178" s="21" t="s">
        <v>2511</v>
      </c>
      <c r="B178" s="35">
        <v>45953.5</v>
      </c>
      <c r="C178" s="21" t="s">
        <v>1909</v>
      </c>
      <c r="D178" s="21" t="s">
        <v>2478</v>
      </c>
      <c r="E178" s="21" t="s">
        <v>1911</v>
      </c>
      <c r="F178" s="21" t="s">
        <v>1817</v>
      </c>
      <c r="G178" s="35">
        <v>45953.611250000002</v>
      </c>
      <c r="H178" s="21" t="s">
        <v>1912</v>
      </c>
      <c r="I178" s="21" t="s">
        <v>1913</v>
      </c>
      <c r="J178" s="21" t="s">
        <v>1914</v>
      </c>
      <c r="K178" s="21" t="s">
        <v>1830</v>
      </c>
      <c r="L178" s="21" t="s">
        <v>1133</v>
      </c>
      <c r="M178" s="21" t="s">
        <v>1139</v>
      </c>
      <c r="N178" s="21" t="s">
        <v>1140</v>
      </c>
      <c r="O178" s="21" t="s">
        <v>2030</v>
      </c>
      <c r="P178" s="21" t="s">
        <v>1916</v>
      </c>
      <c r="Q178" s="21" t="s">
        <v>1339</v>
      </c>
      <c r="R178" s="21" t="s">
        <v>1341</v>
      </c>
      <c r="S178" s="21" t="s">
        <v>1343</v>
      </c>
      <c r="T178" s="21" t="s">
        <v>1917</v>
      </c>
      <c r="U178" s="21" t="s">
        <v>1711</v>
      </c>
      <c r="V178" s="21" t="str">
        <f>_xlfn.XLOOKUP(U178,'T07'!$D$3:$D$1500,'T07'!$BI$3:$BI$1500)&amp;" / "&amp;_xlfn.XLOOKUP(U178,'T07'!$D$3:$D$1500,'T07'!$BJ$3:$BJ$1500)</f>
        <v>LHR-HTV-2008-42260 / HTV</v>
      </c>
      <c r="W178" s="21" t="s">
        <v>1917</v>
      </c>
      <c r="X178" s="21" t="s">
        <v>1713</v>
      </c>
      <c r="Y178" s="21" t="s">
        <v>1953</v>
      </c>
      <c r="Z178" s="21">
        <v>1</v>
      </c>
      <c r="AA178" s="21" t="s">
        <v>1881</v>
      </c>
      <c r="AB178" s="21" t="s">
        <v>783</v>
      </c>
      <c r="AC178" s="25">
        <v>53</v>
      </c>
      <c r="AD178" s="25">
        <v>29</v>
      </c>
      <c r="AE178" s="21" t="s">
        <v>2512</v>
      </c>
      <c r="AF178" s="21" t="s">
        <v>2513</v>
      </c>
      <c r="AG178" s="35">
        <v>45953.631249999999</v>
      </c>
      <c r="AH178" s="21" t="s">
        <v>1921</v>
      </c>
      <c r="AI178" s="25">
        <v>29</v>
      </c>
      <c r="AJ178" s="21" t="s">
        <v>1141</v>
      </c>
      <c r="AK178" s="21" t="s">
        <v>1922</v>
      </c>
      <c r="AL178" s="21" t="str">
        <f>IF(AD178-AI178&gt;0,(AD178-AI178)&amp;" bags - damaged in transit","None")</f>
        <v>None</v>
      </c>
      <c r="AM178" s="21" t="s">
        <v>844</v>
      </c>
      <c r="AN178" s="21" t="s">
        <v>848</v>
      </c>
      <c r="AO178" s="21" t="s">
        <v>2481</v>
      </c>
      <c r="AP178" s="21" t="str">
        <f>IF(AO178="Pending","Not yet invoiced",IF(AI178=AD178,"Matched","Invoiced on received qty ("&amp;AI178&amp;" of "&amp;AD178&amp;")"))</f>
        <v>Matched</v>
      </c>
      <c r="AQ178" s="21" t="s">
        <v>2482</v>
      </c>
    </row>
    <row r="179" spans="1:43" x14ac:dyDescent="0.3">
      <c r="A179" s="21" t="s">
        <v>2514</v>
      </c>
      <c r="B179" s="35">
        <v>45955.416666666664</v>
      </c>
      <c r="C179" s="21" t="s">
        <v>1909</v>
      </c>
      <c r="D179" s="21" t="s">
        <v>2472</v>
      </c>
      <c r="E179" s="21" t="s">
        <v>1927</v>
      </c>
      <c r="F179" s="21" t="s">
        <v>768</v>
      </c>
      <c r="G179" s="35">
        <v>45955.567499999997</v>
      </c>
      <c r="H179" s="21" t="s">
        <v>1912</v>
      </c>
      <c r="I179" s="21" t="s">
        <v>1913</v>
      </c>
      <c r="J179" s="21" t="s">
        <v>1914</v>
      </c>
      <c r="K179" s="21" t="s">
        <v>1870</v>
      </c>
      <c r="L179" s="21" t="s">
        <v>1045</v>
      </c>
      <c r="M179" s="21" t="s">
        <v>1871</v>
      </c>
      <c r="N179" s="21" t="s">
        <v>2354</v>
      </c>
      <c r="O179" s="21" t="s">
        <v>2355</v>
      </c>
      <c r="P179" s="21" t="s">
        <v>1930</v>
      </c>
      <c r="Q179" s="21" t="s">
        <v>1213</v>
      </c>
      <c r="R179" s="21" t="s">
        <v>1216</v>
      </c>
      <c r="S179" s="21" t="s">
        <v>1104</v>
      </c>
      <c r="T179" s="21" t="s">
        <v>1917</v>
      </c>
      <c r="U179" s="21" t="s">
        <v>1724</v>
      </c>
      <c r="V179" s="21" t="str">
        <f>_xlfn.XLOOKUP(U179,'T07'!$D$3:$D$1500,'T07'!$BI$3:$BI$1500)&amp;" / "&amp;_xlfn.XLOOKUP(U179,'T07'!$D$3:$D$1500,'T07'!$BJ$3:$BJ$1500)</f>
        <v>LHR-HTV-2008-90487 / HTV</v>
      </c>
      <c r="W179" s="21" t="s">
        <v>1917</v>
      </c>
      <c r="X179" s="21" t="s">
        <v>1726</v>
      </c>
      <c r="Y179" s="21" t="s">
        <v>2057</v>
      </c>
      <c r="Z179" s="21">
        <v>1</v>
      </c>
      <c r="AA179" s="21" t="s">
        <v>1808</v>
      </c>
      <c r="AB179" s="21" t="s">
        <v>1804</v>
      </c>
      <c r="AC179" s="25">
        <v>1600</v>
      </c>
      <c r="AD179" s="25">
        <v>1000</v>
      </c>
      <c r="AE179" s="21" t="s">
        <v>2515</v>
      </c>
      <c r="AF179" s="21" t="s">
        <v>2516</v>
      </c>
      <c r="AG179" s="35">
        <v>45955.587499999994</v>
      </c>
      <c r="AH179" s="21" t="s">
        <v>1983</v>
      </c>
      <c r="AI179" s="25">
        <v>1000</v>
      </c>
      <c r="AJ179" s="21" t="s">
        <v>1046</v>
      </c>
      <c r="AK179" s="21" t="s">
        <v>1922</v>
      </c>
      <c r="AL179" s="21" t="str">
        <f>IF(AD179-AI179&gt;0,(AD179-AI179)&amp;" bags - damaged in transit","None")</f>
        <v>None</v>
      </c>
      <c r="AM179" s="21" t="s">
        <v>844</v>
      </c>
      <c r="AN179" s="21" t="s">
        <v>848</v>
      </c>
      <c r="AO179" s="21" t="s">
        <v>2475</v>
      </c>
      <c r="AP179" s="21" t="str">
        <f>IF(AO179="Pending","Not yet invoiced",IF(AI179=AD179,"Matched","Invoiced on received qty ("&amp;AI179&amp;" of "&amp;AD179&amp;")"))</f>
        <v>Matched</v>
      </c>
      <c r="AQ179" s="21" t="s">
        <v>2476</v>
      </c>
    </row>
    <row r="180" spans="1:43" x14ac:dyDescent="0.3">
      <c r="A180" s="21" t="s">
        <v>2517</v>
      </c>
      <c r="B180" s="35">
        <v>45964.333333333336</v>
      </c>
      <c r="C180" s="21" t="s">
        <v>1909</v>
      </c>
      <c r="D180" s="21" t="s">
        <v>2518</v>
      </c>
      <c r="E180" s="21" t="s">
        <v>1911</v>
      </c>
      <c r="F180" s="21" t="s">
        <v>1817</v>
      </c>
      <c r="G180" s="35">
        <v>45964.444583333338</v>
      </c>
      <c r="H180" s="21" t="s">
        <v>1912</v>
      </c>
      <c r="I180" s="21" t="s">
        <v>1913</v>
      </c>
      <c r="J180" s="21" t="s">
        <v>1914</v>
      </c>
      <c r="K180" s="21" t="s">
        <v>1830</v>
      </c>
      <c r="L180" s="21" t="s">
        <v>1133</v>
      </c>
      <c r="M180" s="21" t="s">
        <v>1139</v>
      </c>
      <c r="N180" s="21" t="s">
        <v>1140</v>
      </c>
      <c r="O180" s="21" t="s">
        <v>2030</v>
      </c>
      <c r="P180" s="21" t="s">
        <v>1916</v>
      </c>
      <c r="Q180" s="21" t="s">
        <v>1339</v>
      </c>
      <c r="R180" s="21" t="s">
        <v>1350</v>
      </c>
      <c r="S180" s="21" t="s">
        <v>1352</v>
      </c>
      <c r="T180" s="21" t="s">
        <v>1917</v>
      </c>
      <c r="U180" s="21" t="s">
        <v>1753</v>
      </c>
      <c r="V180" s="21" t="str">
        <f>_xlfn.XLOOKUP(U180,'T07'!$D$3:$D$1500,'T07'!$BI$3:$BI$1500)&amp;" / "&amp;_xlfn.XLOOKUP(U180,'T07'!$D$3:$D$1500,'T07'!$BJ$3:$BJ$1500)</f>
        <v>LHR-HTV-2009-86678 / HTV</v>
      </c>
      <c r="W180" s="21" t="s">
        <v>1917</v>
      </c>
      <c r="X180" s="21" t="s">
        <v>1755</v>
      </c>
      <c r="Y180" s="21" t="s">
        <v>1918</v>
      </c>
      <c r="Z180" s="21">
        <v>1</v>
      </c>
      <c r="AA180" s="21" t="s">
        <v>1815</v>
      </c>
      <c r="AB180" s="21" t="s">
        <v>783</v>
      </c>
      <c r="AC180" s="25">
        <v>210</v>
      </c>
      <c r="AD180" s="25">
        <v>39</v>
      </c>
      <c r="AE180" s="21" t="s">
        <v>2519</v>
      </c>
      <c r="AF180" s="21" t="s">
        <v>2520</v>
      </c>
      <c r="AG180" s="35">
        <v>45964.464583333334</v>
      </c>
      <c r="AH180" s="21" t="s">
        <v>1921</v>
      </c>
      <c r="AI180" s="25">
        <v>39</v>
      </c>
      <c r="AJ180" s="21" t="s">
        <v>1141</v>
      </c>
      <c r="AK180" s="21" t="s">
        <v>1922</v>
      </c>
      <c r="AL180" s="21" t="str">
        <f>IF(AD180-AI180&gt;0,(AD180-AI180)&amp;" bags - damaged in transit","None")</f>
        <v>None</v>
      </c>
      <c r="AM180" s="21" t="s">
        <v>844</v>
      </c>
      <c r="AN180" s="21" t="s">
        <v>848</v>
      </c>
      <c r="AO180" s="21" t="s">
        <v>2521</v>
      </c>
      <c r="AP180" s="21" t="str">
        <f>IF(AO180="Pending","Not yet invoiced",IF(AI180=AD180,"Matched","Invoiced on received qty ("&amp;AI180&amp;" of "&amp;AD180&amp;")"))</f>
        <v>Matched</v>
      </c>
      <c r="AQ180" s="21" t="s">
        <v>2522</v>
      </c>
    </row>
    <row r="181" spans="1:43" x14ac:dyDescent="0.3">
      <c r="A181" s="21" t="s">
        <v>2523</v>
      </c>
      <c r="B181" s="35">
        <v>45965.333333333336</v>
      </c>
      <c r="C181" s="21" t="s">
        <v>1909</v>
      </c>
      <c r="D181" s="21" t="s">
        <v>2524</v>
      </c>
      <c r="E181" s="21" t="s">
        <v>1945</v>
      </c>
      <c r="F181" s="21" t="s">
        <v>768</v>
      </c>
      <c r="G181" s="35">
        <v>45965.484166666669</v>
      </c>
      <c r="H181" s="21" t="s">
        <v>1912</v>
      </c>
      <c r="I181" s="21" t="s">
        <v>1913</v>
      </c>
      <c r="J181" s="21" t="s">
        <v>1914</v>
      </c>
      <c r="K181" s="21" t="s">
        <v>1870</v>
      </c>
      <c r="L181" s="21" t="s">
        <v>1045</v>
      </c>
      <c r="M181" s="21" t="s">
        <v>1871</v>
      </c>
      <c r="N181" s="21" t="s">
        <v>2354</v>
      </c>
      <c r="O181" s="21" t="s">
        <v>2355</v>
      </c>
      <c r="P181" s="21" t="s">
        <v>1930</v>
      </c>
      <c r="Q181" s="21" t="s">
        <v>1213</v>
      </c>
      <c r="R181" s="21" t="s">
        <v>1236</v>
      </c>
      <c r="S181" s="21" t="s">
        <v>1127</v>
      </c>
      <c r="T181" s="21" t="s">
        <v>1917</v>
      </c>
      <c r="U181" s="21" t="s">
        <v>1739</v>
      </c>
      <c r="V181" s="21" t="str">
        <f>_xlfn.XLOOKUP(U181,'T07'!$D$3:$D$1500,'T07'!$BI$3:$BI$1500)&amp;" / "&amp;_xlfn.XLOOKUP(U181,'T07'!$D$3:$D$1500,'T07'!$BJ$3:$BJ$1500)</f>
        <v>LHR-HTV-2020-13470 / HTV</v>
      </c>
      <c r="W181" s="21" t="s">
        <v>1917</v>
      </c>
      <c r="X181" s="21" t="s">
        <v>1742</v>
      </c>
      <c r="Y181" s="21" t="s">
        <v>2000</v>
      </c>
      <c r="Z181" s="21">
        <v>1</v>
      </c>
      <c r="AA181" s="21" t="s">
        <v>1865</v>
      </c>
      <c r="AB181" s="21" t="s">
        <v>1804</v>
      </c>
      <c r="AC181" s="25">
        <v>1000</v>
      </c>
      <c r="AD181" s="25">
        <v>500</v>
      </c>
      <c r="AE181" s="21" t="s">
        <v>2525</v>
      </c>
      <c r="AF181" s="21" t="s">
        <v>2526</v>
      </c>
      <c r="AG181" s="35">
        <v>45965.504166666666</v>
      </c>
      <c r="AH181" s="21" t="s">
        <v>1934</v>
      </c>
      <c r="AI181" s="25">
        <v>500</v>
      </c>
      <c r="AJ181" s="21" t="s">
        <v>1046</v>
      </c>
      <c r="AK181" s="21" t="s">
        <v>1922</v>
      </c>
      <c r="AL181" s="21" t="str">
        <f>IF(AD181-AI181&gt;0,(AD181-AI181)&amp;" bags - damaged in transit","None")</f>
        <v>None</v>
      </c>
      <c r="AM181" s="21" t="s">
        <v>844</v>
      </c>
      <c r="AN181" s="21" t="s">
        <v>848</v>
      </c>
      <c r="AO181" s="21" t="s">
        <v>2527</v>
      </c>
      <c r="AP181" s="21" t="str">
        <f>IF(AO181="Pending","Not yet invoiced",IF(AI181=AD181,"Matched","Invoiced on received qty ("&amp;AI181&amp;" of "&amp;AD181&amp;")"))</f>
        <v>Matched</v>
      </c>
      <c r="AQ181" s="21" t="s">
        <v>2528</v>
      </c>
    </row>
    <row r="182" spans="1:43" x14ac:dyDescent="0.3">
      <c r="A182" s="21" t="s">
        <v>2529</v>
      </c>
      <c r="B182" s="35">
        <v>45967.25</v>
      </c>
      <c r="C182" s="21" t="s">
        <v>1909</v>
      </c>
      <c r="D182" s="21" t="s">
        <v>2518</v>
      </c>
      <c r="E182" s="21" t="s">
        <v>1911</v>
      </c>
      <c r="F182" s="21" t="s">
        <v>1817</v>
      </c>
      <c r="G182" s="35">
        <v>45967.361250000002</v>
      </c>
      <c r="H182" s="21" t="s">
        <v>1912</v>
      </c>
      <c r="I182" s="21" t="s">
        <v>1913</v>
      </c>
      <c r="J182" s="21" t="s">
        <v>1914</v>
      </c>
      <c r="K182" s="21" t="s">
        <v>1830</v>
      </c>
      <c r="L182" s="21" t="s">
        <v>1133</v>
      </c>
      <c r="M182" s="21" t="s">
        <v>1139</v>
      </c>
      <c r="N182" s="21" t="s">
        <v>1140</v>
      </c>
      <c r="O182" s="21" t="s">
        <v>2030</v>
      </c>
      <c r="P182" s="21" t="s">
        <v>1916</v>
      </c>
      <c r="Q182" s="21" t="s">
        <v>1339</v>
      </c>
      <c r="R182" s="21" t="s">
        <v>1350</v>
      </c>
      <c r="S182" s="21" t="s">
        <v>1352</v>
      </c>
      <c r="T182" s="21" t="s">
        <v>1917</v>
      </c>
      <c r="U182" s="21" t="s">
        <v>1711</v>
      </c>
      <c r="V182" s="21" t="str">
        <f>_xlfn.XLOOKUP(U182,'T07'!$D$3:$D$1500,'T07'!$BI$3:$BI$1500)&amp;" / "&amp;_xlfn.XLOOKUP(U182,'T07'!$D$3:$D$1500,'T07'!$BJ$3:$BJ$1500)</f>
        <v>LHR-HTV-2008-42260 / HTV</v>
      </c>
      <c r="W182" s="21" t="s">
        <v>1917</v>
      </c>
      <c r="X182" s="21" t="s">
        <v>1713</v>
      </c>
      <c r="Y182" s="21" t="s">
        <v>1918</v>
      </c>
      <c r="Z182" s="21">
        <v>1</v>
      </c>
      <c r="AA182" s="21" t="s">
        <v>1815</v>
      </c>
      <c r="AB182" s="21" t="s">
        <v>783</v>
      </c>
      <c r="AC182" s="25">
        <v>171</v>
      </c>
      <c r="AD182" s="25">
        <v>40</v>
      </c>
      <c r="AE182" s="21" t="s">
        <v>2530</v>
      </c>
      <c r="AF182" s="21" t="s">
        <v>2531</v>
      </c>
      <c r="AG182" s="35">
        <v>45967.381249999999</v>
      </c>
      <c r="AH182" s="21" t="s">
        <v>1921</v>
      </c>
      <c r="AI182" s="25">
        <v>40</v>
      </c>
      <c r="AJ182" s="21" t="s">
        <v>1141</v>
      </c>
      <c r="AK182" s="21" t="s">
        <v>1922</v>
      </c>
      <c r="AL182" s="21" t="str">
        <f>IF(AD182-AI182&gt;0,(AD182-AI182)&amp;" bags - damaged in transit","None")</f>
        <v>None</v>
      </c>
      <c r="AM182" s="21" t="s">
        <v>844</v>
      </c>
      <c r="AN182" s="21" t="s">
        <v>848</v>
      </c>
      <c r="AO182" s="21" t="s">
        <v>2521</v>
      </c>
      <c r="AP182" s="21" t="str">
        <f>IF(AO182="Pending","Not yet invoiced",IF(AI182=AD182,"Matched","Invoiced on received qty ("&amp;AI182&amp;" of "&amp;AD182&amp;")"))</f>
        <v>Matched</v>
      </c>
      <c r="AQ182" s="21" t="s">
        <v>2522</v>
      </c>
    </row>
    <row r="183" spans="1:43" x14ac:dyDescent="0.3">
      <c r="A183" s="21" t="s">
        <v>2532</v>
      </c>
      <c r="B183" s="35">
        <v>45968.666666666664</v>
      </c>
      <c r="C183" s="21" t="s">
        <v>1909</v>
      </c>
      <c r="D183" s="21" t="s">
        <v>2524</v>
      </c>
      <c r="E183" s="21" t="s">
        <v>1927</v>
      </c>
      <c r="F183" s="21" t="s">
        <v>768</v>
      </c>
      <c r="G183" s="35">
        <v>45968.817499999997</v>
      </c>
      <c r="H183" s="21" t="s">
        <v>1912</v>
      </c>
      <c r="I183" s="21" t="s">
        <v>1913</v>
      </c>
      <c r="J183" s="21" t="s">
        <v>1914</v>
      </c>
      <c r="K183" s="21" t="s">
        <v>1870</v>
      </c>
      <c r="L183" s="21" t="s">
        <v>1045</v>
      </c>
      <c r="M183" s="21" t="s">
        <v>1871</v>
      </c>
      <c r="N183" s="21" t="s">
        <v>2354</v>
      </c>
      <c r="O183" s="21" t="s">
        <v>2355</v>
      </c>
      <c r="P183" s="21" t="s">
        <v>1930</v>
      </c>
      <c r="Q183" s="21" t="s">
        <v>1213</v>
      </c>
      <c r="R183" s="21" t="s">
        <v>1236</v>
      </c>
      <c r="S183" s="21" t="s">
        <v>1127</v>
      </c>
      <c r="T183" s="21" t="s">
        <v>1917</v>
      </c>
      <c r="U183" s="21" t="s">
        <v>1753</v>
      </c>
      <c r="V183" s="21" t="str">
        <f>_xlfn.XLOOKUP(U183,'T07'!$D$3:$D$1500,'T07'!$BI$3:$BI$1500)&amp;" / "&amp;_xlfn.XLOOKUP(U183,'T07'!$D$3:$D$1500,'T07'!$BJ$3:$BJ$1500)</f>
        <v>LHR-HTV-2009-86678 / HTV</v>
      </c>
      <c r="W183" s="21" t="s">
        <v>1917</v>
      </c>
      <c r="X183" s="21" t="s">
        <v>1755</v>
      </c>
      <c r="Y183" s="21" t="s">
        <v>2000</v>
      </c>
      <c r="Z183" s="21">
        <v>1</v>
      </c>
      <c r="AA183" s="21" t="s">
        <v>1826</v>
      </c>
      <c r="AB183" s="21" t="s">
        <v>1804</v>
      </c>
      <c r="AC183" s="25">
        <v>1500</v>
      </c>
      <c r="AD183" s="25">
        <v>500</v>
      </c>
      <c r="AE183" s="21" t="s">
        <v>2533</v>
      </c>
      <c r="AF183" s="21" t="s">
        <v>2534</v>
      </c>
      <c r="AG183" s="35">
        <v>45968.837499999994</v>
      </c>
      <c r="AH183" s="21" t="s">
        <v>1934</v>
      </c>
      <c r="AI183" s="25">
        <v>500</v>
      </c>
      <c r="AJ183" s="21" t="s">
        <v>1046</v>
      </c>
      <c r="AK183" s="21" t="s">
        <v>1922</v>
      </c>
      <c r="AL183" s="21" t="str">
        <f>IF(AD183-AI183&gt;0,(AD183-AI183)&amp;" bags - damaged in transit","None")</f>
        <v>None</v>
      </c>
      <c r="AM183" s="21" t="s">
        <v>844</v>
      </c>
      <c r="AN183" s="21" t="s">
        <v>848</v>
      </c>
      <c r="AO183" s="21" t="s">
        <v>2527</v>
      </c>
      <c r="AP183" s="21" t="str">
        <f>IF(AO183="Pending","Not yet invoiced",IF(AI183=AD183,"Matched","Invoiced on received qty ("&amp;AI183&amp;" of "&amp;AD183&amp;")"))</f>
        <v>Matched</v>
      </c>
      <c r="AQ183" s="21" t="s">
        <v>2528</v>
      </c>
    </row>
    <row r="184" spans="1:43" x14ac:dyDescent="0.3">
      <c r="A184" s="21" t="s">
        <v>2535</v>
      </c>
      <c r="B184" s="35">
        <v>45971.291666666664</v>
      </c>
      <c r="C184" s="21" t="s">
        <v>1909</v>
      </c>
      <c r="D184" s="21" t="s">
        <v>2524</v>
      </c>
      <c r="E184" s="21" t="s">
        <v>1911</v>
      </c>
      <c r="F184" s="21" t="s">
        <v>768</v>
      </c>
      <c r="G184" s="35">
        <v>45971.442499999997</v>
      </c>
      <c r="H184" s="21" t="s">
        <v>1912</v>
      </c>
      <c r="I184" s="21" t="s">
        <v>1913</v>
      </c>
      <c r="J184" s="21" t="s">
        <v>1914</v>
      </c>
      <c r="K184" s="21" t="s">
        <v>1870</v>
      </c>
      <c r="L184" s="21" t="s">
        <v>1045</v>
      </c>
      <c r="M184" s="21" t="s">
        <v>1871</v>
      </c>
      <c r="N184" s="21" t="s">
        <v>2354</v>
      </c>
      <c r="O184" s="21" t="s">
        <v>2355</v>
      </c>
      <c r="P184" s="21" t="s">
        <v>1930</v>
      </c>
      <c r="Q184" s="21" t="s">
        <v>1213</v>
      </c>
      <c r="R184" s="21" t="s">
        <v>1264</v>
      </c>
      <c r="S184" s="21" t="s">
        <v>1127</v>
      </c>
      <c r="T184" s="21" t="s">
        <v>1917</v>
      </c>
      <c r="U184" s="21" t="s">
        <v>1697</v>
      </c>
      <c r="V184" s="21" t="str">
        <f>_xlfn.XLOOKUP(U184,'T07'!$D$3:$D$1500,'T07'!$BI$3:$BI$1500)&amp;" / "&amp;_xlfn.XLOOKUP(U184,'T07'!$D$3:$D$1500,'T07'!$BJ$3:$BJ$1500)</f>
        <v>LHR-HTV-2013-23962 / HTV</v>
      </c>
      <c r="W184" s="21" t="s">
        <v>1917</v>
      </c>
      <c r="X184" s="21" t="s">
        <v>1700</v>
      </c>
      <c r="Y184" s="21" t="s">
        <v>2008</v>
      </c>
      <c r="Z184" s="21">
        <v>1</v>
      </c>
      <c r="AA184" s="21" t="s">
        <v>1808</v>
      </c>
      <c r="AB184" s="21" t="s">
        <v>1804</v>
      </c>
      <c r="AC184" s="25">
        <v>1500</v>
      </c>
      <c r="AD184" s="25">
        <v>500</v>
      </c>
      <c r="AE184" s="21" t="s">
        <v>2536</v>
      </c>
      <c r="AF184" s="21" t="s">
        <v>2537</v>
      </c>
      <c r="AG184" s="35">
        <v>45971.462499999994</v>
      </c>
      <c r="AH184" s="21" t="s">
        <v>1934</v>
      </c>
      <c r="AI184" s="25">
        <v>500</v>
      </c>
      <c r="AJ184" s="21" t="s">
        <v>1046</v>
      </c>
      <c r="AK184" s="21" t="s">
        <v>1922</v>
      </c>
      <c r="AL184" s="21" t="str">
        <f>IF(AD184-AI184&gt;0,(AD184-AI184)&amp;" bags - damaged in transit","None")</f>
        <v>None</v>
      </c>
      <c r="AM184" s="21" t="s">
        <v>844</v>
      </c>
      <c r="AN184" s="21" t="s">
        <v>848</v>
      </c>
      <c r="AO184" s="21" t="s">
        <v>2527</v>
      </c>
      <c r="AP184" s="21" t="str">
        <f>IF(AO184="Pending","Not yet invoiced",IF(AI184=AD184,"Matched","Invoiced on received qty ("&amp;AI184&amp;" of "&amp;AD184&amp;")"))</f>
        <v>Matched</v>
      </c>
      <c r="AQ184" s="21" t="s">
        <v>2528</v>
      </c>
    </row>
    <row r="185" spans="1:43" x14ac:dyDescent="0.3">
      <c r="A185" s="21" t="s">
        <v>2538</v>
      </c>
      <c r="B185" s="35">
        <v>45973.375</v>
      </c>
      <c r="C185" s="21" t="s">
        <v>1909</v>
      </c>
      <c r="D185" s="21" t="s">
        <v>2518</v>
      </c>
      <c r="E185" s="21" t="s">
        <v>1911</v>
      </c>
      <c r="F185" s="21" t="s">
        <v>1817</v>
      </c>
      <c r="G185" s="35">
        <v>45973.486250000002</v>
      </c>
      <c r="H185" s="21" t="s">
        <v>1912</v>
      </c>
      <c r="I185" s="21" t="s">
        <v>1913</v>
      </c>
      <c r="J185" s="21" t="s">
        <v>1914</v>
      </c>
      <c r="K185" s="21" t="s">
        <v>1830</v>
      </c>
      <c r="L185" s="21" t="s">
        <v>1133</v>
      </c>
      <c r="M185" s="21" t="s">
        <v>1139</v>
      </c>
      <c r="N185" s="21" t="s">
        <v>1140</v>
      </c>
      <c r="O185" s="21" t="s">
        <v>2030</v>
      </c>
      <c r="P185" s="21" t="s">
        <v>1916</v>
      </c>
      <c r="Q185" s="21" t="s">
        <v>1339</v>
      </c>
      <c r="R185" s="21" t="s">
        <v>1367</v>
      </c>
      <c r="S185" s="21" t="s">
        <v>1352</v>
      </c>
      <c r="T185" s="21" t="s">
        <v>1917</v>
      </c>
      <c r="U185" s="21" t="s">
        <v>1677</v>
      </c>
      <c r="V185" s="21" t="str">
        <f>_xlfn.XLOOKUP(U185,'T07'!$D$3:$D$1500,'T07'!$BI$3:$BI$1500)&amp;" / "&amp;_xlfn.XLOOKUP(U185,'T07'!$D$3:$D$1500,'T07'!$BJ$3:$BJ$1500)</f>
        <v>LHR-HTV-2010-55907 / HTV</v>
      </c>
      <c r="W185" s="21" t="s">
        <v>1917</v>
      </c>
      <c r="X185" s="21" t="s">
        <v>1679</v>
      </c>
      <c r="Y185" s="21" t="s">
        <v>2051</v>
      </c>
      <c r="Z185" s="21">
        <v>1</v>
      </c>
      <c r="AA185" s="21" t="s">
        <v>1815</v>
      </c>
      <c r="AB185" s="21" t="s">
        <v>783</v>
      </c>
      <c r="AC185" s="25">
        <v>131</v>
      </c>
      <c r="AD185" s="25">
        <v>39</v>
      </c>
      <c r="AE185" s="21" t="s">
        <v>2539</v>
      </c>
      <c r="AF185" s="21" t="s">
        <v>2540</v>
      </c>
      <c r="AG185" s="35">
        <v>45973.506249999999</v>
      </c>
      <c r="AH185" s="21" t="s">
        <v>1921</v>
      </c>
      <c r="AI185" s="25">
        <v>39</v>
      </c>
      <c r="AJ185" s="21" t="s">
        <v>1141</v>
      </c>
      <c r="AK185" s="21" t="s">
        <v>1922</v>
      </c>
      <c r="AL185" s="21" t="str">
        <f>IF(AD185-AI185&gt;0,(AD185-AI185)&amp;" bags - damaged in transit","None")</f>
        <v>None</v>
      </c>
      <c r="AM185" s="21" t="s">
        <v>844</v>
      </c>
      <c r="AN185" s="21" t="s">
        <v>848</v>
      </c>
      <c r="AO185" s="21" t="s">
        <v>2521</v>
      </c>
      <c r="AP185" s="21" t="str">
        <f>IF(AO185="Pending","Not yet invoiced",IF(AI185=AD185,"Matched","Invoiced on received qty ("&amp;AI185&amp;" of "&amp;AD185&amp;")"))</f>
        <v>Matched</v>
      </c>
      <c r="AQ185" s="21" t="s">
        <v>2522</v>
      </c>
    </row>
    <row r="186" spans="1:43" x14ac:dyDescent="0.3">
      <c r="A186" s="21" t="s">
        <v>2541</v>
      </c>
      <c r="B186" s="35">
        <v>45976.25</v>
      </c>
      <c r="C186" s="21" t="s">
        <v>1909</v>
      </c>
      <c r="D186" s="21" t="s">
        <v>2524</v>
      </c>
      <c r="E186" s="21" t="s">
        <v>1911</v>
      </c>
      <c r="F186" s="21" t="s">
        <v>768</v>
      </c>
      <c r="G186" s="35">
        <v>45976.400833333333</v>
      </c>
      <c r="H186" s="21" t="s">
        <v>1912</v>
      </c>
      <c r="I186" s="21" t="s">
        <v>1913</v>
      </c>
      <c r="J186" s="21" t="s">
        <v>1914</v>
      </c>
      <c r="K186" s="21" t="s">
        <v>1870</v>
      </c>
      <c r="L186" s="21" t="s">
        <v>1045</v>
      </c>
      <c r="M186" s="21" t="s">
        <v>1871</v>
      </c>
      <c r="N186" s="21" t="s">
        <v>2354</v>
      </c>
      <c r="O186" s="21" t="s">
        <v>2355</v>
      </c>
      <c r="P186" s="21" t="s">
        <v>1930</v>
      </c>
      <c r="Q186" s="21" t="s">
        <v>1213</v>
      </c>
      <c r="R186" s="21" t="s">
        <v>1244</v>
      </c>
      <c r="S186" s="21" t="s">
        <v>1247</v>
      </c>
      <c r="T186" s="21" t="s">
        <v>1917</v>
      </c>
      <c r="U186" s="21" t="s">
        <v>1766</v>
      </c>
      <c r="V186" s="21" t="str">
        <f>_xlfn.XLOOKUP(U186,'T07'!$D$3:$D$1500,'T07'!$BI$3:$BI$1500)&amp;" / "&amp;_xlfn.XLOOKUP(U186,'T07'!$D$3:$D$1500,'T07'!$BJ$3:$BJ$1500)</f>
        <v>LHR-LTV-2019-66685 / LTV</v>
      </c>
      <c r="W186" s="21" t="s">
        <v>1917</v>
      </c>
      <c r="X186" s="21" t="s">
        <v>1768</v>
      </c>
      <c r="Y186" s="21" t="s">
        <v>2097</v>
      </c>
      <c r="Z186" s="21">
        <v>1</v>
      </c>
      <c r="AA186" s="21" t="s">
        <v>1808</v>
      </c>
      <c r="AB186" s="21" t="s">
        <v>1804</v>
      </c>
      <c r="AC186" s="25">
        <v>1000</v>
      </c>
      <c r="AD186" s="25">
        <v>100</v>
      </c>
      <c r="AE186" s="21" t="s">
        <v>2542</v>
      </c>
      <c r="AF186" s="21" t="s">
        <v>2543</v>
      </c>
      <c r="AG186" s="35">
        <v>45976.42083333333</v>
      </c>
      <c r="AH186" s="21" t="s">
        <v>1934</v>
      </c>
      <c r="AI186" s="25">
        <v>100</v>
      </c>
      <c r="AJ186" s="21" t="s">
        <v>1046</v>
      </c>
      <c r="AK186" s="21" t="s">
        <v>1922</v>
      </c>
      <c r="AL186" s="21" t="str">
        <f>IF(AD186-AI186&gt;0,(AD186-AI186)&amp;" bags - damaged in transit","None")</f>
        <v>None</v>
      </c>
      <c r="AM186" s="21" t="s">
        <v>844</v>
      </c>
      <c r="AN186" s="21" t="s">
        <v>848</v>
      </c>
      <c r="AO186" s="21" t="s">
        <v>2527</v>
      </c>
      <c r="AP186" s="21" t="str">
        <f>IF(AO186="Pending","Not yet invoiced",IF(AI186=AD186,"Matched","Invoiced on received qty ("&amp;AI186&amp;" of "&amp;AD186&amp;")"))</f>
        <v>Matched</v>
      </c>
      <c r="AQ186" s="21" t="s">
        <v>2528</v>
      </c>
    </row>
    <row r="187" spans="1:43" x14ac:dyDescent="0.3">
      <c r="A187" s="21" t="s">
        <v>2541</v>
      </c>
      <c r="B187" s="35">
        <v>45976.25</v>
      </c>
      <c r="C187" s="21" t="s">
        <v>1909</v>
      </c>
      <c r="D187" s="21" t="s">
        <v>2524</v>
      </c>
      <c r="E187" s="21" t="s">
        <v>1911</v>
      </c>
      <c r="F187" s="21" t="s">
        <v>768</v>
      </c>
      <c r="G187" s="35">
        <v>45976.400833333333</v>
      </c>
      <c r="H187" s="21" t="s">
        <v>1912</v>
      </c>
      <c r="I187" s="21" t="s">
        <v>1913</v>
      </c>
      <c r="J187" s="21" t="s">
        <v>1914</v>
      </c>
      <c r="K187" s="21" t="s">
        <v>1870</v>
      </c>
      <c r="L187" s="21" t="s">
        <v>1045</v>
      </c>
      <c r="M187" s="21" t="s">
        <v>1871</v>
      </c>
      <c r="N187" s="21" t="s">
        <v>2354</v>
      </c>
      <c r="O187" s="21" t="s">
        <v>2355</v>
      </c>
      <c r="P187" s="21" t="s">
        <v>1930</v>
      </c>
      <c r="Q187" s="21" t="s">
        <v>1213</v>
      </c>
      <c r="R187" s="21" t="s">
        <v>1244</v>
      </c>
      <c r="S187" s="21" t="s">
        <v>1247</v>
      </c>
      <c r="T187" s="21" t="s">
        <v>1917</v>
      </c>
      <c r="U187" s="21" t="s">
        <v>1766</v>
      </c>
      <c r="V187" s="21" t="str">
        <f>_xlfn.XLOOKUP(U187,'T07'!$D$3:$D$1500,'T07'!$BI$3:$BI$1500)&amp;" / "&amp;_xlfn.XLOOKUP(U187,'T07'!$D$3:$D$1500,'T07'!$BJ$3:$BJ$1500)</f>
        <v>LHR-LTV-2019-66685 / LTV</v>
      </c>
      <c r="W187" s="21" t="s">
        <v>1917</v>
      </c>
      <c r="X187" s="21" t="s">
        <v>1768</v>
      </c>
      <c r="Y187" s="21" t="s">
        <v>2097</v>
      </c>
      <c r="Z187" s="21">
        <v>2</v>
      </c>
      <c r="AA187" s="21" t="s">
        <v>1826</v>
      </c>
      <c r="AB187" s="21" t="s">
        <v>1804</v>
      </c>
      <c r="AC187" s="25">
        <v>1000</v>
      </c>
      <c r="AD187" s="25">
        <v>100</v>
      </c>
      <c r="AE187" s="21" t="s">
        <v>2544</v>
      </c>
      <c r="AF187" s="21" t="s">
        <v>2543</v>
      </c>
      <c r="AG187" s="35">
        <v>45976.42083333333</v>
      </c>
      <c r="AH187" s="21" t="s">
        <v>1934</v>
      </c>
      <c r="AI187" s="25">
        <v>94</v>
      </c>
      <c r="AJ187" s="21" t="s">
        <v>1046</v>
      </c>
      <c r="AK187" s="21" t="s">
        <v>1922</v>
      </c>
      <c r="AL187" s="21" t="str">
        <f>IF(AD187-AI187&gt;0,(AD187-AI187)&amp;" bags - damaged in transit","None")</f>
        <v>6 bags - damaged in transit</v>
      </c>
      <c r="AM187" s="21" t="s">
        <v>2545</v>
      </c>
      <c r="AN187" s="21" t="s">
        <v>2546</v>
      </c>
      <c r="AO187" s="21" t="s">
        <v>2527</v>
      </c>
      <c r="AP187" s="21" t="str">
        <f>IF(AO187="Pending","Not yet invoiced",IF(AI187=AD187,"Matched","Invoiced on received qty ("&amp;AI187&amp;" of "&amp;AD187&amp;")"))</f>
        <v>Invoiced on received qty (94 of 100)</v>
      </c>
      <c r="AQ187" s="21" t="s">
        <v>2528</v>
      </c>
    </row>
    <row r="188" spans="1:43" x14ac:dyDescent="0.3">
      <c r="A188" s="21" t="s">
        <v>2547</v>
      </c>
      <c r="B188" s="35">
        <v>45980.291666666664</v>
      </c>
      <c r="C188" s="21" t="s">
        <v>1909</v>
      </c>
      <c r="D188" s="21" t="s">
        <v>2524</v>
      </c>
      <c r="E188" s="21" t="s">
        <v>1911</v>
      </c>
      <c r="F188" s="21" t="s">
        <v>768</v>
      </c>
      <c r="G188" s="35">
        <v>45980.442499999997</v>
      </c>
      <c r="H188" s="21" t="s">
        <v>1912</v>
      </c>
      <c r="I188" s="21" t="s">
        <v>1913</v>
      </c>
      <c r="J188" s="21" t="s">
        <v>1914</v>
      </c>
      <c r="K188" s="21" t="s">
        <v>1870</v>
      </c>
      <c r="L188" s="21" t="s">
        <v>1045</v>
      </c>
      <c r="M188" s="21" t="s">
        <v>1871</v>
      </c>
      <c r="N188" s="21" t="s">
        <v>2354</v>
      </c>
      <c r="O188" s="21" t="s">
        <v>2355</v>
      </c>
      <c r="P188" s="21" t="s">
        <v>1930</v>
      </c>
      <c r="Q188" s="21" t="s">
        <v>1278</v>
      </c>
      <c r="R188" s="21" t="s">
        <v>1317</v>
      </c>
      <c r="S188" s="21" t="s">
        <v>1104</v>
      </c>
      <c r="T188" s="21" t="s">
        <v>1917</v>
      </c>
      <c r="U188" s="21" t="s">
        <v>1753</v>
      </c>
      <c r="V188" s="21" t="str">
        <f>_xlfn.XLOOKUP(U188,'T07'!$D$3:$D$1500,'T07'!$BI$3:$BI$1500)&amp;" / "&amp;_xlfn.XLOOKUP(U188,'T07'!$D$3:$D$1500,'T07'!$BJ$3:$BJ$1500)</f>
        <v>LHR-HTV-2009-86678 / HTV</v>
      </c>
      <c r="W188" s="21" t="s">
        <v>1917</v>
      </c>
      <c r="X188" s="21" t="s">
        <v>1755</v>
      </c>
      <c r="Y188" s="21" t="s">
        <v>1942</v>
      </c>
      <c r="Z188" s="21">
        <v>1</v>
      </c>
      <c r="AA188" s="21" t="s">
        <v>1808</v>
      </c>
      <c r="AB188" s="21" t="s">
        <v>1804</v>
      </c>
      <c r="AC188" s="25">
        <v>900</v>
      </c>
      <c r="AD188" s="25">
        <v>500</v>
      </c>
      <c r="AE188" s="21" t="s">
        <v>2548</v>
      </c>
      <c r="AF188" s="21" t="s">
        <v>2549</v>
      </c>
      <c r="AG188" s="35">
        <v>45980.462499999994</v>
      </c>
      <c r="AH188" s="21" t="s">
        <v>1934</v>
      </c>
      <c r="AI188" s="25">
        <v>496</v>
      </c>
      <c r="AJ188" s="21" t="s">
        <v>1046</v>
      </c>
      <c r="AK188" s="21" t="s">
        <v>1922</v>
      </c>
      <c r="AL188" s="21" t="str">
        <f>IF(AD188-AI188&gt;0,(AD188-AI188)&amp;" bags - damaged in transit","None")</f>
        <v>4 bags - damaged in transit</v>
      </c>
      <c r="AM188" s="21" t="s">
        <v>2550</v>
      </c>
      <c r="AN188" s="21" t="s">
        <v>2231</v>
      </c>
      <c r="AO188" s="21" t="s">
        <v>2527</v>
      </c>
      <c r="AP188" s="21" t="str">
        <f>IF(AO188="Pending","Not yet invoiced",IF(AI188=AD188,"Matched","Invoiced on received qty ("&amp;AI188&amp;" of "&amp;AD188&amp;")"))</f>
        <v>Invoiced on received qty (496 of 500)</v>
      </c>
      <c r="AQ188" s="21" t="s">
        <v>2551</v>
      </c>
    </row>
    <row r="189" spans="1:43" x14ac:dyDescent="0.3">
      <c r="A189" s="21" t="s">
        <v>2547</v>
      </c>
      <c r="B189" s="35">
        <v>45980.291666666664</v>
      </c>
      <c r="C189" s="21" t="s">
        <v>1909</v>
      </c>
      <c r="D189" s="21" t="s">
        <v>2524</v>
      </c>
      <c r="E189" s="21" t="s">
        <v>1911</v>
      </c>
      <c r="F189" s="21" t="s">
        <v>768</v>
      </c>
      <c r="G189" s="35">
        <v>45980.442499999997</v>
      </c>
      <c r="H189" s="21" t="s">
        <v>1912</v>
      </c>
      <c r="I189" s="21" t="s">
        <v>1913</v>
      </c>
      <c r="J189" s="21" t="s">
        <v>1914</v>
      </c>
      <c r="K189" s="21" t="s">
        <v>1870</v>
      </c>
      <c r="L189" s="21" t="s">
        <v>1045</v>
      </c>
      <c r="M189" s="21" t="s">
        <v>1871</v>
      </c>
      <c r="N189" s="21" t="s">
        <v>2354</v>
      </c>
      <c r="O189" s="21" t="s">
        <v>2355</v>
      </c>
      <c r="P189" s="21" t="s">
        <v>1930</v>
      </c>
      <c r="Q189" s="21" t="s">
        <v>1278</v>
      </c>
      <c r="R189" s="21" t="s">
        <v>1317</v>
      </c>
      <c r="S189" s="21" t="s">
        <v>1104</v>
      </c>
      <c r="T189" s="21" t="s">
        <v>1917</v>
      </c>
      <c r="U189" s="21" t="s">
        <v>1753</v>
      </c>
      <c r="V189" s="21" t="str">
        <f>_xlfn.XLOOKUP(U189,'T07'!$D$3:$D$1500,'T07'!$BI$3:$BI$1500)&amp;" / "&amp;_xlfn.XLOOKUP(U189,'T07'!$D$3:$D$1500,'T07'!$BJ$3:$BJ$1500)</f>
        <v>LHR-HTV-2009-86678 / HTV</v>
      </c>
      <c r="W189" s="21" t="s">
        <v>1917</v>
      </c>
      <c r="X189" s="21" t="s">
        <v>1755</v>
      </c>
      <c r="Y189" s="21" t="s">
        <v>1942</v>
      </c>
      <c r="Z189" s="21">
        <v>2</v>
      </c>
      <c r="AA189" s="21" t="s">
        <v>1826</v>
      </c>
      <c r="AB189" s="21" t="s">
        <v>1804</v>
      </c>
      <c r="AC189" s="25">
        <v>900</v>
      </c>
      <c r="AD189" s="25">
        <v>500</v>
      </c>
      <c r="AE189" s="21" t="s">
        <v>2552</v>
      </c>
      <c r="AF189" s="21" t="s">
        <v>2549</v>
      </c>
      <c r="AG189" s="35">
        <v>45980.462499999994</v>
      </c>
      <c r="AH189" s="21" t="s">
        <v>1934</v>
      </c>
      <c r="AI189" s="25">
        <v>500</v>
      </c>
      <c r="AJ189" s="21" t="s">
        <v>1046</v>
      </c>
      <c r="AK189" s="21" t="s">
        <v>1922</v>
      </c>
      <c r="AL189" s="21" t="str">
        <f>IF(AD189-AI189&gt;0,(AD189-AI189)&amp;" bags - damaged in transit","None")</f>
        <v>None</v>
      </c>
      <c r="AM189" s="21" t="s">
        <v>844</v>
      </c>
      <c r="AN189" s="21" t="s">
        <v>848</v>
      </c>
      <c r="AO189" s="21" t="s">
        <v>2527</v>
      </c>
      <c r="AP189" s="21" t="str">
        <f>IF(AO189="Pending","Not yet invoiced",IF(AI189=AD189,"Matched","Invoiced on received qty ("&amp;AI189&amp;" of "&amp;AD189&amp;")"))</f>
        <v>Matched</v>
      </c>
      <c r="AQ189" s="21" t="s">
        <v>2551</v>
      </c>
    </row>
    <row r="190" spans="1:43" x14ac:dyDescent="0.3">
      <c r="A190" s="21" t="s">
        <v>2553</v>
      </c>
      <c r="B190" s="35">
        <v>45981.25</v>
      </c>
      <c r="C190" s="21" t="s">
        <v>1909</v>
      </c>
      <c r="D190" s="21" t="s">
        <v>2518</v>
      </c>
      <c r="E190" s="21" t="s">
        <v>1911</v>
      </c>
      <c r="F190" s="21" t="s">
        <v>1817</v>
      </c>
      <c r="G190" s="35">
        <v>45981.361250000002</v>
      </c>
      <c r="H190" s="21" t="s">
        <v>1912</v>
      </c>
      <c r="I190" s="21" t="s">
        <v>1913</v>
      </c>
      <c r="J190" s="21" t="s">
        <v>1914</v>
      </c>
      <c r="K190" s="21" t="s">
        <v>1830</v>
      </c>
      <c r="L190" s="21" t="s">
        <v>1133</v>
      </c>
      <c r="M190" s="21" t="s">
        <v>1139</v>
      </c>
      <c r="N190" s="21" t="s">
        <v>1140</v>
      </c>
      <c r="O190" s="21" t="s">
        <v>2030</v>
      </c>
      <c r="P190" s="21" t="s">
        <v>1916</v>
      </c>
      <c r="Q190" s="21" t="s">
        <v>1339</v>
      </c>
      <c r="R190" s="21" t="s">
        <v>1367</v>
      </c>
      <c r="S190" s="21" t="s">
        <v>1352</v>
      </c>
      <c r="T190" s="21" t="s">
        <v>1917</v>
      </c>
      <c r="U190" s="21" t="s">
        <v>1711</v>
      </c>
      <c r="V190" s="21" t="str">
        <f>_xlfn.XLOOKUP(U190,'T07'!$D$3:$D$1500,'T07'!$BI$3:$BI$1500)&amp;" / "&amp;_xlfn.XLOOKUP(U190,'T07'!$D$3:$D$1500,'T07'!$BJ$3:$BJ$1500)</f>
        <v>LHR-HTV-2008-42260 / HTV</v>
      </c>
      <c r="W190" s="21" t="s">
        <v>1917</v>
      </c>
      <c r="X190" s="21" t="s">
        <v>1713</v>
      </c>
      <c r="Y190" s="21" t="s">
        <v>2051</v>
      </c>
      <c r="Z190" s="21">
        <v>1</v>
      </c>
      <c r="AA190" s="21" t="s">
        <v>1815</v>
      </c>
      <c r="AB190" s="21" t="s">
        <v>783</v>
      </c>
      <c r="AC190" s="25">
        <v>92</v>
      </c>
      <c r="AD190" s="25">
        <v>38</v>
      </c>
      <c r="AE190" s="21" t="s">
        <v>2554</v>
      </c>
      <c r="AF190" s="21" t="s">
        <v>2555</v>
      </c>
      <c r="AG190" s="35">
        <v>45981.381249999999</v>
      </c>
      <c r="AH190" s="21" t="s">
        <v>1921</v>
      </c>
      <c r="AI190" s="25">
        <v>38</v>
      </c>
      <c r="AJ190" s="21" t="s">
        <v>1141</v>
      </c>
      <c r="AK190" s="21" t="s">
        <v>1922</v>
      </c>
      <c r="AL190" s="21" t="str">
        <f>IF(AD190-AI190&gt;0,(AD190-AI190)&amp;" bags - damaged in transit","None")</f>
        <v>None</v>
      </c>
      <c r="AM190" s="21" t="s">
        <v>844</v>
      </c>
      <c r="AN190" s="21" t="s">
        <v>848</v>
      </c>
      <c r="AO190" s="21" t="s">
        <v>2521</v>
      </c>
      <c r="AP190" s="21" t="str">
        <f>IF(AO190="Pending","Not yet invoiced",IF(AI190=AD190,"Matched","Invoiced on received qty ("&amp;AI190&amp;" of "&amp;AD190&amp;")"))</f>
        <v>Matched</v>
      </c>
      <c r="AQ190" s="21" t="s">
        <v>2522</v>
      </c>
    </row>
    <row r="191" spans="1:43" x14ac:dyDescent="0.3">
      <c r="A191" s="21" t="s">
        <v>2556</v>
      </c>
      <c r="B191" s="35">
        <v>45982.5</v>
      </c>
      <c r="C191" s="21" t="s">
        <v>1909</v>
      </c>
      <c r="D191" s="21" t="s">
        <v>2518</v>
      </c>
      <c r="E191" s="21" t="s">
        <v>1911</v>
      </c>
      <c r="F191" s="21" t="s">
        <v>1817</v>
      </c>
      <c r="G191" s="35">
        <v>45982.611250000002</v>
      </c>
      <c r="H191" s="21" t="s">
        <v>1912</v>
      </c>
      <c r="I191" s="21" t="s">
        <v>1913</v>
      </c>
      <c r="J191" s="21" t="s">
        <v>1914</v>
      </c>
      <c r="K191" s="21" t="s">
        <v>1830</v>
      </c>
      <c r="L191" s="21" t="s">
        <v>1133</v>
      </c>
      <c r="M191" s="21" t="s">
        <v>1139</v>
      </c>
      <c r="N191" s="21" t="s">
        <v>1140</v>
      </c>
      <c r="O191" s="21" t="s">
        <v>2030</v>
      </c>
      <c r="P191" s="21" t="s">
        <v>1916</v>
      </c>
      <c r="Q191" s="21" t="s">
        <v>1339</v>
      </c>
      <c r="R191" s="21" t="s">
        <v>1341</v>
      </c>
      <c r="S191" s="21" t="s">
        <v>1343</v>
      </c>
      <c r="T191" s="21" t="s">
        <v>1917</v>
      </c>
      <c r="U191" s="21" t="s">
        <v>1677</v>
      </c>
      <c r="V191" s="21" t="str">
        <f>_xlfn.XLOOKUP(U191,'T07'!$D$3:$D$1500,'T07'!$BI$3:$BI$1500)&amp;" / "&amp;_xlfn.XLOOKUP(U191,'T07'!$D$3:$D$1500,'T07'!$BJ$3:$BJ$1500)</f>
        <v>LHR-HTV-2010-55907 / HTV</v>
      </c>
      <c r="W191" s="21" t="s">
        <v>1917</v>
      </c>
      <c r="X191" s="21" t="s">
        <v>1679</v>
      </c>
      <c r="Y191" s="21" t="s">
        <v>1953</v>
      </c>
      <c r="Z191" s="21">
        <v>1</v>
      </c>
      <c r="AA191" s="21" t="s">
        <v>1815</v>
      </c>
      <c r="AB191" s="21" t="s">
        <v>783</v>
      </c>
      <c r="AC191" s="25">
        <v>54</v>
      </c>
      <c r="AD191" s="25">
        <v>27</v>
      </c>
      <c r="AE191" s="21" t="s">
        <v>2557</v>
      </c>
      <c r="AF191" s="21" t="s">
        <v>2558</v>
      </c>
      <c r="AG191" s="35">
        <v>45982.631249999999</v>
      </c>
      <c r="AH191" s="21" t="s">
        <v>1921</v>
      </c>
      <c r="AI191" s="25">
        <v>27</v>
      </c>
      <c r="AJ191" s="21" t="s">
        <v>1141</v>
      </c>
      <c r="AK191" s="21" t="s">
        <v>1922</v>
      </c>
      <c r="AL191" s="21" t="str">
        <f>IF(AD191-AI191&gt;0,(AD191-AI191)&amp;" bags - damaged in transit","None")</f>
        <v>None</v>
      </c>
      <c r="AM191" s="21" t="s">
        <v>844</v>
      </c>
      <c r="AN191" s="21" t="s">
        <v>848</v>
      </c>
      <c r="AO191" s="21" t="s">
        <v>2521</v>
      </c>
      <c r="AP191" s="21" t="str">
        <f>IF(AO191="Pending","Not yet invoiced",IF(AI191=AD191,"Matched","Invoiced on received qty ("&amp;AI191&amp;" of "&amp;AD191&amp;")"))</f>
        <v>Matched</v>
      </c>
      <c r="AQ191" s="21" t="s">
        <v>2522</v>
      </c>
    </row>
    <row r="192" spans="1:43" x14ac:dyDescent="0.3">
      <c r="A192" s="21" t="s">
        <v>2559</v>
      </c>
      <c r="B192" s="35">
        <v>45984.375</v>
      </c>
      <c r="C192" s="21" t="s">
        <v>1909</v>
      </c>
      <c r="D192" s="21" t="s">
        <v>2524</v>
      </c>
      <c r="E192" s="21" t="s">
        <v>1911</v>
      </c>
      <c r="F192" s="21" t="s">
        <v>768</v>
      </c>
      <c r="G192" s="35">
        <v>45984.525833333333</v>
      </c>
      <c r="H192" s="21" t="s">
        <v>1912</v>
      </c>
      <c r="I192" s="21" t="s">
        <v>1913</v>
      </c>
      <c r="J192" s="21" t="s">
        <v>1914</v>
      </c>
      <c r="K192" s="21" t="s">
        <v>1870</v>
      </c>
      <c r="L192" s="21" t="s">
        <v>1045</v>
      </c>
      <c r="M192" s="21" t="s">
        <v>1871</v>
      </c>
      <c r="N192" s="21" t="s">
        <v>2354</v>
      </c>
      <c r="O192" s="21" t="s">
        <v>2355</v>
      </c>
      <c r="P192" s="21" t="s">
        <v>1930</v>
      </c>
      <c r="Q192" s="21" t="s">
        <v>1278</v>
      </c>
      <c r="R192" s="21" t="s">
        <v>1310</v>
      </c>
      <c r="S192" s="21" t="s">
        <v>1247</v>
      </c>
      <c r="T192" s="21" t="s">
        <v>1917</v>
      </c>
      <c r="U192" s="21" t="s">
        <v>1766</v>
      </c>
      <c r="V192" s="21" t="str">
        <f>_xlfn.XLOOKUP(U192,'T07'!$D$3:$D$1500,'T07'!$BI$3:$BI$1500)&amp;" / "&amp;_xlfn.XLOOKUP(U192,'T07'!$D$3:$D$1500,'T07'!$BJ$3:$BJ$1500)</f>
        <v>LHR-LTV-2019-66685 / LTV</v>
      </c>
      <c r="W192" s="21" t="s">
        <v>1917</v>
      </c>
      <c r="X192" s="21" t="s">
        <v>1768</v>
      </c>
      <c r="Y192" s="21" t="s">
        <v>1948</v>
      </c>
      <c r="Z192" s="21">
        <v>1</v>
      </c>
      <c r="AA192" s="21" t="s">
        <v>1826</v>
      </c>
      <c r="AB192" s="21" t="s">
        <v>1804</v>
      </c>
      <c r="AC192" s="25">
        <v>400</v>
      </c>
      <c r="AD192" s="25">
        <v>50</v>
      </c>
      <c r="AE192" s="21" t="s">
        <v>2560</v>
      </c>
      <c r="AF192" s="21" t="s">
        <v>2561</v>
      </c>
      <c r="AG192" s="35">
        <v>45984.54583333333</v>
      </c>
      <c r="AH192" s="21" t="s">
        <v>1934</v>
      </c>
      <c r="AI192" s="25">
        <v>50</v>
      </c>
      <c r="AJ192" s="21" t="s">
        <v>1046</v>
      </c>
      <c r="AK192" s="21" t="s">
        <v>1922</v>
      </c>
      <c r="AL192" s="21" t="str">
        <f>IF(AD192-AI192&gt;0,(AD192-AI192)&amp;" bags - damaged in transit","None")</f>
        <v>None</v>
      </c>
      <c r="AM192" s="21" t="s">
        <v>844</v>
      </c>
      <c r="AN192" s="21" t="s">
        <v>848</v>
      </c>
      <c r="AO192" s="21" t="s">
        <v>2527</v>
      </c>
      <c r="AP192" s="21" t="str">
        <f>IF(AO192="Pending","Not yet invoiced",IF(AI192=AD192,"Matched","Invoiced on received qty ("&amp;AI192&amp;" of "&amp;AD192&amp;")"))</f>
        <v>Matched</v>
      </c>
      <c r="AQ192" s="21" t="s">
        <v>2551</v>
      </c>
    </row>
    <row r="193" spans="1:43" x14ac:dyDescent="0.3">
      <c r="A193" s="21" t="s">
        <v>2559</v>
      </c>
      <c r="B193" s="35">
        <v>45984.375</v>
      </c>
      <c r="C193" s="21" t="s">
        <v>1909</v>
      </c>
      <c r="D193" s="21" t="s">
        <v>2524</v>
      </c>
      <c r="E193" s="21" t="s">
        <v>1945</v>
      </c>
      <c r="F193" s="21" t="s">
        <v>768</v>
      </c>
      <c r="G193" s="35">
        <v>45984.525833333333</v>
      </c>
      <c r="H193" s="21" t="s">
        <v>1912</v>
      </c>
      <c r="I193" s="21" t="s">
        <v>1913</v>
      </c>
      <c r="J193" s="21" t="s">
        <v>1914</v>
      </c>
      <c r="K193" s="21" t="s">
        <v>1870</v>
      </c>
      <c r="L193" s="21" t="s">
        <v>1045</v>
      </c>
      <c r="M193" s="21" t="s">
        <v>1871</v>
      </c>
      <c r="N193" s="21" t="s">
        <v>2354</v>
      </c>
      <c r="O193" s="21" t="s">
        <v>2355</v>
      </c>
      <c r="P193" s="21" t="s">
        <v>1930</v>
      </c>
      <c r="Q193" s="21" t="s">
        <v>1278</v>
      </c>
      <c r="R193" s="21" t="s">
        <v>1310</v>
      </c>
      <c r="S193" s="21" t="s">
        <v>1247</v>
      </c>
      <c r="T193" s="21" t="s">
        <v>1917</v>
      </c>
      <c r="U193" s="21" t="s">
        <v>1766</v>
      </c>
      <c r="V193" s="21" t="str">
        <f>_xlfn.XLOOKUP(U193,'T07'!$D$3:$D$1500,'T07'!$BI$3:$BI$1500)&amp;" / "&amp;_xlfn.XLOOKUP(U193,'T07'!$D$3:$D$1500,'T07'!$BJ$3:$BJ$1500)</f>
        <v>LHR-LTV-2019-66685 / LTV</v>
      </c>
      <c r="W193" s="21" t="s">
        <v>1917</v>
      </c>
      <c r="X193" s="21" t="s">
        <v>1768</v>
      </c>
      <c r="Y193" s="21" t="s">
        <v>1948</v>
      </c>
      <c r="Z193" s="21">
        <v>2</v>
      </c>
      <c r="AA193" s="21" t="s">
        <v>1865</v>
      </c>
      <c r="AB193" s="21" t="s">
        <v>1804</v>
      </c>
      <c r="AC193" s="25">
        <v>500</v>
      </c>
      <c r="AD193" s="25">
        <v>50</v>
      </c>
      <c r="AE193" s="21" t="s">
        <v>2562</v>
      </c>
      <c r="AF193" s="21" t="s">
        <v>2561</v>
      </c>
      <c r="AG193" s="35">
        <v>45984.54583333333</v>
      </c>
      <c r="AH193" s="21" t="s">
        <v>1934</v>
      </c>
      <c r="AI193" s="25">
        <v>50</v>
      </c>
      <c r="AJ193" s="21" t="s">
        <v>1046</v>
      </c>
      <c r="AK193" s="21" t="s">
        <v>1922</v>
      </c>
      <c r="AL193" s="21" t="str">
        <f>IF(AD193-AI193&gt;0,(AD193-AI193)&amp;" bags - damaged in transit","None")</f>
        <v>None</v>
      </c>
      <c r="AM193" s="21" t="s">
        <v>844</v>
      </c>
      <c r="AN193" s="21" t="s">
        <v>848</v>
      </c>
      <c r="AO193" s="21" t="s">
        <v>2527</v>
      </c>
      <c r="AP193" s="21" t="str">
        <f>IF(AO193="Pending","Not yet invoiced",IF(AI193=AD193,"Matched","Invoiced on received qty ("&amp;AI193&amp;" of "&amp;AD193&amp;")"))</f>
        <v>Matched</v>
      </c>
      <c r="AQ193" s="21" t="s">
        <v>2551</v>
      </c>
    </row>
    <row r="194" spans="1:43" x14ac:dyDescent="0.3">
      <c r="A194" s="21" t="s">
        <v>2559</v>
      </c>
      <c r="B194" s="35">
        <v>45984.375</v>
      </c>
      <c r="C194" s="21" t="s">
        <v>1909</v>
      </c>
      <c r="D194" s="21" t="s">
        <v>2524</v>
      </c>
      <c r="E194" s="21" t="s">
        <v>1911</v>
      </c>
      <c r="F194" s="21" t="s">
        <v>768</v>
      </c>
      <c r="G194" s="35">
        <v>45984.525833333333</v>
      </c>
      <c r="H194" s="21" t="s">
        <v>1912</v>
      </c>
      <c r="I194" s="21" t="s">
        <v>1913</v>
      </c>
      <c r="J194" s="21" t="s">
        <v>1914</v>
      </c>
      <c r="K194" s="21" t="s">
        <v>1870</v>
      </c>
      <c r="L194" s="21" t="s">
        <v>1045</v>
      </c>
      <c r="M194" s="21" t="s">
        <v>1871</v>
      </c>
      <c r="N194" s="21" t="s">
        <v>2354</v>
      </c>
      <c r="O194" s="21" t="s">
        <v>2355</v>
      </c>
      <c r="P194" s="21" t="s">
        <v>1930</v>
      </c>
      <c r="Q194" s="21" t="s">
        <v>1278</v>
      </c>
      <c r="R194" s="21" t="s">
        <v>1310</v>
      </c>
      <c r="S194" s="21" t="s">
        <v>1247</v>
      </c>
      <c r="T194" s="21" t="s">
        <v>1917</v>
      </c>
      <c r="U194" s="21" t="s">
        <v>1766</v>
      </c>
      <c r="V194" s="21" t="str">
        <f>_xlfn.XLOOKUP(U194,'T07'!$D$3:$D$1500,'T07'!$BI$3:$BI$1500)&amp;" / "&amp;_xlfn.XLOOKUP(U194,'T07'!$D$3:$D$1500,'T07'!$BJ$3:$BJ$1500)</f>
        <v>LHR-LTV-2019-66685 / LTV</v>
      </c>
      <c r="W194" s="21" t="s">
        <v>1917</v>
      </c>
      <c r="X194" s="21" t="s">
        <v>1768</v>
      </c>
      <c r="Y194" s="21" t="s">
        <v>1948</v>
      </c>
      <c r="Z194" s="21">
        <v>3</v>
      </c>
      <c r="AA194" s="21" t="s">
        <v>1808</v>
      </c>
      <c r="AB194" s="21" t="s">
        <v>1804</v>
      </c>
      <c r="AC194" s="25">
        <v>400</v>
      </c>
      <c r="AD194" s="25">
        <v>50</v>
      </c>
      <c r="AE194" s="21" t="s">
        <v>2563</v>
      </c>
      <c r="AF194" s="21" t="s">
        <v>2561</v>
      </c>
      <c r="AG194" s="35">
        <v>45984.54583333333</v>
      </c>
      <c r="AH194" s="21" t="s">
        <v>1934</v>
      </c>
      <c r="AI194" s="25">
        <v>44</v>
      </c>
      <c r="AJ194" s="21" t="s">
        <v>1046</v>
      </c>
      <c r="AK194" s="21" t="s">
        <v>1922</v>
      </c>
      <c r="AL194" s="21" t="str">
        <f>IF(AD194-AI194&gt;0,(AD194-AI194)&amp;" bags - damaged in transit","None")</f>
        <v>6 bags - damaged in transit</v>
      </c>
      <c r="AM194" s="21" t="s">
        <v>2564</v>
      </c>
      <c r="AN194" s="21" t="s">
        <v>2239</v>
      </c>
      <c r="AO194" s="21" t="s">
        <v>2527</v>
      </c>
      <c r="AP194" s="21" t="str">
        <f>IF(AO194="Pending","Not yet invoiced",IF(AI194=AD194,"Matched","Invoiced on received qty ("&amp;AI194&amp;" of "&amp;AD194&amp;")"))</f>
        <v>Invoiced on received qty (44 of 50)</v>
      </c>
      <c r="AQ194" s="21" t="s">
        <v>2551</v>
      </c>
    </row>
    <row r="195" spans="1:43" x14ac:dyDescent="0.3">
      <c r="A195" s="21" t="s">
        <v>2565</v>
      </c>
      <c r="B195" s="35">
        <v>45993.625</v>
      </c>
      <c r="C195" s="21" t="s">
        <v>1909</v>
      </c>
      <c r="D195" s="21" t="s">
        <v>2566</v>
      </c>
      <c r="E195" s="21" t="s">
        <v>1911</v>
      </c>
      <c r="F195" s="21" t="s">
        <v>1817</v>
      </c>
      <c r="G195" s="35">
        <v>45993.723750000005</v>
      </c>
      <c r="H195" s="21" t="s">
        <v>1912</v>
      </c>
      <c r="I195" s="21" t="s">
        <v>1913</v>
      </c>
      <c r="J195" s="21" t="s">
        <v>1914</v>
      </c>
      <c r="K195" s="21" t="s">
        <v>1819</v>
      </c>
      <c r="L195" s="21" t="s">
        <v>1156</v>
      </c>
      <c r="M195" s="21" t="s">
        <v>1167</v>
      </c>
      <c r="N195" s="21" t="s">
        <v>1168</v>
      </c>
      <c r="O195" s="21" t="s">
        <v>2567</v>
      </c>
      <c r="P195" s="21" t="s">
        <v>1916</v>
      </c>
      <c r="Q195" s="21" t="s">
        <v>1339</v>
      </c>
      <c r="R195" s="21" t="s">
        <v>1341</v>
      </c>
      <c r="S195" s="21" t="s">
        <v>1343</v>
      </c>
      <c r="T195" s="21" t="s">
        <v>1917</v>
      </c>
      <c r="U195" s="21" t="s">
        <v>1711</v>
      </c>
      <c r="V195" s="21" t="str">
        <f>_xlfn.XLOOKUP(U195,'T07'!$D$3:$D$1500,'T07'!$BI$3:$BI$1500)&amp;" / "&amp;_xlfn.XLOOKUP(U195,'T07'!$D$3:$D$1500,'T07'!$BJ$3:$BJ$1500)</f>
        <v>LHR-HTV-2008-42260 / HTV</v>
      </c>
      <c r="W195" s="21" t="s">
        <v>1917</v>
      </c>
      <c r="X195" s="21" t="s">
        <v>1713</v>
      </c>
      <c r="Y195" s="21" t="s">
        <v>1953</v>
      </c>
      <c r="Z195" s="21">
        <v>1</v>
      </c>
      <c r="AA195" s="21" t="s">
        <v>1881</v>
      </c>
      <c r="AB195" s="21" t="s">
        <v>783</v>
      </c>
      <c r="AC195" s="25">
        <v>200</v>
      </c>
      <c r="AD195" s="25">
        <v>27</v>
      </c>
      <c r="AE195" s="21" t="s">
        <v>2568</v>
      </c>
      <c r="AF195" s="21" t="s">
        <v>2569</v>
      </c>
      <c r="AG195" s="35">
        <v>45993.743750000001</v>
      </c>
      <c r="AH195" s="21" t="s">
        <v>1921</v>
      </c>
      <c r="AI195" s="25">
        <v>27</v>
      </c>
      <c r="AJ195" s="21" t="s">
        <v>1169</v>
      </c>
      <c r="AK195" s="21" t="s">
        <v>1922</v>
      </c>
      <c r="AL195" s="21" t="str">
        <f>IF(AD195-AI195&gt;0,(AD195-AI195)&amp;" bags - damaged in transit","None")</f>
        <v>None</v>
      </c>
      <c r="AM195" s="21" t="s">
        <v>844</v>
      </c>
      <c r="AN195" s="21" t="s">
        <v>848</v>
      </c>
      <c r="AO195" s="21" t="s">
        <v>2570</v>
      </c>
      <c r="AP195" s="21" t="str">
        <f>IF(AO195="Pending","Not yet invoiced",IF(AI195=AD195,"Matched","Invoiced on received qty ("&amp;AI195&amp;" of "&amp;AD195&amp;")"))</f>
        <v>Matched</v>
      </c>
      <c r="AQ195" s="21" t="s">
        <v>2571</v>
      </c>
    </row>
    <row r="196" spans="1:43" x14ac:dyDescent="0.3">
      <c r="A196" s="21" t="s">
        <v>2572</v>
      </c>
      <c r="B196" s="35">
        <v>45998.625</v>
      </c>
      <c r="C196" s="21" t="s">
        <v>1909</v>
      </c>
      <c r="D196" s="21" t="s">
        <v>2566</v>
      </c>
      <c r="E196" s="21" t="s">
        <v>1911</v>
      </c>
      <c r="F196" s="21" t="s">
        <v>1817</v>
      </c>
      <c r="G196" s="35">
        <v>45998.723750000005</v>
      </c>
      <c r="H196" s="21" t="s">
        <v>1912</v>
      </c>
      <c r="I196" s="21" t="s">
        <v>1913</v>
      </c>
      <c r="J196" s="21" t="s">
        <v>1914</v>
      </c>
      <c r="K196" s="21" t="s">
        <v>1819</v>
      </c>
      <c r="L196" s="21" t="s">
        <v>1156</v>
      </c>
      <c r="M196" s="21" t="s">
        <v>1167</v>
      </c>
      <c r="N196" s="21" t="s">
        <v>1168</v>
      </c>
      <c r="O196" s="21" t="s">
        <v>2567</v>
      </c>
      <c r="P196" s="21" t="s">
        <v>1916</v>
      </c>
      <c r="Q196" s="21" t="s">
        <v>1339</v>
      </c>
      <c r="R196" s="21" t="s">
        <v>1360</v>
      </c>
      <c r="S196" s="21" t="s">
        <v>1343</v>
      </c>
      <c r="T196" s="21" t="s">
        <v>1917</v>
      </c>
      <c r="U196" s="21" t="s">
        <v>1724</v>
      </c>
      <c r="V196" s="21" t="str">
        <f>_xlfn.XLOOKUP(U196,'T07'!$D$3:$D$1500,'T07'!$BI$3:$BI$1500)&amp;" / "&amp;_xlfn.XLOOKUP(U196,'T07'!$D$3:$D$1500,'T07'!$BJ$3:$BJ$1500)</f>
        <v>LHR-HTV-2008-90487 / HTV</v>
      </c>
      <c r="W196" s="21" t="s">
        <v>1917</v>
      </c>
      <c r="X196" s="21" t="s">
        <v>1726</v>
      </c>
      <c r="Y196" s="21" t="s">
        <v>1963</v>
      </c>
      <c r="Z196" s="21">
        <v>1</v>
      </c>
      <c r="AA196" s="21" t="s">
        <v>1881</v>
      </c>
      <c r="AB196" s="21" t="s">
        <v>783</v>
      </c>
      <c r="AC196" s="25">
        <v>173</v>
      </c>
      <c r="AD196" s="25">
        <v>28</v>
      </c>
      <c r="AE196" s="21" t="s">
        <v>2573</v>
      </c>
      <c r="AF196" s="21" t="s">
        <v>2574</v>
      </c>
      <c r="AG196" s="35">
        <v>45998.743750000001</v>
      </c>
      <c r="AH196" s="21" t="s">
        <v>1921</v>
      </c>
      <c r="AI196" s="25">
        <v>28</v>
      </c>
      <c r="AJ196" s="21" t="s">
        <v>1169</v>
      </c>
      <c r="AK196" s="21" t="s">
        <v>1922</v>
      </c>
      <c r="AL196" s="21" t="str">
        <f>IF(AD196-AI196&gt;0,(AD196-AI196)&amp;" bags - damaged in transit","None")</f>
        <v>None</v>
      </c>
      <c r="AM196" s="21" t="s">
        <v>844</v>
      </c>
      <c r="AN196" s="21" t="s">
        <v>848</v>
      </c>
      <c r="AO196" s="21" t="s">
        <v>2570</v>
      </c>
      <c r="AP196" s="21" t="str">
        <f>IF(AO196="Pending","Not yet invoiced",IF(AI196=AD196,"Matched","Invoiced on received qty ("&amp;AI196&amp;" of "&amp;AD196&amp;")"))</f>
        <v>Matched</v>
      </c>
      <c r="AQ196" s="21" t="s">
        <v>2571</v>
      </c>
    </row>
    <row r="197" spans="1:43" x14ac:dyDescent="0.3">
      <c r="A197" s="21" t="s">
        <v>2575</v>
      </c>
      <c r="B197" s="35">
        <v>46001.25</v>
      </c>
      <c r="C197" s="21" t="s">
        <v>1909</v>
      </c>
      <c r="D197" s="21" t="s">
        <v>2566</v>
      </c>
      <c r="E197" s="21" t="s">
        <v>1911</v>
      </c>
      <c r="F197" s="21" t="s">
        <v>1817</v>
      </c>
      <c r="G197" s="35">
        <v>46001.348750000005</v>
      </c>
      <c r="H197" s="21" t="s">
        <v>1912</v>
      </c>
      <c r="I197" s="21" t="s">
        <v>1913</v>
      </c>
      <c r="J197" s="21" t="s">
        <v>1914</v>
      </c>
      <c r="K197" s="21" t="s">
        <v>1819</v>
      </c>
      <c r="L197" s="21" t="s">
        <v>1156</v>
      </c>
      <c r="M197" s="21" t="s">
        <v>1167</v>
      </c>
      <c r="N197" s="21" t="s">
        <v>1168</v>
      </c>
      <c r="O197" s="21" t="s">
        <v>2567</v>
      </c>
      <c r="P197" s="21" t="s">
        <v>1916</v>
      </c>
      <c r="Q197" s="21" t="s">
        <v>1339</v>
      </c>
      <c r="R197" s="21" t="s">
        <v>1367</v>
      </c>
      <c r="S197" s="21" t="s">
        <v>1352</v>
      </c>
      <c r="T197" s="21" t="s">
        <v>1917</v>
      </c>
      <c r="U197" s="21" t="s">
        <v>1753</v>
      </c>
      <c r="V197" s="21" t="str">
        <f>_xlfn.XLOOKUP(U197,'T07'!$D$3:$D$1500,'T07'!$BI$3:$BI$1500)&amp;" / "&amp;_xlfn.XLOOKUP(U197,'T07'!$D$3:$D$1500,'T07'!$BJ$3:$BJ$1500)</f>
        <v>LHR-HTV-2009-86678 / HTV</v>
      </c>
      <c r="W197" s="21" t="s">
        <v>1917</v>
      </c>
      <c r="X197" s="21" t="s">
        <v>1755</v>
      </c>
      <c r="Y197" s="21" t="s">
        <v>2051</v>
      </c>
      <c r="Z197" s="21">
        <v>1</v>
      </c>
      <c r="AA197" s="21" t="s">
        <v>1881</v>
      </c>
      <c r="AB197" s="21" t="s">
        <v>783</v>
      </c>
      <c r="AC197" s="25">
        <v>145</v>
      </c>
      <c r="AD197" s="25">
        <v>39</v>
      </c>
      <c r="AE197" s="21" t="s">
        <v>2576</v>
      </c>
      <c r="AF197" s="21" t="s">
        <v>2577</v>
      </c>
      <c r="AG197" s="35">
        <v>46001.368750000001</v>
      </c>
      <c r="AH197" s="21" t="s">
        <v>1921</v>
      </c>
      <c r="AI197" s="25">
        <v>39</v>
      </c>
      <c r="AJ197" s="21" t="s">
        <v>1169</v>
      </c>
      <c r="AK197" s="21" t="s">
        <v>1922</v>
      </c>
      <c r="AL197" s="21" t="str">
        <f>IF(AD197-AI197&gt;0,(AD197-AI197)&amp;" bags - damaged in transit","None")</f>
        <v>None</v>
      </c>
      <c r="AM197" s="21" t="s">
        <v>844</v>
      </c>
      <c r="AN197" s="21" t="s">
        <v>848</v>
      </c>
      <c r="AO197" s="21" t="s">
        <v>2570</v>
      </c>
      <c r="AP197" s="21" t="str">
        <f>IF(AO197="Pending","Not yet invoiced",IF(AI197=AD197,"Matched","Invoiced on received qty ("&amp;AI197&amp;" of "&amp;AD197&amp;")"))</f>
        <v>Matched</v>
      </c>
      <c r="AQ197" s="21" t="s">
        <v>2571</v>
      </c>
    </row>
    <row r="198" spans="1:43" x14ac:dyDescent="0.3">
      <c r="A198" s="21" t="s">
        <v>2578</v>
      </c>
      <c r="B198" s="35">
        <v>46008.5</v>
      </c>
      <c r="C198" s="21" t="s">
        <v>1909</v>
      </c>
      <c r="D198" s="21" t="s">
        <v>2566</v>
      </c>
      <c r="E198" s="21" t="s">
        <v>1911</v>
      </c>
      <c r="F198" s="21" t="s">
        <v>1817</v>
      </c>
      <c r="G198" s="35">
        <v>46008.598750000005</v>
      </c>
      <c r="H198" s="21" t="s">
        <v>1912</v>
      </c>
      <c r="I198" s="21" t="s">
        <v>1913</v>
      </c>
      <c r="J198" s="21" t="s">
        <v>1914</v>
      </c>
      <c r="K198" s="21" t="s">
        <v>1819</v>
      </c>
      <c r="L198" s="21" t="s">
        <v>1156</v>
      </c>
      <c r="M198" s="21" t="s">
        <v>1167</v>
      </c>
      <c r="N198" s="21" t="s">
        <v>1168</v>
      </c>
      <c r="O198" s="21" t="s">
        <v>2567</v>
      </c>
      <c r="P198" s="21" t="s">
        <v>1916</v>
      </c>
      <c r="Q198" s="21" t="s">
        <v>1339</v>
      </c>
      <c r="R198" s="21" t="s">
        <v>1360</v>
      </c>
      <c r="S198" s="21" t="s">
        <v>1343</v>
      </c>
      <c r="T198" s="21" t="s">
        <v>1917</v>
      </c>
      <c r="U198" s="21" t="s">
        <v>1782</v>
      </c>
      <c r="V198" s="21" t="str">
        <f>_xlfn.XLOOKUP(U198,'T07'!$D$3:$D$1500,'T07'!$BI$3:$BI$1500)&amp;" / "&amp;_xlfn.XLOOKUP(U198,'T07'!$D$3:$D$1500,'T07'!$BJ$3:$BJ$1500)</f>
        <v>LHR-HTV-2014-51184 / HTV</v>
      </c>
      <c r="W198" s="21" t="s">
        <v>1917</v>
      </c>
      <c r="X198" s="21" t="s">
        <v>1785</v>
      </c>
      <c r="Y198" s="21" t="s">
        <v>1963</v>
      </c>
      <c r="Z198" s="21">
        <v>1</v>
      </c>
      <c r="AA198" s="21" t="s">
        <v>1881</v>
      </c>
      <c r="AB198" s="21" t="s">
        <v>783</v>
      </c>
      <c r="AC198" s="25">
        <v>106</v>
      </c>
      <c r="AD198" s="25">
        <v>27</v>
      </c>
      <c r="AE198" s="21" t="s">
        <v>2579</v>
      </c>
      <c r="AF198" s="21" t="s">
        <v>2580</v>
      </c>
      <c r="AG198" s="35">
        <v>46008.618750000001</v>
      </c>
      <c r="AH198" s="21" t="s">
        <v>1921</v>
      </c>
      <c r="AI198" s="25">
        <v>27</v>
      </c>
      <c r="AJ198" s="21" t="s">
        <v>1169</v>
      </c>
      <c r="AK198" s="21" t="s">
        <v>1922</v>
      </c>
      <c r="AL198" s="21" t="str">
        <f>IF(AD198-AI198&gt;0,(AD198-AI198)&amp;" bags - damaged in transit","None")</f>
        <v>None</v>
      </c>
      <c r="AM198" s="21" t="s">
        <v>844</v>
      </c>
      <c r="AN198" s="21" t="s">
        <v>848</v>
      </c>
      <c r="AO198" s="21" t="s">
        <v>2570</v>
      </c>
      <c r="AP198" s="21" t="str">
        <f>IF(AO198="Pending","Not yet invoiced",IF(AI198=AD198,"Matched","Invoiced on received qty ("&amp;AI198&amp;" of "&amp;AD198&amp;")"))</f>
        <v>Matched</v>
      </c>
      <c r="AQ198" s="21" t="s">
        <v>2571</v>
      </c>
    </row>
    <row r="199" spans="1:43" x14ac:dyDescent="0.3">
      <c r="A199" s="21" t="s">
        <v>2581</v>
      </c>
      <c r="B199" s="35">
        <v>46010.458333333336</v>
      </c>
      <c r="C199" s="21" t="s">
        <v>1909</v>
      </c>
      <c r="D199" s="21" t="s">
        <v>2566</v>
      </c>
      <c r="E199" s="21" t="s">
        <v>1911</v>
      </c>
      <c r="F199" s="21" t="s">
        <v>1817</v>
      </c>
      <c r="G199" s="35">
        <v>46010.55708333334</v>
      </c>
      <c r="H199" s="21" t="s">
        <v>1912</v>
      </c>
      <c r="I199" s="21" t="s">
        <v>1913</v>
      </c>
      <c r="J199" s="21" t="s">
        <v>1914</v>
      </c>
      <c r="K199" s="21" t="s">
        <v>1819</v>
      </c>
      <c r="L199" s="21" t="s">
        <v>1156</v>
      </c>
      <c r="M199" s="21" t="s">
        <v>1167</v>
      </c>
      <c r="N199" s="21" t="s">
        <v>1168</v>
      </c>
      <c r="O199" s="21" t="s">
        <v>2567</v>
      </c>
      <c r="P199" s="21" t="s">
        <v>1916</v>
      </c>
      <c r="Q199" s="21" t="s">
        <v>1339</v>
      </c>
      <c r="R199" s="21" t="s">
        <v>1360</v>
      </c>
      <c r="S199" s="21" t="s">
        <v>1343</v>
      </c>
      <c r="T199" s="21" t="s">
        <v>1917</v>
      </c>
      <c r="U199" s="21" t="s">
        <v>1697</v>
      </c>
      <c r="V199" s="21" t="str">
        <f>_xlfn.XLOOKUP(U199,'T07'!$D$3:$D$1500,'T07'!$BI$3:$BI$1500)&amp;" / "&amp;_xlfn.XLOOKUP(U199,'T07'!$D$3:$D$1500,'T07'!$BJ$3:$BJ$1500)</f>
        <v>LHR-HTV-2013-23962 / HTV</v>
      </c>
      <c r="W199" s="21" t="s">
        <v>1917</v>
      </c>
      <c r="X199" s="21" t="s">
        <v>1700</v>
      </c>
      <c r="Y199" s="21" t="s">
        <v>1963</v>
      </c>
      <c r="Z199" s="21">
        <v>1</v>
      </c>
      <c r="AA199" s="21" t="s">
        <v>1881</v>
      </c>
      <c r="AB199" s="21" t="s">
        <v>783</v>
      </c>
      <c r="AC199" s="25">
        <v>79</v>
      </c>
      <c r="AD199" s="25">
        <v>27</v>
      </c>
      <c r="AE199" s="21" t="s">
        <v>2582</v>
      </c>
      <c r="AF199" s="21" t="s">
        <v>2583</v>
      </c>
      <c r="AG199" s="35">
        <v>46010.577083333337</v>
      </c>
      <c r="AH199" s="21" t="s">
        <v>1921</v>
      </c>
      <c r="AI199" s="25">
        <v>27</v>
      </c>
      <c r="AJ199" s="21" t="s">
        <v>1169</v>
      </c>
      <c r="AK199" s="21" t="s">
        <v>1922</v>
      </c>
      <c r="AL199" s="21" t="str">
        <f>IF(AD199-AI199&gt;0,(AD199-AI199)&amp;" bags - damaged in transit","None")</f>
        <v>None</v>
      </c>
      <c r="AM199" s="21" t="s">
        <v>844</v>
      </c>
      <c r="AN199" s="21" t="s">
        <v>848</v>
      </c>
      <c r="AO199" s="21" t="s">
        <v>2570</v>
      </c>
      <c r="AP199" s="21" t="str">
        <f>IF(AO199="Pending","Not yet invoiced",IF(AI199=AD199,"Matched","Invoiced on received qty ("&amp;AI199&amp;" of "&amp;AD199&amp;")"))</f>
        <v>Matched</v>
      </c>
      <c r="AQ199" s="21" t="s">
        <v>2571</v>
      </c>
    </row>
    <row r="200" spans="1:43" x14ac:dyDescent="0.3">
      <c r="A200" s="21" t="s">
        <v>2584</v>
      </c>
      <c r="B200" s="35">
        <v>46014.25</v>
      </c>
      <c r="C200" s="21" t="s">
        <v>1909</v>
      </c>
      <c r="D200" s="21" t="s">
        <v>2566</v>
      </c>
      <c r="E200" s="21" t="s">
        <v>1911</v>
      </c>
      <c r="F200" s="21" t="s">
        <v>1817</v>
      </c>
      <c r="G200" s="35">
        <v>46014.348750000005</v>
      </c>
      <c r="H200" s="21" t="s">
        <v>1912</v>
      </c>
      <c r="I200" s="21" t="s">
        <v>1913</v>
      </c>
      <c r="J200" s="21" t="s">
        <v>1914</v>
      </c>
      <c r="K200" s="21" t="s">
        <v>1819</v>
      </c>
      <c r="L200" s="21" t="s">
        <v>1156</v>
      </c>
      <c r="M200" s="21" t="s">
        <v>1167</v>
      </c>
      <c r="N200" s="21" t="s">
        <v>1168</v>
      </c>
      <c r="O200" s="21" t="s">
        <v>2567</v>
      </c>
      <c r="P200" s="21" t="s">
        <v>1916</v>
      </c>
      <c r="Q200" s="21" t="s">
        <v>1339</v>
      </c>
      <c r="R200" s="21" t="s">
        <v>1360</v>
      </c>
      <c r="S200" s="21" t="s">
        <v>1343</v>
      </c>
      <c r="T200" s="21" t="s">
        <v>1917</v>
      </c>
      <c r="U200" s="21" t="s">
        <v>1724</v>
      </c>
      <c r="V200" s="21" t="str">
        <f>_xlfn.XLOOKUP(U200,'T07'!$D$3:$D$1500,'T07'!$BI$3:$BI$1500)&amp;" / "&amp;_xlfn.XLOOKUP(U200,'T07'!$D$3:$D$1500,'T07'!$BJ$3:$BJ$1500)</f>
        <v>LHR-HTV-2008-90487 / HTV</v>
      </c>
      <c r="W200" s="21" t="s">
        <v>1917</v>
      </c>
      <c r="X200" s="21" t="s">
        <v>1726</v>
      </c>
      <c r="Y200" s="21" t="s">
        <v>1963</v>
      </c>
      <c r="Z200" s="21">
        <v>1</v>
      </c>
      <c r="AA200" s="21" t="s">
        <v>1881</v>
      </c>
      <c r="AB200" s="21" t="s">
        <v>783</v>
      </c>
      <c r="AC200" s="25">
        <v>52</v>
      </c>
      <c r="AD200" s="25">
        <v>28</v>
      </c>
      <c r="AE200" s="21" t="s">
        <v>2585</v>
      </c>
      <c r="AF200" s="21" t="s">
        <v>2586</v>
      </c>
      <c r="AG200" s="35">
        <v>46014.368750000001</v>
      </c>
      <c r="AH200" s="21" t="s">
        <v>1921</v>
      </c>
      <c r="AI200" s="25">
        <v>28</v>
      </c>
      <c r="AJ200" s="21" t="s">
        <v>1169</v>
      </c>
      <c r="AK200" s="21" t="s">
        <v>1922</v>
      </c>
      <c r="AL200" s="21" t="str">
        <f>IF(AD200-AI200&gt;0,(AD200-AI200)&amp;" bags - damaged in transit","None")</f>
        <v>None</v>
      </c>
      <c r="AM200" s="21" t="s">
        <v>844</v>
      </c>
      <c r="AN200" s="21" t="s">
        <v>848</v>
      </c>
      <c r="AO200" s="21" t="s">
        <v>2570</v>
      </c>
      <c r="AP200" s="21" t="str">
        <f>IF(AO200="Pending","Not yet invoiced",IF(AI200=AD200,"Matched","Invoiced on received qty ("&amp;AI200&amp;" of "&amp;AD200&amp;")"))</f>
        <v>Matched</v>
      </c>
      <c r="AQ200" s="21" t="s">
        <v>2571</v>
      </c>
    </row>
    <row r="201" spans="1:43" x14ac:dyDescent="0.3">
      <c r="A201" s="21" t="s">
        <v>2587</v>
      </c>
      <c r="B201" s="35">
        <v>46026.541666666664</v>
      </c>
      <c r="C201" s="21" t="s">
        <v>1909</v>
      </c>
      <c r="D201" s="21" t="s">
        <v>2588</v>
      </c>
      <c r="E201" s="21" t="s">
        <v>1911</v>
      </c>
      <c r="F201" s="21" t="s">
        <v>1817</v>
      </c>
      <c r="G201" s="35">
        <v>46026.640416666669</v>
      </c>
      <c r="H201" s="21" t="s">
        <v>1912</v>
      </c>
      <c r="I201" s="21" t="s">
        <v>1913</v>
      </c>
      <c r="J201" s="21" t="s">
        <v>1914</v>
      </c>
      <c r="K201" s="21" t="s">
        <v>1819</v>
      </c>
      <c r="L201" s="21" t="s">
        <v>1156</v>
      </c>
      <c r="M201" s="21" t="s">
        <v>1167</v>
      </c>
      <c r="N201" s="21" t="s">
        <v>1168</v>
      </c>
      <c r="O201" s="21" t="s">
        <v>2567</v>
      </c>
      <c r="P201" s="21" t="s">
        <v>1916</v>
      </c>
      <c r="Q201" s="21" t="s">
        <v>1339</v>
      </c>
      <c r="R201" s="21" t="s">
        <v>1367</v>
      </c>
      <c r="S201" s="21" t="s">
        <v>1352</v>
      </c>
      <c r="T201" s="21" t="s">
        <v>1917</v>
      </c>
      <c r="U201" s="21" t="s">
        <v>1739</v>
      </c>
      <c r="V201" s="21" t="str">
        <f>_xlfn.XLOOKUP(U201,'T07'!$D$3:$D$1500,'T07'!$BI$3:$BI$1500)&amp;" / "&amp;_xlfn.XLOOKUP(U201,'T07'!$D$3:$D$1500,'T07'!$BJ$3:$BJ$1500)</f>
        <v>LHR-HTV-2020-13470 / HTV</v>
      </c>
      <c r="W201" s="21" t="s">
        <v>1917</v>
      </c>
      <c r="X201" s="21" t="s">
        <v>1742</v>
      </c>
      <c r="Y201" s="21" t="s">
        <v>2051</v>
      </c>
      <c r="Z201" s="21">
        <v>1</v>
      </c>
      <c r="AA201" s="21" t="s">
        <v>1881</v>
      </c>
      <c r="AB201" s="21" t="s">
        <v>783</v>
      </c>
      <c r="AC201" s="25">
        <v>240</v>
      </c>
      <c r="AD201" s="25">
        <v>39</v>
      </c>
      <c r="AE201" s="21" t="s">
        <v>2589</v>
      </c>
      <c r="AF201" s="21" t="s">
        <v>2590</v>
      </c>
      <c r="AG201" s="35">
        <v>46026.660416666666</v>
      </c>
      <c r="AH201" s="21" t="s">
        <v>1921</v>
      </c>
      <c r="AI201" s="25">
        <v>39</v>
      </c>
      <c r="AJ201" s="21" t="s">
        <v>1169</v>
      </c>
      <c r="AK201" s="21" t="s">
        <v>1922</v>
      </c>
      <c r="AL201" s="21" t="str">
        <f>IF(AD201-AI201&gt;0,(AD201-AI201)&amp;" bags - damaged in transit","None")</f>
        <v>None</v>
      </c>
      <c r="AM201" s="21" t="s">
        <v>844</v>
      </c>
      <c r="AN201" s="21" t="s">
        <v>848</v>
      </c>
      <c r="AO201" s="21" t="s">
        <v>2591</v>
      </c>
      <c r="AP201" s="21" t="str">
        <f>IF(AO201="Pending","Not yet invoiced",IF(AI201=AD201,"Matched","Invoiced on received qty ("&amp;AI201&amp;" of "&amp;AD201&amp;")"))</f>
        <v>Matched</v>
      </c>
      <c r="AQ201" s="21" t="s">
        <v>2592</v>
      </c>
    </row>
    <row r="202" spans="1:43" x14ac:dyDescent="0.3">
      <c r="A202" s="21" t="s">
        <v>2593</v>
      </c>
      <c r="B202" s="35">
        <v>46027.541666666664</v>
      </c>
      <c r="C202" s="21" t="s">
        <v>1909</v>
      </c>
      <c r="D202" s="21" t="s">
        <v>2594</v>
      </c>
      <c r="E202" s="21" t="s">
        <v>2056</v>
      </c>
      <c r="F202" s="21" t="s">
        <v>768</v>
      </c>
      <c r="G202" s="35">
        <v>46027.814375000002</v>
      </c>
      <c r="H202" s="21" t="s">
        <v>1912</v>
      </c>
      <c r="I202" s="21" t="s">
        <v>1913</v>
      </c>
      <c r="J202" s="21" t="s">
        <v>1914</v>
      </c>
      <c r="K202" s="21" t="s">
        <v>1800</v>
      </c>
      <c r="L202" s="21" t="s">
        <v>1073</v>
      </c>
      <c r="M202" s="21" t="s">
        <v>1801</v>
      </c>
      <c r="N202" s="21" t="s">
        <v>1928</v>
      </c>
      <c r="O202" s="21" t="s">
        <v>1929</v>
      </c>
      <c r="P202" s="21" t="s">
        <v>1930</v>
      </c>
      <c r="Q202" s="21" t="s">
        <v>1278</v>
      </c>
      <c r="R202" s="21" t="s">
        <v>1280</v>
      </c>
      <c r="S202" s="21" t="s">
        <v>1247</v>
      </c>
      <c r="T202" s="21" t="s">
        <v>1917</v>
      </c>
      <c r="U202" s="21" t="s">
        <v>1766</v>
      </c>
      <c r="V202" s="21" t="str">
        <f>_xlfn.XLOOKUP(U202,'T07'!$D$3:$D$1500,'T07'!$BI$3:$BI$1500)&amp;" / "&amp;_xlfn.XLOOKUP(U202,'T07'!$D$3:$D$1500,'T07'!$BJ$3:$BJ$1500)</f>
        <v>LHR-LTV-2019-66685 / LTV</v>
      </c>
      <c r="W202" s="21" t="s">
        <v>1917</v>
      </c>
      <c r="X202" s="21" t="s">
        <v>1768</v>
      </c>
      <c r="Y202" s="21" t="s">
        <v>2018</v>
      </c>
      <c r="Z202" s="21">
        <v>1</v>
      </c>
      <c r="AA202" s="21" t="s">
        <v>1840</v>
      </c>
      <c r="AB202" s="21" t="s">
        <v>1841</v>
      </c>
      <c r="AC202" s="25">
        <v>2000</v>
      </c>
      <c r="AD202" s="25">
        <v>50</v>
      </c>
      <c r="AE202" s="21" t="s">
        <v>2595</v>
      </c>
      <c r="AF202" s="21" t="s">
        <v>2596</v>
      </c>
      <c r="AG202" s="35">
        <v>46027.834374999999</v>
      </c>
      <c r="AH202" s="21" t="s">
        <v>1934</v>
      </c>
      <c r="AI202" s="25">
        <v>50</v>
      </c>
      <c r="AJ202" s="21" t="s">
        <v>1074</v>
      </c>
      <c r="AK202" s="21" t="s">
        <v>1922</v>
      </c>
      <c r="AL202" s="21" t="str">
        <f>IF(AD202-AI202&gt;0,(AD202-AI202)&amp;" bags - damaged in transit","None")</f>
        <v>None</v>
      </c>
      <c r="AM202" s="21" t="s">
        <v>844</v>
      </c>
      <c r="AN202" s="21" t="s">
        <v>848</v>
      </c>
      <c r="AO202" s="21" t="s">
        <v>2597</v>
      </c>
      <c r="AP202" s="21" t="str">
        <f>IF(AO202="Pending","Not yet invoiced",IF(AI202=AD202,"Matched","Invoiced on received qty ("&amp;AI202&amp;" of "&amp;AD202&amp;")"))</f>
        <v>Matched</v>
      </c>
      <c r="AQ202" s="21" t="s">
        <v>2598</v>
      </c>
    </row>
    <row r="203" spans="1:43" x14ac:dyDescent="0.3">
      <c r="A203" s="21" t="s">
        <v>2593</v>
      </c>
      <c r="B203" s="35">
        <v>46027.541666666664</v>
      </c>
      <c r="C203" s="21" t="s">
        <v>1909</v>
      </c>
      <c r="D203" s="21" t="s">
        <v>2594</v>
      </c>
      <c r="E203" s="21" t="s">
        <v>1945</v>
      </c>
      <c r="F203" s="21" t="s">
        <v>768</v>
      </c>
      <c r="G203" s="35">
        <v>46027.814375000002</v>
      </c>
      <c r="H203" s="21" t="s">
        <v>1912</v>
      </c>
      <c r="I203" s="21" t="s">
        <v>1913</v>
      </c>
      <c r="J203" s="21" t="s">
        <v>1914</v>
      </c>
      <c r="K203" s="21" t="s">
        <v>1800</v>
      </c>
      <c r="L203" s="21" t="s">
        <v>1073</v>
      </c>
      <c r="M203" s="21" t="s">
        <v>1801</v>
      </c>
      <c r="N203" s="21" t="s">
        <v>1928</v>
      </c>
      <c r="O203" s="21" t="s">
        <v>1929</v>
      </c>
      <c r="P203" s="21" t="s">
        <v>1930</v>
      </c>
      <c r="Q203" s="21" t="s">
        <v>1278</v>
      </c>
      <c r="R203" s="21" t="s">
        <v>1280</v>
      </c>
      <c r="S203" s="21" t="s">
        <v>1247</v>
      </c>
      <c r="T203" s="21" t="s">
        <v>1917</v>
      </c>
      <c r="U203" s="21" t="s">
        <v>1766</v>
      </c>
      <c r="V203" s="21" t="str">
        <f>_xlfn.XLOOKUP(U203,'T07'!$D$3:$D$1500,'T07'!$BI$3:$BI$1500)&amp;" / "&amp;_xlfn.XLOOKUP(U203,'T07'!$D$3:$D$1500,'T07'!$BJ$3:$BJ$1500)</f>
        <v>LHR-LTV-2019-66685 / LTV</v>
      </c>
      <c r="W203" s="21" t="s">
        <v>1917</v>
      </c>
      <c r="X203" s="21" t="s">
        <v>1768</v>
      </c>
      <c r="Y203" s="21" t="s">
        <v>2018</v>
      </c>
      <c r="Z203" s="21">
        <v>2</v>
      </c>
      <c r="AA203" s="21" t="s">
        <v>1865</v>
      </c>
      <c r="AB203" s="21" t="s">
        <v>1804</v>
      </c>
      <c r="AC203" s="25">
        <v>1000</v>
      </c>
      <c r="AD203" s="25">
        <v>50</v>
      </c>
      <c r="AE203" s="21" t="s">
        <v>2599</v>
      </c>
      <c r="AF203" s="21" t="s">
        <v>2596</v>
      </c>
      <c r="AG203" s="35">
        <v>46027.834374999999</v>
      </c>
      <c r="AH203" s="21" t="s">
        <v>1934</v>
      </c>
      <c r="AI203" s="25">
        <v>50</v>
      </c>
      <c r="AJ203" s="21" t="s">
        <v>1074</v>
      </c>
      <c r="AK203" s="21" t="s">
        <v>1922</v>
      </c>
      <c r="AL203" s="21" t="str">
        <f>IF(AD203-AI203&gt;0,(AD203-AI203)&amp;" bags - damaged in transit","None")</f>
        <v>None</v>
      </c>
      <c r="AM203" s="21" t="s">
        <v>844</v>
      </c>
      <c r="AN203" s="21" t="s">
        <v>848</v>
      </c>
      <c r="AO203" s="21" t="s">
        <v>2597</v>
      </c>
      <c r="AP203" s="21" t="str">
        <f>IF(AO203="Pending","Not yet invoiced",IF(AI203=AD203,"Matched","Invoiced on received qty ("&amp;AI203&amp;" of "&amp;AD203&amp;")"))</f>
        <v>Matched</v>
      </c>
      <c r="AQ203" s="21" t="s">
        <v>2598</v>
      </c>
    </row>
    <row r="204" spans="1:43" x14ac:dyDescent="0.3">
      <c r="A204" s="21" t="s">
        <v>2593</v>
      </c>
      <c r="B204" s="35">
        <v>46027.541666666664</v>
      </c>
      <c r="C204" s="21" t="s">
        <v>1909</v>
      </c>
      <c r="D204" s="21" t="s">
        <v>2594</v>
      </c>
      <c r="E204" s="21" t="s">
        <v>1945</v>
      </c>
      <c r="F204" s="21" t="s">
        <v>768</v>
      </c>
      <c r="G204" s="35">
        <v>46027.814375000002</v>
      </c>
      <c r="H204" s="21" t="s">
        <v>1912</v>
      </c>
      <c r="I204" s="21" t="s">
        <v>1913</v>
      </c>
      <c r="J204" s="21" t="s">
        <v>1914</v>
      </c>
      <c r="K204" s="21" t="s">
        <v>1800</v>
      </c>
      <c r="L204" s="21" t="s">
        <v>1073</v>
      </c>
      <c r="M204" s="21" t="s">
        <v>1801</v>
      </c>
      <c r="N204" s="21" t="s">
        <v>1928</v>
      </c>
      <c r="O204" s="21" t="s">
        <v>1929</v>
      </c>
      <c r="P204" s="21" t="s">
        <v>1930</v>
      </c>
      <c r="Q204" s="21" t="s">
        <v>1278</v>
      </c>
      <c r="R204" s="21" t="s">
        <v>1280</v>
      </c>
      <c r="S204" s="21" t="s">
        <v>1247</v>
      </c>
      <c r="T204" s="21" t="s">
        <v>1917</v>
      </c>
      <c r="U204" s="21" t="s">
        <v>1766</v>
      </c>
      <c r="V204" s="21" t="str">
        <f>_xlfn.XLOOKUP(U204,'T07'!$D$3:$D$1500,'T07'!$BI$3:$BI$1500)&amp;" / "&amp;_xlfn.XLOOKUP(U204,'T07'!$D$3:$D$1500,'T07'!$BJ$3:$BJ$1500)</f>
        <v>LHR-LTV-2019-66685 / LTV</v>
      </c>
      <c r="W204" s="21" t="s">
        <v>1917</v>
      </c>
      <c r="X204" s="21" t="s">
        <v>1768</v>
      </c>
      <c r="Y204" s="21" t="s">
        <v>2018</v>
      </c>
      <c r="Z204" s="21">
        <v>3</v>
      </c>
      <c r="AA204" s="21" t="s">
        <v>1828</v>
      </c>
      <c r="AB204" s="21" t="s">
        <v>1804</v>
      </c>
      <c r="AC204" s="25">
        <v>2000</v>
      </c>
      <c r="AD204" s="25">
        <v>50</v>
      </c>
      <c r="AE204" s="21" t="s">
        <v>2600</v>
      </c>
      <c r="AF204" s="21" t="s">
        <v>2596</v>
      </c>
      <c r="AG204" s="35">
        <v>46027.834374999999</v>
      </c>
      <c r="AH204" s="21" t="s">
        <v>1934</v>
      </c>
      <c r="AI204" s="25">
        <v>47</v>
      </c>
      <c r="AJ204" s="21" t="s">
        <v>1074</v>
      </c>
      <c r="AK204" s="21" t="s">
        <v>1922</v>
      </c>
      <c r="AL204" s="21" t="str">
        <f>IF(AD204-AI204&gt;0,(AD204-AI204)&amp;" bags - damaged in transit","None")</f>
        <v>3 bags - damaged in transit</v>
      </c>
      <c r="AM204" s="21" t="s">
        <v>2601</v>
      </c>
      <c r="AN204" s="21" t="s">
        <v>2602</v>
      </c>
      <c r="AO204" s="21" t="s">
        <v>2597</v>
      </c>
      <c r="AP204" s="21" t="str">
        <f>IF(AO204="Pending","Not yet invoiced",IF(AI204=AD204,"Matched","Invoiced on received qty ("&amp;AI204&amp;" of "&amp;AD204&amp;")"))</f>
        <v>Invoiced on received qty (47 of 50)</v>
      </c>
      <c r="AQ204" s="21" t="s">
        <v>2598</v>
      </c>
    </row>
    <row r="205" spans="1:43" x14ac:dyDescent="0.3">
      <c r="A205" s="21" t="s">
        <v>2603</v>
      </c>
      <c r="B205" s="35">
        <v>46028.541666666664</v>
      </c>
      <c r="C205" s="21" t="s">
        <v>1909</v>
      </c>
      <c r="D205" s="21" t="s">
        <v>2588</v>
      </c>
      <c r="E205" s="21" t="s">
        <v>1911</v>
      </c>
      <c r="F205" s="21" t="s">
        <v>1817</v>
      </c>
      <c r="G205" s="35">
        <v>46028.640416666669</v>
      </c>
      <c r="H205" s="21" t="s">
        <v>1912</v>
      </c>
      <c r="I205" s="21" t="s">
        <v>1913</v>
      </c>
      <c r="J205" s="21" t="s">
        <v>1914</v>
      </c>
      <c r="K205" s="21" t="s">
        <v>1819</v>
      </c>
      <c r="L205" s="21" t="s">
        <v>1156</v>
      </c>
      <c r="M205" s="21" t="s">
        <v>1167</v>
      </c>
      <c r="N205" s="21" t="s">
        <v>1168</v>
      </c>
      <c r="O205" s="21" t="s">
        <v>2567</v>
      </c>
      <c r="P205" s="21" t="s">
        <v>1916</v>
      </c>
      <c r="Q205" s="21" t="s">
        <v>1339</v>
      </c>
      <c r="R205" s="21" t="s">
        <v>1360</v>
      </c>
      <c r="S205" s="21" t="s">
        <v>1343</v>
      </c>
      <c r="T205" s="21" t="s">
        <v>1917</v>
      </c>
      <c r="U205" s="21" t="s">
        <v>1739</v>
      </c>
      <c r="V205" s="21" t="str">
        <f>_xlfn.XLOOKUP(U205,'T07'!$D$3:$D$1500,'T07'!$BI$3:$BI$1500)&amp;" / "&amp;_xlfn.XLOOKUP(U205,'T07'!$D$3:$D$1500,'T07'!$BJ$3:$BJ$1500)</f>
        <v>LHR-HTV-2020-13470 / HTV</v>
      </c>
      <c r="W205" s="21" t="s">
        <v>1917</v>
      </c>
      <c r="X205" s="21" t="s">
        <v>1742</v>
      </c>
      <c r="Y205" s="21" t="s">
        <v>1963</v>
      </c>
      <c r="Z205" s="21">
        <v>1</v>
      </c>
      <c r="AA205" s="21" t="s">
        <v>1881</v>
      </c>
      <c r="AB205" s="21" t="s">
        <v>783</v>
      </c>
      <c r="AC205" s="25">
        <v>201</v>
      </c>
      <c r="AD205" s="25">
        <v>28</v>
      </c>
      <c r="AE205" s="21" t="s">
        <v>2604</v>
      </c>
      <c r="AF205" s="21" t="s">
        <v>2605</v>
      </c>
      <c r="AG205" s="35">
        <v>46028.660416666666</v>
      </c>
      <c r="AH205" s="21" t="s">
        <v>1921</v>
      </c>
      <c r="AI205" s="25">
        <v>28</v>
      </c>
      <c r="AJ205" s="21" t="s">
        <v>1169</v>
      </c>
      <c r="AK205" s="21" t="s">
        <v>1922</v>
      </c>
      <c r="AL205" s="21" t="str">
        <f>IF(AD205-AI205&gt;0,(AD205-AI205)&amp;" bags - damaged in transit","None")</f>
        <v>None</v>
      </c>
      <c r="AM205" s="21" t="s">
        <v>844</v>
      </c>
      <c r="AN205" s="21" t="s">
        <v>848</v>
      </c>
      <c r="AO205" s="21" t="s">
        <v>2591</v>
      </c>
      <c r="AP205" s="21" t="str">
        <f>IF(AO205="Pending","Not yet invoiced",IF(AI205=AD205,"Matched","Invoiced on received qty ("&amp;AI205&amp;" of "&amp;AD205&amp;")"))</f>
        <v>Matched</v>
      </c>
      <c r="AQ205" s="21" t="s">
        <v>2592</v>
      </c>
    </row>
    <row r="206" spans="1:43" x14ac:dyDescent="0.3">
      <c r="A206" s="21" t="s">
        <v>2606</v>
      </c>
      <c r="B206" s="35">
        <v>46029.5</v>
      </c>
      <c r="C206" s="21" t="s">
        <v>1909</v>
      </c>
      <c r="D206" s="21" t="s">
        <v>2594</v>
      </c>
      <c r="E206" s="21" t="s">
        <v>1927</v>
      </c>
      <c r="F206" s="21" t="s">
        <v>768</v>
      </c>
      <c r="G206" s="35">
        <v>46029.772708333338</v>
      </c>
      <c r="H206" s="21" t="s">
        <v>1912</v>
      </c>
      <c r="I206" s="21" t="s">
        <v>1913</v>
      </c>
      <c r="J206" s="21" t="s">
        <v>1914</v>
      </c>
      <c r="K206" s="21" t="s">
        <v>1800</v>
      </c>
      <c r="L206" s="21" t="s">
        <v>1073</v>
      </c>
      <c r="M206" s="21" t="s">
        <v>1801</v>
      </c>
      <c r="N206" s="21" t="s">
        <v>1928</v>
      </c>
      <c r="O206" s="21" t="s">
        <v>1929</v>
      </c>
      <c r="P206" s="21" t="s">
        <v>1930</v>
      </c>
      <c r="Q206" s="21" t="s">
        <v>1278</v>
      </c>
      <c r="R206" s="21" t="s">
        <v>1317</v>
      </c>
      <c r="S206" s="21" t="s">
        <v>1104</v>
      </c>
      <c r="T206" s="21" t="s">
        <v>1917</v>
      </c>
      <c r="U206" s="21" t="s">
        <v>1711</v>
      </c>
      <c r="V206" s="21" t="str">
        <f>_xlfn.XLOOKUP(U206,'T07'!$D$3:$D$1500,'T07'!$BI$3:$BI$1500)&amp;" / "&amp;_xlfn.XLOOKUP(U206,'T07'!$D$3:$D$1500,'T07'!$BJ$3:$BJ$1500)</f>
        <v>LHR-HTV-2008-42260 / HTV</v>
      </c>
      <c r="W206" s="21" t="s">
        <v>1917</v>
      </c>
      <c r="X206" s="21" t="s">
        <v>1713</v>
      </c>
      <c r="Y206" s="21" t="s">
        <v>1942</v>
      </c>
      <c r="Z206" s="21">
        <v>1</v>
      </c>
      <c r="AA206" s="21" t="s">
        <v>1828</v>
      </c>
      <c r="AB206" s="21" t="s">
        <v>1804</v>
      </c>
      <c r="AC206" s="25">
        <v>1950</v>
      </c>
      <c r="AD206" s="25">
        <v>1000</v>
      </c>
      <c r="AE206" s="21" t="s">
        <v>2607</v>
      </c>
      <c r="AF206" s="21" t="s">
        <v>2608</v>
      </c>
      <c r="AG206" s="35">
        <v>46029.792708333334</v>
      </c>
      <c r="AH206" s="21" t="s">
        <v>1983</v>
      </c>
      <c r="AI206" s="25">
        <v>1000</v>
      </c>
      <c r="AJ206" s="21" t="s">
        <v>1074</v>
      </c>
      <c r="AK206" s="21" t="s">
        <v>1922</v>
      </c>
      <c r="AL206" s="21" t="str">
        <f>IF(AD206-AI206&gt;0,(AD206-AI206)&amp;" bags - damaged in transit","None")</f>
        <v>None</v>
      </c>
      <c r="AM206" s="21" t="s">
        <v>844</v>
      </c>
      <c r="AN206" s="21" t="s">
        <v>848</v>
      </c>
      <c r="AO206" s="21" t="s">
        <v>2597</v>
      </c>
      <c r="AP206" s="21" t="str">
        <f>IF(AO206="Pending","Not yet invoiced",IF(AI206=AD206,"Matched","Invoiced on received qty ("&amp;AI206&amp;" of "&amp;AD206&amp;")"))</f>
        <v>Matched</v>
      </c>
      <c r="AQ206" s="21" t="s">
        <v>2598</v>
      </c>
    </row>
    <row r="207" spans="1:43" x14ac:dyDescent="0.3">
      <c r="A207" s="21" t="s">
        <v>2609</v>
      </c>
      <c r="B207" s="35">
        <v>46034.333333333336</v>
      </c>
      <c r="C207" s="21" t="s">
        <v>1909</v>
      </c>
      <c r="D207" s="21" t="s">
        <v>2588</v>
      </c>
      <c r="E207" s="21" t="s">
        <v>1911</v>
      </c>
      <c r="F207" s="21" t="s">
        <v>1817</v>
      </c>
      <c r="G207" s="35">
        <v>46034.43208333334</v>
      </c>
      <c r="H207" s="21" t="s">
        <v>1912</v>
      </c>
      <c r="I207" s="21" t="s">
        <v>1913</v>
      </c>
      <c r="J207" s="21" t="s">
        <v>1914</v>
      </c>
      <c r="K207" s="21" t="s">
        <v>1819</v>
      </c>
      <c r="L207" s="21" t="s">
        <v>1156</v>
      </c>
      <c r="M207" s="21" t="s">
        <v>1167</v>
      </c>
      <c r="N207" s="21" t="s">
        <v>1168</v>
      </c>
      <c r="O207" s="21" t="s">
        <v>2567</v>
      </c>
      <c r="P207" s="21" t="s">
        <v>1916</v>
      </c>
      <c r="Q207" s="21" t="s">
        <v>1339</v>
      </c>
      <c r="R207" s="21" t="s">
        <v>1360</v>
      </c>
      <c r="S207" s="21" t="s">
        <v>1343</v>
      </c>
      <c r="T207" s="21" t="s">
        <v>1917</v>
      </c>
      <c r="U207" s="21" t="s">
        <v>1711</v>
      </c>
      <c r="V207" s="21" t="str">
        <f>_xlfn.XLOOKUP(U207,'T07'!$D$3:$D$1500,'T07'!$BI$3:$BI$1500)&amp;" / "&amp;_xlfn.XLOOKUP(U207,'T07'!$D$3:$D$1500,'T07'!$BJ$3:$BJ$1500)</f>
        <v>LHR-HTV-2008-42260 / HTV</v>
      </c>
      <c r="W207" s="21" t="s">
        <v>1917</v>
      </c>
      <c r="X207" s="21" t="s">
        <v>1713</v>
      </c>
      <c r="Y207" s="21" t="s">
        <v>1963</v>
      </c>
      <c r="Z207" s="21">
        <v>1</v>
      </c>
      <c r="AA207" s="21" t="s">
        <v>1881</v>
      </c>
      <c r="AB207" s="21" t="s">
        <v>783</v>
      </c>
      <c r="AC207" s="25">
        <v>173</v>
      </c>
      <c r="AD207" s="25">
        <v>28</v>
      </c>
      <c r="AE207" s="21" t="s">
        <v>2610</v>
      </c>
      <c r="AF207" s="21" t="s">
        <v>2611</v>
      </c>
      <c r="AG207" s="35">
        <v>46034.452083333337</v>
      </c>
      <c r="AH207" s="21" t="s">
        <v>1921</v>
      </c>
      <c r="AI207" s="25">
        <v>28</v>
      </c>
      <c r="AJ207" s="21" t="s">
        <v>1169</v>
      </c>
      <c r="AK207" s="21" t="s">
        <v>1922</v>
      </c>
      <c r="AL207" s="21" t="str">
        <f>IF(AD207-AI207&gt;0,(AD207-AI207)&amp;" bags - damaged in transit","None")</f>
        <v>None</v>
      </c>
      <c r="AM207" s="21" t="s">
        <v>844</v>
      </c>
      <c r="AN207" s="21" t="s">
        <v>848</v>
      </c>
      <c r="AO207" s="21" t="s">
        <v>2591</v>
      </c>
      <c r="AP207" s="21" t="str">
        <f>IF(AO207="Pending","Not yet invoiced",IF(AI207=AD207,"Matched","Invoiced on received qty ("&amp;AI207&amp;" of "&amp;AD207&amp;")"))</f>
        <v>Matched</v>
      </c>
      <c r="AQ207" s="21" t="s">
        <v>2592</v>
      </c>
    </row>
    <row r="208" spans="1:43" x14ac:dyDescent="0.3">
      <c r="A208" s="21" t="s">
        <v>2612</v>
      </c>
      <c r="B208" s="35">
        <v>46034.5</v>
      </c>
      <c r="C208" s="21" t="s">
        <v>1909</v>
      </c>
      <c r="D208" s="21" t="s">
        <v>2594</v>
      </c>
      <c r="E208" s="21" t="s">
        <v>2056</v>
      </c>
      <c r="F208" s="21" t="s">
        <v>768</v>
      </c>
      <c r="G208" s="35">
        <v>46034.772708333338</v>
      </c>
      <c r="H208" s="21" t="s">
        <v>1912</v>
      </c>
      <c r="I208" s="21" t="s">
        <v>1913</v>
      </c>
      <c r="J208" s="21" t="s">
        <v>1914</v>
      </c>
      <c r="K208" s="21" t="s">
        <v>1800</v>
      </c>
      <c r="L208" s="21" t="s">
        <v>1073</v>
      </c>
      <c r="M208" s="21" t="s">
        <v>1801</v>
      </c>
      <c r="N208" s="21" t="s">
        <v>1928</v>
      </c>
      <c r="O208" s="21" t="s">
        <v>1929</v>
      </c>
      <c r="P208" s="21" t="s">
        <v>1930</v>
      </c>
      <c r="Q208" s="21" t="s">
        <v>1213</v>
      </c>
      <c r="R208" s="21" t="s">
        <v>1216</v>
      </c>
      <c r="S208" s="21" t="s">
        <v>1104</v>
      </c>
      <c r="T208" s="21" t="s">
        <v>1917</v>
      </c>
      <c r="U208" s="21" t="s">
        <v>1753</v>
      </c>
      <c r="V208" s="21" t="str">
        <f>_xlfn.XLOOKUP(U208,'T07'!$D$3:$D$1500,'T07'!$BI$3:$BI$1500)&amp;" / "&amp;_xlfn.XLOOKUP(U208,'T07'!$D$3:$D$1500,'T07'!$BJ$3:$BJ$1500)</f>
        <v>LHR-HTV-2009-86678 / HTV</v>
      </c>
      <c r="W208" s="21" t="s">
        <v>1917</v>
      </c>
      <c r="X208" s="21" t="s">
        <v>1755</v>
      </c>
      <c r="Y208" s="21" t="s">
        <v>2057</v>
      </c>
      <c r="Z208" s="21">
        <v>1</v>
      </c>
      <c r="AA208" s="21" t="s">
        <v>1840</v>
      </c>
      <c r="AB208" s="21" t="s">
        <v>1841</v>
      </c>
      <c r="AC208" s="25">
        <v>1950</v>
      </c>
      <c r="AD208" s="25">
        <v>1000</v>
      </c>
      <c r="AE208" s="21" t="s">
        <v>2613</v>
      </c>
      <c r="AF208" s="21" t="s">
        <v>2614</v>
      </c>
      <c r="AG208" s="35">
        <v>46034.792708333334</v>
      </c>
      <c r="AH208" s="21" t="s">
        <v>1983</v>
      </c>
      <c r="AI208" s="25">
        <v>1000</v>
      </c>
      <c r="AJ208" s="21" t="s">
        <v>1074</v>
      </c>
      <c r="AK208" s="21" t="s">
        <v>1922</v>
      </c>
      <c r="AL208" s="21" t="str">
        <f>IF(AD208-AI208&gt;0,(AD208-AI208)&amp;" bags - damaged in transit","None")</f>
        <v>None</v>
      </c>
      <c r="AM208" s="21" t="s">
        <v>844</v>
      </c>
      <c r="AN208" s="21" t="s">
        <v>848</v>
      </c>
      <c r="AO208" s="21" t="s">
        <v>2597</v>
      </c>
      <c r="AP208" s="21" t="str">
        <f>IF(AO208="Pending","Not yet invoiced",IF(AI208=AD208,"Matched","Invoiced on received qty ("&amp;AI208&amp;" of "&amp;AD208&amp;")"))</f>
        <v>Matched</v>
      </c>
      <c r="AQ208" s="21" t="s">
        <v>2615</v>
      </c>
    </row>
    <row r="209" spans="1:43" x14ac:dyDescent="0.3">
      <c r="A209" s="21" t="s">
        <v>2616</v>
      </c>
      <c r="B209" s="35">
        <v>46037.708333333336</v>
      </c>
      <c r="C209" s="21" t="s">
        <v>1909</v>
      </c>
      <c r="D209" s="21" t="s">
        <v>2588</v>
      </c>
      <c r="E209" s="21" t="s">
        <v>1911</v>
      </c>
      <c r="F209" s="21" t="s">
        <v>1817</v>
      </c>
      <c r="G209" s="35">
        <v>46037.80708333334</v>
      </c>
      <c r="H209" s="21" t="s">
        <v>1912</v>
      </c>
      <c r="I209" s="21" t="s">
        <v>1913</v>
      </c>
      <c r="J209" s="21" t="s">
        <v>1914</v>
      </c>
      <c r="K209" s="21" t="s">
        <v>1819</v>
      </c>
      <c r="L209" s="21" t="s">
        <v>1156</v>
      </c>
      <c r="M209" s="21" t="s">
        <v>1167</v>
      </c>
      <c r="N209" s="21" t="s">
        <v>1168</v>
      </c>
      <c r="O209" s="21" t="s">
        <v>2567</v>
      </c>
      <c r="P209" s="21" t="s">
        <v>1916</v>
      </c>
      <c r="Q209" s="21" t="s">
        <v>1339</v>
      </c>
      <c r="R209" s="21" t="s">
        <v>1350</v>
      </c>
      <c r="S209" s="21" t="s">
        <v>1352</v>
      </c>
      <c r="T209" s="21" t="s">
        <v>1917</v>
      </c>
      <c r="U209" s="21" t="s">
        <v>1724</v>
      </c>
      <c r="V209" s="21" t="str">
        <f>_xlfn.XLOOKUP(U209,'T07'!$D$3:$D$1500,'T07'!$BI$3:$BI$1500)&amp;" / "&amp;_xlfn.XLOOKUP(U209,'T07'!$D$3:$D$1500,'T07'!$BJ$3:$BJ$1500)</f>
        <v>LHR-HTV-2008-90487 / HTV</v>
      </c>
      <c r="W209" s="21" t="s">
        <v>1917</v>
      </c>
      <c r="X209" s="21" t="s">
        <v>1726</v>
      </c>
      <c r="Y209" s="21" t="s">
        <v>1918</v>
      </c>
      <c r="Z209" s="21">
        <v>1</v>
      </c>
      <c r="AA209" s="21" t="s">
        <v>1881</v>
      </c>
      <c r="AB209" s="21" t="s">
        <v>783</v>
      </c>
      <c r="AC209" s="25">
        <v>145</v>
      </c>
      <c r="AD209" s="25">
        <v>38</v>
      </c>
      <c r="AE209" s="21" t="s">
        <v>2617</v>
      </c>
      <c r="AF209" s="21" t="s">
        <v>2618</v>
      </c>
      <c r="AG209" s="35">
        <v>46037.827083333337</v>
      </c>
      <c r="AH209" s="21" t="s">
        <v>1921</v>
      </c>
      <c r="AI209" s="25">
        <v>38</v>
      </c>
      <c r="AJ209" s="21" t="s">
        <v>1169</v>
      </c>
      <c r="AK209" s="21" t="s">
        <v>1922</v>
      </c>
      <c r="AL209" s="21" t="str">
        <f>IF(AD209-AI209&gt;0,(AD209-AI209)&amp;" bags - damaged in transit","None")</f>
        <v>None</v>
      </c>
      <c r="AM209" s="21" t="s">
        <v>844</v>
      </c>
      <c r="AN209" s="21" t="s">
        <v>848</v>
      </c>
      <c r="AO209" s="21" t="s">
        <v>2591</v>
      </c>
      <c r="AP209" s="21" t="str">
        <f>IF(AO209="Pending","Not yet invoiced",IF(AI209=AD209,"Matched","Invoiced on received qty ("&amp;AI209&amp;" of "&amp;AD209&amp;")"))</f>
        <v>Matched</v>
      </c>
      <c r="AQ209" s="21" t="s">
        <v>2592</v>
      </c>
    </row>
    <row r="210" spans="1:43" x14ac:dyDescent="0.3">
      <c r="A210" s="21" t="s">
        <v>2619</v>
      </c>
      <c r="B210" s="35">
        <v>46041.291666666664</v>
      </c>
      <c r="C210" s="21" t="s">
        <v>1909</v>
      </c>
      <c r="D210" s="21" t="s">
        <v>2594</v>
      </c>
      <c r="E210" s="21" t="s">
        <v>1945</v>
      </c>
      <c r="F210" s="21" t="s">
        <v>768</v>
      </c>
      <c r="G210" s="35">
        <v>46041.564375000002</v>
      </c>
      <c r="H210" s="21" t="s">
        <v>1912</v>
      </c>
      <c r="I210" s="21" t="s">
        <v>1913</v>
      </c>
      <c r="J210" s="21" t="s">
        <v>1914</v>
      </c>
      <c r="K210" s="21" t="s">
        <v>1800</v>
      </c>
      <c r="L210" s="21" t="s">
        <v>1073</v>
      </c>
      <c r="M210" s="21" t="s">
        <v>1801</v>
      </c>
      <c r="N210" s="21" t="s">
        <v>1928</v>
      </c>
      <c r="O210" s="21" t="s">
        <v>1929</v>
      </c>
      <c r="P210" s="21" t="s">
        <v>1930</v>
      </c>
      <c r="Q210" s="21" t="s">
        <v>1213</v>
      </c>
      <c r="R210" s="21" t="s">
        <v>1255</v>
      </c>
      <c r="S210" s="21" t="s">
        <v>1104</v>
      </c>
      <c r="T210" s="21" t="s">
        <v>1917</v>
      </c>
      <c r="U210" s="21" t="s">
        <v>1739</v>
      </c>
      <c r="V210" s="21" t="str">
        <f>_xlfn.XLOOKUP(U210,'T07'!$D$3:$D$1500,'T07'!$BI$3:$BI$1500)&amp;" / "&amp;_xlfn.XLOOKUP(U210,'T07'!$D$3:$D$1500,'T07'!$BJ$3:$BJ$1500)</f>
        <v>LHR-HTV-2020-13470 / HTV</v>
      </c>
      <c r="W210" s="21" t="s">
        <v>1917</v>
      </c>
      <c r="X210" s="21" t="s">
        <v>1742</v>
      </c>
      <c r="Y210" s="21" t="s">
        <v>2137</v>
      </c>
      <c r="Z210" s="21">
        <v>1</v>
      </c>
      <c r="AA210" s="21" t="s">
        <v>1828</v>
      </c>
      <c r="AB210" s="21" t="s">
        <v>1804</v>
      </c>
      <c r="AC210" s="25">
        <v>950</v>
      </c>
      <c r="AD210" s="25">
        <v>350</v>
      </c>
      <c r="AE210" s="21" t="s">
        <v>2620</v>
      </c>
      <c r="AF210" s="21" t="s">
        <v>2621</v>
      </c>
      <c r="AG210" s="35">
        <v>46041.584374999999</v>
      </c>
      <c r="AH210" s="21" t="s">
        <v>1934</v>
      </c>
      <c r="AI210" s="25">
        <v>350</v>
      </c>
      <c r="AJ210" s="21" t="s">
        <v>1074</v>
      </c>
      <c r="AK210" s="21" t="s">
        <v>1922</v>
      </c>
      <c r="AL210" s="21" t="str">
        <f>IF(AD210-AI210&gt;0,(AD210-AI210)&amp;" bags - damaged in transit","None")</f>
        <v>None</v>
      </c>
      <c r="AM210" s="21" t="s">
        <v>844</v>
      </c>
      <c r="AN210" s="21" t="s">
        <v>848</v>
      </c>
      <c r="AO210" s="21" t="s">
        <v>2597</v>
      </c>
      <c r="AP210" s="21" t="str">
        <f>IF(AO210="Pending","Not yet invoiced",IF(AI210=AD210,"Matched","Invoiced on received qty ("&amp;AI210&amp;" of "&amp;AD210&amp;")"))</f>
        <v>Matched</v>
      </c>
      <c r="AQ210" s="21" t="s">
        <v>2615</v>
      </c>
    </row>
    <row r="211" spans="1:43" x14ac:dyDescent="0.3">
      <c r="A211" s="21" t="s">
        <v>2619</v>
      </c>
      <c r="B211" s="35">
        <v>46041.291666666664</v>
      </c>
      <c r="C211" s="21" t="s">
        <v>1909</v>
      </c>
      <c r="D211" s="21" t="s">
        <v>2594</v>
      </c>
      <c r="E211" s="21" t="s">
        <v>2056</v>
      </c>
      <c r="F211" s="21" t="s">
        <v>768</v>
      </c>
      <c r="G211" s="35">
        <v>46041.564375000002</v>
      </c>
      <c r="H211" s="21" t="s">
        <v>1912</v>
      </c>
      <c r="I211" s="21" t="s">
        <v>1913</v>
      </c>
      <c r="J211" s="21" t="s">
        <v>1914</v>
      </c>
      <c r="K211" s="21" t="s">
        <v>1800</v>
      </c>
      <c r="L211" s="21" t="s">
        <v>1073</v>
      </c>
      <c r="M211" s="21" t="s">
        <v>1801</v>
      </c>
      <c r="N211" s="21" t="s">
        <v>1928</v>
      </c>
      <c r="O211" s="21" t="s">
        <v>1929</v>
      </c>
      <c r="P211" s="21" t="s">
        <v>1930</v>
      </c>
      <c r="Q211" s="21" t="s">
        <v>1213</v>
      </c>
      <c r="R211" s="21" t="s">
        <v>1255</v>
      </c>
      <c r="S211" s="21" t="s">
        <v>1104</v>
      </c>
      <c r="T211" s="21" t="s">
        <v>1917</v>
      </c>
      <c r="U211" s="21" t="s">
        <v>1739</v>
      </c>
      <c r="V211" s="21" t="str">
        <f>_xlfn.XLOOKUP(U211,'T07'!$D$3:$D$1500,'T07'!$BI$3:$BI$1500)&amp;" / "&amp;_xlfn.XLOOKUP(U211,'T07'!$D$3:$D$1500,'T07'!$BJ$3:$BJ$1500)</f>
        <v>LHR-HTV-2020-13470 / HTV</v>
      </c>
      <c r="W211" s="21" t="s">
        <v>1917</v>
      </c>
      <c r="X211" s="21" t="s">
        <v>1742</v>
      </c>
      <c r="Y211" s="21" t="s">
        <v>2137</v>
      </c>
      <c r="Z211" s="21">
        <v>2</v>
      </c>
      <c r="AA211" s="21" t="s">
        <v>1840</v>
      </c>
      <c r="AB211" s="21" t="s">
        <v>1841</v>
      </c>
      <c r="AC211" s="25">
        <v>950</v>
      </c>
      <c r="AD211" s="25">
        <v>350</v>
      </c>
      <c r="AE211" s="21" t="s">
        <v>2622</v>
      </c>
      <c r="AF211" s="21" t="s">
        <v>2621</v>
      </c>
      <c r="AG211" s="35">
        <v>46041.584374999999</v>
      </c>
      <c r="AH211" s="21" t="s">
        <v>1934</v>
      </c>
      <c r="AI211" s="25">
        <v>346</v>
      </c>
      <c r="AJ211" s="21" t="s">
        <v>1074</v>
      </c>
      <c r="AK211" s="21" t="s">
        <v>1922</v>
      </c>
      <c r="AL211" s="21" t="str">
        <f>IF(AD211-AI211&gt;0,(AD211-AI211)&amp;" bags - damaged in transit","None")</f>
        <v>4 bags - damaged in transit</v>
      </c>
      <c r="AM211" s="21" t="s">
        <v>2623</v>
      </c>
      <c r="AN211" s="21" t="s">
        <v>2624</v>
      </c>
      <c r="AO211" s="21" t="s">
        <v>2597</v>
      </c>
      <c r="AP211" s="21" t="str">
        <f>IF(AO211="Pending","Not yet invoiced",IF(AI211=AD211,"Matched","Invoiced on received qty ("&amp;AI211&amp;" of "&amp;AD211&amp;")"))</f>
        <v>Invoiced on received qty (346 of 350)</v>
      </c>
      <c r="AQ211" s="21" t="s">
        <v>2615</v>
      </c>
    </row>
    <row r="212" spans="1:43" x14ac:dyDescent="0.3">
      <c r="A212" s="21" t="s">
        <v>2619</v>
      </c>
      <c r="B212" s="35">
        <v>46041.291666666664</v>
      </c>
      <c r="C212" s="21" t="s">
        <v>1909</v>
      </c>
      <c r="D212" s="21" t="s">
        <v>2594</v>
      </c>
      <c r="E212" s="21" t="s">
        <v>1945</v>
      </c>
      <c r="F212" s="21" t="s">
        <v>768</v>
      </c>
      <c r="G212" s="35">
        <v>46041.564375000002</v>
      </c>
      <c r="H212" s="21" t="s">
        <v>1912</v>
      </c>
      <c r="I212" s="21" t="s">
        <v>1913</v>
      </c>
      <c r="J212" s="21" t="s">
        <v>1914</v>
      </c>
      <c r="K212" s="21" t="s">
        <v>1800</v>
      </c>
      <c r="L212" s="21" t="s">
        <v>1073</v>
      </c>
      <c r="M212" s="21" t="s">
        <v>1801</v>
      </c>
      <c r="N212" s="21" t="s">
        <v>1928</v>
      </c>
      <c r="O212" s="21" t="s">
        <v>1929</v>
      </c>
      <c r="P212" s="21" t="s">
        <v>1930</v>
      </c>
      <c r="Q212" s="21" t="s">
        <v>1213</v>
      </c>
      <c r="R212" s="21" t="s">
        <v>1255</v>
      </c>
      <c r="S212" s="21" t="s">
        <v>1104</v>
      </c>
      <c r="T212" s="21" t="s">
        <v>1917</v>
      </c>
      <c r="U212" s="21" t="s">
        <v>1739</v>
      </c>
      <c r="V212" s="21" t="str">
        <f>_xlfn.XLOOKUP(U212,'T07'!$D$3:$D$1500,'T07'!$BI$3:$BI$1500)&amp;" / "&amp;_xlfn.XLOOKUP(U212,'T07'!$D$3:$D$1500,'T07'!$BJ$3:$BJ$1500)</f>
        <v>LHR-HTV-2020-13470 / HTV</v>
      </c>
      <c r="W212" s="21" t="s">
        <v>1917</v>
      </c>
      <c r="X212" s="21" t="s">
        <v>1742</v>
      </c>
      <c r="Y212" s="21" t="s">
        <v>2137</v>
      </c>
      <c r="Z212" s="21">
        <v>3</v>
      </c>
      <c r="AA212" s="21" t="s">
        <v>1865</v>
      </c>
      <c r="AB212" s="21" t="s">
        <v>1804</v>
      </c>
      <c r="AC212" s="25">
        <v>950</v>
      </c>
      <c r="AD212" s="25">
        <v>350</v>
      </c>
      <c r="AE212" s="21" t="s">
        <v>2625</v>
      </c>
      <c r="AF212" s="21" t="s">
        <v>2621</v>
      </c>
      <c r="AG212" s="35">
        <v>46041.584374999999</v>
      </c>
      <c r="AH212" s="21" t="s">
        <v>1934</v>
      </c>
      <c r="AI212" s="25">
        <v>350</v>
      </c>
      <c r="AJ212" s="21" t="s">
        <v>1074</v>
      </c>
      <c r="AK212" s="21" t="s">
        <v>1922</v>
      </c>
      <c r="AL212" s="21" t="str">
        <f>IF(AD212-AI212&gt;0,(AD212-AI212)&amp;" bags - damaged in transit","None")</f>
        <v>None</v>
      </c>
      <c r="AM212" s="21" t="s">
        <v>844</v>
      </c>
      <c r="AN212" s="21" t="s">
        <v>848</v>
      </c>
      <c r="AO212" s="21" t="s">
        <v>2597</v>
      </c>
      <c r="AP212" s="21" t="str">
        <f>IF(AO212="Pending","Not yet invoiced",IF(AI212=AD212,"Matched","Invoiced on received qty ("&amp;AI212&amp;" of "&amp;AD212&amp;")"))</f>
        <v>Matched</v>
      </c>
      <c r="AQ212" s="21" t="s">
        <v>2615</v>
      </c>
    </row>
    <row r="213" spans="1:43" x14ac:dyDescent="0.3">
      <c r="A213" s="21" t="s">
        <v>2626</v>
      </c>
      <c r="B213" s="35">
        <v>46043.375</v>
      </c>
      <c r="C213" s="21" t="s">
        <v>1909</v>
      </c>
      <c r="D213" s="21" t="s">
        <v>2588</v>
      </c>
      <c r="E213" s="21" t="s">
        <v>1911</v>
      </c>
      <c r="F213" s="21" t="s">
        <v>1817</v>
      </c>
      <c r="G213" s="35">
        <v>46043.473750000005</v>
      </c>
      <c r="H213" s="21" t="s">
        <v>1912</v>
      </c>
      <c r="I213" s="21" t="s">
        <v>1913</v>
      </c>
      <c r="J213" s="21" t="s">
        <v>1914</v>
      </c>
      <c r="K213" s="21" t="s">
        <v>1819</v>
      </c>
      <c r="L213" s="21" t="s">
        <v>1156</v>
      </c>
      <c r="M213" s="21" t="s">
        <v>1167</v>
      </c>
      <c r="N213" s="21" t="s">
        <v>1168</v>
      </c>
      <c r="O213" s="21" t="s">
        <v>2567</v>
      </c>
      <c r="P213" s="21" t="s">
        <v>1916</v>
      </c>
      <c r="Q213" s="21" t="s">
        <v>1339</v>
      </c>
      <c r="R213" s="21" t="s">
        <v>1350</v>
      </c>
      <c r="S213" s="21" t="s">
        <v>1352</v>
      </c>
      <c r="T213" s="21" t="s">
        <v>1917</v>
      </c>
      <c r="U213" s="21" t="s">
        <v>1753</v>
      </c>
      <c r="V213" s="21" t="str">
        <f>_xlfn.XLOOKUP(U213,'T07'!$D$3:$D$1500,'T07'!$BI$3:$BI$1500)&amp;" / "&amp;_xlfn.XLOOKUP(U213,'T07'!$D$3:$D$1500,'T07'!$BJ$3:$BJ$1500)</f>
        <v>LHR-HTV-2009-86678 / HTV</v>
      </c>
      <c r="W213" s="21" t="s">
        <v>1917</v>
      </c>
      <c r="X213" s="21" t="s">
        <v>1755</v>
      </c>
      <c r="Y213" s="21" t="s">
        <v>1918</v>
      </c>
      <c r="Z213" s="21">
        <v>1</v>
      </c>
      <c r="AA213" s="21" t="s">
        <v>1881</v>
      </c>
      <c r="AB213" s="21" t="s">
        <v>783</v>
      </c>
      <c r="AC213" s="25">
        <v>107</v>
      </c>
      <c r="AD213" s="25">
        <v>39</v>
      </c>
      <c r="AE213" s="21" t="s">
        <v>2627</v>
      </c>
      <c r="AF213" s="21" t="s">
        <v>2628</v>
      </c>
      <c r="AG213" s="35">
        <v>46043.493750000001</v>
      </c>
      <c r="AH213" s="21" t="s">
        <v>1921</v>
      </c>
      <c r="AI213" s="25">
        <v>39</v>
      </c>
      <c r="AJ213" s="21" t="s">
        <v>1169</v>
      </c>
      <c r="AK213" s="21" t="s">
        <v>1922</v>
      </c>
      <c r="AL213" s="21" t="str">
        <f>IF(AD213-AI213&gt;0,(AD213-AI213)&amp;" bags - damaged in transit","None")</f>
        <v>None</v>
      </c>
      <c r="AM213" s="21" t="s">
        <v>844</v>
      </c>
      <c r="AN213" s="21" t="s">
        <v>848</v>
      </c>
      <c r="AO213" s="21" t="s">
        <v>2591</v>
      </c>
      <c r="AP213" s="21" t="str">
        <f>IF(AO213="Pending","Not yet invoiced",IF(AI213=AD213,"Matched","Invoiced on received qty ("&amp;AI213&amp;" of "&amp;AD213&amp;")"))</f>
        <v>Matched</v>
      </c>
      <c r="AQ213" s="21" t="s">
        <v>2592</v>
      </c>
    </row>
    <row r="214" spans="1:43" x14ac:dyDescent="0.3">
      <c r="A214" s="21" t="s">
        <v>2629</v>
      </c>
      <c r="B214" s="35">
        <v>46046.416666666664</v>
      </c>
      <c r="C214" s="21" t="s">
        <v>1909</v>
      </c>
      <c r="D214" s="21" t="s">
        <v>2588</v>
      </c>
      <c r="E214" s="21" t="s">
        <v>1911</v>
      </c>
      <c r="F214" s="21" t="s">
        <v>1817</v>
      </c>
      <c r="G214" s="35">
        <v>46046.515416666669</v>
      </c>
      <c r="H214" s="21" t="s">
        <v>1912</v>
      </c>
      <c r="I214" s="21" t="s">
        <v>1913</v>
      </c>
      <c r="J214" s="21" t="s">
        <v>1914</v>
      </c>
      <c r="K214" s="21" t="s">
        <v>1819</v>
      </c>
      <c r="L214" s="21" t="s">
        <v>1156</v>
      </c>
      <c r="M214" s="21" t="s">
        <v>1167</v>
      </c>
      <c r="N214" s="21" t="s">
        <v>1168</v>
      </c>
      <c r="O214" s="21" t="s">
        <v>2567</v>
      </c>
      <c r="P214" s="21" t="s">
        <v>1916</v>
      </c>
      <c r="Q214" s="21" t="s">
        <v>1339</v>
      </c>
      <c r="R214" s="21" t="s">
        <v>1367</v>
      </c>
      <c r="S214" s="21" t="s">
        <v>1352</v>
      </c>
      <c r="T214" s="21" t="s">
        <v>1917</v>
      </c>
      <c r="U214" s="21" t="s">
        <v>1711</v>
      </c>
      <c r="V214" s="21" t="str">
        <f>_xlfn.XLOOKUP(U214,'T07'!$D$3:$D$1500,'T07'!$BI$3:$BI$1500)&amp;" / "&amp;_xlfn.XLOOKUP(U214,'T07'!$D$3:$D$1500,'T07'!$BJ$3:$BJ$1500)</f>
        <v>LHR-HTV-2008-42260 / HTV</v>
      </c>
      <c r="W214" s="21" t="s">
        <v>1917</v>
      </c>
      <c r="X214" s="21" t="s">
        <v>1713</v>
      </c>
      <c r="Y214" s="21" t="s">
        <v>2051</v>
      </c>
      <c r="Z214" s="21">
        <v>1</v>
      </c>
      <c r="AA214" s="21" t="s">
        <v>1881</v>
      </c>
      <c r="AB214" s="21" t="s">
        <v>783</v>
      </c>
      <c r="AC214" s="25">
        <v>68</v>
      </c>
      <c r="AD214" s="25">
        <v>40</v>
      </c>
      <c r="AE214" s="21" t="s">
        <v>2630</v>
      </c>
      <c r="AF214" s="21" t="s">
        <v>2631</v>
      </c>
      <c r="AG214" s="35">
        <v>46046.535416666666</v>
      </c>
      <c r="AH214" s="21" t="s">
        <v>1921</v>
      </c>
      <c r="AI214" s="25">
        <v>40</v>
      </c>
      <c r="AJ214" s="21" t="s">
        <v>1169</v>
      </c>
      <c r="AK214" s="21" t="s">
        <v>1922</v>
      </c>
      <c r="AL214" s="21" t="str">
        <f>IF(AD214-AI214&gt;0,(AD214-AI214)&amp;" bags - damaged in transit","None")</f>
        <v>None</v>
      </c>
      <c r="AM214" s="21" t="s">
        <v>844</v>
      </c>
      <c r="AN214" s="21" t="s">
        <v>848</v>
      </c>
      <c r="AO214" s="21" t="s">
        <v>2591</v>
      </c>
      <c r="AP214" s="21" t="str">
        <f>IF(AO214="Pending","Not yet invoiced",IF(AI214=AD214,"Matched","Invoiced on received qty ("&amp;AI214&amp;" of "&amp;AD214&amp;")"))</f>
        <v>Matched</v>
      </c>
      <c r="AQ214" s="21" t="s">
        <v>2592</v>
      </c>
    </row>
    <row r="215" spans="1:43" x14ac:dyDescent="0.3">
      <c r="A215" s="21" t="s">
        <v>2632</v>
      </c>
      <c r="B215" s="35">
        <v>46047.5</v>
      </c>
      <c r="C215" s="21" t="s">
        <v>1909</v>
      </c>
      <c r="D215" s="21" t="s">
        <v>2594</v>
      </c>
      <c r="E215" s="21" t="s">
        <v>1927</v>
      </c>
      <c r="F215" s="21" t="s">
        <v>768</v>
      </c>
      <c r="G215" s="35">
        <v>46047.772708333338</v>
      </c>
      <c r="H215" s="21" t="s">
        <v>1912</v>
      </c>
      <c r="I215" s="21" t="s">
        <v>1913</v>
      </c>
      <c r="J215" s="21" t="s">
        <v>1914</v>
      </c>
      <c r="K215" s="21" t="s">
        <v>1800</v>
      </c>
      <c r="L215" s="21" t="s">
        <v>1073</v>
      </c>
      <c r="M215" s="21" t="s">
        <v>1801</v>
      </c>
      <c r="N215" s="21" t="s">
        <v>1928</v>
      </c>
      <c r="O215" s="21" t="s">
        <v>1929</v>
      </c>
      <c r="P215" s="21" t="s">
        <v>1930</v>
      </c>
      <c r="Q215" s="21" t="s">
        <v>1278</v>
      </c>
      <c r="R215" s="21" t="s">
        <v>1310</v>
      </c>
      <c r="S215" s="21" t="s">
        <v>1247</v>
      </c>
      <c r="T215" s="21" t="s">
        <v>1917</v>
      </c>
      <c r="U215" s="21" t="s">
        <v>1766</v>
      </c>
      <c r="V215" s="21" t="str">
        <f>_xlfn.XLOOKUP(U215,'T07'!$D$3:$D$1500,'T07'!$BI$3:$BI$1500)&amp;" / "&amp;_xlfn.XLOOKUP(U215,'T07'!$D$3:$D$1500,'T07'!$BJ$3:$BJ$1500)</f>
        <v>LHR-LTV-2019-66685 / LTV</v>
      </c>
      <c r="W215" s="21" t="s">
        <v>1917</v>
      </c>
      <c r="X215" s="21" t="s">
        <v>1768</v>
      </c>
      <c r="Y215" s="21" t="s">
        <v>1948</v>
      </c>
      <c r="Z215" s="21">
        <v>1</v>
      </c>
      <c r="AA215" s="21" t="s">
        <v>1865</v>
      </c>
      <c r="AB215" s="21" t="s">
        <v>1804</v>
      </c>
      <c r="AC215" s="25">
        <v>600</v>
      </c>
      <c r="AD215" s="25">
        <v>200</v>
      </c>
      <c r="AE215" s="21" t="s">
        <v>2633</v>
      </c>
      <c r="AF215" s="21" t="s">
        <v>2634</v>
      </c>
      <c r="AG215" s="35">
        <v>46047.792708333334</v>
      </c>
      <c r="AH215" s="21" t="s">
        <v>1934</v>
      </c>
      <c r="AI215" s="25">
        <v>200</v>
      </c>
      <c r="AJ215" s="21" t="s">
        <v>1074</v>
      </c>
      <c r="AK215" s="21" t="s">
        <v>1922</v>
      </c>
      <c r="AL215" s="21" t="str">
        <f>IF(AD215-AI215&gt;0,(AD215-AI215)&amp;" bags - damaged in transit","None")</f>
        <v>None</v>
      </c>
      <c r="AM215" s="21" t="s">
        <v>844</v>
      </c>
      <c r="AN215" s="21" t="s">
        <v>848</v>
      </c>
      <c r="AO215" s="21" t="s">
        <v>2597</v>
      </c>
      <c r="AP215" s="21" t="str">
        <f>IF(AO215="Pending","Not yet invoiced",IF(AI215=AD215,"Matched","Invoiced on received qty ("&amp;AI215&amp;" of "&amp;AD215&amp;")"))</f>
        <v>Matched</v>
      </c>
      <c r="AQ215" s="21" t="s">
        <v>2598</v>
      </c>
    </row>
    <row r="216" spans="1:43" x14ac:dyDescent="0.3">
      <c r="A216" s="21" t="s">
        <v>2635</v>
      </c>
      <c r="B216" s="35">
        <v>46055.333333333336</v>
      </c>
      <c r="C216" s="21" t="s">
        <v>1909</v>
      </c>
      <c r="D216" s="21" t="s">
        <v>2636</v>
      </c>
      <c r="E216" s="21" t="s">
        <v>1911</v>
      </c>
      <c r="F216" s="21" t="s">
        <v>768</v>
      </c>
      <c r="G216" s="35">
        <v>46055.452916666669</v>
      </c>
      <c r="H216" s="21" t="s">
        <v>1912</v>
      </c>
      <c r="I216" s="21" t="s">
        <v>1913</v>
      </c>
      <c r="J216" s="21" t="s">
        <v>1914</v>
      </c>
      <c r="K216" s="21" t="s">
        <v>1813</v>
      </c>
      <c r="L216" s="21" t="s">
        <v>1089</v>
      </c>
      <c r="M216" s="21" t="s">
        <v>1097</v>
      </c>
      <c r="N216" s="21" t="s">
        <v>2161</v>
      </c>
      <c r="O216" s="21" t="s">
        <v>1101</v>
      </c>
      <c r="P216" s="21" t="s">
        <v>1916</v>
      </c>
      <c r="Q216" s="21" t="s">
        <v>1278</v>
      </c>
      <c r="R216" s="21" t="s">
        <v>1280</v>
      </c>
      <c r="S216" s="21" t="s">
        <v>1247</v>
      </c>
      <c r="T216" s="21" t="s">
        <v>1917</v>
      </c>
      <c r="U216" s="21" t="s">
        <v>1766</v>
      </c>
      <c r="V216" s="21" t="str">
        <f>_xlfn.XLOOKUP(U216,'T07'!$D$3:$D$1500,'T07'!$BI$3:$BI$1500)&amp;" / "&amp;_xlfn.XLOOKUP(U216,'T07'!$D$3:$D$1500,'T07'!$BJ$3:$BJ$1500)</f>
        <v>LHR-LTV-2019-66685 / LTV</v>
      </c>
      <c r="W216" s="21" t="s">
        <v>1917</v>
      </c>
      <c r="X216" s="21" t="s">
        <v>1768</v>
      </c>
      <c r="Y216" s="21" t="s">
        <v>2018</v>
      </c>
      <c r="Z216" s="21">
        <v>1</v>
      </c>
      <c r="AA216" s="21" t="s">
        <v>1826</v>
      </c>
      <c r="AB216" s="21" t="s">
        <v>1804</v>
      </c>
      <c r="AC216" s="25">
        <v>4000</v>
      </c>
      <c r="AD216" s="25">
        <v>200</v>
      </c>
      <c r="AE216" s="21" t="s">
        <v>2637</v>
      </c>
      <c r="AF216" s="21" t="s">
        <v>2638</v>
      </c>
      <c r="AG216" s="35">
        <v>46055.472916666666</v>
      </c>
      <c r="AH216" s="21" t="s">
        <v>1934</v>
      </c>
      <c r="AI216" s="25">
        <v>200</v>
      </c>
      <c r="AJ216" s="21" t="s">
        <v>2164</v>
      </c>
      <c r="AK216" s="21" t="s">
        <v>1922</v>
      </c>
      <c r="AL216" s="21" t="str">
        <f>IF(AD216-AI216&gt;0,(AD216-AI216)&amp;" bags - damaged in transit","None")</f>
        <v>None</v>
      </c>
      <c r="AM216" s="21" t="s">
        <v>844</v>
      </c>
      <c r="AN216" s="21" t="s">
        <v>848</v>
      </c>
      <c r="AO216" s="21" t="s">
        <v>2639</v>
      </c>
      <c r="AP216" s="21" t="str">
        <f>IF(AO216="Pending","Not yet invoiced",IF(AI216=AD216,"Matched","Invoiced on received qty ("&amp;AI216&amp;" of "&amp;AD216&amp;")"))</f>
        <v>Matched</v>
      </c>
      <c r="AQ216" s="21" t="s">
        <v>2640</v>
      </c>
    </row>
    <row r="217" spans="1:43" x14ac:dyDescent="0.3">
      <c r="A217" s="21" t="s">
        <v>2641</v>
      </c>
      <c r="B217" s="35">
        <v>46055.333333333336</v>
      </c>
      <c r="C217" s="21" t="s">
        <v>1909</v>
      </c>
      <c r="D217" s="21" t="s">
        <v>2642</v>
      </c>
      <c r="E217" s="21" t="s">
        <v>1911</v>
      </c>
      <c r="F217" s="21" t="s">
        <v>768</v>
      </c>
      <c r="G217" s="35">
        <v>46055.452916666669</v>
      </c>
      <c r="H217" s="21" t="s">
        <v>1912</v>
      </c>
      <c r="I217" s="21" t="s">
        <v>1913</v>
      </c>
      <c r="J217" s="21" t="s">
        <v>1914</v>
      </c>
      <c r="K217" s="21" t="s">
        <v>1813</v>
      </c>
      <c r="L217" s="21" t="s">
        <v>1089</v>
      </c>
      <c r="M217" s="21" t="s">
        <v>1097</v>
      </c>
      <c r="N217" s="21" t="s">
        <v>2161</v>
      </c>
      <c r="O217" s="21" t="s">
        <v>1101</v>
      </c>
      <c r="P217" s="21" t="s">
        <v>1916</v>
      </c>
      <c r="Q217" s="21" t="s">
        <v>1278</v>
      </c>
      <c r="R217" s="21" t="s">
        <v>1287</v>
      </c>
      <c r="S217" s="21" t="s">
        <v>1104</v>
      </c>
      <c r="T217" s="21" t="s">
        <v>1917</v>
      </c>
      <c r="U217" s="21" t="s">
        <v>1724</v>
      </c>
      <c r="V217" s="21" t="str">
        <f>_xlfn.XLOOKUP(U217,'T07'!$D$3:$D$1500,'T07'!$BI$3:$BI$1500)&amp;" / "&amp;_xlfn.XLOOKUP(U217,'T07'!$D$3:$D$1500,'T07'!$BJ$3:$BJ$1500)</f>
        <v>LHR-HTV-2008-90487 / HTV</v>
      </c>
      <c r="W217" s="21" t="s">
        <v>1917</v>
      </c>
      <c r="X217" s="21" t="s">
        <v>1726</v>
      </c>
      <c r="Y217" s="21" t="s">
        <v>2130</v>
      </c>
      <c r="Z217" s="21">
        <v>1</v>
      </c>
      <c r="AA217" s="21" t="s">
        <v>1826</v>
      </c>
      <c r="AB217" s="21" t="s">
        <v>1804</v>
      </c>
      <c r="AC217" s="25">
        <v>5000</v>
      </c>
      <c r="AD217" s="25">
        <v>1000</v>
      </c>
      <c r="AE217" s="21" t="s">
        <v>2643</v>
      </c>
      <c r="AF217" s="21" t="s">
        <v>2644</v>
      </c>
      <c r="AG217" s="35">
        <v>46055.472916666666</v>
      </c>
      <c r="AH217" s="21" t="s">
        <v>1983</v>
      </c>
      <c r="AI217" s="25">
        <v>1000</v>
      </c>
      <c r="AJ217" s="21" t="s">
        <v>2164</v>
      </c>
      <c r="AK217" s="21" t="s">
        <v>1922</v>
      </c>
      <c r="AL217" s="21" t="str">
        <f>IF(AD217-AI217&gt;0,(AD217-AI217)&amp;" bags - damaged in transit","None")</f>
        <v>None</v>
      </c>
      <c r="AM217" s="21" t="s">
        <v>844</v>
      </c>
      <c r="AN217" s="21" t="s">
        <v>848</v>
      </c>
      <c r="AO217" s="21" t="s">
        <v>2645</v>
      </c>
      <c r="AP217" s="21" t="str">
        <f>IF(AO217="Pending","Not yet invoiced",IF(AI217=AD217,"Matched","Invoiced on received qty ("&amp;AI217&amp;" of "&amp;AD217&amp;")"))</f>
        <v>Matched</v>
      </c>
      <c r="AQ217" s="21" t="s">
        <v>2640</v>
      </c>
    </row>
    <row r="218" spans="1:43" x14ac:dyDescent="0.3">
      <c r="A218" s="21" t="s">
        <v>2646</v>
      </c>
      <c r="B218" s="35">
        <v>46059.625</v>
      </c>
      <c r="C218" s="21" t="s">
        <v>1909</v>
      </c>
      <c r="D218" s="21" t="s">
        <v>2642</v>
      </c>
      <c r="E218" s="21" t="s">
        <v>1911</v>
      </c>
      <c r="F218" s="21" t="s">
        <v>768</v>
      </c>
      <c r="G218" s="35">
        <v>46059.744583333333</v>
      </c>
      <c r="H218" s="21" t="s">
        <v>1912</v>
      </c>
      <c r="I218" s="21" t="s">
        <v>1913</v>
      </c>
      <c r="J218" s="21" t="s">
        <v>1914</v>
      </c>
      <c r="K218" s="21" t="s">
        <v>1813</v>
      </c>
      <c r="L218" s="21" t="s">
        <v>1089</v>
      </c>
      <c r="M218" s="21" t="s">
        <v>1097</v>
      </c>
      <c r="N218" s="21" t="s">
        <v>2161</v>
      </c>
      <c r="O218" s="21" t="s">
        <v>1101</v>
      </c>
      <c r="P218" s="21" t="s">
        <v>1916</v>
      </c>
      <c r="Q218" s="21" t="s">
        <v>1278</v>
      </c>
      <c r="R218" s="21" t="s">
        <v>1294</v>
      </c>
      <c r="S218" s="21" t="s">
        <v>1127</v>
      </c>
      <c r="T218" s="21" t="s">
        <v>1917</v>
      </c>
      <c r="U218" s="21" t="s">
        <v>1697</v>
      </c>
      <c r="V218" s="21" t="str">
        <f>_xlfn.XLOOKUP(U218,'T07'!$D$3:$D$1500,'T07'!$BI$3:$BI$1500)&amp;" / "&amp;_xlfn.XLOOKUP(U218,'T07'!$D$3:$D$1500,'T07'!$BJ$3:$BJ$1500)</f>
        <v>LHR-HTV-2013-23962 / HTV</v>
      </c>
      <c r="W218" s="21" t="s">
        <v>1917</v>
      </c>
      <c r="X218" s="21" t="s">
        <v>1700</v>
      </c>
      <c r="Y218" s="21" t="s">
        <v>1957</v>
      </c>
      <c r="Z218" s="21">
        <v>1</v>
      </c>
      <c r="AA218" s="21" t="s">
        <v>1826</v>
      </c>
      <c r="AB218" s="21" t="s">
        <v>1804</v>
      </c>
      <c r="AC218" s="25">
        <v>4000</v>
      </c>
      <c r="AD218" s="25">
        <v>500</v>
      </c>
      <c r="AE218" s="21" t="s">
        <v>2647</v>
      </c>
      <c r="AF218" s="21" t="s">
        <v>2648</v>
      </c>
      <c r="AG218" s="35">
        <v>46059.76458333333</v>
      </c>
      <c r="AH218" s="21" t="s">
        <v>1934</v>
      </c>
      <c r="AI218" s="25">
        <v>495</v>
      </c>
      <c r="AJ218" s="21" t="s">
        <v>2164</v>
      </c>
      <c r="AK218" s="21" t="s">
        <v>1922</v>
      </c>
      <c r="AL218" s="21" t="str">
        <f>IF(AD218-AI218&gt;0,(AD218-AI218)&amp;" bags - damaged in transit","None")</f>
        <v>5 bags - damaged in transit</v>
      </c>
      <c r="AM218" s="21" t="s">
        <v>2649</v>
      </c>
      <c r="AN218" s="21" t="s">
        <v>2650</v>
      </c>
      <c r="AO218" s="21" t="s">
        <v>2645</v>
      </c>
      <c r="AP218" s="21" t="str">
        <f>IF(AO218="Pending","Not yet invoiced",IF(AI218=AD218,"Matched","Invoiced on received qty ("&amp;AI218&amp;" of "&amp;AD218&amp;")"))</f>
        <v>Invoiced on received qty (495 of 500)</v>
      </c>
      <c r="AQ218" s="21" t="s">
        <v>2640</v>
      </c>
    </row>
    <row r="219" spans="1:43" x14ac:dyDescent="0.3">
      <c r="A219" s="21" t="s">
        <v>2651</v>
      </c>
      <c r="B219" s="35">
        <v>46061.625</v>
      </c>
      <c r="C219" s="21" t="s">
        <v>1909</v>
      </c>
      <c r="D219" s="21" t="s">
        <v>2636</v>
      </c>
      <c r="E219" s="21" t="s">
        <v>1927</v>
      </c>
      <c r="F219" s="21" t="s">
        <v>768</v>
      </c>
      <c r="G219" s="35">
        <v>46061.744583333333</v>
      </c>
      <c r="H219" s="21" t="s">
        <v>1912</v>
      </c>
      <c r="I219" s="21" t="s">
        <v>1913</v>
      </c>
      <c r="J219" s="21" t="s">
        <v>1914</v>
      </c>
      <c r="K219" s="21" t="s">
        <v>1813</v>
      </c>
      <c r="L219" s="21" t="s">
        <v>1089</v>
      </c>
      <c r="M219" s="21" t="s">
        <v>1097</v>
      </c>
      <c r="N219" s="21" t="s">
        <v>2161</v>
      </c>
      <c r="O219" s="21" t="s">
        <v>1101</v>
      </c>
      <c r="P219" s="21" t="s">
        <v>1916</v>
      </c>
      <c r="Q219" s="21" t="s">
        <v>1213</v>
      </c>
      <c r="R219" s="21" t="s">
        <v>1236</v>
      </c>
      <c r="S219" s="21" t="s">
        <v>1127</v>
      </c>
      <c r="T219" s="21" t="s">
        <v>1917</v>
      </c>
      <c r="U219" s="21" t="s">
        <v>1724</v>
      </c>
      <c r="V219" s="21" t="str">
        <f>_xlfn.XLOOKUP(U219,'T07'!$D$3:$D$1500,'T07'!$BI$3:$BI$1500)&amp;" / "&amp;_xlfn.XLOOKUP(U219,'T07'!$D$3:$D$1500,'T07'!$BJ$3:$BJ$1500)</f>
        <v>LHR-HTV-2008-90487 / HTV</v>
      </c>
      <c r="W219" s="21" t="s">
        <v>1917</v>
      </c>
      <c r="X219" s="21" t="s">
        <v>1726</v>
      </c>
      <c r="Y219" s="21" t="s">
        <v>2000</v>
      </c>
      <c r="Z219" s="21">
        <v>1</v>
      </c>
      <c r="AA219" s="21" t="s">
        <v>1826</v>
      </c>
      <c r="AB219" s="21" t="s">
        <v>1804</v>
      </c>
      <c r="AC219" s="25">
        <v>3800</v>
      </c>
      <c r="AD219" s="25">
        <v>500</v>
      </c>
      <c r="AE219" s="21" t="s">
        <v>2652</v>
      </c>
      <c r="AF219" s="21" t="s">
        <v>2653</v>
      </c>
      <c r="AG219" s="35">
        <v>46061.76458333333</v>
      </c>
      <c r="AH219" s="21" t="s">
        <v>1934</v>
      </c>
      <c r="AI219" s="25">
        <v>500</v>
      </c>
      <c r="AJ219" s="21" t="s">
        <v>2164</v>
      </c>
      <c r="AK219" s="21" t="s">
        <v>1922</v>
      </c>
      <c r="AL219" s="21" t="str">
        <f>IF(AD219-AI219&gt;0,(AD219-AI219)&amp;" bags - damaged in transit","None")</f>
        <v>None</v>
      </c>
      <c r="AM219" s="21" t="s">
        <v>844</v>
      </c>
      <c r="AN219" s="21" t="s">
        <v>848</v>
      </c>
      <c r="AO219" s="21" t="s">
        <v>2639</v>
      </c>
      <c r="AP219" s="21" t="str">
        <f>IF(AO219="Pending","Not yet invoiced",IF(AI219=AD219,"Matched","Invoiced on received qty ("&amp;AI219&amp;" of "&amp;AD219&amp;")"))</f>
        <v>Matched</v>
      </c>
      <c r="AQ219" s="21" t="s">
        <v>2654</v>
      </c>
    </row>
    <row r="220" spans="1:43" x14ac:dyDescent="0.3">
      <c r="A220" s="21" t="s">
        <v>2655</v>
      </c>
      <c r="B220" s="35">
        <v>46063.375</v>
      </c>
      <c r="C220" s="21" t="s">
        <v>1909</v>
      </c>
      <c r="D220" s="21" t="s">
        <v>2642</v>
      </c>
      <c r="E220" s="21" t="s">
        <v>1927</v>
      </c>
      <c r="F220" s="21" t="s">
        <v>768</v>
      </c>
      <c r="G220" s="35">
        <v>46063.494583333333</v>
      </c>
      <c r="H220" s="21" t="s">
        <v>1912</v>
      </c>
      <c r="I220" s="21" t="s">
        <v>1913</v>
      </c>
      <c r="J220" s="21" t="s">
        <v>1914</v>
      </c>
      <c r="K220" s="21" t="s">
        <v>1813</v>
      </c>
      <c r="L220" s="21" t="s">
        <v>1089</v>
      </c>
      <c r="M220" s="21" t="s">
        <v>1097</v>
      </c>
      <c r="N220" s="21" t="s">
        <v>2161</v>
      </c>
      <c r="O220" s="21" t="s">
        <v>1101</v>
      </c>
      <c r="P220" s="21" t="s">
        <v>1916</v>
      </c>
      <c r="Q220" s="21" t="s">
        <v>1278</v>
      </c>
      <c r="R220" s="21" t="s">
        <v>1280</v>
      </c>
      <c r="S220" s="21" t="s">
        <v>1247</v>
      </c>
      <c r="T220" s="21" t="s">
        <v>1917</v>
      </c>
      <c r="U220" s="21" t="s">
        <v>1766</v>
      </c>
      <c r="V220" s="21" t="str">
        <f>_xlfn.XLOOKUP(U220,'T07'!$D$3:$D$1500,'T07'!$BI$3:$BI$1500)&amp;" / "&amp;_xlfn.XLOOKUP(U220,'T07'!$D$3:$D$1500,'T07'!$BJ$3:$BJ$1500)</f>
        <v>LHR-LTV-2019-66685 / LTV</v>
      </c>
      <c r="W220" s="21" t="s">
        <v>1917</v>
      </c>
      <c r="X220" s="21" t="s">
        <v>1768</v>
      </c>
      <c r="Y220" s="21" t="s">
        <v>2018</v>
      </c>
      <c r="Z220" s="21">
        <v>1</v>
      </c>
      <c r="AA220" s="21" t="s">
        <v>1826</v>
      </c>
      <c r="AB220" s="21" t="s">
        <v>1804</v>
      </c>
      <c r="AC220" s="25">
        <v>3500</v>
      </c>
      <c r="AD220" s="25">
        <v>200</v>
      </c>
      <c r="AE220" s="21" t="s">
        <v>2656</v>
      </c>
      <c r="AF220" s="21" t="s">
        <v>2657</v>
      </c>
      <c r="AG220" s="35">
        <v>46063.51458333333</v>
      </c>
      <c r="AH220" s="21" t="s">
        <v>1934</v>
      </c>
      <c r="AI220" s="25">
        <v>200</v>
      </c>
      <c r="AJ220" s="21" t="s">
        <v>2164</v>
      </c>
      <c r="AK220" s="21" t="s">
        <v>1922</v>
      </c>
      <c r="AL220" s="21" t="str">
        <f>IF(AD220-AI220&gt;0,(AD220-AI220)&amp;" bags - damaged in transit","None")</f>
        <v>None</v>
      </c>
      <c r="AM220" s="21" t="s">
        <v>844</v>
      </c>
      <c r="AN220" s="21" t="s">
        <v>848</v>
      </c>
      <c r="AO220" s="21" t="s">
        <v>2645</v>
      </c>
      <c r="AP220" s="21" t="str">
        <f>IF(AO220="Pending","Not yet invoiced",IF(AI220=AD220,"Matched","Invoiced on received qty ("&amp;AI220&amp;" of "&amp;AD220&amp;")"))</f>
        <v>Matched</v>
      </c>
      <c r="AQ220" s="21" t="s">
        <v>2640</v>
      </c>
    </row>
    <row r="221" spans="1:43" x14ac:dyDescent="0.3">
      <c r="A221" s="21" t="s">
        <v>2658</v>
      </c>
      <c r="B221" s="35">
        <v>46065.375</v>
      </c>
      <c r="C221" s="21" t="s">
        <v>1909</v>
      </c>
      <c r="D221" s="21" t="s">
        <v>2642</v>
      </c>
      <c r="E221" s="21" t="s">
        <v>1911</v>
      </c>
      <c r="F221" s="21" t="s">
        <v>768</v>
      </c>
      <c r="G221" s="35">
        <v>46065.494583333333</v>
      </c>
      <c r="H221" s="21" t="s">
        <v>1912</v>
      </c>
      <c r="I221" s="21" t="s">
        <v>1913</v>
      </c>
      <c r="J221" s="21" t="s">
        <v>1914</v>
      </c>
      <c r="K221" s="21" t="s">
        <v>1813</v>
      </c>
      <c r="L221" s="21" t="s">
        <v>1089</v>
      </c>
      <c r="M221" s="21" t="s">
        <v>1097</v>
      </c>
      <c r="N221" s="21" t="s">
        <v>2161</v>
      </c>
      <c r="O221" s="21" t="s">
        <v>1101</v>
      </c>
      <c r="P221" s="21" t="s">
        <v>1916</v>
      </c>
      <c r="Q221" s="21" t="s">
        <v>1213</v>
      </c>
      <c r="R221" s="21" t="s">
        <v>1264</v>
      </c>
      <c r="S221" s="21" t="s">
        <v>1127</v>
      </c>
      <c r="T221" s="21" t="s">
        <v>1917</v>
      </c>
      <c r="U221" s="21" t="s">
        <v>1782</v>
      </c>
      <c r="V221" s="21" t="str">
        <f>_xlfn.XLOOKUP(U221,'T07'!$D$3:$D$1500,'T07'!$BI$3:$BI$1500)&amp;" / "&amp;_xlfn.XLOOKUP(U221,'T07'!$D$3:$D$1500,'T07'!$BJ$3:$BJ$1500)</f>
        <v>LHR-HTV-2014-51184 / HTV</v>
      </c>
      <c r="W221" s="21" t="s">
        <v>1917</v>
      </c>
      <c r="X221" s="21" t="s">
        <v>1785</v>
      </c>
      <c r="Y221" s="21" t="s">
        <v>2008</v>
      </c>
      <c r="Z221" s="21">
        <v>1</v>
      </c>
      <c r="AA221" s="21" t="s">
        <v>1826</v>
      </c>
      <c r="AB221" s="21" t="s">
        <v>1804</v>
      </c>
      <c r="AC221" s="25">
        <v>3300</v>
      </c>
      <c r="AD221" s="25">
        <v>500</v>
      </c>
      <c r="AE221" s="21" t="s">
        <v>2659</v>
      </c>
      <c r="AF221" s="21" t="s">
        <v>2660</v>
      </c>
      <c r="AG221" s="35">
        <v>46065.51458333333</v>
      </c>
      <c r="AH221" s="21" t="s">
        <v>1934</v>
      </c>
      <c r="AI221" s="25">
        <v>500</v>
      </c>
      <c r="AJ221" s="21" t="s">
        <v>2164</v>
      </c>
      <c r="AK221" s="21" t="s">
        <v>1922</v>
      </c>
      <c r="AL221" s="21" t="str">
        <f>IF(AD221-AI221&gt;0,(AD221-AI221)&amp;" bags - damaged in transit","None")</f>
        <v>None</v>
      </c>
      <c r="AM221" s="21" t="s">
        <v>844</v>
      </c>
      <c r="AN221" s="21" t="s">
        <v>848</v>
      </c>
      <c r="AO221" s="21" t="s">
        <v>2645</v>
      </c>
      <c r="AP221" s="21" t="str">
        <f>IF(AO221="Pending","Not yet invoiced",IF(AI221=AD221,"Matched","Invoiced on received qty ("&amp;AI221&amp;" of "&amp;AD221&amp;")"))</f>
        <v>Matched</v>
      </c>
      <c r="AQ221" s="21" t="s">
        <v>2654</v>
      </c>
    </row>
    <row r="222" spans="1:43" x14ac:dyDescent="0.3">
      <c r="A222" s="21" t="s">
        <v>2661</v>
      </c>
      <c r="B222" s="35">
        <v>46066.291666666664</v>
      </c>
      <c r="C222" s="21" t="s">
        <v>1909</v>
      </c>
      <c r="D222" s="21" t="s">
        <v>2636</v>
      </c>
      <c r="E222" s="21" t="s">
        <v>1927</v>
      </c>
      <c r="F222" s="21" t="s">
        <v>768</v>
      </c>
      <c r="G222" s="35">
        <v>46066.411249999997</v>
      </c>
      <c r="H222" s="21" t="s">
        <v>1912</v>
      </c>
      <c r="I222" s="21" t="s">
        <v>1913</v>
      </c>
      <c r="J222" s="21" t="s">
        <v>1914</v>
      </c>
      <c r="K222" s="21" t="s">
        <v>1813</v>
      </c>
      <c r="L222" s="21" t="s">
        <v>1089</v>
      </c>
      <c r="M222" s="21" t="s">
        <v>1097</v>
      </c>
      <c r="N222" s="21" t="s">
        <v>2161</v>
      </c>
      <c r="O222" s="21" t="s">
        <v>1101</v>
      </c>
      <c r="P222" s="21" t="s">
        <v>1916</v>
      </c>
      <c r="Q222" s="21" t="s">
        <v>1213</v>
      </c>
      <c r="R222" s="21" t="s">
        <v>1244</v>
      </c>
      <c r="S222" s="21" t="s">
        <v>1247</v>
      </c>
      <c r="T222" s="21" t="s">
        <v>1917</v>
      </c>
      <c r="U222" s="21" t="s">
        <v>1766</v>
      </c>
      <c r="V222" s="21" t="str">
        <f>_xlfn.XLOOKUP(U222,'T07'!$D$3:$D$1500,'T07'!$BI$3:$BI$1500)&amp;" / "&amp;_xlfn.XLOOKUP(U222,'T07'!$D$3:$D$1500,'T07'!$BJ$3:$BJ$1500)</f>
        <v>LHR-LTV-2019-66685 / LTV</v>
      </c>
      <c r="W222" s="21" t="s">
        <v>1917</v>
      </c>
      <c r="X222" s="21" t="s">
        <v>1768</v>
      </c>
      <c r="Y222" s="21" t="s">
        <v>2097</v>
      </c>
      <c r="Z222" s="21">
        <v>1</v>
      </c>
      <c r="AA222" s="21" t="s">
        <v>1826</v>
      </c>
      <c r="AB222" s="21" t="s">
        <v>1804</v>
      </c>
      <c r="AC222" s="25">
        <v>3300</v>
      </c>
      <c r="AD222" s="25">
        <v>200</v>
      </c>
      <c r="AE222" s="21" t="s">
        <v>2662</v>
      </c>
      <c r="AF222" s="21" t="s">
        <v>2663</v>
      </c>
      <c r="AG222" s="35">
        <v>46066.431249999994</v>
      </c>
      <c r="AH222" s="21" t="s">
        <v>1934</v>
      </c>
      <c r="AI222" s="25">
        <v>200</v>
      </c>
      <c r="AJ222" s="21" t="s">
        <v>2164</v>
      </c>
      <c r="AK222" s="21" t="s">
        <v>1922</v>
      </c>
      <c r="AL222" s="21" t="str">
        <f>IF(AD222-AI222&gt;0,(AD222-AI222)&amp;" bags - damaged in transit","None")</f>
        <v>None</v>
      </c>
      <c r="AM222" s="21" t="s">
        <v>844</v>
      </c>
      <c r="AN222" s="21" t="s">
        <v>848</v>
      </c>
      <c r="AO222" s="21" t="s">
        <v>2639</v>
      </c>
      <c r="AP222" s="21" t="str">
        <f>IF(AO222="Pending","Not yet invoiced",IF(AI222=AD222,"Matched","Invoiced on received qty ("&amp;AI222&amp;" of "&amp;AD222&amp;")"))</f>
        <v>Matched</v>
      </c>
      <c r="AQ222" s="21" t="s">
        <v>2654</v>
      </c>
    </row>
    <row r="223" spans="1:43" x14ac:dyDescent="0.3">
      <c r="A223" s="21" t="s">
        <v>2664</v>
      </c>
      <c r="B223" s="35">
        <v>46069.291666666664</v>
      </c>
      <c r="C223" s="21" t="s">
        <v>1909</v>
      </c>
      <c r="D223" s="21" t="s">
        <v>2636</v>
      </c>
      <c r="E223" s="21" t="s">
        <v>1927</v>
      </c>
      <c r="F223" s="21" t="s">
        <v>768</v>
      </c>
      <c r="G223" s="35">
        <v>46069.411249999997</v>
      </c>
      <c r="H223" s="21" t="s">
        <v>1912</v>
      </c>
      <c r="I223" s="21" t="s">
        <v>1913</v>
      </c>
      <c r="J223" s="21" t="s">
        <v>1914</v>
      </c>
      <c r="K223" s="21" t="s">
        <v>1813</v>
      </c>
      <c r="L223" s="21" t="s">
        <v>1089</v>
      </c>
      <c r="M223" s="21" t="s">
        <v>1097</v>
      </c>
      <c r="N223" s="21" t="s">
        <v>2161</v>
      </c>
      <c r="O223" s="21" t="s">
        <v>1101</v>
      </c>
      <c r="P223" s="21" t="s">
        <v>1916</v>
      </c>
      <c r="Q223" s="21" t="s">
        <v>1278</v>
      </c>
      <c r="R223" s="21" t="s">
        <v>1287</v>
      </c>
      <c r="S223" s="21" t="s">
        <v>1104</v>
      </c>
      <c r="T223" s="21" t="s">
        <v>1917</v>
      </c>
      <c r="U223" s="21" t="s">
        <v>1782</v>
      </c>
      <c r="V223" s="21" t="str">
        <f>_xlfn.XLOOKUP(U223,'T07'!$D$3:$D$1500,'T07'!$BI$3:$BI$1500)&amp;" / "&amp;_xlfn.XLOOKUP(U223,'T07'!$D$3:$D$1500,'T07'!$BJ$3:$BJ$1500)</f>
        <v>LHR-HTV-2014-51184 / HTV</v>
      </c>
      <c r="W223" s="21" t="s">
        <v>1917</v>
      </c>
      <c r="X223" s="21" t="s">
        <v>1785</v>
      </c>
      <c r="Y223" s="21" t="s">
        <v>2130</v>
      </c>
      <c r="Z223" s="21">
        <v>1</v>
      </c>
      <c r="AA223" s="21" t="s">
        <v>1826</v>
      </c>
      <c r="AB223" s="21" t="s">
        <v>1804</v>
      </c>
      <c r="AC223" s="25">
        <v>3100</v>
      </c>
      <c r="AD223" s="25">
        <v>1000</v>
      </c>
      <c r="AE223" s="21" t="s">
        <v>2665</v>
      </c>
      <c r="AF223" s="21" t="s">
        <v>2666</v>
      </c>
      <c r="AG223" s="35">
        <v>46069.431249999994</v>
      </c>
      <c r="AH223" s="21" t="s">
        <v>1983</v>
      </c>
      <c r="AI223" s="25">
        <v>1000</v>
      </c>
      <c r="AJ223" s="21" t="s">
        <v>2164</v>
      </c>
      <c r="AK223" s="21" t="s">
        <v>1922</v>
      </c>
      <c r="AL223" s="21" t="str">
        <f>IF(AD223-AI223&gt;0,(AD223-AI223)&amp;" bags - damaged in transit","None")</f>
        <v>None</v>
      </c>
      <c r="AM223" s="21" t="s">
        <v>844</v>
      </c>
      <c r="AN223" s="21" t="s">
        <v>848</v>
      </c>
      <c r="AO223" s="21" t="s">
        <v>2639</v>
      </c>
      <c r="AP223" s="21" t="str">
        <f>IF(AO223="Pending","Not yet invoiced",IF(AI223=AD223,"Matched","Invoiced on received qty ("&amp;AI223&amp;" of "&amp;AD223&amp;")"))</f>
        <v>Matched</v>
      </c>
      <c r="AQ223" s="21" t="s">
        <v>2640</v>
      </c>
    </row>
    <row r="224" spans="1:43" x14ac:dyDescent="0.3">
      <c r="A224" s="21" t="s">
        <v>2667</v>
      </c>
      <c r="B224" s="35">
        <v>46070.458333333336</v>
      </c>
      <c r="C224" s="21" t="s">
        <v>1909</v>
      </c>
      <c r="D224" s="21" t="s">
        <v>2642</v>
      </c>
      <c r="E224" s="21" t="s">
        <v>1911</v>
      </c>
      <c r="F224" s="21" t="s">
        <v>768</v>
      </c>
      <c r="G224" s="35">
        <v>46070.577916666669</v>
      </c>
      <c r="H224" s="21" t="s">
        <v>1912</v>
      </c>
      <c r="I224" s="21" t="s">
        <v>1913</v>
      </c>
      <c r="J224" s="21" t="s">
        <v>1914</v>
      </c>
      <c r="K224" s="21" t="s">
        <v>1813</v>
      </c>
      <c r="L224" s="21" t="s">
        <v>1089</v>
      </c>
      <c r="M224" s="21" t="s">
        <v>1097</v>
      </c>
      <c r="N224" s="21" t="s">
        <v>2161</v>
      </c>
      <c r="O224" s="21" t="s">
        <v>1101</v>
      </c>
      <c r="P224" s="21" t="s">
        <v>1916</v>
      </c>
      <c r="Q224" s="21" t="s">
        <v>1213</v>
      </c>
      <c r="R224" s="21" t="s">
        <v>1264</v>
      </c>
      <c r="S224" s="21" t="s">
        <v>1127</v>
      </c>
      <c r="T224" s="21" t="s">
        <v>1917</v>
      </c>
      <c r="U224" s="21" t="s">
        <v>1697</v>
      </c>
      <c r="V224" s="21" t="str">
        <f>_xlfn.XLOOKUP(U224,'T07'!$D$3:$D$1500,'T07'!$BI$3:$BI$1500)&amp;" / "&amp;_xlfn.XLOOKUP(U224,'T07'!$D$3:$D$1500,'T07'!$BJ$3:$BJ$1500)</f>
        <v>LHR-HTV-2013-23962 / HTV</v>
      </c>
      <c r="W224" s="21" t="s">
        <v>1917</v>
      </c>
      <c r="X224" s="21" t="s">
        <v>1700</v>
      </c>
      <c r="Y224" s="21" t="s">
        <v>2008</v>
      </c>
      <c r="Z224" s="21">
        <v>1</v>
      </c>
      <c r="AA224" s="21" t="s">
        <v>1826</v>
      </c>
      <c r="AB224" s="21" t="s">
        <v>1804</v>
      </c>
      <c r="AC224" s="25">
        <v>2800</v>
      </c>
      <c r="AD224" s="25">
        <v>500</v>
      </c>
      <c r="AE224" s="21" t="s">
        <v>2668</v>
      </c>
      <c r="AF224" s="21" t="s">
        <v>2669</v>
      </c>
      <c r="AG224" s="35">
        <v>46070.597916666666</v>
      </c>
      <c r="AH224" s="21" t="s">
        <v>1934</v>
      </c>
      <c r="AI224" s="25">
        <v>500</v>
      </c>
      <c r="AJ224" s="21" t="s">
        <v>2164</v>
      </c>
      <c r="AK224" s="21" t="s">
        <v>1922</v>
      </c>
      <c r="AL224" s="21" t="str">
        <f>IF(AD224-AI224&gt;0,(AD224-AI224)&amp;" bags - damaged in transit","None")</f>
        <v>None</v>
      </c>
      <c r="AM224" s="21" t="s">
        <v>844</v>
      </c>
      <c r="AN224" s="21" t="s">
        <v>848</v>
      </c>
      <c r="AO224" s="21" t="s">
        <v>2645</v>
      </c>
      <c r="AP224" s="21" t="str">
        <f>IF(AO224="Pending","Not yet invoiced",IF(AI224=AD224,"Matched","Invoiced on received qty ("&amp;AI224&amp;" of "&amp;AD224&amp;")"))</f>
        <v>Matched</v>
      </c>
      <c r="AQ224" s="21" t="s">
        <v>2654</v>
      </c>
    </row>
    <row r="225" spans="1:43" x14ac:dyDescent="0.3">
      <c r="A225" s="21" t="s">
        <v>2670</v>
      </c>
      <c r="B225" s="35">
        <v>46073.333333333336</v>
      </c>
      <c r="C225" s="21" t="s">
        <v>1909</v>
      </c>
      <c r="D225" s="21" t="s">
        <v>2642</v>
      </c>
      <c r="E225" s="21" t="s">
        <v>1911</v>
      </c>
      <c r="F225" s="21" t="s">
        <v>768</v>
      </c>
      <c r="G225" s="35">
        <v>46073.452916666669</v>
      </c>
      <c r="H225" s="21" t="s">
        <v>1912</v>
      </c>
      <c r="I225" s="21" t="s">
        <v>1913</v>
      </c>
      <c r="J225" s="21" t="s">
        <v>1914</v>
      </c>
      <c r="K225" s="21" t="s">
        <v>1813</v>
      </c>
      <c r="L225" s="21" t="s">
        <v>1089</v>
      </c>
      <c r="M225" s="21" t="s">
        <v>1097</v>
      </c>
      <c r="N225" s="21" t="s">
        <v>2161</v>
      </c>
      <c r="O225" s="21" t="s">
        <v>1101</v>
      </c>
      <c r="P225" s="21" t="s">
        <v>1916</v>
      </c>
      <c r="Q225" s="21" t="s">
        <v>1278</v>
      </c>
      <c r="R225" s="21" t="s">
        <v>1287</v>
      </c>
      <c r="S225" s="21" t="s">
        <v>1104</v>
      </c>
      <c r="T225" s="21" t="s">
        <v>1917</v>
      </c>
      <c r="U225" s="21" t="s">
        <v>1711</v>
      </c>
      <c r="V225" s="21" t="str">
        <f>_xlfn.XLOOKUP(U225,'T07'!$D$3:$D$1500,'T07'!$BI$3:$BI$1500)&amp;" / "&amp;_xlfn.XLOOKUP(U225,'T07'!$D$3:$D$1500,'T07'!$BJ$3:$BJ$1500)</f>
        <v>LHR-HTV-2008-42260 / HTV</v>
      </c>
      <c r="W225" s="21" t="s">
        <v>1917</v>
      </c>
      <c r="X225" s="21" t="s">
        <v>1713</v>
      </c>
      <c r="Y225" s="21" t="s">
        <v>2130</v>
      </c>
      <c r="Z225" s="21">
        <v>1</v>
      </c>
      <c r="AA225" s="21" t="s">
        <v>1826</v>
      </c>
      <c r="AB225" s="21" t="s">
        <v>1804</v>
      </c>
      <c r="AC225" s="25">
        <v>2300</v>
      </c>
      <c r="AD225" s="25">
        <v>1000</v>
      </c>
      <c r="AE225" s="21" t="s">
        <v>2671</v>
      </c>
      <c r="AF225" s="21" t="s">
        <v>2672</v>
      </c>
      <c r="AG225" s="35">
        <v>46073.472916666666</v>
      </c>
      <c r="AH225" s="21" t="s">
        <v>1983</v>
      </c>
      <c r="AI225" s="25">
        <v>1000</v>
      </c>
      <c r="AJ225" s="21" t="s">
        <v>2164</v>
      </c>
      <c r="AK225" s="21" t="s">
        <v>1922</v>
      </c>
      <c r="AL225" s="21" t="str">
        <f>IF(AD225-AI225&gt;0,(AD225-AI225)&amp;" bags - damaged in transit","None")</f>
        <v>None</v>
      </c>
      <c r="AM225" s="21" t="s">
        <v>844</v>
      </c>
      <c r="AN225" s="21" t="s">
        <v>848</v>
      </c>
      <c r="AO225" s="21" t="s">
        <v>2645</v>
      </c>
      <c r="AP225" s="21" t="str">
        <f>IF(AO225="Pending","Not yet invoiced",IF(AI225=AD225,"Matched","Invoiced on received qty ("&amp;AI225&amp;" of "&amp;AD225&amp;")"))</f>
        <v>Matched</v>
      </c>
      <c r="AQ225" s="21" t="s">
        <v>2640</v>
      </c>
    </row>
    <row r="226" spans="1:43" x14ac:dyDescent="0.3">
      <c r="A226" s="21" t="s">
        <v>2673</v>
      </c>
      <c r="B226" s="35">
        <v>46073.416666666664</v>
      </c>
      <c r="C226" s="21" t="s">
        <v>1909</v>
      </c>
      <c r="D226" s="21" t="s">
        <v>2636</v>
      </c>
      <c r="E226" s="21" t="s">
        <v>1911</v>
      </c>
      <c r="F226" s="21" t="s">
        <v>768</v>
      </c>
      <c r="G226" s="35">
        <v>46073.536249999997</v>
      </c>
      <c r="H226" s="21" t="s">
        <v>1912</v>
      </c>
      <c r="I226" s="21" t="s">
        <v>1913</v>
      </c>
      <c r="J226" s="21" t="s">
        <v>1914</v>
      </c>
      <c r="K226" s="21" t="s">
        <v>1813</v>
      </c>
      <c r="L226" s="21" t="s">
        <v>1089</v>
      </c>
      <c r="M226" s="21" t="s">
        <v>1097</v>
      </c>
      <c r="N226" s="21" t="s">
        <v>2161</v>
      </c>
      <c r="O226" s="21" t="s">
        <v>1101</v>
      </c>
      <c r="P226" s="21" t="s">
        <v>1916</v>
      </c>
      <c r="Q226" s="21" t="s">
        <v>1278</v>
      </c>
      <c r="R226" s="21" t="s">
        <v>1302</v>
      </c>
      <c r="S226" s="21" t="s">
        <v>1127</v>
      </c>
      <c r="T226" s="21" t="s">
        <v>1917</v>
      </c>
      <c r="U226" s="21" t="s">
        <v>1697</v>
      </c>
      <c r="V226" s="21" t="str">
        <f>_xlfn.XLOOKUP(U226,'T07'!$D$3:$D$1500,'T07'!$BI$3:$BI$1500)&amp;" / "&amp;_xlfn.XLOOKUP(U226,'T07'!$D$3:$D$1500,'T07'!$BJ$3:$BJ$1500)</f>
        <v>LHR-HTV-2013-23962 / HTV</v>
      </c>
      <c r="W226" s="21" t="s">
        <v>1917</v>
      </c>
      <c r="X226" s="21" t="s">
        <v>1700</v>
      </c>
      <c r="Y226" s="21" t="s">
        <v>2086</v>
      </c>
      <c r="Z226" s="21">
        <v>1</v>
      </c>
      <c r="AA226" s="21" t="s">
        <v>1826</v>
      </c>
      <c r="AB226" s="21" t="s">
        <v>1804</v>
      </c>
      <c r="AC226" s="25">
        <v>2100</v>
      </c>
      <c r="AD226" s="25">
        <v>500</v>
      </c>
      <c r="AE226" s="21" t="s">
        <v>2674</v>
      </c>
      <c r="AF226" s="21" t="s">
        <v>2675</v>
      </c>
      <c r="AG226" s="35">
        <v>46073.556249999994</v>
      </c>
      <c r="AH226" s="21" t="s">
        <v>1934</v>
      </c>
      <c r="AI226" s="25">
        <v>500</v>
      </c>
      <c r="AJ226" s="21" t="s">
        <v>2164</v>
      </c>
      <c r="AK226" s="21" t="s">
        <v>1922</v>
      </c>
      <c r="AL226" s="21" t="str">
        <f>IF(AD226-AI226&gt;0,(AD226-AI226)&amp;" bags - damaged in transit","None")</f>
        <v>None</v>
      </c>
      <c r="AM226" s="21" t="s">
        <v>844</v>
      </c>
      <c r="AN226" s="21" t="s">
        <v>848</v>
      </c>
      <c r="AO226" s="21" t="s">
        <v>2639</v>
      </c>
      <c r="AP226" s="21" t="str">
        <f>IF(AO226="Pending","Not yet invoiced",IF(AI226=AD226,"Matched","Invoiced on received qty ("&amp;AI226&amp;" of "&amp;AD226&amp;")"))</f>
        <v>Matched</v>
      </c>
      <c r="AQ226" s="21" t="s">
        <v>2640</v>
      </c>
    </row>
    <row r="227" spans="1:43" x14ac:dyDescent="0.3">
      <c r="A227" s="21" t="s">
        <v>2676</v>
      </c>
      <c r="B227" s="35">
        <v>46075.25</v>
      </c>
      <c r="C227" s="21" t="s">
        <v>1909</v>
      </c>
      <c r="D227" s="21" t="s">
        <v>2636</v>
      </c>
      <c r="E227" s="21" t="s">
        <v>1911</v>
      </c>
      <c r="F227" s="21" t="s">
        <v>768</v>
      </c>
      <c r="G227" s="35">
        <v>46075.369583333333</v>
      </c>
      <c r="H227" s="21" t="s">
        <v>1912</v>
      </c>
      <c r="I227" s="21" t="s">
        <v>1913</v>
      </c>
      <c r="J227" s="21" t="s">
        <v>1914</v>
      </c>
      <c r="K227" s="21" t="s">
        <v>1813</v>
      </c>
      <c r="L227" s="21" t="s">
        <v>1089</v>
      </c>
      <c r="M227" s="21" t="s">
        <v>1097</v>
      </c>
      <c r="N227" s="21" t="s">
        <v>2161</v>
      </c>
      <c r="O227" s="21" t="s">
        <v>1101</v>
      </c>
      <c r="P227" s="21" t="s">
        <v>1916</v>
      </c>
      <c r="Q227" s="21" t="s">
        <v>1213</v>
      </c>
      <c r="R227" s="21" t="s">
        <v>1255</v>
      </c>
      <c r="S227" s="21" t="s">
        <v>1104</v>
      </c>
      <c r="T227" s="21" t="s">
        <v>1917</v>
      </c>
      <c r="U227" s="21" t="s">
        <v>1753</v>
      </c>
      <c r="V227" s="21" t="str">
        <f>_xlfn.XLOOKUP(U227,'T07'!$D$3:$D$1500,'T07'!$BI$3:$BI$1500)&amp;" / "&amp;_xlfn.XLOOKUP(U227,'T07'!$D$3:$D$1500,'T07'!$BJ$3:$BJ$1500)</f>
        <v>LHR-HTV-2009-86678 / HTV</v>
      </c>
      <c r="W227" s="21" t="s">
        <v>1917</v>
      </c>
      <c r="X227" s="21" t="s">
        <v>1755</v>
      </c>
      <c r="Y227" s="21" t="s">
        <v>2137</v>
      </c>
      <c r="Z227" s="21">
        <v>1</v>
      </c>
      <c r="AA227" s="21" t="s">
        <v>1826</v>
      </c>
      <c r="AB227" s="21" t="s">
        <v>1804</v>
      </c>
      <c r="AC227" s="25">
        <v>1600</v>
      </c>
      <c r="AD227" s="25">
        <v>1000</v>
      </c>
      <c r="AE227" s="21" t="s">
        <v>2677</v>
      </c>
      <c r="AF227" s="21" t="s">
        <v>2678</v>
      </c>
      <c r="AG227" s="35">
        <v>46075.38958333333</v>
      </c>
      <c r="AH227" s="21" t="s">
        <v>1983</v>
      </c>
      <c r="AI227" s="25">
        <v>1000</v>
      </c>
      <c r="AJ227" s="21" t="s">
        <v>2164</v>
      </c>
      <c r="AK227" s="21" t="s">
        <v>1922</v>
      </c>
      <c r="AL227" s="21" t="str">
        <f>IF(AD227-AI227&gt;0,(AD227-AI227)&amp;" bags - damaged in transit","None")</f>
        <v>None</v>
      </c>
      <c r="AM227" s="21" t="s">
        <v>844</v>
      </c>
      <c r="AN227" s="21" t="s">
        <v>848</v>
      </c>
      <c r="AO227" s="21" t="s">
        <v>2639</v>
      </c>
      <c r="AP227" s="21" t="str">
        <f>IF(AO227="Pending","Not yet invoiced",IF(AI227=AD227,"Matched","Invoiced on received qty ("&amp;AI227&amp;" of "&amp;AD227&amp;")"))</f>
        <v>Matched</v>
      </c>
      <c r="AQ227" s="21" t="s">
        <v>2654</v>
      </c>
    </row>
    <row r="228" spans="1:43" x14ac:dyDescent="0.3">
      <c r="A228" s="21" t="s">
        <v>2679</v>
      </c>
      <c r="B228" s="35">
        <v>46077.375</v>
      </c>
      <c r="C228" s="21" t="s">
        <v>1909</v>
      </c>
      <c r="D228" s="21" t="s">
        <v>2642</v>
      </c>
      <c r="E228" s="21" t="s">
        <v>1911</v>
      </c>
      <c r="F228" s="21" t="s">
        <v>768</v>
      </c>
      <c r="G228" s="35">
        <v>46077.494583333333</v>
      </c>
      <c r="H228" s="21" t="s">
        <v>1912</v>
      </c>
      <c r="I228" s="21" t="s">
        <v>1913</v>
      </c>
      <c r="J228" s="21" t="s">
        <v>1914</v>
      </c>
      <c r="K228" s="21" t="s">
        <v>1813</v>
      </c>
      <c r="L228" s="21" t="s">
        <v>1089</v>
      </c>
      <c r="M228" s="21" t="s">
        <v>1097</v>
      </c>
      <c r="N228" s="21" t="s">
        <v>2161</v>
      </c>
      <c r="O228" s="21" t="s">
        <v>1101</v>
      </c>
      <c r="P228" s="21" t="s">
        <v>1916</v>
      </c>
      <c r="Q228" s="21" t="s">
        <v>1213</v>
      </c>
      <c r="R228" s="21" t="s">
        <v>1236</v>
      </c>
      <c r="S228" s="21" t="s">
        <v>1127</v>
      </c>
      <c r="T228" s="21" t="s">
        <v>1917</v>
      </c>
      <c r="U228" s="21" t="s">
        <v>1724</v>
      </c>
      <c r="V228" s="21" t="str">
        <f>_xlfn.XLOOKUP(U228,'T07'!$D$3:$D$1500,'T07'!$BI$3:$BI$1500)&amp;" / "&amp;_xlfn.XLOOKUP(U228,'T07'!$D$3:$D$1500,'T07'!$BJ$3:$BJ$1500)</f>
        <v>LHR-HTV-2008-90487 / HTV</v>
      </c>
      <c r="W228" s="21" t="s">
        <v>1917</v>
      </c>
      <c r="X228" s="21" t="s">
        <v>1726</v>
      </c>
      <c r="Y228" s="21" t="s">
        <v>2000</v>
      </c>
      <c r="Z228" s="21">
        <v>1</v>
      </c>
      <c r="AA228" s="21" t="s">
        <v>1826</v>
      </c>
      <c r="AB228" s="21" t="s">
        <v>1804</v>
      </c>
      <c r="AC228" s="25">
        <v>1300</v>
      </c>
      <c r="AD228" s="25">
        <v>500</v>
      </c>
      <c r="AE228" s="21" t="s">
        <v>2680</v>
      </c>
      <c r="AF228" s="21" t="s">
        <v>2681</v>
      </c>
      <c r="AG228" s="35">
        <v>46077.51458333333</v>
      </c>
      <c r="AH228" s="21" t="s">
        <v>1934</v>
      </c>
      <c r="AI228" s="25">
        <v>500</v>
      </c>
      <c r="AJ228" s="21" t="s">
        <v>2164</v>
      </c>
      <c r="AK228" s="21" t="s">
        <v>1922</v>
      </c>
      <c r="AL228" s="21" t="str">
        <f>IF(AD228-AI228&gt;0,(AD228-AI228)&amp;" bags - damaged in transit","None")</f>
        <v>None</v>
      </c>
      <c r="AM228" s="21" t="s">
        <v>844</v>
      </c>
      <c r="AN228" s="21" t="s">
        <v>848</v>
      </c>
      <c r="AO228" s="21" t="s">
        <v>2645</v>
      </c>
      <c r="AP228" s="21" t="str">
        <f>IF(AO228="Pending","Not yet invoiced",IF(AI228=AD228,"Matched","Invoiced on received qty ("&amp;AI228&amp;" of "&amp;AD228&amp;")"))</f>
        <v>Matched</v>
      </c>
      <c r="AQ228" s="21" t="s">
        <v>2654</v>
      </c>
    </row>
    <row r="229" spans="1:43" x14ac:dyDescent="0.3">
      <c r="A229" s="21" t="s">
        <v>2682</v>
      </c>
      <c r="B229" s="35">
        <v>46085.458333333336</v>
      </c>
      <c r="C229" s="21" t="s">
        <v>1909</v>
      </c>
      <c r="D229" s="21" t="s">
        <v>2683</v>
      </c>
      <c r="E229" s="21" t="s">
        <v>1911</v>
      </c>
      <c r="F229" s="21" t="s">
        <v>768</v>
      </c>
      <c r="G229" s="35">
        <v>46085.609166666669</v>
      </c>
      <c r="H229" s="21" t="s">
        <v>1912</v>
      </c>
      <c r="I229" s="21" t="s">
        <v>1913</v>
      </c>
      <c r="J229" s="21" t="s">
        <v>1914</v>
      </c>
      <c r="K229" s="21" t="s">
        <v>1870</v>
      </c>
      <c r="L229" s="21" t="s">
        <v>1045</v>
      </c>
      <c r="M229" s="21" t="s">
        <v>1871</v>
      </c>
      <c r="N229" s="21" t="s">
        <v>2354</v>
      </c>
      <c r="O229" s="21" t="s">
        <v>2355</v>
      </c>
      <c r="P229" s="21" t="s">
        <v>1930</v>
      </c>
      <c r="Q229" s="21" t="s">
        <v>1278</v>
      </c>
      <c r="R229" s="21" t="s">
        <v>1310</v>
      </c>
      <c r="S229" s="21" t="s">
        <v>1247</v>
      </c>
      <c r="T229" s="21" t="s">
        <v>1917</v>
      </c>
      <c r="U229" s="21" t="s">
        <v>1766</v>
      </c>
      <c r="V229" s="21" t="str">
        <f>_xlfn.XLOOKUP(U229,'T07'!$D$3:$D$1500,'T07'!$BI$3:$BI$1500)&amp;" / "&amp;_xlfn.XLOOKUP(U229,'T07'!$D$3:$D$1500,'T07'!$BJ$3:$BJ$1500)</f>
        <v>LHR-LTV-2019-66685 / LTV</v>
      </c>
      <c r="W229" s="21" t="s">
        <v>1917</v>
      </c>
      <c r="X229" s="21" t="s">
        <v>1768</v>
      </c>
      <c r="Y229" s="21" t="s">
        <v>1948</v>
      </c>
      <c r="Z229" s="21">
        <v>1</v>
      </c>
      <c r="AA229" s="21" t="s">
        <v>1826</v>
      </c>
      <c r="AB229" s="21" t="s">
        <v>1804</v>
      </c>
      <c r="AC229" s="25">
        <v>2500</v>
      </c>
      <c r="AD229" s="25">
        <v>200</v>
      </c>
      <c r="AE229" s="21" t="s">
        <v>2684</v>
      </c>
      <c r="AF229" s="21" t="s">
        <v>2685</v>
      </c>
      <c r="AG229" s="35">
        <v>46085.629166666666</v>
      </c>
      <c r="AH229" s="21" t="s">
        <v>1934</v>
      </c>
      <c r="AI229" s="25">
        <v>197</v>
      </c>
      <c r="AJ229" s="21" t="s">
        <v>1046</v>
      </c>
      <c r="AK229" s="21" t="s">
        <v>1922</v>
      </c>
      <c r="AL229" s="21" t="str">
        <f>IF(AD229-AI229&gt;0,(AD229-AI229)&amp;" bags - damaged in transit","None")</f>
        <v>3 bags - damaged in transit</v>
      </c>
      <c r="AM229" s="21" t="s">
        <v>2686</v>
      </c>
      <c r="AN229" s="21" t="s">
        <v>2687</v>
      </c>
      <c r="AO229" s="21" t="s">
        <v>2688</v>
      </c>
      <c r="AP229" s="21" t="str">
        <f>IF(AO229="Pending","Not yet invoiced",IF(AI229=AD229,"Matched","Invoiced on received qty ("&amp;AI229&amp;" of "&amp;AD229&amp;")"))</f>
        <v>Invoiced on received qty (197 of 200)</v>
      </c>
      <c r="AQ229" s="21" t="s">
        <v>2689</v>
      </c>
    </row>
    <row r="230" spans="1:43" x14ac:dyDescent="0.3">
      <c r="A230" s="21" t="s">
        <v>2690</v>
      </c>
      <c r="B230" s="35">
        <v>46089.708333333336</v>
      </c>
      <c r="C230" s="21" t="s">
        <v>1909</v>
      </c>
      <c r="D230" s="21" t="s">
        <v>2683</v>
      </c>
      <c r="E230" s="21" t="s">
        <v>1911</v>
      </c>
      <c r="F230" s="21" t="s">
        <v>768</v>
      </c>
      <c r="G230" s="35">
        <v>46089.859166666669</v>
      </c>
      <c r="H230" s="21" t="s">
        <v>1912</v>
      </c>
      <c r="I230" s="21" t="s">
        <v>1913</v>
      </c>
      <c r="J230" s="21" t="s">
        <v>1914</v>
      </c>
      <c r="K230" s="21" t="s">
        <v>1870</v>
      </c>
      <c r="L230" s="21" t="s">
        <v>1045</v>
      </c>
      <c r="M230" s="21" t="s">
        <v>1871</v>
      </c>
      <c r="N230" s="21" t="s">
        <v>2354</v>
      </c>
      <c r="O230" s="21" t="s">
        <v>2355</v>
      </c>
      <c r="P230" s="21" t="s">
        <v>1930</v>
      </c>
      <c r="Q230" s="21" t="s">
        <v>1278</v>
      </c>
      <c r="R230" s="21" t="s">
        <v>1280</v>
      </c>
      <c r="S230" s="21" t="s">
        <v>1247</v>
      </c>
      <c r="T230" s="21" t="s">
        <v>1917</v>
      </c>
      <c r="U230" s="21" t="s">
        <v>1766</v>
      </c>
      <c r="V230" s="21" t="str">
        <f>_xlfn.XLOOKUP(U230,'T07'!$D$3:$D$1500,'T07'!$BI$3:$BI$1500)&amp;" / "&amp;_xlfn.XLOOKUP(U230,'T07'!$D$3:$D$1500,'T07'!$BJ$3:$BJ$1500)</f>
        <v>LHR-LTV-2019-66685 / LTV</v>
      </c>
      <c r="W230" s="21" t="s">
        <v>1917</v>
      </c>
      <c r="X230" s="21" t="s">
        <v>1768</v>
      </c>
      <c r="Y230" s="21" t="s">
        <v>2018</v>
      </c>
      <c r="Z230" s="21">
        <v>1</v>
      </c>
      <c r="AA230" s="21" t="s">
        <v>1826</v>
      </c>
      <c r="AB230" s="21" t="s">
        <v>1804</v>
      </c>
      <c r="AC230" s="25">
        <v>2300</v>
      </c>
      <c r="AD230" s="25">
        <v>200</v>
      </c>
      <c r="AE230" s="21" t="s">
        <v>2691</v>
      </c>
      <c r="AF230" s="21" t="s">
        <v>2692</v>
      </c>
      <c r="AG230" s="35">
        <v>46089.879166666666</v>
      </c>
      <c r="AH230" s="21" t="s">
        <v>1934</v>
      </c>
      <c r="AI230" s="25">
        <v>200</v>
      </c>
      <c r="AJ230" s="21" t="s">
        <v>1046</v>
      </c>
      <c r="AK230" s="21" t="s">
        <v>1922</v>
      </c>
      <c r="AL230" s="21" t="str">
        <f>IF(AD230-AI230&gt;0,(AD230-AI230)&amp;" bags - damaged in transit","None")</f>
        <v>None</v>
      </c>
      <c r="AM230" s="21" t="s">
        <v>844</v>
      </c>
      <c r="AN230" s="21" t="s">
        <v>848</v>
      </c>
      <c r="AO230" s="21" t="s">
        <v>2688</v>
      </c>
      <c r="AP230" s="21" t="str">
        <f>IF(AO230="Pending","Not yet invoiced",IF(AI230=AD230,"Matched","Invoiced on received qty ("&amp;AI230&amp;" of "&amp;AD230&amp;")"))</f>
        <v>Matched</v>
      </c>
      <c r="AQ230" s="21" t="s">
        <v>2689</v>
      </c>
    </row>
    <row r="231" spans="1:43" x14ac:dyDescent="0.3">
      <c r="A231" s="21" t="s">
        <v>2693</v>
      </c>
      <c r="B231" s="35">
        <v>46093.666666666664</v>
      </c>
      <c r="C231" s="21" t="s">
        <v>1909</v>
      </c>
      <c r="D231" s="21" t="s">
        <v>2683</v>
      </c>
      <c r="E231" s="21" t="s">
        <v>1911</v>
      </c>
      <c r="F231" s="21" t="s">
        <v>768</v>
      </c>
      <c r="G231" s="35">
        <v>46093.817499999997</v>
      </c>
      <c r="H231" s="21" t="s">
        <v>1912</v>
      </c>
      <c r="I231" s="21" t="s">
        <v>1913</v>
      </c>
      <c r="J231" s="21" t="s">
        <v>1914</v>
      </c>
      <c r="K231" s="21" t="s">
        <v>1870</v>
      </c>
      <c r="L231" s="21" t="s">
        <v>1045</v>
      </c>
      <c r="M231" s="21" t="s">
        <v>1871</v>
      </c>
      <c r="N231" s="21" t="s">
        <v>2354</v>
      </c>
      <c r="O231" s="21" t="s">
        <v>2355</v>
      </c>
      <c r="P231" s="21" t="s">
        <v>1930</v>
      </c>
      <c r="Q231" s="21" t="s">
        <v>1278</v>
      </c>
      <c r="R231" s="21" t="s">
        <v>1302</v>
      </c>
      <c r="S231" s="21" t="s">
        <v>1127</v>
      </c>
      <c r="T231" s="21" t="s">
        <v>1917</v>
      </c>
      <c r="U231" s="21" t="s">
        <v>1753</v>
      </c>
      <c r="V231" s="21" t="str">
        <f>_xlfn.XLOOKUP(U231,'T07'!$D$3:$D$1500,'T07'!$BI$3:$BI$1500)&amp;" / "&amp;_xlfn.XLOOKUP(U231,'T07'!$D$3:$D$1500,'T07'!$BJ$3:$BJ$1500)</f>
        <v>LHR-HTV-2009-86678 / HTV</v>
      </c>
      <c r="W231" s="21" t="s">
        <v>1917</v>
      </c>
      <c r="X231" s="21" t="s">
        <v>1755</v>
      </c>
      <c r="Y231" s="21" t="s">
        <v>2086</v>
      </c>
      <c r="Z231" s="21">
        <v>1</v>
      </c>
      <c r="AA231" s="21" t="s">
        <v>1826</v>
      </c>
      <c r="AB231" s="21" t="s">
        <v>1804</v>
      </c>
      <c r="AC231" s="25">
        <v>2100</v>
      </c>
      <c r="AD231" s="25">
        <v>500</v>
      </c>
      <c r="AE231" s="21" t="s">
        <v>2694</v>
      </c>
      <c r="AF231" s="21" t="s">
        <v>2695</v>
      </c>
      <c r="AG231" s="35">
        <v>46093.837499999994</v>
      </c>
      <c r="AH231" s="21" t="s">
        <v>1934</v>
      </c>
      <c r="AI231" s="25">
        <v>496</v>
      </c>
      <c r="AJ231" s="21" t="s">
        <v>1046</v>
      </c>
      <c r="AK231" s="21" t="s">
        <v>1922</v>
      </c>
      <c r="AL231" s="21" t="str">
        <f>IF(AD231-AI231&gt;0,(AD231-AI231)&amp;" bags - damaged in transit","None")</f>
        <v>4 bags - damaged in transit</v>
      </c>
      <c r="AM231" s="21" t="s">
        <v>2696</v>
      </c>
      <c r="AN231" s="21" t="s">
        <v>2697</v>
      </c>
      <c r="AO231" s="21" t="s">
        <v>2688</v>
      </c>
      <c r="AP231" s="21" t="str">
        <f>IF(AO231="Pending","Not yet invoiced",IF(AI231=AD231,"Matched","Invoiced on received qty ("&amp;AI231&amp;" of "&amp;AD231&amp;")"))</f>
        <v>Invoiced on received qty (496 of 500)</v>
      </c>
      <c r="AQ231" s="21" t="s">
        <v>2689</v>
      </c>
    </row>
    <row r="232" spans="1:43" x14ac:dyDescent="0.3">
      <c r="A232" s="21" t="s">
        <v>2698</v>
      </c>
      <c r="B232" s="35">
        <v>46095.333333333336</v>
      </c>
      <c r="C232" s="21" t="s">
        <v>1909</v>
      </c>
      <c r="D232" s="21" t="s">
        <v>2683</v>
      </c>
      <c r="E232" s="21" t="s">
        <v>1911</v>
      </c>
      <c r="F232" s="21" t="s">
        <v>768</v>
      </c>
      <c r="G232" s="35">
        <v>46095.484166666669</v>
      </c>
      <c r="H232" s="21" t="s">
        <v>1912</v>
      </c>
      <c r="I232" s="21" t="s">
        <v>1913</v>
      </c>
      <c r="J232" s="21" t="s">
        <v>1914</v>
      </c>
      <c r="K232" s="21" t="s">
        <v>1870</v>
      </c>
      <c r="L232" s="21" t="s">
        <v>1045</v>
      </c>
      <c r="M232" s="21" t="s">
        <v>1871</v>
      </c>
      <c r="N232" s="21" t="s">
        <v>2354</v>
      </c>
      <c r="O232" s="21" t="s">
        <v>2355</v>
      </c>
      <c r="P232" s="21" t="s">
        <v>1930</v>
      </c>
      <c r="Q232" s="21" t="s">
        <v>1278</v>
      </c>
      <c r="R232" s="21" t="s">
        <v>1294</v>
      </c>
      <c r="S232" s="21" t="s">
        <v>1127</v>
      </c>
      <c r="T232" s="21" t="s">
        <v>1917</v>
      </c>
      <c r="U232" s="21" t="s">
        <v>1753</v>
      </c>
      <c r="V232" s="21" t="str">
        <f>_xlfn.XLOOKUP(U232,'T07'!$D$3:$D$1500,'T07'!$BI$3:$BI$1500)&amp;" / "&amp;_xlfn.XLOOKUP(U232,'T07'!$D$3:$D$1500,'T07'!$BJ$3:$BJ$1500)</f>
        <v>LHR-HTV-2009-86678 / HTV</v>
      </c>
      <c r="W232" s="21" t="s">
        <v>1917</v>
      </c>
      <c r="X232" s="21" t="s">
        <v>1755</v>
      </c>
      <c r="Y232" s="21" t="s">
        <v>1957</v>
      </c>
      <c r="Z232" s="21">
        <v>1</v>
      </c>
      <c r="AA232" s="21" t="s">
        <v>1826</v>
      </c>
      <c r="AB232" s="21" t="s">
        <v>1804</v>
      </c>
      <c r="AC232" s="25">
        <v>1600</v>
      </c>
      <c r="AD232" s="25">
        <v>500</v>
      </c>
      <c r="AE232" s="21" t="s">
        <v>2699</v>
      </c>
      <c r="AF232" s="21" t="s">
        <v>2700</v>
      </c>
      <c r="AG232" s="35">
        <v>46095.504166666666</v>
      </c>
      <c r="AH232" s="21" t="s">
        <v>1934</v>
      </c>
      <c r="AI232" s="25">
        <v>500</v>
      </c>
      <c r="AJ232" s="21" t="s">
        <v>1046</v>
      </c>
      <c r="AK232" s="21" t="s">
        <v>1922</v>
      </c>
      <c r="AL232" s="21" t="str">
        <f>IF(AD232-AI232&gt;0,(AD232-AI232)&amp;" bags - damaged in transit","None")</f>
        <v>None</v>
      </c>
      <c r="AM232" s="21" t="s">
        <v>844</v>
      </c>
      <c r="AN232" s="21" t="s">
        <v>848</v>
      </c>
      <c r="AO232" s="21" t="s">
        <v>2688</v>
      </c>
      <c r="AP232" s="21" t="str">
        <f>IF(AO232="Pending","Not yet invoiced",IF(AI232=AD232,"Matched","Invoiced on received qty ("&amp;AI232&amp;" of "&amp;AD232&amp;")"))</f>
        <v>Matched</v>
      </c>
      <c r="AQ232" s="21" t="s">
        <v>2689</v>
      </c>
    </row>
    <row r="233" spans="1:43" x14ac:dyDescent="0.3">
      <c r="A233" s="21" t="s">
        <v>2701</v>
      </c>
      <c r="B233" s="35">
        <v>46101.416666666664</v>
      </c>
      <c r="C233" s="21" t="s">
        <v>1909</v>
      </c>
      <c r="D233" s="21" t="s">
        <v>2683</v>
      </c>
      <c r="E233" s="21" t="s">
        <v>1911</v>
      </c>
      <c r="F233" s="21" t="s">
        <v>768</v>
      </c>
      <c r="G233" s="35">
        <v>46101.567499999997</v>
      </c>
      <c r="H233" s="21" t="s">
        <v>1912</v>
      </c>
      <c r="I233" s="21" t="s">
        <v>1913</v>
      </c>
      <c r="J233" s="21" t="s">
        <v>1914</v>
      </c>
      <c r="K233" s="21" t="s">
        <v>1870</v>
      </c>
      <c r="L233" s="21" t="s">
        <v>1045</v>
      </c>
      <c r="M233" s="21" t="s">
        <v>1871</v>
      </c>
      <c r="N233" s="21" t="s">
        <v>2354</v>
      </c>
      <c r="O233" s="21" t="s">
        <v>2355</v>
      </c>
      <c r="P233" s="21" t="s">
        <v>1930</v>
      </c>
      <c r="Q233" s="21" t="s">
        <v>1278</v>
      </c>
      <c r="R233" s="21" t="s">
        <v>1310</v>
      </c>
      <c r="S233" s="21" t="s">
        <v>1247</v>
      </c>
      <c r="T233" s="21" t="s">
        <v>1917</v>
      </c>
      <c r="U233" s="21" t="s">
        <v>1766</v>
      </c>
      <c r="V233" s="21" t="str">
        <f>_xlfn.XLOOKUP(U233,'T07'!$D$3:$D$1500,'T07'!$BI$3:$BI$1500)&amp;" / "&amp;_xlfn.XLOOKUP(U233,'T07'!$D$3:$D$1500,'T07'!$BJ$3:$BJ$1500)</f>
        <v>LHR-LTV-2019-66685 / LTV</v>
      </c>
      <c r="W233" s="21" t="s">
        <v>1917</v>
      </c>
      <c r="X233" s="21" t="s">
        <v>1768</v>
      </c>
      <c r="Y233" s="21" t="s">
        <v>1948</v>
      </c>
      <c r="Z233" s="21">
        <v>1</v>
      </c>
      <c r="AA233" s="21" t="s">
        <v>1826</v>
      </c>
      <c r="AB233" s="21" t="s">
        <v>1804</v>
      </c>
      <c r="AC233" s="25">
        <v>1100</v>
      </c>
      <c r="AD233" s="25">
        <v>200</v>
      </c>
      <c r="AE233" s="21" t="s">
        <v>2702</v>
      </c>
      <c r="AF233" s="21" t="s">
        <v>2703</v>
      </c>
      <c r="AG233" s="35">
        <v>46101.587499999994</v>
      </c>
      <c r="AH233" s="21" t="s">
        <v>1934</v>
      </c>
      <c r="AI233" s="25">
        <v>200</v>
      </c>
      <c r="AJ233" s="21" t="s">
        <v>1046</v>
      </c>
      <c r="AK233" s="21" t="s">
        <v>1922</v>
      </c>
      <c r="AL233" s="21" t="str">
        <f>IF(AD233-AI233&gt;0,(AD233-AI233)&amp;" bags - damaged in transit","None")</f>
        <v>None</v>
      </c>
      <c r="AM233" s="21" t="s">
        <v>844</v>
      </c>
      <c r="AN233" s="21" t="s">
        <v>848</v>
      </c>
      <c r="AO233" s="21" t="s">
        <v>2688</v>
      </c>
      <c r="AP233" s="21" t="str">
        <f>IF(AO233="Pending","Not yet invoiced",IF(AI233=AD233,"Matched","Invoiced on received qty ("&amp;AI233&amp;" of "&amp;AD233&amp;")"))</f>
        <v>Matched</v>
      </c>
      <c r="AQ233" s="21" t="s">
        <v>2689</v>
      </c>
    </row>
    <row r="234" spans="1:43" x14ac:dyDescent="0.3">
      <c r="A234" s="21" t="s">
        <v>2704</v>
      </c>
      <c r="B234" s="35">
        <v>46105.541666666664</v>
      </c>
      <c r="C234" s="21" t="s">
        <v>1909</v>
      </c>
      <c r="D234" s="21" t="s">
        <v>2683</v>
      </c>
      <c r="E234" s="21" t="s">
        <v>1911</v>
      </c>
      <c r="F234" s="21" t="s">
        <v>768</v>
      </c>
      <c r="G234" s="35">
        <v>46105.692499999997</v>
      </c>
      <c r="H234" s="21" t="s">
        <v>1912</v>
      </c>
      <c r="I234" s="21" t="s">
        <v>1913</v>
      </c>
      <c r="J234" s="21" t="s">
        <v>1914</v>
      </c>
      <c r="K234" s="21" t="s">
        <v>1870</v>
      </c>
      <c r="L234" s="21" t="s">
        <v>1045</v>
      </c>
      <c r="M234" s="21" t="s">
        <v>1871</v>
      </c>
      <c r="N234" s="21" t="s">
        <v>2354</v>
      </c>
      <c r="O234" s="21" t="s">
        <v>2355</v>
      </c>
      <c r="P234" s="21" t="s">
        <v>1930</v>
      </c>
      <c r="Q234" s="21" t="s">
        <v>1278</v>
      </c>
      <c r="R234" s="21" t="s">
        <v>1294</v>
      </c>
      <c r="S234" s="21" t="s">
        <v>1127</v>
      </c>
      <c r="T234" s="21" t="s">
        <v>1917</v>
      </c>
      <c r="U234" s="21" t="s">
        <v>1753</v>
      </c>
      <c r="V234" s="21" t="str">
        <f>_xlfn.XLOOKUP(U234,'T07'!$D$3:$D$1500,'T07'!$BI$3:$BI$1500)&amp;" / "&amp;_xlfn.XLOOKUP(U234,'T07'!$D$3:$D$1500,'T07'!$BJ$3:$BJ$1500)</f>
        <v>LHR-HTV-2009-86678 / HTV</v>
      </c>
      <c r="W234" s="21" t="s">
        <v>1917</v>
      </c>
      <c r="X234" s="21" t="s">
        <v>1755</v>
      </c>
      <c r="Y234" s="21" t="s">
        <v>1957</v>
      </c>
      <c r="Z234" s="21">
        <v>1</v>
      </c>
      <c r="AA234" s="21" t="s">
        <v>1826</v>
      </c>
      <c r="AB234" s="21" t="s">
        <v>1804</v>
      </c>
      <c r="AC234" s="25">
        <v>900</v>
      </c>
      <c r="AD234" s="25">
        <v>500</v>
      </c>
      <c r="AE234" s="21" t="s">
        <v>2705</v>
      </c>
      <c r="AF234" s="21" t="s">
        <v>2706</v>
      </c>
      <c r="AG234" s="35">
        <v>46105.712499999994</v>
      </c>
      <c r="AH234" s="21" t="s">
        <v>1934</v>
      </c>
      <c r="AI234" s="25">
        <v>500</v>
      </c>
      <c r="AJ234" s="21" t="s">
        <v>1046</v>
      </c>
      <c r="AK234" s="21" t="s">
        <v>1922</v>
      </c>
      <c r="AL234" s="21" t="str">
        <f>IF(AD234-AI234&gt;0,(AD234-AI234)&amp;" bags - damaged in transit","None")</f>
        <v>None</v>
      </c>
      <c r="AM234" s="21" t="s">
        <v>844</v>
      </c>
      <c r="AN234" s="21" t="s">
        <v>848</v>
      </c>
      <c r="AO234" s="21" t="s">
        <v>2688</v>
      </c>
      <c r="AP234" s="21" t="str">
        <f>IF(AO234="Pending","Not yet invoiced",IF(AI234=AD234,"Matched","Invoiced on received qty ("&amp;AI234&amp;" of "&amp;AD234&amp;")"))</f>
        <v>Matched</v>
      </c>
      <c r="AQ234" s="21" t="s">
        <v>2689</v>
      </c>
    </row>
    <row r="235" spans="1:43" x14ac:dyDescent="0.3">
      <c r="A235" s="21" t="s">
        <v>2707</v>
      </c>
      <c r="B235" s="35">
        <v>46114.583333333336</v>
      </c>
      <c r="C235" s="21" t="s">
        <v>1909</v>
      </c>
      <c r="D235" s="21" t="s">
        <v>2708</v>
      </c>
      <c r="E235" s="21" t="s">
        <v>1911</v>
      </c>
      <c r="F235" s="21" t="s">
        <v>1817</v>
      </c>
      <c r="G235" s="35">
        <v>46114.694583333338</v>
      </c>
      <c r="H235" s="21" t="s">
        <v>1912</v>
      </c>
      <c r="I235" s="21" t="s">
        <v>1913</v>
      </c>
      <c r="J235" s="21" t="s">
        <v>1914</v>
      </c>
      <c r="K235" s="21" t="s">
        <v>1830</v>
      </c>
      <c r="L235" s="21" t="s">
        <v>1133</v>
      </c>
      <c r="M235" s="21" t="s">
        <v>1139</v>
      </c>
      <c r="N235" s="21" t="s">
        <v>1140</v>
      </c>
      <c r="O235" s="21" t="s">
        <v>2030</v>
      </c>
      <c r="P235" s="21" t="s">
        <v>1916</v>
      </c>
      <c r="Q235" s="21" t="s">
        <v>1339</v>
      </c>
      <c r="R235" s="21" t="s">
        <v>1341</v>
      </c>
      <c r="S235" s="21" t="s">
        <v>1343</v>
      </c>
      <c r="T235" s="21" t="s">
        <v>1917</v>
      </c>
      <c r="U235" s="21" t="s">
        <v>1677</v>
      </c>
      <c r="V235" s="21" t="str">
        <f>_xlfn.XLOOKUP(U235,'T07'!$D$3:$D$1500,'T07'!$BI$3:$BI$1500)&amp;" / "&amp;_xlfn.XLOOKUP(U235,'T07'!$D$3:$D$1500,'T07'!$BJ$3:$BJ$1500)</f>
        <v>LHR-HTV-2010-55907 / HTV</v>
      </c>
      <c r="W235" s="21" t="s">
        <v>1917</v>
      </c>
      <c r="X235" s="21" t="s">
        <v>1679</v>
      </c>
      <c r="Y235" s="21" t="s">
        <v>1953</v>
      </c>
      <c r="Z235" s="21">
        <v>1</v>
      </c>
      <c r="AA235" s="21" t="s">
        <v>1815</v>
      </c>
      <c r="AB235" s="21" t="s">
        <v>783</v>
      </c>
      <c r="AC235" s="25">
        <v>210</v>
      </c>
      <c r="AD235" s="25">
        <v>27</v>
      </c>
      <c r="AE235" s="21" t="s">
        <v>2709</v>
      </c>
      <c r="AF235" s="21" t="s">
        <v>2710</v>
      </c>
      <c r="AG235" s="35">
        <v>46114.714583333334</v>
      </c>
      <c r="AH235" s="21" t="s">
        <v>1921</v>
      </c>
      <c r="AI235" s="25">
        <v>27</v>
      </c>
      <c r="AJ235" s="21" t="s">
        <v>1141</v>
      </c>
      <c r="AK235" s="21" t="s">
        <v>1922</v>
      </c>
      <c r="AL235" s="21" t="str">
        <f>IF(AD235-AI235&gt;0,(AD235-AI235)&amp;" bags - damaged in transit","None")</f>
        <v>None</v>
      </c>
      <c r="AM235" s="21" t="s">
        <v>844</v>
      </c>
      <c r="AN235" s="21" t="s">
        <v>848</v>
      </c>
      <c r="AO235" s="21" t="s">
        <v>2711</v>
      </c>
      <c r="AP235" s="21" t="str">
        <f>IF(AO235="Pending","Not yet invoiced",IF(AI235=AD235,"Matched","Invoiced on received qty ("&amp;AI235&amp;" of "&amp;AD235&amp;")"))</f>
        <v>Matched</v>
      </c>
      <c r="AQ235" s="21" t="s">
        <v>2712</v>
      </c>
    </row>
    <row r="236" spans="1:43" x14ac:dyDescent="0.3">
      <c r="A236" s="21" t="s">
        <v>2713</v>
      </c>
      <c r="B236" s="35">
        <v>46116.583333333336</v>
      </c>
      <c r="C236" s="21" t="s">
        <v>1909</v>
      </c>
      <c r="D236" s="21" t="s">
        <v>2714</v>
      </c>
      <c r="E236" s="21" t="s">
        <v>2056</v>
      </c>
      <c r="F236" s="21" t="s">
        <v>768</v>
      </c>
      <c r="G236" s="35">
        <v>46116.707083333335</v>
      </c>
      <c r="H236" s="21" t="s">
        <v>1912</v>
      </c>
      <c r="I236" s="21" t="s">
        <v>1913</v>
      </c>
      <c r="J236" s="21" t="s">
        <v>1914</v>
      </c>
      <c r="K236" s="21" t="s">
        <v>1835</v>
      </c>
      <c r="L236" s="21" t="s">
        <v>1055</v>
      </c>
      <c r="M236" s="21" t="s">
        <v>1836</v>
      </c>
      <c r="N236" s="21" t="s">
        <v>2204</v>
      </c>
      <c r="O236" s="21" t="s">
        <v>2205</v>
      </c>
      <c r="P236" s="21" t="s">
        <v>1930</v>
      </c>
      <c r="Q236" s="21" t="s">
        <v>1213</v>
      </c>
      <c r="R236" s="21" t="s">
        <v>1227</v>
      </c>
      <c r="S236" s="21" t="s">
        <v>1127</v>
      </c>
      <c r="T236" s="21" t="s">
        <v>1917</v>
      </c>
      <c r="U236" s="21" t="s">
        <v>1711</v>
      </c>
      <c r="V236" s="21" t="str">
        <f>_xlfn.XLOOKUP(U236,'T07'!$D$3:$D$1500,'T07'!$BI$3:$BI$1500)&amp;" / "&amp;_xlfn.XLOOKUP(U236,'T07'!$D$3:$D$1500,'T07'!$BJ$3:$BJ$1500)</f>
        <v>LHR-HTV-2008-42260 / HTV</v>
      </c>
      <c r="W236" s="21" t="s">
        <v>1917</v>
      </c>
      <c r="X236" s="21" t="s">
        <v>1713</v>
      </c>
      <c r="Y236" s="21" t="s">
        <v>1991</v>
      </c>
      <c r="Z236" s="21">
        <v>1</v>
      </c>
      <c r="AA236" s="21" t="s">
        <v>1840</v>
      </c>
      <c r="AB236" s="21" t="s">
        <v>1841</v>
      </c>
      <c r="AC236" s="25">
        <v>1500</v>
      </c>
      <c r="AD236" s="25">
        <v>500</v>
      </c>
      <c r="AE236" s="21" t="s">
        <v>2715</v>
      </c>
      <c r="AF236" s="21" t="s">
        <v>2716</v>
      </c>
      <c r="AG236" s="35">
        <v>46116.727083333331</v>
      </c>
      <c r="AH236" s="21" t="s">
        <v>1934</v>
      </c>
      <c r="AI236" s="25">
        <v>500</v>
      </c>
      <c r="AJ236" s="21" t="s">
        <v>1056</v>
      </c>
      <c r="AK236" s="21" t="s">
        <v>1922</v>
      </c>
      <c r="AL236" s="21" t="str">
        <f>IF(AD236-AI236&gt;0,(AD236-AI236)&amp;" bags - damaged in transit","None")</f>
        <v>None</v>
      </c>
      <c r="AM236" s="21" t="s">
        <v>844</v>
      </c>
      <c r="AN236" s="21" t="s">
        <v>848</v>
      </c>
      <c r="AO236" s="21" t="s">
        <v>2717</v>
      </c>
      <c r="AP236" s="21" t="str">
        <f>IF(AO236="Pending","Not yet invoiced",IF(AI236=AD236,"Matched","Invoiced on received qty ("&amp;AI236&amp;" of "&amp;AD236&amp;")"))</f>
        <v>Matched</v>
      </c>
      <c r="AQ236" s="21" t="s">
        <v>2718</v>
      </c>
    </row>
    <row r="237" spans="1:43" x14ac:dyDescent="0.3">
      <c r="A237" s="21" t="s">
        <v>2719</v>
      </c>
      <c r="B237" s="35">
        <v>46119.708333333336</v>
      </c>
      <c r="C237" s="21" t="s">
        <v>1909</v>
      </c>
      <c r="D237" s="21" t="s">
        <v>2708</v>
      </c>
      <c r="E237" s="21" t="s">
        <v>1911</v>
      </c>
      <c r="F237" s="21" t="s">
        <v>1817</v>
      </c>
      <c r="G237" s="35">
        <v>46119.819583333338</v>
      </c>
      <c r="H237" s="21" t="s">
        <v>1912</v>
      </c>
      <c r="I237" s="21" t="s">
        <v>1913</v>
      </c>
      <c r="J237" s="21" t="s">
        <v>1914</v>
      </c>
      <c r="K237" s="21" t="s">
        <v>1830</v>
      </c>
      <c r="L237" s="21" t="s">
        <v>1133</v>
      </c>
      <c r="M237" s="21" t="s">
        <v>1139</v>
      </c>
      <c r="N237" s="21" t="s">
        <v>1140</v>
      </c>
      <c r="O237" s="21" t="s">
        <v>2030</v>
      </c>
      <c r="P237" s="21" t="s">
        <v>1916</v>
      </c>
      <c r="Q237" s="21" t="s">
        <v>1339</v>
      </c>
      <c r="R237" s="21" t="s">
        <v>1341</v>
      </c>
      <c r="S237" s="21" t="s">
        <v>1343</v>
      </c>
      <c r="T237" s="21" t="s">
        <v>1917</v>
      </c>
      <c r="U237" s="21" t="s">
        <v>1711</v>
      </c>
      <c r="V237" s="21" t="str">
        <f>_xlfn.XLOOKUP(U237,'T07'!$D$3:$D$1500,'T07'!$BI$3:$BI$1500)&amp;" / "&amp;_xlfn.XLOOKUP(U237,'T07'!$D$3:$D$1500,'T07'!$BJ$3:$BJ$1500)</f>
        <v>LHR-HTV-2008-42260 / HTV</v>
      </c>
      <c r="W237" s="21" t="s">
        <v>1917</v>
      </c>
      <c r="X237" s="21" t="s">
        <v>1713</v>
      </c>
      <c r="Y237" s="21" t="s">
        <v>1953</v>
      </c>
      <c r="Z237" s="21">
        <v>1</v>
      </c>
      <c r="AA237" s="21" t="s">
        <v>1815</v>
      </c>
      <c r="AB237" s="21" t="s">
        <v>783</v>
      </c>
      <c r="AC237" s="25">
        <v>183</v>
      </c>
      <c r="AD237" s="25">
        <v>29</v>
      </c>
      <c r="AE237" s="21" t="s">
        <v>2720</v>
      </c>
      <c r="AF237" s="21" t="s">
        <v>2721</v>
      </c>
      <c r="AG237" s="35">
        <v>46119.839583333334</v>
      </c>
      <c r="AH237" s="21" t="s">
        <v>1921</v>
      </c>
      <c r="AI237" s="25">
        <v>29</v>
      </c>
      <c r="AJ237" s="21" t="s">
        <v>1141</v>
      </c>
      <c r="AK237" s="21" t="s">
        <v>1922</v>
      </c>
      <c r="AL237" s="21" t="str">
        <f>IF(AD237-AI237&gt;0,(AD237-AI237)&amp;" bags - damaged in transit","None")</f>
        <v>None</v>
      </c>
      <c r="AM237" s="21" t="s">
        <v>844</v>
      </c>
      <c r="AN237" s="21" t="s">
        <v>848</v>
      </c>
      <c r="AO237" s="21" t="s">
        <v>2711</v>
      </c>
      <c r="AP237" s="21" t="str">
        <f>IF(AO237="Pending","Not yet invoiced",IF(AI237=AD237,"Matched","Invoiced on received qty ("&amp;AI237&amp;" of "&amp;AD237&amp;")"))</f>
        <v>Matched</v>
      </c>
      <c r="AQ237" s="21" t="s">
        <v>2712</v>
      </c>
    </row>
    <row r="238" spans="1:43" x14ac:dyDescent="0.3">
      <c r="A238" s="21" t="s">
        <v>2722</v>
      </c>
      <c r="B238" s="35">
        <v>46121.5</v>
      </c>
      <c r="C238" s="21" t="s">
        <v>1909</v>
      </c>
      <c r="D238" s="21" t="s">
        <v>2714</v>
      </c>
      <c r="E238" s="21" t="s">
        <v>1945</v>
      </c>
      <c r="F238" s="21" t="s">
        <v>768</v>
      </c>
      <c r="G238" s="35">
        <v>46121.623749999999</v>
      </c>
      <c r="H238" s="21" t="s">
        <v>1912</v>
      </c>
      <c r="I238" s="21" t="s">
        <v>1913</v>
      </c>
      <c r="J238" s="21" t="s">
        <v>1914</v>
      </c>
      <c r="K238" s="21" t="s">
        <v>1835</v>
      </c>
      <c r="L238" s="21" t="s">
        <v>1055</v>
      </c>
      <c r="M238" s="21" t="s">
        <v>1836</v>
      </c>
      <c r="N238" s="21" t="s">
        <v>2204</v>
      </c>
      <c r="O238" s="21" t="s">
        <v>2205</v>
      </c>
      <c r="P238" s="21" t="s">
        <v>1930</v>
      </c>
      <c r="Q238" s="21" t="s">
        <v>1213</v>
      </c>
      <c r="R238" s="21" t="s">
        <v>1271</v>
      </c>
      <c r="S238" s="21" t="s">
        <v>1127</v>
      </c>
      <c r="T238" s="21" t="s">
        <v>1917</v>
      </c>
      <c r="U238" s="21" t="s">
        <v>1677</v>
      </c>
      <c r="V238" s="21" t="str">
        <f>_xlfn.XLOOKUP(U238,'T07'!$D$3:$D$1500,'T07'!$BI$3:$BI$1500)&amp;" / "&amp;_xlfn.XLOOKUP(U238,'T07'!$D$3:$D$1500,'T07'!$BJ$3:$BJ$1500)</f>
        <v>LHR-HTV-2010-55907 / HTV</v>
      </c>
      <c r="W238" s="21" t="s">
        <v>1917</v>
      </c>
      <c r="X238" s="21" t="s">
        <v>1679</v>
      </c>
      <c r="Y238" s="21" t="s">
        <v>2022</v>
      </c>
      <c r="Z238" s="21">
        <v>1</v>
      </c>
      <c r="AA238" s="21" t="s">
        <v>1828</v>
      </c>
      <c r="AB238" s="21" t="s">
        <v>1804</v>
      </c>
      <c r="AC238" s="25">
        <v>1500</v>
      </c>
      <c r="AD238" s="25">
        <v>250</v>
      </c>
      <c r="AE238" s="21" t="s">
        <v>2723</v>
      </c>
      <c r="AF238" s="21" t="s">
        <v>2724</v>
      </c>
      <c r="AG238" s="35">
        <v>46121.643749999996</v>
      </c>
      <c r="AH238" s="21" t="s">
        <v>1934</v>
      </c>
      <c r="AI238" s="25">
        <v>250</v>
      </c>
      <c r="AJ238" s="21" t="s">
        <v>1056</v>
      </c>
      <c r="AK238" s="21" t="s">
        <v>1922</v>
      </c>
      <c r="AL238" s="21" t="str">
        <f>IF(AD238-AI238&gt;0,(AD238-AI238)&amp;" bags - damaged in transit","None")</f>
        <v>None</v>
      </c>
      <c r="AM238" s="21" t="s">
        <v>844</v>
      </c>
      <c r="AN238" s="21" t="s">
        <v>848</v>
      </c>
      <c r="AO238" s="21" t="s">
        <v>2717</v>
      </c>
      <c r="AP238" s="21" t="str">
        <f>IF(AO238="Pending","Not yet invoiced",IF(AI238=AD238,"Matched","Invoiced on received qty ("&amp;AI238&amp;" of "&amp;AD238&amp;")"))</f>
        <v>Matched</v>
      </c>
      <c r="AQ238" s="21" t="s">
        <v>2718</v>
      </c>
    </row>
    <row r="239" spans="1:43" x14ac:dyDescent="0.3">
      <c r="A239" s="21" t="s">
        <v>2722</v>
      </c>
      <c r="B239" s="35">
        <v>46121.5</v>
      </c>
      <c r="C239" s="21" t="s">
        <v>1909</v>
      </c>
      <c r="D239" s="21" t="s">
        <v>2714</v>
      </c>
      <c r="E239" s="21" t="s">
        <v>2056</v>
      </c>
      <c r="F239" s="21" t="s">
        <v>768</v>
      </c>
      <c r="G239" s="35">
        <v>46121.623749999999</v>
      </c>
      <c r="H239" s="21" t="s">
        <v>1912</v>
      </c>
      <c r="I239" s="21" t="s">
        <v>1913</v>
      </c>
      <c r="J239" s="21" t="s">
        <v>1914</v>
      </c>
      <c r="K239" s="21" t="s">
        <v>1835</v>
      </c>
      <c r="L239" s="21" t="s">
        <v>1055</v>
      </c>
      <c r="M239" s="21" t="s">
        <v>1836</v>
      </c>
      <c r="N239" s="21" t="s">
        <v>2204</v>
      </c>
      <c r="O239" s="21" t="s">
        <v>2205</v>
      </c>
      <c r="P239" s="21" t="s">
        <v>1930</v>
      </c>
      <c r="Q239" s="21" t="s">
        <v>1213</v>
      </c>
      <c r="R239" s="21" t="s">
        <v>1271</v>
      </c>
      <c r="S239" s="21" t="s">
        <v>1127</v>
      </c>
      <c r="T239" s="21" t="s">
        <v>1917</v>
      </c>
      <c r="U239" s="21" t="s">
        <v>1677</v>
      </c>
      <c r="V239" s="21" t="str">
        <f>_xlfn.XLOOKUP(U239,'T07'!$D$3:$D$1500,'T07'!$BI$3:$BI$1500)&amp;" / "&amp;_xlfn.XLOOKUP(U239,'T07'!$D$3:$D$1500,'T07'!$BJ$3:$BJ$1500)</f>
        <v>LHR-HTV-2010-55907 / HTV</v>
      </c>
      <c r="W239" s="21" t="s">
        <v>1917</v>
      </c>
      <c r="X239" s="21" t="s">
        <v>1679</v>
      </c>
      <c r="Y239" s="21" t="s">
        <v>2022</v>
      </c>
      <c r="Z239" s="21">
        <v>2</v>
      </c>
      <c r="AA239" s="21" t="s">
        <v>1840</v>
      </c>
      <c r="AB239" s="21" t="s">
        <v>1841</v>
      </c>
      <c r="AC239" s="25">
        <v>1000</v>
      </c>
      <c r="AD239" s="25">
        <v>250</v>
      </c>
      <c r="AE239" s="21" t="s">
        <v>2725</v>
      </c>
      <c r="AF239" s="21" t="s">
        <v>2724</v>
      </c>
      <c r="AG239" s="35">
        <v>46121.643749999996</v>
      </c>
      <c r="AH239" s="21" t="s">
        <v>1934</v>
      </c>
      <c r="AI239" s="25">
        <v>250</v>
      </c>
      <c r="AJ239" s="21" t="s">
        <v>1056</v>
      </c>
      <c r="AK239" s="21" t="s">
        <v>1922</v>
      </c>
      <c r="AL239" s="21" t="str">
        <f>IF(AD239-AI239&gt;0,(AD239-AI239)&amp;" bags - damaged in transit","None")</f>
        <v>None</v>
      </c>
      <c r="AM239" s="21" t="s">
        <v>844</v>
      </c>
      <c r="AN239" s="21" t="s">
        <v>848</v>
      </c>
      <c r="AO239" s="21" t="s">
        <v>2717</v>
      </c>
      <c r="AP239" s="21" t="str">
        <f>IF(AO239="Pending","Not yet invoiced",IF(AI239=AD239,"Matched","Invoiced on received qty ("&amp;AI239&amp;" of "&amp;AD239&amp;")"))</f>
        <v>Matched</v>
      </c>
      <c r="AQ239" s="21" t="s">
        <v>2718</v>
      </c>
    </row>
    <row r="240" spans="1:43" x14ac:dyDescent="0.3">
      <c r="A240" s="21" t="s">
        <v>2726</v>
      </c>
      <c r="B240" s="35">
        <v>46122.25</v>
      </c>
      <c r="C240" s="21" t="s">
        <v>1909</v>
      </c>
      <c r="D240" s="21" t="s">
        <v>2708</v>
      </c>
      <c r="E240" s="21" t="s">
        <v>1911</v>
      </c>
      <c r="F240" s="21" t="s">
        <v>1817</v>
      </c>
      <c r="G240" s="35">
        <v>46122.361250000002</v>
      </c>
      <c r="H240" s="21" t="s">
        <v>1912</v>
      </c>
      <c r="I240" s="21" t="s">
        <v>1913</v>
      </c>
      <c r="J240" s="21" t="s">
        <v>1914</v>
      </c>
      <c r="K240" s="21" t="s">
        <v>1830</v>
      </c>
      <c r="L240" s="21" t="s">
        <v>1133</v>
      </c>
      <c r="M240" s="21" t="s">
        <v>1139</v>
      </c>
      <c r="N240" s="21" t="s">
        <v>1140</v>
      </c>
      <c r="O240" s="21" t="s">
        <v>2030</v>
      </c>
      <c r="P240" s="21" t="s">
        <v>1916</v>
      </c>
      <c r="Q240" s="21" t="s">
        <v>1339</v>
      </c>
      <c r="R240" s="21" t="s">
        <v>1350</v>
      </c>
      <c r="S240" s="21" t="s">
        <v>1352</v>
      </c>
      <c r="T240" s="21" t="s">
        <v>1917</v>
      </c>
      <c r="U240" s="21" t="s">
        <v>1753</v>
      </c>
      <c r="V240" s="21" t="str">
        <f>_xlfn.XLOOKUP(U240,'T07'!$D$3:$D$1500,'T07'!$BI$3:$BI$1500)&amp;" / "&amp;_xlfn.XLOOKUP(U240,'T07'!$D$3:$D$1500,'T07'!$BJ$3:$BJ$1500)</f>
        <v>LHR-HTV-2009-86678 / HTV</v>
      </c>
      <c r="W240" s="21" t="s">
        <v>1917</v>
      </c>
      <c r="X240" s="21" t="s">
        <v>1755</v>
      </c>
      <c r="Y240" s="21" t="s">
        <v>1918</v>
      </c>
      <c r="Z240" s="21">
        <v>1</v>
      </c>
      <c r="AA240" s="21" t="s">
        <v>1815</v>
      </c>
      <c r="AB240" s="21" t="s">
        <v>783</v>
      </c>
      <c r="AC240" s="25">
        <v>154</v>
      </c>
      <c r="AD240" s="25">
        <v>38</v>
      </c>
      <c r="AE240" s="21" t="s">
        <v>2727</v>
      </c>
      <c r="AF240" s="21" t="s">
        <v>2728</v>
      </c>
      <c r="AG240" s="35">
        <v>46122.381249999999</v>
      </c>
      <c r="AH240" s="21" t="s">
        <v>1921</v>
      </c>
      <c r="AI240" s="25">
        <v>38</v>
      </c>
      <c r="AJ240" s="21" t="s">
        <v>1141</v>
      </c>
      <c r="AK240" s="21" t="s">
        <v>1922</v>
      </c>
      <c r="AL240" s="21" t="str">
        <f>IF(AD240-AI240&gt;0,(AD240-AI240)&amp;" bags - damaged in transit","None")</f>
        <v>None</v>
      </c>
      <c r="AM240" s="21" t="s">
        <v>844</v>
      </c>
      <c r="AN240" s="21" t="s">
        <v>848</v>
      </c>
      <c r="AO240" s="21" t="s">
        <v>2711</v>
      </c>
      <c r="AP240" s="21" t="str">
        <f>IF(AO240="Pending","Not yet invoiced",IF(AI240=AD240,"Matched","Invoiced on received qty ("&amp;AI240&amp;" of "&amp;AD240&amp;")"))</f>
        <v>Matched</v>
      </c>
      <c r="AQ240" s="21" t="s">
        <v>2712</v>
      </c>
    </row>
    <row r="241" spans="1:43" x14ac:dyDescent="0.3">
      <c r="A241" s="21" t="s">
        <v>2729</v>
      </c>
      <c r="B241" s="35">
        <v>46127.666666666664</v>
      </c>
      <c r="C241" s="21" t="s">
        <v>1909</v>
      </c>
      <c r="D241" s="21" t="s">
        <v>2714</v>
      </c>
      <c r="E241" s="21" t="s">
        <v>1927</v>
      </c>
      <c r="F241" s="21" t="s">
        <v>768</v>
      </c>
      <c r="G241" s="35">
        <v>46127.790416666663</v>
      </c>
      <c r="H241" s="21" t="s">
        <v>1912</v>
      </c>
      <c r="I241" s="21" t="s">
        <v>1913</v>
      </c>
      <c r="J241" s="21" t="s">
        <v>1914</v>
      </c>
      <c r="K241" s="21" t="s">
        <v>1835</v>
      </c>
      <c r="L241" s="21" t="s">
        <v>1055</v>
      </c>
      <c r="M241" s="21" t="s">
        <v>1836</v>
      </c>
      <c r="N241" s="21" t="s">
        <v>2204</v>
      </c>
      <c r="O241" s="21" t="s">
        <v>2205</v>
      </c>
      <c r="P241" s="21" t="s">
        <v>1930</v>
      </c>
      <c r="Q241" s="21" t="s">
        <v>1278</v>
      </c>
      <c r="R241" s="21" t="s">
        <v>1280</v>
      </c>
      <c r="S241" s="21" t="s">
        <v>1247</v>
      </c>
      <c r="T241" s="21" t="s">
        <v>1917</v>
      </c>
      <c r="U241" s="21" t="s">
        <v>1766</v>
      </c>
      <c r="V241" s="21" t="str">
        <f>_xlfn.XLOOKUP(U241,'T07'!$D$3:$D$1500,'T07'!$BI$3:$BI$1500)&amp;" / "&amp;_xlfn.XLOOKUP(U241,'T07'!$D$3:$D$1500,'T07'!$BJ$3:$BJ$1500)</f>
        <v>LHR-LTV-2019-66685 / LTV</v>
      </c>
      <c r="W241" s="21" t="s">
        <v>1917</v>
      </c>
      <c r="X241" s="21" t="s">
        <v>1768</v>
      </c>
      <c r="Y241" s="21" t="s">
        <v>2018</v>
      </c>
      <c r="Z241" s="21">
        <v>1</v>
      </c>
      <c r="AA241" s="21" t="s">
        <v>1828</v>
      </c>
      <c r="AB241" s="21" t="s">
        <v>1804</v>
      </c>
      <c r="AC241" s="25">
        <v>1250</v>
      </c>
      <c r="AD241" s="25">
        <v>100</v>
      </c>
      <c r="AE241" s="21" t="s">
        <v>2730</v>
      </c>
      <c r="AF241" s="21" t="s">
        <v>2731</v>
      </c>
      <c r="AG241" s="35">
        <v>46127.81041666666</v>
      </c>
      <c r="AH241" s="21" t="s">
        <v>1934</v>
      </c>
      <c r="AI241" s="25">
        <v>100</v>
      </c>
      <c r="AJ241" s="21" t="s">
        <v>1056</v>
      </c>
      <c r="AK241" s="21" t="s">
        <v>1922</v>
      </c>
      <c r="AL241" s="21" t="str">
        <f>IF(AD241-AI241&gt;0,(AD241-AI241)&amp;" bags - damaged in transit","None")</f>
        <v>None</v>
      </c>
      <c r="AM241" s="21" t="s">
        <v>844</v>
      </c>
      <c r="AN241" s="21" t="s">
        <v>848</v>
      </c>
      <c r="AO241" s="21" t="s">
        <v>2717</v>
      </c>
      <c r="AP241" s="21" t="str">
        <f>IF(AO241="Pending","Not yet invoiced",IF(AI241=AD241,"Matched","Invoiced on received qty ("&amp;AI241&amp;" of "&amp;AD241&amp;")"))</f>
        <v>Matched</v>
      </c>
      <c r="AQ241" s="21" t="s">
        <v>2732</v>
      </c>
    </row>
    <row r="242" spans="1:43" x14ac:dyDescent="0.3">
      <c r="A242" s="21" t="s">
        <v>2729</v>
      </c>
      <c r="B242" s="35">
        <v>46127.666666666664</v>
      </c>
      <c r="C242" s="21" t="s">
        <v>1909</v>
      </c>
      <c r="D242" s="21" t="s">
        <v>2714</v>
      </c>
      <c r="E242" s="21" t="s">
        <v>1927</v>
      </c>
      <c r="F242" s="21" t="s">
        <v>768</v>
      </c>
      <c r="G242" s="35">
        <v>46127.790416666663</v>
      </c>
      <c r="H242" s="21" t="s">
        <v>1912</v>
      </c>
      <c r="I242" s="21" t="s">
        <v>1913</v>
      </c>
      <c r="J242" s="21" t="s">
        <v>1914</v>
      </c>
      <c r="K242" s="21" t="s">
        <v>1835</v>
      </c>
      <c r="L242" s="21" t="s">
        <v>1055</v>
      </c>
      <c r="M242" s="21" t="s">
        <v>1836</v>
      </c>
      <c r="N242" s="21" t="s">
        <v>2204</v>
      </c>
      <c r="O242" s="21" t="s">
        <v>2205</v>
      </c>
      <c r="P242" s="21" t="s">
        <v>1930</v>
      </c>
      <c r="Q242" s="21" t="s">
        <v>1278</v>
      </c>
      <c r="R242" s="21" t="s">
        <v>1280</v>
      </c>
      <c r="S242" s="21" t="s">
        <v>1247</v>
      </c>
      <c r="T242" s="21" t="s">
        <v>1917</v>
      </c>
      <c r="U242" s="21" t="s">
        <v>1766</v>
      </c>
      <c r="V242" s="21" t="str">
        <f>_xlfn.XLOOKUP(U242,'T07'!$D$3:$D$1500,'T07'!$BI$3:$BI$1500)&amp;" / "&amp;_xlfn.XLOOKUP(U242,'T07'!$D$3:$D$1500,'T07'!$BJ$3:$BJ$1500)</f>
        <v>LHR-LTV-2019-66685 / LTV</v>
      </c>
      <c r="W242" s="21" t="s">
        <v>1917</v>
      </c>
      <c r="X242" s="21" t="s">
        <v>1768</v>
      </c>
      <c r="Y242" s="21" t="s">
        <v>2018</v>
      </c>
      <c r="Z242" s="21">
        <v>2</v>
      </c>
      <c r="AA242" s="21" t="s">
        <v>1840</v>
      </c>
      <c r="AB242" s="21" t="s">
        <v>1841</v>
      </c>
      <c r="AC242" s="25">
        <v>750</v>
      </c>
      <c r="AD242" s="25">
        <v>100</v>
      </c>
      <c r="AE242" s="21" t="s">
        <v>2733</v>
      </c>
      <c r="AF242" s="21" t="s">
        <v>2731</v>
      </c>
      <c r="AG242" s="35">
        <v>46127.81041666666</v>
      </c>
      <c r="AH242" s="21" t="s">
        <v>1934</v>
      </c>
      <c r="AI242" s="25">
        <v>100</v>
      </c>
      <c r="AJ242" s="21" t="s">
        <v>1056</v>
      </c>
      <c r="AK242" s="21" t="s">
        <v>1922</v>
      </c>
      <c r="AL242" s="21" t="str">
        <f>IF(AD242-AI242&gt;0,(AD242-AI242)&amp;" bags - damaged in transit","None")</f>
        <v>None</v>
      </c>
      <c r="AM242" s="21" t="s">
        <v>844</v>
      </c>
      <c r="AN242" s="21" t="s">
        <v>848</v>
      </c>
      <c r="AO242" s="21" t="s">
        <v>2717</v>
      </c>
      <c r="AP242" s="21" t="str">
        <f>IF(AO242="Pending","Not yet invoiced",IF(AI242=AD242,"Matched","Invoiced on received qty ("&amp;AI242&amp;" of "&amp;AD242&amp;")"))</f>
        <v>Matched</v>
      </c>
      <c r="AQ242" s="21" t="s">
        <v>2732</v>
      </c>
    </row>
    <row r="243" spans="1:43" x14ac:dyDescent="0.3">
      <c r="A243" s="21" t="s">
        <v>2734</v>
      </c>
      <c r="B243" s="35">
        <v>46128.458333333336</v>
      </c>
      <c r="C243" s="21" t="s">
        <v>1909</v>
      </c>
      <c r="D243" s="21" t="s">
        <v>2708</v>
      </c>
      <c r="E243" s="21" t="s">
        <v>1911</v>
      </c>
      <c r="F243" s="21" t="s">
        <v>1817</v>
      </c>
      <c r="G243" s="35">
        <v>46128.569583333338</v>
      </c>
      <c r="H243" s="21" t="s">
        <v>1912</v>
      </c>
      <c r="I243" s="21" t="s">
        <v>1913</v>
      </c>
      <c r="J243" s="21" t="s">
        <v>1914</v>
      </c>
      <c r="K243" s="21" t="s">
        <v>1830</v>
      </c>
      <c r="L243" s="21" t="s">
        <v>1133</v>
      </c>
      <c r="M243" s="21" t="s">
        <v>1139</v>
      </c>
      <c r="N243" s="21" t="s">
        <v>1140</v>
      </c>
      <c r="O243" s="21" t="s">
        <v>2030</v>
      </c>
      <c r="P243" s="21" t="s">
        <v>1916</v>
      </c>
      <c r="Q243" s="21" t="s">
        <v>1339</v>
      </c>
      <c r="R243" s="21" t="s">
        <v>1367</v>
      </c>
      <c r="S243" s="21" t="s">
        <v>1352</v>
      </c>
      <c r="T243" s="21" t="s">
        <v>1917</v>
      </c>
      <c r="U243" s="21" t="s">
        <v>1724</v>
      </c>
      <c r="V243" s="21" t="str">
        <f>_xlfn.XLOOKUP(U243,'T07'!$D$3:$D$1500,'T07'!$BI$3:$BI$1500)&amp;" / "&amp;_xlfn.XLOOKUP(U243,'T07'!$D$3:$D$1500,'T07'!$BJ$3:$BJ$1500)</f>
        <v>LHR-HTV-2008-90487 / HTV</v>
      </c>
      <c r="W243" s="21" t="s">
        <v>1917</v>
      </c>
      <c r="X243" s="21" t="s">
        <v>1726</v>
      </c>
      <c r="Y243" s="21" t="s">
        <v>2051</v>
      </c>
      <c r="Z243" s="21">
        <v>1</v>
      </c>
      <c r="AA243" s="21" t="s">
        <v>1815</v>
      </c>
      <c r="AB243" s="21" t="s">
        <v>783</v>
      </c>
      <c r="AC243" s="25">
        <v>116</v>
      </c>
      <c r="AD243" s="25">
        <v>38</v>
      </c>
      <c r="AE243" s="21" t="s">
        <v>2735</v>
      </c>
      <c r="AF243" s="21" t="s">
        <v>2736</v>
      </c>
      <c r="AG243" s="35">
        <v>46128.589583333334</v>
      </c>
      <c r="AH243" s="21" t="s">
        <v>1921</v>
      </c>
      <c r="AI243" s="25">
        <v>38</v>
      </c>
      <c r="AJ243" s="21" t="s">
        <v>1141</v>
      </c>
      <c r="AK243" s="21" t="s">
        <v>1922</v>
      </c>
      <c r="AL243" s="21" t="str">
        <f>IF(AD243-AI243&gt;0,(AD243-AI243)&amp;" bags - damaged in transit","None")</f>
        <v>None</v>
      </c>
      <c r="AM243" s="21" t="s">
        <v>844</v>
      </c>
      <c r="AN243" s="21" t="s">
        <v>848</v>
      </c>
      <c r="AO243" s="21" t="s">
        <v>2711</v>
      </c>
      <c r="AP243" s="21" t="str">
        <f>IF(AO243="Pending","Not yet invoiced",IF(AI243=AD243,"Matched","Invoiced on received qty ("&amp;AI243&amp;" of "&amp;AD243&amp;")"))</f>
        <v>Matched</v>
      </c>
      <c r="AQ243" s="21" t="s">
        <v>2712</v>
      </c>
    </row>
    <row r="244" spans="1:43" x14ac:dyDescent="0.3">
      <c r="A244" s="21" t="s">
        <v>2737</v>
      </c>
      <c r="B244" s="35">
        <v>46130.416666666664</v>
      </c>
      <c r="C244" s="21" t="s">
        <v>1909</v>
      </c>
      <c r="D244" s="21" t="s">
        <v>2708</v>
      </c>
      <c r="E244" s="21" t="s">
        <v>1911</v>
      </c>
      <c r="F244" s="21" t="s">
        <v>1817</v>
      </c>
      <c r="G244" s="35">
        <v>46130.527916666666</v>
      </c>
      <c r="H244" s="21" t="s">
        <v>1912</v>
      </c>
      <c r="I244" s="21" t="s">
        <v>1913</v>
      </c>
      <c r="J244" s="21" t="s">
        <v>1914</v>
      </c>
      <c r="K244" s="21" t="s">
        <v>1830</v>
      </c>
      <c r="L244" s="21" t="s">
        <v>1133</v>
      </c>
      <c r="M244" s="21" t="s">
        <v>1139</v>
      </c>
      <c r="N244" s="21" t="s">
        <v>1140</v>
      </c>
      <c r="O244" s="21" t="s">
        <v>2030</v>
      </c>
      <c r="P244" s="21" t="s">
        <v>1916</v>
      </c>
      <c r="Q244" s="21" t="s">
        <v>1339</v>
      </c>
      <c r="R244" s="21" t="s">
        <v>1360</v>
      </c>
      <c r="S244" s="21" t="s">
        <v>1343</v>
      </c>
      <c r="T244" s="21" t="s">
        <v>1917</v>
      </c>
      <c r="U244" s="21" t="s">
        <v>1677</v>
      </c>
      <c r="V244" s="21" t="str">
        <f>_xlfn.XLOOKUP(U244,'T07'!$D$3:$D$1500,'T07'!$BI$3:$BI$1500)&amp;" / "&amp;_xlfn.XLOOKUP(U244,'T07'!$D$3:$D$1500,'T07'!$BJ$3:$BJ$1500)</f>
        <v>LHR-HTV-2010-55907 / HTV</v>
      </c>
      <c r="W244" s="21" t="s">
        <v>1917</v>
      </c>
      <c r="X244" s="21" t="s">
        <v>1679</v>
      </c>
      <c r="Y244" s="21" t="s">
        <v>1963</v>
      </c>
      <c r="Z244" s="21">
        <v>1</v>
      </c>
      <c r="AA244" s="21" t="s">
        <v>1815</v>
      </c>
      <c r="AB244" s="21" t="s">
        <v>783</v>
      </c>
      <c r="AC244" s="25">
        <v>78</v>
      </c>
      <c r="AD244" s="25">
        <v>27</v>
      </c>
      <c r="AE244" s="21" t="s">
        <v>2738</v>
      </c>
      <c r="AF244" s="21" t="s">
        <v>2739</v>
      </c>
      <c r="AG244" s="35">
        <v>46130.547916666663</v>
      </c>
      <c r="AH244" s="21" t="s">
        <v>1921</v>
      </c>
      <c r="AI244" s="25">
        <v>27</v>
      </c>
      <c r="AJ244" s="21" t="s">
        <v>1141</v>
      </c>
      <c r="AK244" s="21" t="s">
        <v>1922</v>
      </c>
      <c r="AL244" s="21" t="str">
        <f>IF(AD244-AI244&gt;0,(AD244-AI244)&amp;" bags - damaged in transit","None")</f>
        <v>None</v>
      </c>
      <c r="AM244" s="21" t="s">
        <v>844</v>
      </c>
      <c r="AN244" s="21" t="s">
        <v>848</v>
      </c>
      <c r="AO244" s="21" t="s">
        <v>2711</v>
      </c>
      <c r="AP244" s="21" t="str">
        <f>IF(AO244="Pending","Not yet invoiced",IF(AI244=AD244,"Matched","Invoiced on received qty ("&amp;AI244&amp;" of "&amp;AD244&amp;")"))</f>
        <v>Matched</v>
      </c>
      <c r="AQ244" s="21" t="s">
        <v>2712</v>
      </c>
    </row>
    <row r="245" spans="1:43" x14ac:dyDescent="0.3">
      <c r="A245" s="21" t="s">
        <v>2740</v>
      </c>
      <c r="B245" s="35">
        <v>46132.666666666664</v>
      </c>
      <c r="C245" s="21" t="s">
        <v>1909</v>
      </c>
      <c r="D245" s="21" t="s">
        <v>2714</v>
      </c>
      <c r="E245" s="21" t="s">
        <v>2056</v>
      </c>
      <c r="F245" s="21" t="s">
        <v>768</v>
      </c>
      <c r="G245" s="35">
        <v>46132.790416666663</v>
      </c>
      <c r="H245" s="21" t="s">
        <v>1912</v>
      </c>
      <c r="I245" s="21" t="s">
        <v>1913</v>
      </c>
      <c r="J245" s="21" t="s">
        <v>1914</v>
      </c>
      <c r="K245" s="21" t="s">
        <v>1835</v>
      </c>
      <c r="L245" s="21" t="s">
        <v>1055</v>
      </c>
      <c r="M245" s="21" t="s">
        <v>1836</v>
      </c>
      <c r="N245" s="21" t="s">
        <v>2204</v>
      </c>
      <c r="O245" s="21" t="s">
        <v>2205</v>
      </c>
      <c r="P245" s="21" t="s">
        <v>1930</v>
      </c>
      <c r="Q245" s="21" t="s">
        <v>1213</v>
      </c>
      <c r="R245" s="21" t="s">
        <v>1227</v>
      </c>
      <c r="S245" s="21" t="s">
        <v>1127</v>
      </c>
      <c r="T245" s="21" t="s">
        <v>1917</v>
      </c>
      <c r="U245" s="21" t="s">
        <v>1753</v>
      </c>
      <c r="V245" s="21" t="str">
        <f>_xlfn.XLOOKUP(U245,'T07'!$D$3:$D$1500,'T07'!$BI$3:$BI$1500)&amp;" / "&amp;_xlfn.XLOOKUP(U245,'T07'!$D$3:$D$1500,'T07'!$BJ$3:$BJ$1500)</f>
        <v>LHR-HTV-2009-86678 / HTV</v>
      </c>
      <c r="W245" s="21" t="s">
        <v>1917</v>
      </c>
      <c r="X245" s="21" t="s">
        <v>1755</v>
      </c>
      <c r="Y245" s="21" t="s">
        <v>1991</v>
      </c>
      <c r="Z245" s="21">
        <v>1</v>
      </c>
      <c r="AA245" s="21" t="s">
        <v>1840</v>
      </c>
      <c r="AB245" s="21" t="s">
        <v>1841</v>
      </c>
      <c r="AC245" s="25">
        <v>650</v>
      </c>
      <c r="AD245" s="25">
        <v>250</v>
      </c>
      <c r="AE245" s="21" t="s">
        <v>2741</v>
      </c>
      <c r="AF245" s="21" t="s">
        <v>2742</v>
      </c>
      <c r="AG245" s="35">
        <v>46132.81041666666</v>
      </c>
      <c r="AH245" s="21" t="s">
        <v>1934</v>
      </c>
      <c r="AI245" s="25">
        <v>250</v>
      </c>
      <c r="AJ245" s="21" t="s">
        <v>1056</v>
      </c>
      <c r="AK245" s="21" t="s">
        <v>1922</v>
      </c>
      <c r="AL245" s="21" t="str">
        <f>IF(AD245-AI245&gt;0,(AD245-AI245)&amp;" bags - damaged in transit","None")</f>
        <v>None</v>
      </c>
      <c r="AM245" s="21" t="s">
        <v>844</v>
      </c>
      <c r="AN245" s="21" t="s">
        <v>848</v>
      </c>
      <c r="AO245" s="21" t="s">
        <v>2717</v>
      </c>
      <c r="AP245" s="21" t="str">
        <f>IF(AO245="Pending","Not yet invoiced",IF(AI245=AD245,"Matched","Invoiced on received qty ("&amp;AI245&amp;" of "&amp;AD245&amp;")"))</f>
        <v>Matched</v>
      </c>
      <c r="AQ245" s="21" t="s">
        <v>2718</v>
      </c>
    </row>
    <row r="246" spans="1:43" x14ac:dyDescent="0.3">
      <c r="A246" s="21" t="s">
        <v>2740</v>
      </c>
      <c r="B246" s="35">
        <v>46132.666666666664</v>
      </c>
      <c r="C246" s="21" t="s">
        <v>1909</v>
      </c>
      <c r="D246" s="21" t="s">
        <v>2714</v>
      </c>
      <c r="E246" s="21" t="s">
        <v>1945</v>
      </c>
      <c r="F246" s="21" t="s">
        <v>768</v>
      </c>
      <c r="G246" s="35">
        <v>46132.790416666663</v>
      </c>
      <c r="H246" s="21" t="s">
        <v>1912</v>
      </c>
      <c r="I246" s="21" t="s">
        <v>1913</v>
      </c>
      <c r="J246" s="21" t="s">
        <v>1914</v>
      </c>
      <c r="K246" s="21" t="s">
        <v>1835</v>
      </c>
      <c r="L246" s="21" t="s">
        <v>1055</v>
      </c>
      <c r="M246" s="21" t="s">
        <v>1836</v>
      </c>
      <c r="N246" s="21" t="s">
        <v>2204</v>
      </c>
      <c r="O246" s="21" t="s">
        <v>2205</v>
      </c>
      <c r="P246" s="21" t="s">
        <v>1930</v>
      </c>
      <c r="Q246" s="21" t="s">
        <v>1213</v>
      </c>
      <c r="R246" s="21" t="s">
        <v>1227</v>
      </c>
      <c r="S246" s="21" t="s">
        <v>1127</v>
      </c>
      <c r="T246" s="21" t="s">
        <v>1917</v>
      </c>
      <c r="U246" s="21" t="s">
        <v>1753</v>
      </c>
      <c r="V246" s="21" t="str">
        <f>_xlfn.XLOOKUP(U246,'T07'!$D$3:$D$1500,'T07'!$BI$3:$BI$1500)&amp;" / "&amp;_xlfn.XLOOKUP(U246,'T07'!$D$3:$D$1500,'T07'!$BJ$3:$BJ$1500)</f>
        <v>LHR-HTV-2009-86678 / HTV</v>
      </c>
      <c r="W246" s="21" t="s">
        <v>1917</v>
      </c>
      <c r="X246" s="21" t="s">
        <v>1755</v>
      </c>
      <c r="Y246" s="21" t="s">
        <v>1991</v>
      </c>
      <c r="Z246" s="21">
        <v>2</v>
      </c>
      <c r="AA246" s="21" t="s">
        <v>1828</v>
      </c>
      <c r="AB246" s="21" t="s">
        <v>1804</v>
      </c>
      <c r="AC246" s="25">
        <v>1150</v>
      </c>
      <c r="AD246" s="25">
        <v>250</v>
      </c>
      <c r="AE246" s="21" t="s">
        <v>2743</v>
      </c>
      <c r="AF246" s="21" t="s">
        <v>2742</v>
      </c>
      <c r="AG246" s="35">
        <v>46132.81041666666</v>
      </c>
      <c r="AH246" s="21" t="s">
        <v>1934</v>
      </c>
      <c r="AI246" s="25">
        <v>250</v>
      </c>
      <c r="AJ246" s="21" t="s">
        <v>1056</v>
      </c>
      <c r="AK246" s="21" t="s">
        <v>1922</v>
      </c>
      <c r="AL246" s="21" t="str">
        <f>IF(AD246-AI246&gt;0,(AD246-AI246)&amp;" bags - damaged in transit","None")</f>
        <v>None</v>
      </c>
      <c r="AM246" s="21" t="s">
        <v>844</v>
      </c>
      <c r="AN246" s="21" t="s">
        <v>848</v>
      </c>
      <c r="AO246" s="21" t="s">
        <v>2717</v>
      </c>
      <c r="AP246" s="21" t="str">
        <f>IF(AO246="Pending","Not yet invoiced",IF(AI246=AD246,"Matched","Invoiced on received qty ("&amp;AI246&amp;" of "&amp;AD246&amp;")"))</f>
        <v>Matched</v>
      </c>
      <c r="AQ246" s="21" t="s">
        <v>2718</v>
      </c>
    </row>
    <row r="247" spans="1:43" x14ac:dyDescent="0.3">
      <c r="A247" s="21" t="s">
        <v>2744</v>
      </c>
      <c r="B247" s="35">
        <v>46136.291666666664</v>
      </c>
      <c r="C247" s="21" t="s">
        <v>1909</v>
      </c>
      <c r="D247" s="21" t="s">
        <v>2708</v>
      </c>
      <c r="E247" s="21" t="s">
        <v>1911</v>
      </c>
      <c r="F247" s="21" t="s">
        <v>1817</v>
      </c>
      <c r="G247" s="35">
        <v>46136.402916666666</v>
      </c>
      <c r="H247" s="21" t="s">
        <v>1912</v>
      </c>
      <c r="I247" s="21" t="s">
        <v>1913</v>
      </c>
      <c r="J247" s="21" t="s">
        <v>1914</v>
      </c>
      <c r="K247" s="21" t="s">
        <v>1830</v>
      </c>
      <c r="L247" s="21" t="s">
        <v>1133</v>
      </c>
      <c r="M247" s="21" t="s">
        <v>1139</v>
      </c>
      <c r="N247" s="21" t="s">
        <v>1140</v>
      </c>
      <c r="O247" s="21" t="s">
        <v>2030</v>
      </c>
      <c r="P247" s="21" t="s">
        <v>1916</v>
      </c>
      <c r="Q247" s="21" t="s">
        <v>1339</v>
      </c>
      <c r="R247" s="21" t="s">
        <v>1360</v>
      </c>
      <c r="S247" s="21" t="s">
        <v>1343</v>
      </c>
      <c r="T247" s="21" t="s">
        <v>1917</v>
      </c>
      <c r="U247" s="21" t="s">
        <v>1782</v>
      </c>
      <c r="V247" s="21" t="str">
        <f>_xlfn.XLOOKUP(U247,'T07'!$D$3:$D$1500,'T07'!$BI$3:$BI$1500)&amp;" / "&amp;_xlfn.XLOOKUP(U247,'T07'!$D$3:$D$1500,'T07'!$BJ$3:$BJ$1500)</f>
        <v>LHR-HTV-2014-51184 / HTV</v>
      </c>
      <c r="W247" s="21" t="s">
        <v>1917</v>
      </c>
      <c r="X247" s="21" t="s">
        <v>1785</v>
      </c>
      <c r="Y247" s="21" t="s">
        <v>1963</v>
      </c>
      <c r="Z247" s="21">
        <v>1</v>
      </c>
      <c r="AA247" s="21" t="s">
        <v>1815</v>
      </c>
      <c r="AB247" s="21" t="s">
        <v>783</v>
      </c>
      <c r="AC247" s="25">
        <v>51</v>
      </c>
      <c r="AD247" s="25">
        <v>28</v>
      </c>
      <c r="AE247" s="21" t="s">
        <v>2745</v>
      </c>
      <c r="AF247" s="21" t="s">
        <v>2746</v>
      </c>
      <c r="AG247" s="35">
        <v>46136.422916666663</v>
      </c>
      <c r="AH247" s="21" t="s">
        <v>1921</v>
      </c>
      <c r="AI247" s="25">
        <v>28</v>
      </c>
      <c r="AJ247" s="21" t="s">
        <v>1141</v>
      </c>
      <c r="AK247" s="21" t="s">
        <v>1922</v>
      </c>
      <c r="AL247" s="21" t="str">
        <f>IF(AD247-AI247&gt;0,(AD247-AI247)&amp;" bags - damaged in transit","None")</f>
        <v>None</v>
      </c>
      <c r="AM247" s="21" t="s">
        <v>844</v>
      </c>
      <c r="AN247" s="21" t="s">
        <v>848</v>
      </c>
      <c r="AO247" s="21" t="s">
        <v>2711</v>
      </c>
      <c r="AP247" s="21" t="str">
        <f>IF(AO247="Pending","Not yet invoiced",IF(AI247=AD247,"Matched","Invoiced on received qty ("&amp;AI247&amp;" of "&amp;AD247&amp;")"))</f>
        <v>Matched</v>
      </c>
      <c r="AQ247" s="21" t="s">
        <v>2712</v>
      </c>
    </row>
    <row r="248" spans="1:43" x14ac:dyDescent="0.3">
      <c r="A248" s="21" t="s">
        <v>2747</v>
      </c>
      <c r="B248" s="35">
        <v>46136.375</v>
      </c>
      <c r="C248" s="21" t="s">
        <v>1909</v>
      </c>
      <c r="D248" s="21" t="s">
        <v>2714</v>
      </c>
      <c r="E248" s="21" t="s">
        <v>1945</v>
      </c>
      <c r="F248" s="21" t="s">
        <v>768</v>
      </c>
      <c r="G248" s="35">
        <v>46136.498749999999</v>
      </c>
      <c r="H248" s="21" t="s">
        <v>1912</v>
      </c>
      <c r="I248" s="21" t="s">
        <v>1913</v>
      </c>
      <c r="J248" s="21" t="s">
        <v>1914</v>
      </c>
      <c r="K248" s="21" t="s">
        <v>1835</v>
      </c>
      <c r="L248" s="21" t="s">
        <v>1055</v>
      </c>
      <c r="M248" s="21" t="s">
        <v>1836</v>
      </c>
      <c r="N248" s="21" t="s">
        <v>2204</v>
      </c>
      <c r="O248" s="21" t="s">
        <v>2205</v>
      </c>
      <c r="P248" s="21" t="s">
        <v>1930</v>
      </c>
      <c r="Q248" s="21" t="s">
        <v>1213</v>
      </c>
      <c r="R248" s="21" t="s">
        <v>1227</v>
      </c>
      <c r="S248" s="21" t="s">
        <v>1127</v>
      </c>
      <c r="T248" s="21" t="s">
        <v>1917</v>
      </c>
      <c r="U248" s="21" t="s">
        <v>1711</v>
      </c>
      <c r="V248" s="21" t="str">
        <f>_xlfn.XLOOKUP(U248,'T07'!$D$3:$D$1500,'T07'!$BI$3:$BI$1500)&amp;" / "&amp;_xlfn.XLOOKUP(U248,'T07'!$D$3:$D$1500,'T07'!$BJ$3:$BJ$1500)</f>
        <v>LHR-HTV-2008-42260 / HTV</v>
      </c>
      <c r="W248" s="21" t="s">
        <v>1917</v>
      </c>
      <c r="X248" s="21" t="s">
        <v>1713</v>
      </c>
      <c r="Y248" s="21" t="s">
        <v>1991</v>
      </c>
      <c r="Z248" s="21">
        <v>1</v>
      </c>
      <c r="AA248" s="21" t="s">
        <v>1828</v>
      </c>
      <c r="AB248" s="21" t="s">
        <v>1804</v>
      </c>
      <c r="AC248" s="25">
        <v>900</v>
      </c>
      <c r="AD248" s="25">
        <v>500</v>
      </c>
      <c r="AE248" s="21" t="s">
        <v>2748</v>
      </c>
      <c r="AF248" s="21" t="s">
        <v>2749</v>
      </c>
      <c r="AG248" s="35">
        <v>46136.518749999996</v>
      </c>
      <c r="AH248" s="21" t="s">
        <v>1934</v>
      </c>
      <c r="AI248" s="25">
        <v>500</v>
      </c>
      <c r="AJ248" s="21" t="s">
        <v>1056</v>
      </c>
      <c r="AK248" s="21" t="s">
        <v>1922</v>
      </c>
      <c r="AL248" s="21" t="str">
        <f>IF(AD248-AI248&gt;0,(AD248-AI248)&amp;" bags - damaged in transit","None")</f>
        <v>None</v>
      </c>
      <c r="AM248" s="21" t="s">
        <v>844</v>
      </c>
      <c r="AN248" s="21" t="s">
        <v>848</v>
      </c>
      <c r="AO248" s="21" t="s">
        <v>2717</v>
      </c>
      <c r="AP248" s="21" t="str">
        <f>IF(AO248="Pending","Not yet invoiced",IF(AI248=AD248,"Matched","Invoiced on received qty ("&amp;AI248&amp;" of "&amp;AD248&amp;")"))</f>
        <v>Matched</v>
      </c>
      <c r="AQ248" s="21" t="s">
        <v>2718</v>
      </c>
    </row>
    <row r="249" spans="1:43" x14ac:dyDescent="0.3">
      <c r="A249" s="21" t="s">
        <v>2750</v>
      </c>
      <c r="B249" s="35">
        <v>46143.708333333336</v>
      </c>
      <c r="C249" s="21" t="s">
        <v>1909</v>
      </c>
      <c r="D249" s="21" t="s">
        <v>2751</v>
      </c>
      <c r="E249" s="21" t="s">
        <v>1911</v>
      </c>
      <c r="F249" s="21" t="s">
        <v>1817</v>
      </c>
      <c r="G249" s="35">
        <v>46143.819583333338</v>
      </c>
      <c r="H249" s="21" t="s">
        <v>1912</v>
      </c>
      <c r="I249" s="21" t="s">
        <v>1913</v>
      </c>
      <c r="J249" s="21" t="s">
        <v>1914</v>
      </c>
      <c r="K249" s="21" t="s">
        <v>1830</v>
      </c>
      <c r="L249" s="21" t="s">
        <v>1133</v>
      </c>
      <c r="M249" s="21" t="s">
        <v>1139</v>
      </c>
      <c r="N249" s="21" t="s">
        <v>1140</v>
      </c>
      <c r="O249" s="21" t="s">
        <v>2030</v>
      </c>
      <c r="P249" s="21" t="s">
        <v>1916</v>
      </c>
      <c r="Q249" s="21" t="s">
        <v>1339</v>
      </c>
      <c r="R249" s="21" t="s">
        <v>1367</v>
      </c>
      <c r="S249" s="21" t="s">
        <v>1352</v>
      </c>
      <c r="T249" s="21" t="s">
        <v>1917</v>
      </c>
      <c r="U249" s="21" t="s">
        <v>1753</v>
      </c>
      <c r="V249" s="21" t="str">
        <f>_xlfn.XLOOKUP(U249,'T07'!$D$3:$D$1500,'T07'!$BI$3:$BI$1500)&amp;" / "&amp;_xlfn.XLOOKUP(U249,'T07'!$D$3:$D$1500,'T07'!$BJ$3:$BJ$1500)</f>
        <v>LHR-HTV-2009-86678 / HTV</v>
      </c>
      <c r="W249" s="21" t="s">
        <v>1917</v>
      </c>
      <c r="X249" s="21" t="s">
        <v>1755</v>
      </c>
      <c r="Y249" s="21" t="s">
        <v>2051</v>
      </c>
      <c r="Z249" s="21">
        <v>1</v>
      </c>
      <c r="AA249" s="21" t="s">
        <v>1881</v>
      </c>
      <c r="AB249" s="21" t="s">
        <v>783</v>
      </c>
      <c r="AC249" s="25">
        <v>250</v>
      </c>
      <c r="AD249" s="25">
        <v>40</v>
      </c>
      <c r="AE249" s="21" t="s">
        <v>2752</v>
      </c>
      <c r="AF249" s="21" t="s">
        <v>2753</v>
      </c>
      <c r="AG249" s="35">
        <v>46143.839583333334</v>
      </c>
      <c r="AH249" s="21" t="s">
        <v>1921</v>
      </c>
      <c r="AI249" s="25">
        <v>40</v>
      </c>
      <c r="AJ249" s="21" t="s">
        <v>1141</v>
      </c>
      <c r="AK249" s="21" t="s">
        <v>1922</v>
      </c>
      <c r="AL249" s="21" t="str">
        <f>IF(AD249-AI249&gt;0,(AD249-AI249)&amp;" bags - damaged in transit","None")</f>
        <v>None</v>
      </c>
      <c r="AM249" s="21" t="s">
        <v>844</v>
      </c>
      <c r="AN249" s="21" t="s">
        <v>848</v>
      </c>
      <c r="AO249" s="21" t="s">
        <v>2754</v>
      </c>
      <c r="AP249" s="21" t="str">
        <f>IF(AO249="Pending","Not yet invoiced",IF(AI249=AD249,"Matched","Invoiced on received qty ("&amp;AI249&amp;" of "&amp;AD249&amp;")"))</f>
        <v>Matched</v>
      </c>
      <c r="AQ249" s="21" t="s">
        <v>2755</v>
      </c>
    </row>
    <row r="250" spans="1:43" x14ac:dyDescent="0.3">
      <c r="A250" s="21" t="s">
        <v>2756</v>
      </c>
      <c r="B250" s="35">
        <v>46144.25</v>
      </c>
      <c r="C250" s="21" t="s">
        <v>1909</v>
      </c>
      <c r="D250" s="21" t="s">
        <v>2757</v>
      </c>
      <c r="E250" s="21" t="s">
        <v>1945</v>
      </c>
      <c r="F250" s="21" t="s">
        <v>768</v>
      </c>
      <c r="G250" s="35">
        <v>46144.522708333338</v>
      </c>
      <c r="H250" s="21" t="s">
        <v>1912</v>
      </c>
      <c r="I250" s="21" t="s">
        <v>1913</v>
      </c>
      <c r="J250" s="21" t="s">
        <v>1914</v>
      </c>
      <c r="K250" s="21" t="s">
        <v>1800</v>
      </c>
      <c r="L250" s="21" t="s">
        <v>1073</v>
      </c>
      <c r="M250" s="21" t="s">
        <v>1801</v>
      </c>
      <c r="N250" s="21" t="s">
        <v>1928</v>
      </c>
      <c r="O250" s="21" t="s">
        <v>1929</v>
      </c>
      <c r="P250" s="21" t="s">
        <v>1930</v>
      </c>
      <c r="Q250" s="21" t="s">
        <v>1213</v>
      </c>
      <c r="R250" s="21" t="s">
        <v>1244</v>
      </c>
      <c r="S250" s="21" t="s">
        <v>1247</v>
      </c>
      <c r="T250" s="21" t="s">
        <v>1917</v>
      </c>
      <c r="U250" s="21" t="s">
        <v>1766</v>
      </c>
      <c r="V250" s="21" t="str">
        <f>_xlfn.XLOOKUP(U250,'T07'!$D$3:$D$1500,'T07'!$BI$3:$BI$1500)&amp;" / "&amp;_xlfn.XLOOKUP(U250,'T07'!$D$3:$D$1500,'T07'!$BJ$3:$BJ$1500)</f>
        <v>LHR-LTV-2019-66685 / LTV</v>
      </c>
      <c r="W250" s="21" t="s">
        <v>1917</v>
      </c>
      <c r="X250" s="21" t="s">
        <v>1768</v>
      </c>
      <c r="Y250" s="21" t="s">
        <v>2097</v>
      </c>
      <c r="Z250" s="21">
        <v>1</v>
      </c>
      <c r="AA250" s="21" t="s">
        <v>1865</v>
      </c>
      <c r="AB250" s="21" t="s">
        <v>1804</v>
      </c>
      <c r="AC250" s="25">
        <v>3500</v>
      </c>
      <c r="AD250" s="25">
        <v>200</v>
      </c>
      <c r="AE250" s="21" t="s">
        <v>2758</v>
      </c>
      <c r="AF250" s="21" t="s">
        <v>2759</v>
      </c>
      <c r="AG250" s="35">
        <v>46144.542708333334</v>
      </c>
      <c r="AH250" s="21" t="s">
        <v>1934</v>
      </c>
      <c r="AI250" s="25">
        <v>200</v>
      </c>
      <c r="AJ250" s="21" t="s">
        <v>1074</v>
      </c>
      <c r="AK250" s="21" t="s">
        <v>1922</v>
      </c>
      <c r="AL250" s="21" t="str">
        <f>IF(AD250-AI250&gt;0,(AD250-AI250)&amp;" bags - damaged in transit","None")</f>
        <v>None</v>
      </c>
      <c r="AM250" s="21" t="s">
        <v>844</v>
      </c>
      <c r="AN250" s="21" t="s">
        <v>848</v>
      </c>
      <c r="AO250" s="21" t="s">
        <v>2760</v>
      </c>
      <c r="AP250" s="21" t="str">
        <f>IF(AO250="Pending","Not yet invoiced",IF(AI250=AD250,"Matched","Invoiced on received qty ("&amp;AI250&amp;" of "&amp;AD250&amp;")"))</f>
        <v>Matched</v>
      </c>
      <c r="AQ250" s="21" t="s">
        <v>2761</v>
      </c>
    </row>
    <row r="251" spans="1:43" x14ac:dyDescent="0.3">
      <c r="A251" s="21" t="s">
        <v>2762</v>
      </c>
      <c r="B251" s="35">
        <v>46148.583333333336</v>
      </c>
      <c r="C251" s="21" t="s">
        <v>1909</v>
      </c>
      <c r="D251" s="21" t="s">
        <v>2751</v>
      </c>
      <c r="E251" s="21" t="s">
        <v>1911</v>
      </c>
      <c r="F251" s="21" t="s">
        <v>1817</v>
      </c>
      <c r="G251" s="35">
        <v>46148.694583333338</v>
      </c>
      <c r="H251" s="21" t="s">
        <v>1912</v>
      </c>
      <c r="I251" s="21" t="s">
        <v>1913</v>
      </c>
      <c r="J251" s="21" t="s">
        <v>1914</v>
      </c>
      <c r="K251" s="21" t="s">
        <v>1830</v>
      </c>
      <c r="L251" s="21" t="s">
        <v>1133</v>
      </c>
      <c r="M251" s="21" t="s">
        <v>1139</v>
      </c>
      <c r="N251" s="21" t="s">
        <v>1140</v>
      </c>
      <c r="O251" s="21" t="s">
        <v>2030</v>
      </c>
      <c r="P251" s="21" t="s">
        <v>1916</v>
      </c>
      <c r="Q251" s="21" t="s">
        <v>1339</v>
      </c>
      <c r="R251" s="21" t="s">
        <v>1350</v>
      </c>
      <c r="S251" s="21" t="s">
        <v>1352</v>
      </c>
      <c r="T251" s="21" t="s">
        <v>1917</v>
      </c>
      <c r="U251" s="21" t="s">
        <v>1753</v>
      </c>
      <c r="V251" s="21" t="str">
        <f>_xlfn.XLOOKUP(U251,'T07'!$D$3:$D$1500,'T07'!$BI$3:$BI$1500)&amp;" / "&amp;_xlfn.XLOOKUP(U251,'T07'!$D$3:$D$1500,'T07'!$BJ$3:$BJ$1500)</f>
        <v>LHR-HTV-2009-86678 / HTV</v>
      </c>
      <c r="W251" s="21" t="s">
        <v>1917</v>
      </c>
      <c r="X251" s="21" t="s">
        <v>1755</v>
      </c>
      <c r="Y251" s="21" t="s">
        <v>1918</v>
      </c>
      <c r="Z251" s="21">
        <v>1</v>
      </c>
      <c r="AA251" s="21" t="s">
        <v>1881</v>
      </c>
      <c r="AB251" s="21" t="s">
        <v>783</v>
      </c>
      <c r="AC251" s="25">
        <v>210</v>
      </c>
      <c r="AD251" s="25">
        <v>40</v>
      </c>
      <c r="AE251" s="21" t="s">
        <v>2763</v>
      </c>
      <c r="AF251" s="21" t="s">
        <v>2764</v>
      </c>
      <c r="AG251" s="35">
        <v>46148.714583333334</v>
      </c>
      <c r="AH251" s="21" t="s">
        <v>1921</v>
      </c>
      <c r="AI251" s="25">
        <v>40</v>
      </c>
      <c r="AJ251" s="21" t="s">
        <v>1141</v>
      </c>
      <c r="AK251" s="21" t="s">
        <v>1922</v>
      </c>
      <c r="AL251" s="21" t="str">
        <f>IF(AD251-AI251&gt;0,(AD251-AI251)&amp;" bags - damaged in transit","None")</f>
        <v>None</v>
      </c>
      <c r="AM251" s="21" t="s">
        <v>844</v>
      </c>
      <c r="AN251" s="21" t="s">
        <v>848</v>
      </c>
      <c r="AO251" s="21" t="s">
        <v>2754</v>
      </c>
      <c r="AP251" s="21" t="str">
        <f>IF(AO251="Pending","Not yet invoiced",IF(AI251=AD251,"Matched","Invoiced on received qty ("&amp;AI251&amp;" of "&amp;AD251&amp;")"))</f>
        <v>Matched</v>
      </c>
      <c r="AQ251" s="21" t="s">
        <v>2755</v>
      </c>
    </row>
    <row r="252" spans="1:43" x14ac:dyDescent="0.3">
      <c r="A252" s="21" t="s">
        <v>2765</v>
      </c>
      <c r="B252" s="35">
        <v>46148.708333333336</v>
      </c>
      <c r="C252" s="21" t="s">
        <v>1909</v>
      </c>
      <c r="D252" s="21" t="s">
        <v>2757</v>
      </c>
      <c r="E252" s="21" t="s">
        <v>1927</v>
      </c>
      <c r="F252" s="21" t="s">
        <v>768</v>
      </c>
      <c r="G252" s="35">
        <v>46148.981041666673</v>
      </c>
      <c r="H252" s="21" t="s">
        <v>1912</v>
      </c>
      <c r="I252" s="21" t="s">
        <v>1913</v>
      </c>
      <c r="J252" s="21" t="s">
        <v>1914</v>
      </c>
      <c r="K252" s="21" t="s">
        <v>1800</v>
      </c>
      <c r="L252" s="21" t="s">
        <v>1073</v>
      </c>
      <c r="M252" s="21" t="s">
        <v>1801</v>
      </c>
      <c r="N252" s="21" t="s">
        <v>1928</v>
      </c>
      <c r="O252" s="21" t="s">
        <v>1929</v>
      </c>
      <c r="P252" s="21" t="s">
        <v>1930</v>
      </c>
      <c r="Q252" s="21" t="s">
        <v>1213</v>
      </c>
      <c r="R252" s="21" t="s">
        <v>1244</v>
      </c>
      <c r="S252" s="21" t="s">
        <v>1247</v>
      </c>
      <c r="T252" s="21" t="s">
        <v>1917</v>
      </c>
      <c r="U252" s="21" t="s">
        <v>1766</v>
      </c>
      <c r="V252" s="21" t="str">
        <f>_xlfn.XLOOKUP(U252,'T07'!$D$3:$D$1500,'T07'!$BI$3:$BI$1500)&amp;" / "&amp;_xlfn.XLOOKUP(U252,'T07'!$D$3:$D$1500,'T07'!$BJ$3:$BJ$1500)</f>
        <v>LHR-LTV-2019-66685 / LTV</v>
      </c>
      <c r="W252" s="21" t="s">
        <v>1917</v>
      </c>
      <c r="X252" s="21" t="s">
        <v>1768</v>
      </c>
      <c r="Y252" s="21" t="s">
        <v>2097</v>
      </c>
      <c r="Z252" s="21">
        <v>1</v>
      </c>
      <c r="AA252" s="21" t="s">
        <v>1865</v>
      </c>
      <c r="AB252" s="21" t="s">
        <v>1804</v>
      </c>
      <c r="AC252" s="25">
        <v>3300</v>
      </c>
      <c r="AD252" s="25">
        <v>200</v>
      </c>
      <c r="AE252" s="21" t="s">
        <v>2766</v>
      </c>
      <c r="AF252" s="21" t="s">
        <v>2767</v>
      </c>
      <c r="AG252" s="35">
        <v>46149.00104166667</v>
      </c>
      <c r="AH252" s="21" t="s">
        <v>1934</v>
      </c>
      <c r="AI252" s="25">
        <v>200</v>
      </c>
      <c r="AJ252" s="21" t="s">
        <v>1074</v>
      </c>
      <c r="AK252" s="21" t="s">
        <v>1922</v>
      </c>
      <c r="AL252" s="21" t="str">
        <f>IF(AD252-AI252&gt;0,(AD252-AI252)&amp;" bags - damaged in transit","None")</f>
        <v>None</v>
      </c>
      <c r="AM252" s="21" t="s">
        <v>844</v>
      </c>
      <c r="AN252" s="21" t="s">
        <v>848</v>
      </c>
      <c r="AO252" s="21" t="s">
        <v>2760</v>
      </c>
      <c r="AP252" s="21" t="str">
        <f>IF(AO252="Pending","Not yet invoiced",IF(AI252=AD252,"Matched","Invoiced on received qty ("&amp;AI252&amp;" of "&amp;AD252&amp;")"))</f>
        <v>Matched</v>
      </c>
      <c r="AQ252" s="21" t="s">
        <v>2761</v>
      </c>
    </row>
    <row r="253" spans="1:43" x14ac:dyDescent="0.3">
      <c r="A253" s="21" t="s">
        <v>2768</v>
      </c>
      <c r="B253" s="35">
        <v>46152.458333333336</v>
      </c>
      <c r="C253" s="21" t="s">
        <v>1909</v>
      </c>
      <c r="D253" s="21" t="s">
        <v>2757</v>
      </c>
      <c r="E253" s="21" t="s">
        <v>1927</v>
      </c>
      <c r="F253" s="21" t="s">
        <v>768</v>
      </c>
      <c r="G253" s="35">
        <v>46152.731041666673</v>
      </c>
      <c r="H253" s="21" t="s">
        <v>1912</v>
      </c>
      <c r="I253" s="21" t="s">
        <v>1913</v>
      </c>
      <c r="J253" s="21" t="s">
        <v>1914</v>
      </c>
      <c r="K253" s="21" t="s">
        <v>1800</v>
      </c>
      <c r="L253" s="21" t="s">
        <v>1073</v>
      </c>
      <c r="M253" s="21" t="s">
        <v>1801</v>
      </c>
      <c r="N253" s="21" t="s">
        <v>1928</v>
      </c>
      <c r="O253" s="21" t="s">
        <v>1929</v>
      </c>
      <c r="P253" s="21" t="s">
        <v>1930</v>
      </c>
      <c r="Q253" s="21" t="s">
        <v>1213</v>
      </c>
      <c r="R253" s="21" t="s">
        <v>1216</v>
      </c>
      <c r="S253" s="21" t="s">
        <v>1104</v>
      </c>
      <c r="T253" s="21" t="s">
        <v>1917</v>
      </c>
      <c r="U253" s="21" t="s">
        <v>1753</v>
      </c>
      <c r="V253" s="21" t="str">
        <f>_xlfn.XLOOKUP(U253,'T07'!$D$3:$D$1500,'T07'!$BI$3:$BI$1500)&amp;" / "&amp;_xlfn.XLOOKUP(U253,'T07'!$D$3:$D$1500,'T07'!$BJ$3:$BJ$1500)</f>
        <v>LHR-HTV-2009-86678 / HTV</v>
      </c>
      <c r="W253" s="21" t="s">
        <v>1917</v>
      </c>
      <c r="X253" s="21" t="s">
        <v>1755</v>
      </c>
      <c r="Y253" s="21" t="s">
        <v>2057</v>
      </c>
      <c r="Z253" s="21">
        <v>1</v>
      </c>
      <c r="AA253" s="21" t="s">
        <v>1865</v>
      </c>
      <c r="AB253" s="21" t="s">
        <v>1804</v>
      </c>
      <c r="AC253" s="25">
        <v>3100</v>
      </c>
      <c r="AD253" s="25">
        <v>1000</v>
      </c>
      <c r="AE253" s="21" t="s">
        <v>2769</v>
      </c>
      <c r="AF253" s="21" t="s">
        <v>2770</v>
      </c>
      <c r="AG253" s="35">
        <v>46152.75104166667</v>
      </c>
      <c r="AH253" s="21" t="s">
        <v>1983</v>
      </c>
      <c r="AI253" s="25">
        <v>1000</v>
      </c>
      <c r="AJ253" s="21" t="s">
        <v>1074</v>
      </c>
      <c r="AK253" s="21" t="s">
        <v>1922</v>
      </c>
      <c r="AL253" s="21" t="str">
        <f>IF(AD253-AI253&gt;0,(AD253-AI253)&amp;" bags - damaged in transit","None")</f>
        <v>None</v>
      </c>
      <c r="AM253" s="21" t="s">
        <v>844</v>
      </c>
      <c r="AN253" s="21" t="s">
        <v>848</v>
      </c>
      <c r="AO253" s="21" t="s">
        <v>2760</v>
      </c>
      <c r="AP253" s="21" t="str">
        <f>IF(AO253="Pending","Not yet invoiced",IF(AI253=AD253,"Matched","Invoiced on received qty ("&amp;AI253&amp;" of "&amp;AD253&amp;")"))</f>
        <v>Matched</v>
      </c>
      <c r="AQ253" s="21" t="s">
        <v>2761</v>
      </c>
    </row>
    <row r="254" spans="1:43" x14ac:dyDescent="0.3">
      <c r="A254" s="21" t="s">
        <v>2771</v>
      </c>
      <c r="B254" s="35">
        <v>46153.625</v>
      </c>
      <c r="C254" s="21" t="s">
        <v>1909</v>
      </c>
      <c r="D254" s="21" t="s">
        <v>2751</v>
      </c>
      <c r="E254" s="21" t="s">
        <v>1911</v>
      </c>
      <c r="F254" s="21" t="s">
        <v>1817</v>
      </c>
      <c r="G254" s="35">
        <v>46153.736250000002</v>
      </c>
      <c r="H254" s="21" t="s">
        <v>1912</v>
      </c>
      <c r="I254" s="21" t="s">
        <v>1913</v>
      </c>
      <c r="J254" s="21" t="s">
        <v>1914</v>
      </c>
      <c r="K254" s="21" t="s">
        <v>1830</v>
      </c>
      <c r="L254" s="21" t="s">
        <v>1133</v>
      </c>
      <c r="M254" s="21" t="s">
        <v>1139</v>
      </c>
      <c r="N254" s="21" t="s">
        <v>1140</v>
      </c>
      <c r="O254" s="21" t="s">
        <v>2030</v>
      </c>
      <c r="P254" s="21" t="s">
        <v>1916</v>
      </c>
      <c r="Q254" s="21" t="s">
        <v>1339</v>
      </c>
      <c r="R254" s="21" t="s">
        <v>1367</v>
      </c>
      <c r="S254" s="21" t="s">
        <v>1352</v>
      </c>
      <c r="T254" s="21" t="s">
        <v>1917</v>
      </c>
      <c r="U254" s="21" t="s">
        <v>1697</v>
      </c>
      <c r="V254" s="21" t="str">
        <f>_xlfn.XLOOKUP(U254,'T07'!$D$3:$D$1500,'T07'!$BI$3:$BI$1500)&amp;" / "&amp;_xlfn.XLOOKUP(U254,'T07'!$D$3:$D$1500,'T07'!$BJ$3:$BJ$1500)</f>
        <v>LHR-HTV-2013-23962 / HTV</v>
      </c>
      <c r="W254" s="21" t="s">
        <v>1917</v>
      </c>
      <c r="X254" s="21" t="s">
        <v>1700</v>
      </c>
      <c r="Y254" s="21" t="s">
        <v>2051</v>
      </c>
      <c r="Z254" s="21">
        <v>1</v>
      </c>
      <c r="AA254" s="21" t="s">
        <v>1881</v>
      </c>
      <c r="AB254" s="21" t="s">
        <v>783</v>
      </c>
      <c r="AC254" s="25">
        <v>170</v>
      </c>
      <c r="AD254" s="25">
        <v>39</v>
      </c>
      <c r="AE254" s="21" t="s">
        <v>2772</v>
      </c>
      <c r="AF254" s="21" t="s">
        <v>2773</v>
      </c>
      <c r="AG254" s="35">
        <v>46153.756249999999</v>
      </c>
      <c r="AH254" s="21" t="s">
        <v>1921</v>
      </c>
      <c r="AI254" s="25">
        <v>39</v>
      </c>
      <c r="AJ254" s="21" t="s">
        <v>1141</v>
      </c>
      <c r="AK254" s="21" t="s">
        <v>1922</v>
      </c>
      <c r="AL254" s="21" t="str">
        <f>IF(AD254-AI254&gt;0,(AD254-AI254)&amp;" bags - damaged in transit","None")</f>
        <v>None</v>
      </c>
      <c r="AM254" s="21" t="s">
        <v>844</v>
      </c>
      <c r="AN254" s="21" t="s">
        <v>848</v>
      </c>
      <c r="AO254" s="21" t="s">
        <v>2754</v>
      </c>
      <c r="AP254" s="21" t="str">
        <f>IF(AO254="Pending","Not yet invoiced",IF(AI254=AD254,"Matched","Invoiced on received qty ("&amp;AI254&amp;" of "&amp;AD254&amp;")"))</f>
        <v>Matched</v>
      </c>
      <c r="AQ254" s="21" t="s">
        <v>2755</v>
      </c>
    </row>
    <row r="255" spans="1:43" x14ac:dyDescent="0.3">
      <c r="A255" s="21" t="s">
        <v>2774</v>
      </c>
      <c r="B255" s="35">
        <v>46156.5</v>
      </c>
      <c r="C255" s="21" t="s">
        <v>1909</v>
      </c>
      <c r="D255" s="21" t="s">
        <v>2757</v>
      </c>
      <c r="E255" s="21" t="s">
        <v>1945</v>
      </c>
      <c r="F255" s="21" t="s">
        <v>768</v>
      </c>
      <c r="G255" s="35">
        <v>46156.772708333338</v>
      </c>
      <c r="H255" s="21" t="s">
        <v>1912</v>
      </c>
      <c r="I255" s="21" t="s">
        <v>1913</v>
      </c>
      <c r="J255" s="21" t="s">
        <v>1914</v>
      </c>
      <c r="K255" s="21" t="s">
        <v>1800</v>
      </c>
      <c r="L255" s="21" t="s">
        <v>1073</v>
      </c>
      <c r="M255" s="21" t="s">
        <v>1801</v>
      </c>
      <c r="N255" s="21" t="s">
        <v>1928</v>
      </c>
      <c r="O255" s="21" t="s">
        <v>1929</v>
      </c>
      <c r="P255" s="21" t="s">
        <v>1930</v>
      </c>
      <c r="Q255" s="21" t="s">
        <v>1278</v>
      </c>
      <c r="R255" s="21" t="s">
        <v>1332</v>
      </c>
      <c r="S255" s="21" t="s">
        <v>1127</v>
      </c>
      <c r="T255" s="21" t="s">
        <v>1917</v>
      </c>
      <c r="U255" s="21" t="s">
        <v>1753</v>
      </c>
      <c r="V255" s="21" t="str">
        <f>_xlfn.XLOOKUP(U255,'T07'!$D$3:$D$1500,'T07'!$BI$3:$BI$1500)&amp;" / "&amp;_xlfn.XLOOKUP(U255,'T07'!$D$3:$D$1500,'T07'!$BJ$3:$BJ$1500)</f>
        <v>LHR-HTV-2009-86678 / HTV</v>
      </c>
      <c r="W255" s="21" t="s">
        <v>1917</v>
      </c>
      <c r="X255" s="21" t="s">
        <v>1755</v>
      </c>
      <c r="Y255" s="21" t="s">
        <v>1931</v>
      </c>
      <c r="Z255" s="21">
        <v>1</v>
      </c>
      <c r="AA255" s="21" t="s">
        <v>1865</v>
      </c>
      <c r="AB255" s="21" t="s">
        <v>1804</v>
      </c>
      <c r="AC255" s="25">
        <v>2100</v>
      </c>
      <c r="AD255" s="25">
        <v>500</v>
      </c>
      <c r="AE255" s="21" t="s">
        <v>2775</v>
      </c>
      <c r="AF255" s="21" t="s">
        <v>2776</v>
      </c>
      <c r="AG255" s="35">
        <v>46156.792708333334</v>
      </c>
      <c r="AH255" s="21" t="s">
        <v>1934</v>
      </c>
      <c r="AI255" s="25">
        <v>500</v>
      </c>
      <c r="AJ255" s="21" t="s">
        <v>1074</v>
      </c>
      <c r="AK255" s="21" t="s">
        <v>1922</v>
      </c>
      <c r="AL255" s="21" t="str">
        <f>IF(AD255-AI255&gt;0,(AD255-AI255)&amp;" bags - damaged in transit","None")</f>
        <v>None</v>
      </c>
      <c r="AM255" s="21" t="s">
        <v>844</v>
      </c>
      <c r="AN255" s="21" t="s">
        <v>848</v>
      </c>
      <c r="AO255" s="21" t="s">
        <v>2760</v>
      </c>
      <c r="AP255" s="21" t="str">
        <f>IF(AO255="Pending","Not yet invoiced",IF(AI255=AD255,"Matched","Invoiced on received qty ("&amp;AI255&amp;" of "&amp;AD255&amp;")"))</f>
        <v>Matched</v>
      </c>
      <c r="AQ255" s="21" t="s">
        <v>2777</v>
      </c>
    </row>
    <row r="256" spans="1:43" x14ac:dyDescent="0.3">
      <c r="A256" s="21" t="s">
        <v>2778</v>
      </c>
      <c r="B256" s="35">
        <v>46156.583333333336</v>
      </c>
      <c r="C256" s="21" t="s">
        <v>1909</v>
      </c>
      <c r="D256" s="21" t="s">
        <v>2751</v>
      </c>
      <c r="E256" s="21" t="s">
        <v>1911</v>
      </c>
      <c r="F256" s="21" t="s">
        <v>1817</v>
      </c>
      <c r="G256" s="35">
        <v>46156.694583333338</v>
      </c>
      <c r="H256" s="21" t="s">
        <v>1912</v>
      </c>
      <c r="I256" s="21" t="s">
        <v>1913</v>
      </c>
      <c r="J256" s="21" t="s">
        <v>1914</v>
      </c>
      <c r="K256" s="21" t="s">
        <v>1830</v>
      </c>
      <c r="L256" s="21" t="s">
        <v>1133</v>
      </c>
      <c r="M256" s="21" t="s">
        <v>1139</v>
      </c>
      <c r="N256" s="21" t="s">
        <v>1140</v>
      </c>
      <c r="O256" s="21" t="s">
        <v>2030</v>
      </c>
      <c r="P256" s="21" t="s">
        <v>1916</v>
      </c>
      <c r="Q256" s="21" t="s">
        <v>1339</v>
      </c>
      <c r="R256" s="21" t="s">
        <v>1350</v>
      </c>
      <c r="S256" s="21" t="s">
        <v>1352</v>
      </c>
      <c r="T256" s="21" t="s">
        <v>1917</v>
      </c>
      <c r="U256" s="21" t="s">
        <v>1782</v>
      </c>
      <c r="V256" s="21" t="str">
        <f>_xlfn.XLOOKUP(U256,'T07'!$D$3:$D$1500,'T07'!$BI$3:$BI$1500)&amp;" / "&amp;_xlfn.XLOOKUP(U256,'T07'!$D$3:$D$1500,'T07'!$BJ$3:$BJ$1500)</f>
        <v>LHR-HTV-2014-51184 / HTV</v>
      </c>
      <c r="W256" s="21" t="s">
        <v>1917</v>
      </c>
      <c r="X256" s="21" t="s">
        <v>1785</v>
      </c>
      <c r="Y256" s="21" t="s">
        <v>1918</v>
      </c>
      <c r="Z256" s="21">
        <v>1</v>
      </c>
      <c r="AA256" s="21" t="s">
        <v>1881</v>
      </c>
      <c r="AB256" s="21" t="s">
        <v>783</v>
      </c>
      <c r="AC256" s="25">
        <v>131</v>
      </c>
      <c r="AD256" s="25">
        <v>40</v>
      </c>
      <c r="AE256" s="21" t="s">
        <v>2779</v>
      </c>
      <c r="AF256" s="21" t="s">
        <v>2780</v>
      </c>
      <c r="AG256" s="35">
        <v>46156.714583333334</v>
      </c>
      <c r="AH256" s="21" t="s">
        <v>1921</v>
      </c>
      <c r="AI256" s="25">
        <v>40</v>
      </c>
      <c r="AJ256" s="21" t="s">
        <v>1141</v>
      </c>
      <c r="AK256" s="21" t="s">
        <v>1922</v>
      </c>
      <c r="AL256" s="21" t="str">
        <f>IF(AD256-AI256&gt;0,(AD256-AI256)&amp;" bags - damaged in transit","None")</f>
        <v>None</v>
      </c>
      <c r="AM256" s="21" t="s">
        <v>844</v>
      </c>
      <c r="AN256" s="21" t="s">
        <v>848</v>
      </c>
      <c r="AO256" s="21" t="s">
        <v>2754</v>
      </c>
      <c r="AP256" s="21" t="str">
        <f>IF(AO256="Pending","Not yet invoiced",IF(AI256=AD256,"Matched","Invoiced on received qty ("&amp;AI256&amp;" of "&amp;AD256&amp;")"))</f>
        <v>Matched</v>
      </c>
      <c r="AQ256" s="21" t="s">
        <v>2755</v>
      </c>
    </row>
    <row r="257" spans="1:43" x14ac:dyDescent="0.3">
      <c r="A257" s="21" t="s">
        <v>2781</v>
      </c>
      <c r="B257" s="35">
        <v>46162.291666666664</v>
      </c>
      <c r="C257" s="21" t="s">
        <v>1909</v>
      </c>
      <c r="D257" s="21" t="s">
        <v>2757</v>
      </c>
      <c r="E257" s="21" t="s">
        <v>1927</v>
      </c>
      <c r="F257" s="21" t="s">
        <v>768</v>
      </c>
      <c r="G257" s="35">
        <v>46162.564375000002</v>
      </c>
      <c r="H257" s="21" t="s">
        <v>1912</v>
      </c>
      <c r="I257" s="21" t="s">
        <v>1913</v>
      </c>
      <c r="J257" s="21" t="s">
        <v>1914</v>
      </c>
      <c r="K257" s="21" t="s">
        <v>1800</v>
      </c>
      <c r="L257" s="21" t="s">
        <v>1073</v>
      </c>
      <c r="M257" s="21" t="s">
        <v>1801</v>
      </c>
      <c r="N257" s="21" t="s">
        <v>1928</v>
      </c>
      <c r="O257" s="21" t="s">
        <v>1929</v>
      </c>
      <c r="P257" s="21" t="s">
        <v>1930</v>
      </c>
      <c r="Q257" s="21" t="s">
        <v>1213</v>
      </c>
      <c r="R257" s="21" t="s">
        <v>1264</v>
      </c>
      <c r="S257" s="21" t="s">
        <v>1127</v>
      </c>
      <c r="T257" s="21" t="s">
        <v>1917</v>
      </c>
      <c r="U257" s="21" t="s">
        <v>1711</v>
      </c>
      <c r="V257" s="21" t="str">
        <f>_xlfn.XLOOKUP(U257,'T07'!$D$3:$D$1500,'T07'!$BI$3:$BI$1500)&amp;" / "&amp;_xlfn.XLOOKUP(U257,'T07'!$D$3:$D$1500,'T07'!$BJ$3:$BJ$1500)</f>
        <v>LHR-HTV-2008-42260 / HTV</v>
      </c>
      <c r="W257" s="21" t="s">
        <v>1917</v>
      </c>
      <c r="X257" s="21" t="s">
        <v>1713</v>
      </c>
      <c r="Y257" s="21" t="s">
        <v>2008</v>
      </c>
      <c r="Z257" s="21">
        <v>1</v>
      </c>
      <c r="AA257" s="21" t="s">
        <v>1865</v>
      </c>
      <c r="AB257" s="21" t="s">
        <v>1804</v>
      </c>
      <c r="AC257" s="25">
        <v>1600</v>
      </c>
      <c r="AD257" s="25">
        <v>500</v>
      </c>
      <c r="AE257" s="21" t="s">
        <v>2782</v>
      </c>
      <c r="AF257" s="21" t="s">
        <v>2783</v>
      </c>
      <c r="AG257" s="35">
        <v>46162.584374999999</v>
      </c>
      <c r="AH257" s="21" t="s">
        <v>1934</v>
      </c>
      <c r="AI257" s="25">
        <v>500</v>
      </c>
      <c r="AJ257" s="21" t="s">
        <v>1074</v>
      </c>
      <c r="AK257" s="21" t="s">
        <v>1922</v>
      </c>
      <c r="AL257" s="21" t="str">
        <f>IF(AD257-AI257&gt;0,(AD257-AI257)&amp;" bags - damaged in transit","None")</f>
        <v>None</v>
      </c>
      <c r="AM257" s="21" t="s">
        <v>844</v>
      </c>
      <c r="AN257" s="21" t="s">
        <v>848</v>
      </c>
      <c r="AO257" s="21" t="s">
        <v>2760</v>
      </c>
      <c r="AP257" s="21" t="str">
        <f>IF(AO257="Pending","Not yet invoiced",IF(AI257=AD257,"Matched","Invoiced on received qty ("&amp;AI257&amp;" of "&amp;AD257&amp;")"))</f>
        <v>Matched</v>
      </c>
      <c r="AQ257" s="21" t="s">
        <v>2761</v>
      </c>
    </row>
    <row r="258" spans="1:43" x14ac:dyDescent="0.3">
      <c r="A258" s="21" t="s">
        <v>2784</v>
      </c>
      <c r="B258" s="35">
        <v>46163.666666666664</v>
      </c>
      <c r="C258" s="21" t="s">
        <v>1909</v>
      </c>
      <c r="D258" s="21" t="s">
        <v>2751</v>
      </c>
      <c r="E258" s="21" t="s">
        <v>1911</v>
      </c>
      <c r="F258" s="21" t="s">
        <v>1817</v>
      </c>
      <c r="G258" s="35">
        <v>46163.777916666666</v>
      </c>
      <c r="H258" s="21" t="s">
        <v>1912</v>
      </c>
      <c r="I258" s="21" t="s">
        <v>1913</v>
      </c>
      <c r="J258" s="21" t="s">
        <v>1914</v>
      </c>
      <c r="K258" s="21" t="s">
        <v>1830</v>
      </c>
      <c r="L258" s="21" t="s">
        <v>1133</v>
      </c>
      <c r="M258" s="21" t="s">
        <v>1139</v>
      </c>
      <c r="N258" s="21" t="s">
        <v>1140</v>
      </c>
      <c r="O258" s="21" t="s">
        <v>2030</v>
      </c>
      <c r="P258" s="21" t="s">
        <v>1916</v>
      </c>
      <c r="Q258" s="21" t="s">
        <v>1339</v>
      </c>
      <c r="R258" s="21" t="s">
        <v>1367</v>
      </c>
      <c r="S258" s="21" t="s">
        <v>1352</v>
      </c>
      <c r="T258" s="21" t="s">
        <v>1917</v>
      </c>
      <c r="U258" s="21" t="s">
        <v>1724</v>
      </c>
      <c r="V258" s="21" t="str">
        <f>_xlfn.XLOOKUP(U258,'T07'!$D$3:$D$1500,'T07'!$BI$3:$BI$1500)&amp;" / "&amp;_xlfn.XLOOKUP(U258,'T07'!$D$3:$D$1500,'T07'!$BJ$3:$BJ$1500)</f>
        <v>LHR-HTV-2008-90487 / HTV</v>
      </c>
      <c r="W258" s="21" t="s">
        <v>1917</v>
      </c>
      <c r="X258" s="21" t="s">
        <v>1726</v>
      </c>
      <c r="Y258" s="21" t="s">
        <v>2051</v>
      </c>
      <c r="Z258" s="21">
        <v>1</v>
      </c>
      <c r="AA258" s="21" t="s">
        <v>1881</v>
      </c>
      <c r="AB258" s="21" t="s">
        <v>783</v>
      </c>
      <c r="AC258" s="25">
        <v>91</v>
      </c>
      <c r="AD258" s="25">
        <v>37</v>
      </c>
      <c r="AE258" s="21" t="s">
        <v>2785</v>
      </c>
      <c r="AF258" s="21" t="s">
        <v>2786</v>
      </c>
      <c r="AG258" s="35">
        <v>46163.797916666663</v>
      </c>
      <c r="AH258" s="21" t="s">
        <v>1921</v>
      </c>
      <c r="AI258" s="25">
        <v>37</v>
      </c>
      <c r="AJ258" s="21" t="s">
        <v>1141</v>
      </c>
      <c r="AK258" s="21" t="s">
        <v>1922</v>
      </c>
      <c r="AL258" s="21" t="str">
        <f>IF(AD258-AI258&gt;0,(AD258-AI258)&amp;" bags - damaged in transit","None")</f>
        <v>None</v>
      </c>
      <c r="AM258" s="21" t="s">
        <v>844</v>
      </c>
      <c r="AN258" s="21" t="s">
        <v>848</v>
      </c>
      <c r="AO258" s="21" t="s">
        <v>2754</v>
      </c>
      <c r="AP258" s="21" t="str">
        <f>IF(AO258="Pending","Not yet invoiced",IF(AI258=AD258,"Matched","Invoiced on received qty ("&amp;AI258&amp;" of "&amp;AD258&amp;")"))</f>
        <v>Matched</v>
      </c>
      <c r="AQ258" s="21" t="s">
        <v>2755</v>
      </c>
    </row>
    <row r="259" spans="1:43" x14ac:dyDescent="0.3">
      <c r="A259" s="21" t="s">
        <v>2787</v>
      </c>
      <c r="B259" s="35">
        <v>46165.625</v>
      </c>
      <c r="C259" s="21" t="s">
        <v>1909</v>
      </c>
      <c r="D259" s="21" t="s">
        <v>2757</v>
      </c>
      <c r="E259" s="21" t="s">
        <v>1945</v>
      </c>
      <c r="F259" s="21" t="s">
        <v>768</v>
      </c>
      <c r="G259" s="35">
        <v>46165.897708333338</v>
      </c>
      <c r="H259" s="21" t="s">
        <v>1912</v>
      </c>
      <c r="I259" s="21" t="s">
        <v>1913</v>
      </c>
      <c r="J259" s="21" t="s">
        <v>1914</v>
      </c>
      <c r="K259" s="21" t="s">
        <v>1800</v>
      </c>
      <c r="L259" s="21" t="s">
        <v>1073</v>
      </c>
      <c r="M259" s="21" t="s">
        <v>1801</v>
      </c>
      <c r="N259" s="21" t="s">
        <v>1928</v>
      </c>
      <c r="O259" s="21" t="s">
        <v>1929</v>
      </c>
      <c r="P259" s="21" t="s">
        <v>1930</v>
      </c>
      <c r="Q259" s="21" t="s">
        <v>1278</v>
      </c>
      <c r="R259" s="21" t="s">
        <v>1302</v>
      </c>
      <c r="S259" s="21" t="s">
        <v>1127</v>
      </c>
      <c r="T259" s="21" t="s">
        <v>1917</v>
      </c>
      <c r="U259" s="21" t="s">
        <v>1677</v>
      </c>
      <c r="V259" s="21" t="str">
        <f>_xlfn.XLOOKUP(U259,'T07'!$D$3:$D$1500,'T07'!$BI$3:$BI$1500)&amp;" / "&amp;_xlfn.XLOOKUP(U259,'T07'!$D$3:$D$1500,'T07'!$BJ$3:$BJ$1500)</f>
        <v>LHR-HTV-2010-55907 / HTV</v>
      </c>
      <c r="W259" s="21" t="s">
        <v>1917</v>
      </c>
      <c r="X259" s="21" t="s">
        <v>1679</v>
      </c>
      <c r="Y259" s="21" t="s">
        <v>2086</v>
      </c>
      <c r="Z259" s="21">
        <v>1</v>
      </c>
      <c r="AA259" s="21" t="s">
        <v>1865</v>
      </c>
      <c r="AB259" s="21" t="s">
        <v>1804</v>
      </c>
      <c r="AC259" s="25">
        <v>1100</v>
      </c>
      <c r="AD259" s="25">
        <v>500</v>
      </c>
      <c r="AE259" s="21" t="s">
        <v>2788</v>
      </c>
      <c r="AF259" s="21" t="s">
        <v>2789</v>
      </c>
      <c r="AG259" s="35">
        <v>46165.917708333334</v>
      </c>
      <c r="AH259" s="21" t="s">
        <v>1934</v>
      </c>
      <c r="AI259" s="25">
        <v>494</v>
      </c>
      <c r="AJ259" s="21" t="s">
        <v>1074</v>
      </c>
      <c r="AK259" s="21" t="s">
        <v>1922</v>
      </c>
      <c r="AL259" s="21" t="str">
        <f>IF(AD259-AI259&gt;0,(AD259-AI259)&amp;" bags - damaged in transit","None")</f>
        <v>6 bags - damaged in transit</v>
      </c>
      <c r="AM259" s="21" t="s">
        <v>2790</v>
      </c>
      <c r="AN259" s="21" t="s">
        <v>2791</v>
      </c>
      <c r="AO259" s="21" t="s">
        <v>2760</v>
      </c>
      <c r="AP259" s="21" t="str">
        <f>IF(AO259="Pending","Not yet invoiced",IF(AI259=AD259,"Matched","Invoiced on received qty ("&amp;AI259&amp;" of "&amp;AD259&amp;")"))</f>
        <v>Invoiced on received qty (494 of 500)</v>
      </c>
      <c r="AQ259" s="21" t="s">
        <v>2777</v>
      </c>
    </row>
    <row r="260" spans="1:43" x14ac:dyDescent="0.3">
      <c r="A260" s="21" t="s">
        <v>2792</v>
      </c>
      <c r="B260" s="35">
        <v>46167.375</v>
      </c>
      <c r="C260" s="21" t="s">
        <v>1909</v>
      </c>
      <c r="D260" s="21" t="s">
        <v>2751</v>
      </c>
      <c r="E260" s="21" t="s">
        <v>1911</v>
      </c>
      <c r="F260" s="21" t="s">
        <v>1817</v>
      </c>
      <c r="G260" s="35">
        <v>46167.486250000002</v>
      </c>
      <c r="H260" s="21" t="s">
        <v>1912</v>
      </c>
      <c r="I260" s="21" t="s">
        <v>1913</v>
      </c>
      <c r="J260" s="21" t="s">
        <v>1914</v>
      </c>
      <c r="K260" s="21" t="s">
        <v>1830</v>
      </c>
      <c r="L260" s="21" t="s">
        <v>1133</v>
      </c>
      <c r="M260" s="21" t="s">
        <v>1139</v>
      </c>
      <c r="N260" s="21" t="s">
        <v>1140</v>
      </c>
      <c r="O260" s="21" t="s">
        <v>2030</v>
      </c>
      <c r="P260" s="21" t="s">
        <v>1916</v>
      </c>
      <c r="Q260" s="21" t="s">
        <v>1339</v>
      </c>
      <c r="R260" s="21" t="s">
        <v>1360</v>
      </c>
      <c r="S260" s="21" t="s">
        <v>1343</v>
      </c>
      <c r="T260" s="21" t="s">
        <v>1917</v>
      </c>
      <c r="U260" s="21" t="s">
        <v>1677</v>
      </c>
      <c r="V260" s="21" t="str">
        <f>_xlfn.XLOOKUP(U260,'T07'!$D$3:$D$1500,'T07'!$BI$3:$BI$1500)&amp;" / "&amp;_xlfn.XLOOKUP(U260,'T07'!$D$3:$D$1500,'T07'!$BJ$3:$BJ$1500)</f>
        <v>LHR-HTV-2010-55907 / HTV</v>
      </c>
      <c r="W260" s="21" t="s">
        <v>1917</v>
      </c>
      <c r="X260" s="21" t="s">
        <v>1679</v>
      </c>
      <c r="Y260" s="21" t="s">
        <v>1963</v>
      </c>
      <c r="Z260" s="21">
        <v>1</v>
      </c>
      <c r="AA260" s="21" t="s">
        <v>1881</v>
      </c>
      <c r="AB260" s="21" t="s">
        <v>783</v>
      </c>
      <c r="AC260" s="25">
        <v>54</v>
      </c>
      <c r="AD260" s="25">
        <v>29</v>
      </c>
      <c r="AE260" s="21" t="s">
        <v>2793</v>
      </c>
      <c r="AF260" s="21" t="s">
        <v>2794</v>
      </c>
      <c r="AG260" s="35">
        <v>46167.506249999999</v>
      </c>
      <c r="AH260" s="21" t="s">
        <v>1921</v>
      </c>
      <c r="AI260" s="25">
        <v>29</v>
      </c>
      <c r="AJ260" s="21" t="s">
        <v>1141</v>
      </c>
      <c r="AK260" s="21" t="s">
        <v>1922</v>
      </c>
      <c r="AL260" s="21" t="str">
        <f>IF(AD260-AI260&gt;0,(AD260-AI260)&amp;" bags - damaged in transit","None")</f>
        <v>None</v>
      </c>
      <c r="AM260" s="21" t="s">
        <v>844</v>
      </c>
      <c r="AN260" s="21" t="s">
        <v>848</v>
      </c>
      <c r="AO260" s="21" t="s">
        <v>2754</v>
      </c>
      <c r="AP260" s="21" t="str">
        <f>IF(AO260="Pending","Not yet invoiced",IF(AI260=AD260,"Matched","Invoiced on received qty ("&amp;AI260&amp;" of "&amp;AD260&amp;")"))</f>
        <v>Matched</v>
      </c>
      <c r="AQ260" s="21" t="s">
        <v>2755</v>
      </c>
    </row>
    <row r="261" spans="1:43" x14ac:dyDescent="0.3">
      <c r="A261" s="21" t="s">
        <v>2795</v>
      </c>
      <c r="B261" s="35">
        <v>46177.25</v>
      </c>
      <c r="C261" s="21" t="s">
        <v>1909</v>
      </c>
      <c r="D261" s="21" t="s">
        <v>2796</v>
      </c>
      <c r="E261" s="21" t="s">
        <v>1911</v>
      </c>
      <c r="F261" s="21" t="s">
        <v>768</v>
      </c>
      <c r="G261" s="35">
        <v>46177.373749999999</v>
      </c>
      <c r="H261" s="21" t="s">
        <v>1912</v>
      </c>
      <c r="I261" s="21" t="s">
        <v>1913</v>
      </c>
      <c r="J261" s="21" t="s">
        <v>1914</v>
      </c>
      <c r="K261" s="21" t="s">
        <v>1835</v>
      </c>
      <c r="L261" s="21" t="s">
        <v>1055</v>
      </c>
      <c r="M261" s="21" t="s">
        <v>1836</v>
      </c>
      <c r="N261" s="21" t="s">
        <v>2204</v>
      </c>
      <c r="O261" s="21" t="s">
        <v>2205</v>
      </c>
      <c r="P261" s="21" t="s">
        <v>1930</v>
      </c>
      <c r="Q261" s="21" t="s">
        <v>1278</v>
      </c>
      <c r="R261" s="21" t="s">
        <v>1310</v>
      </c>
      <c r="S261" s="21" t="s">
        <v>1247</v>
      </c>
      <c r="T261" s="21" t="s">
        <v>1917</v>
      </c>
      <c r="U261" s="21" t="s">
        <v>1766</v>
      </c>
      <c r="V261" s="21" t="str">
        <f>_xlfn.XLOOKUP(U261,'T07'!$D$3:$D$1500,'T07'!$BI$3:$BI$1500)&amp;" / "&amp;_xlfn.XLOOKUP(U261,'T07'!$D$3:$D$1500,'T07'!$BJ$3:$BJ$1500)</f>
        <v>LHR-LTV-2019-66685 / LTV</v>
      </c>
      <c r="W261" s="21" t="s">
        <v>1917</v>
      </c>
      <c r="X261" s="21" t="s">
        <v>1768</v>
      </c>
      <c r="Y261" s="21" t="s">
        <v>1948</v>
      </c>
      <c r="Z261" s="21">
        <v>1</v>
      </c>
      <c r="AA261" s="21" t="s">
        <v>1826</v>
      </c>
      <c r="AB261" s="21" t="s">
        <v>1804</v>
      </c>
      <c r="AC261" s="25">
        <v>2500</v>
      </c>
      <c r="AD261" s="25">
        <v>200</v>
      </c>
      <c r="AE261" s="21" t="s">
        <v>2797</v>
      </c>
      <c r="AF261" s="21" t="s">
        <v>2798</v>
      </c>
      <c r="AG261" s="35">
        <v>46177.393749999996</v>
      </c>
      <c r="AH261" s="21" t="s">
        <v>1934</v>
      </c>
      <c r="AI261" s="25">
        <v>200</v>
      </c>
      <c r="AJ261" s="21" t="s">
        <v>1056</v>
      </c>
      <c r="AK261" s="21" t="s">
        <v>1922</v>
      </c>
      <c r="AL261" s="21" t="str">
        <f>IF(AD261-AI261&gt;0,(AD261-AI261)&amp;" bags - damaged in transit","None")</f>
        <v>None</v>
      </c>
      <c r="AM261" s="21" t="s">
        <v>844</v>
      </c>
      <c r="AN261" s="21" t="s">
        <v>848</v>
      </c>
      <c r="AO261" s="21" t="s">
        <v>2799</v>
      </c>
      <c r="AP261" s="21" t="str">
        <f>IF(AO261="Pending","Not yet invoiced",IF(AI261=AD261,"Matched","Invoiced on received qty ("&amp;AI261&amp;" of "&amp;AD261&amp;")"))</f>
        <v>Matched</v>
      </c>
      <c r="AQ261" s="21" t="s">
        <v>2800</v>
      </c>
    </row>
    <row r="262" spans="1:43" x14ac:dyDescent="0.3">
      <c r="A262" s="21" t="s">
        <v>2801</v>
      </c>
      <c r="B262" s="35">
        <v>46181.666666666664</v>
      </c>
      <c r="C262" s="21" t="s">
        <v>1909</v>
      </c>
      <c r="D262" s="21" t="s">
        <v>2796</v>
      </c>
      <c r="E262" s="21" t="s">
        <v>1927</v>
      </c>
      <c r="F262" s="21" t="s">
        <v>768</v>
      </c>
      <c r="G262" s="35">
        <v>46181.790416666663</v>
      </c>
      <c r="H262" s="21" t="s">
        <v>1912</v>
      </c>
      <c r="I262" s="21" t="s">
        <v>1913</v>
      </c>
      <c r="J262" s="21" t="s">
        <v>1914</v>
      </c>
      <c r="K262" s="21" t="s">
        <v>1835</v>
      </c>
      <c r="L262" s="21" t="s">
        <v>1055</v>
      </c>
      <c r="M262" s="21" t="s">
        <v>1836</v>
      </c>
      <c r="N262" s="21" t="s">
        <v>2204</v>
      </c>
      <c r="O262" s="21" t="s">
        <v>2205</v>
      </c>
      <c r="P262" s="21" t="s">
        <v>1930</v>
      </c>
      <c r="Q262" s="21" t="s">
        <v>1278</v>
      </c>
      <c r="R262" s="21" t="s">
        <v>1302</v>
      </c>
      <c r="S262" s="21" t="s">
        <v>1127</v>
      </c>
      <c r="T262" s="21" t="s">
        <v>1917</v>
      </c>
      <c r="U262" s="21" t="s">
        <v>1711</v>
      </c>
      <c r="V262" s="21" t="str">
        <f>_xlfn.XLOOKUP(U262,'T07'!$D$3:$D$1500,'T07'!$BI$3:$BI$1500)&amp;" / "&amp;_xlfn.XLOOKUP(U262,'T07'!$D$3:$D$1500,'T07'!$BJ$3:$BJ$1500)</f>
        <v>LHR-HTV-2008-42260 / HTV</v>
      </c>
      <c r="W262" s="21" t="s">
        <v>1917</v>
      </c>
      <c r="X262" s="21" t="s">
        <v>1713</v>
      </c>
      <c r="Y262" s="21" t="s">
        <v>2086</v>
      </c>
      <c r="Z262" s="21">
        <v>1</v>
      </c>
      <c r="AA262" s="21" t="s">
        <v>1826</v>
      </c>
      <c r="AB262" s="21" t="s">
        <v>1804</v>
      </c>
      <c r="AC262" s="25">
        <v>2300</v>
      </c>
      <c r="AD262" s="25">
        <v>150</v>
      </c>
      <c r="AE262" s="21" t="s">
        <v>2802</v>
      </c>
      <c r="AF262" s="21" t="s">
        <v>2803</v>
      </c>
      <c r="AG262" s="35">
        <v>46181.81041666666</v>
      </c>
      <c r="AH262" s="21" t="s">
        <v>1934</v>
      </c>
      <c r="AI262" s="25">
        <v>150</v>
      </c>
      <c r="AJ262" s="21" t="s">
        <v>1056</v>
      </c>
      <c r="AK262" s="21" t="s">
        <v>1922</v>
      </c>
      <c r="AL262" s="21" t="str">
        <f>IF(AD262-AI262&gt;0,(AD262-AI262)&amp;" bags - damaged in transit","None")</f>
        <v>None</v>
      </c>
      <c r="AM262" s="21" t="s">
        <v>844</v>
      </c>
      <c r="AN262" s="21" t="s">
        <v>848</v>
      </c>
      <c r="AO262" s="21" t="s">
        <v>2799</v>
      </c>
      <c r="AP262" s="21" t="str">
        <f>IF(AO262="Pending","Not yet invoiced",IF(AI262=AD262,"Matched","Invoiced on received qty ("&amp;AI262&amp;" of "&amp;AD262&amp;")"))</f>
        <v>Matched</v>
      </c>
      <c r="AQ262" s="21" t="s">
        <v>2800</v>
      </c>
    </row>
    <row r="263" spans="1:43" x14ac:dyDescent="0.3">
      <c r="A263" s="21" t="s">
        <v>2801</v>
      </c>
      <c r="B263" s="35">
        <v>46181.666666666664</v>
      </c>
      <c r="C263" s="21" t="s">
        <v>1909</v>
      </c>
      <c r="D263" s="21" t="s">
        <v>2796</v>
      </c>
      <c r="E263" s="21" t="s">
        <v>1927</v>
      </c>
      <c r="F263" s="21" t="s">
        <v>768</v>
      </c>
      <c r="G263" s="35">
        <v>46181.790416666663</v>
      </c>
      <c r="H263" s="21" t="s">
        <v>1912</v>
      </c>
      <c r="I263" s="21" t="s">
        <v>1913</v>
      </c>
      <c r="J263" s="21" t="s">
        <v>1914</v>
      </c>
      <c r="K263" s="21" t="s">
        <v>1835</v>
      </c>
      <c r="L263" s="21" t="s">
        <v>1055</v>
      </c>
      <c r="M263" s="21" t="s">
        <v>1836</v>
      </c>
      <c r="N263" s="21" t="s">
        <v>2204</v>
      </c>
      <c r="O263" s="21" t="s">
        <v>2205</v>
      </c>
      <c r="P263" s="21" t="s">
        <v>1930</v>
      </c>
      <c r="Q263" s="21" t="s">
        <v>1278</v>
      </c>
      <c r="R263" s="21" t="s">
        <v>1302</v>
      </c>
      <c r="S263" s="21" t="s">
        <v>1127</v>
      </c>
      <c r="T263" s="21" t="s">
        <v>1917</v>
      </c>
      <c r="U263" s="21" t="s">
        <v>1711</v>
      </c>
      <c r="V263" s="21" t="str">
        <f>_xlfn.XLOOKUP(U263,'T07'!$D$3:$D$1500,'T07'!$BI$3:$BI$1500)&amp;" / "&amp;_xlfn.XLOOKUP(U263,'T07'!$D$3:$D$1500,'T07'!$BJ$3:$BJ$1500)</f>
        <v>LHR-HTV-2008-42260 / HTV</v>
      </c>
      <c r="W263" s="21" t="s">
        <v>1917</v>
      </c>
      <c r="X263" s="21" t="s">
        <v>1713</v>
      </c>
      <c r="Y263" s="21" t="s">
        <v>2086</v>
      </c>
      <c r="Z263" s="21">
        <v>2</v>
      </c>
      <c r="AA263" s="21" t="s">
        <v>1828</v>
      </c>
      <c r="AB263" s="21" t="s">
        <v>1804</v>
      </c>
      <c r="AC263" s="25">
        <v>500</v>
      </c>
      <c r="AD263" s="25">
        <v>150</v>
      </c>
      <c r="AE263" s="21" t="s">
        <v>2804</v>
      </c>
      <c r="AF263" s="21" t="s">
        <v>2803</v>
      </c>
      <c r="AG263" s="35">
        <v>46181.81041666666</v>
      </c>
      <c r="AH263" s="21" t="s">
        <v>1934</v>
      </c>
      <c r="AI263" s="25">
        <v>150</v>
      </c>
      <c r="AJ263" s="21" t="s">
        <v>1056</v>
      </c>
      <c r="AK263" s="21" t="s">
        <v>1922</v>
      </c>
      <c r="AL263" s="21" t="str">
        <f>IF(AD263-AI263&gt;0,(AD263-AI263)&amp;" bags - damaged in transit","None")</f>
        <v>None</v>
      </c>
      <c r="AM263" s="21" t="s">
        <v>844</v>
      </c>
      <c r="AN263" s="21" t="s">
        <v>848</v>
      </c>
      <c r="AO263" s="21" t="s">
        <v>2799</v>
      </c>
      <c r="AP263" s="21" t="str">
        <f>IF(AO263="Pending","Not yet invoiced",IF(AI263=AD263,"Matched","Invoiced on received qty ("&amp;AI263&amp;" of "&amp;AD263&amp;")"))</f>
        <v>Matched</v>
      </c>
      <c r="AQ263" s="21" t="s">
        <v>2800</v>
      </c>
    </row>
    <row r="264" spans="1:43" x14ac:dyDescent="0.3">
      <c r="A264" s="21" t="s">
        <v>2801</v>
      </c>
      <c r="B264" s="35">
        <v>46181.666666666664</v>
      </c>
      <c r="C264" s="21" t="s">
        <v>1909</v>
      </c>
      <c r="D264" s="21" t="s">
        <v>2796</v>
      </c>
      <c r="E264" s="21" t="s">
        <v>1927</v>
      </c>
      <c r="F264" s="21" t="s">
        <v>768</v>
      </c>
      <c r="G264" s="35">
        <v>46181.790416666663</v>
      </c>
      <c r="H264" s="21" t="s">
        <v>1912</v>
      </c>
      <c r="I264" s="21" t="s">
        <v>1913</v>
      </c>
      <c r="J264" s="21" t="s">
        <v>1914</v>
      </c>
      <c r="K264" s="21" t="s">
        <v>1835</v>
      </c>
      <c r="L264" s="21" t="s">
        <v>1055</v>
      </c>
      <c r="M264" s="21" t="s">
        <v>1836</v>
      </c>
      <c r="N264" s="21" t="s">
        <v>2204</v>
      </c>
      <c r="O264" s="21" t="s">
        <v>2205</v>
      </c>
      <c r="P264" s="21" t="s">
        <v>1930</v>
      </c>
      <c r="Q264" s="21" t="s">
        <v>1278</v>
      </c>
      <c r="R264" s="21" t="s">
        <v>1302</v>
      </c>
      <c r="S264" s="21" t="s">
        <v>1127</v>
      </c>
      <c r="T264" s="21" t="s">
        <v>1917</v>
      </c>
      <c r="U264" s="21" t="s">
        <v>1711</v>
      </c>
      <c r="V264" s="21" t="str">
        <f>_xlfn.XLOOKUP(U264,'T07'!$D$3:$D$1500,'T07'!$BI$3:$BI$1500)&amp;" / "&amp;_xlfn.XLOOKUP(U264,'T07'!$D$3:$D$1500,'T07'!$BJ$3:$BJ$1500)</f>
        <v>LHR-HTV-2008-42260 / HTV</v>
      </c>
      <c r="W264" s="21" t="s">
        <v>1917</v>
      </c>
      <c r="X264" s="21" t="s">
        <v>1713</v>
      </c>
      <c r="Y264" s="21" t="s">
        <v>2086</v>
      </c>
      <c r="Z264" s="21">
        <v>3</v>
      </c>
      <c r="AA264" s="21" t="s">
        <v>1865</v>
      </c>
      <c r="AB264" s="21" t="s">
        <v>1804</v>
      </c>
      <c r="AC264" s="25">
        <v>1000</v>
      </c>
      <c r="AD264" s="25">
        <v>150</v>
      </c>
      <c r="AE264" s="21" t="s">
        <v>2805</v>
      </c>
      <c r="AF264" s="21" t="s">
        <v>2803</v>
      </c>
      <c r="AG264" s="35">
        <v>46181.81041666666</v>
      </c>
      <c r="AH264" s="21" t="s">
        <v>1934</v>
      </c>
      <c r="AI264" s="25">
        <v>150</v>
      </c>
      <c r="AJ264" s="21" t="s">
        <v>1056</v>
      </c>
      <c r="AK264" s="21" t="s">
        <v>1922</v>
      </c>
      <c r="AL264" s="21" t="str">
        <f>IF(AD264-AI264&gt;0,(AD264-AI264)&amp;" bags - damaged in transit","None")</f>
        <v>None</v>
      </c>
      <c r="AM264" s="21" t="s">
        <v>844</v>
      </c>
      <c r="AN264" s="21" t="s">
        <v>848</v>
      </c>
      <c r="AO264" s="21" t="s">
        <v>2799</v>
      </c>
      <c r="AP264" s="21" t="str">
        <f>IF(AO264="Pending","Not yet invoiced",IF(AI264=AD264,"Matched","Invoiced on received qty ("&amp;AI264&amp;" of "&amp;AD264&amp;")"))</f>
        <v>Matched</v>
      </c>
      <c r="AQ264" s="21" t="s">
        <v>2800</v>
      </c>
    </row>
    <row r="265" spans="1:43" x14ac:dyDescent="0.3">
      <c r="A265" s="21" t="s">
        <v>2806</v>
      </c>
      <c r="B265" s="35">
        <v>46184.25</v>
      </c>
      <c r="C265" s="21" t="s">
        <v>1909</v>
      </c>
      <c r="D265" s="21" t="s">
        <v>2796</v>
      </c>
      <c r="E265" s="21" t="s">
        <v>1927</v>
      </c>
      <c r="F265" s="21" t="s">
        <v>768</v>
      </c>
      <c r="G265" s="35">
        <v>46184.373749999999</v>
      </c>
      <c r="H265" s="21" t="s">
        <v>1912</v>
      </c>
      <c r="I265" s="21" t="s">
        <v>1913</v>
      </c>
      <c r="J265" s="21" t="s">
        <v>1914</v>
      </c>
      <c r="K265" s="21" t="s">
        <v>1835</v>
      </c>
      <c r="L265" s="21" t="s">
        <v>1055</v>
      </c>
      <c r="M265" s="21" t="s">
        <v>1836</v>
      </c>
      <c r="N265" s="21" t="s">
        <v>2204</v>
      </c>
      <c r="O265" s="21" t="s">
        <v>2205</v>
      </c>
      <c r="P265" s="21" t="s">
        <v>1930</v>
      </c>
      <c r="Q265" s="21" t="s">
        <v>1278</v>
      </c>
      <c r="R265" s="21" t="s">
        <v>1302</v>
      </c>
      <c r="S265" s="21" t="s">
        <v>1127</v>
      </c>
      <c r="T265" s="21" t="s">
        <v>1917</v>
      </c>
      <c r="U265" s="21" t="s">
        <v>1697</v>
      </c>
      <c r="V265" s="21" t="str">
        <f>_xlfn.XLOOKUP(U265,'T07'!$D$3:$D$1500,'T07'!$BI$3:$BI$1500)&amp;" / "&amp;_xlfn.XLOOKUP(U265,'T07'!$D$3:$D$1500,'T07'!$BJ$3:$BJ$1500)</f>
        <v>LHR-HTV-2013-23962 / HTV</v>
      </c>
      <c r="W265" s="21" t="s">
        <v>1917</v>
      </c>
      <c r="X265" s="21" t="s">
        <v>1700</v>
      </c>
      <c r="Y265" s="21" t="s">
        <v>2086</v>
      </c>
      <c r="Z265" s="21">
        <v>1</v>
      </c>
      <c r="AA265" s="21" t="s">
        <v>1865</v>
      </c>
      <c r="AB265" s="21" t="s">
        <v>1804</v>
      </c>
      <c r="AC265" s="25">
        <v>850</v>
      </c>
      <c r="AD265" s="25">
        <v>250</v>
      </c>
      <c r="AE265" s="21" t="s">
        <v>2807</v>
      </c>
      <c r="AF265" s="21" t="s">
        <v>2808</v>
      </c>
      <c r="AG265" s="35">
        <v>46184.393749999996</v>
      </c>
      <c r="AH265" s="21" t="s">
        <v>1934</v>
      </c>
      <c r="AI265" s="25">
        <v>250</v>
      </c>
      <c r="AJ265" s="21" t="s">
        <v>1056</v>
      </c>
      <c r="AK265" s="21" t="s">
        <v>1922</v>
      </c>
      <c r="AL265" s="21" t="str">
        <f>IF(AD265-AI265&gt;0,(AD265-AI265)&amp;" bags - damaged in transit","None")</f>
        <v>None</v>
      </c>
      <c r="AM265" s="21" t="s">
        <v>844</v>
      </c>
      <c r="AN265" s="21" t="s">
        <v>848</v>
      </c>
      <c r="AO265" s="21" t="s">
        <v>2799</v>
      </c>
      <c r="AP265" s="21" t="str">
        <f>IF(AO265="Pending","Not yet invoiced",IF(AI265=AD265,"Matched","Invoiced on received qty ("&amp;AI265&amp;" of "&amp;AD265&amp;")"))</f>
        <v>Matched</v>
      </c>
      <c r="AQ265" s="21" t="s">
        <v>2800</v>
      </c>
    </row>
    <row r="266" spans="1:43" x14ac:dyDescent="0.3">
      <c r="A266" s="21" t="s">
        <v>2806</v>
      </c>
      <c r="B266" s="35">
        <v>46184.25</v>
      </c>
      <c r="C266" s="21" t="s">
        <v>1909</v>
      </c>
      <c r="D266" s="21" t="s">
        <v>2796</v>
      </c>
      <c r="E266" s="21" t="s">
        <v>1927</v>
      </c>
      <c r="F266" s="21" t="s">
        <v>768</v>
      </c>
      <c r="G266" s="35">
        <v>46184.373749999999</v>
      </c>
      <c r="H266" s="21" t="s">
        <v>1912</v>
      </c>
      <c r="I266" s="21" t="s">
        <v>1913</v>
      </c>
      <c r="J266" s="21" t="s">
        <v>1914</v>
      </c>
      <c r="K266" s="21" t="s">
        <v>1835</v>
      </c>
      <c r="L266" s="21" t="s">
        <v>1055</v>
      </c>
      <c r="M266" s="21" t="s">
        <v>1836</v>
      </c>
      <c r="N266" s="21" t="s">
        <v>2204</v>
      </c>
      <c r="O266" s="21" t="s">
        <v>2205</v>
      </c>
      <c r="P266" s="21" t="s">
        <v>1930</v>
      </c>
      <c r="Q266" s="21" t="s">
        <v>1278</v>
      </c>
      <c r="R266" s="21" t="s">
        <v>1302</v>
      </c>
      <c r="S266" s="21" t="s">
        <v>1127</v>
      </c>
      <c r="T266" s="21" t="s">
        <v>1917</v>
      </c>
      <c r="U266" s="21" t="s">
        <v>1697</v>
      </c>
      <c r="V266" s="21" t="str">
        <f>_xlfn.XLOOKUP(U266,'T07'!$D$3:$D$1500,'T07'!$BI$3:$BI$1500)&amp;" / "&amp;_xlfn.XLOOKUP(U266,'T07'!$D$3:$D$1500,'T07'!$BJ$3:$BJ$1500)</f>
        <v>LHR-HTV-2013-23962 / HTV</v>
      </c>
      <c r="W266" s="21" t="s">
        <v>1917</v>
      </c>
      <c r="X266" s="21" t="s">
        <v>1700</v>
      </c>
      <c r="Y266" s="21" t="s">
        <v>2086</v>
      </c>
      <c r="Z266" s="21">
        <v>2</v>
      </c>
      <c r="AA266" s="21" t="s">
        <v>1826</v>
      </c>
      <c r="AB266" s="21" t="s">
        <v>1804</v>
      </c>
      <c r="AC266" s="25">
        <v>2150</v>
      </c>
      <c r="AD266" s="25">
        <v>250</v>
      </c>
      <c r="AE266" s="21" t="s">
        <v>2809</v>
      </c>
      <c r="AF266" s="21" t="s">
        <v>2808</v>
      </c>
      <c r="AG266" s="35">
        <v>46184.393749999996</v>
      </c>
      <c r="AH266" s="21" t="s">
        <v>1934</v>
      </c>
      <c r="AI266" s="25">
        <v>250</v>
      </c>
      <c r="AJ266" s="21" t="s">
        <v>1056</v>
      </c>
      <c r="AK266" s="21" t="s">
        <v>1922</v>
      </c>
      <c r="AL266" s="21" t="str">
        <f>IF(AD266-AI266&gt;0,(AD266-AI266)&amp;" bags - damaged in transit","None")</f>
        <v>None</v>
      </c>
      <c r="AM266" s="21" t="s">
        <v>844</v>
      </c>
      <c r="AN266" s="21" t="s">
        <v>848</v>
      </c>
      <c r="AO266" s="21" t="s">
        <v>2799</v>
      </c>
      <c r="AP266" s="21" t="str">
        <f>IF(AO266="Pending","Not yet invoiced",IF(AI266=AD266,"Matched","Invoiced on received qty ("&amp;AI266&amp;" of "&amp;AD266&amp;")"))</f>
        <v>Matched</v>
      </c>
      <c r="AQ266" s="21" t="s">
        <v>2800</v>
      </c>
    </row>
    <row r="267" spans="1:43" x14ac:dyDescent="0.3">
      <c r="A267" s="21" t="s">
        <v>2810</v>
      </c>
      <c r="B267" s="35">
        <v>46192.708333333336</v>
      </c>
      <c r="C267" s="21" t="s">
        <v>1909</v>
      </c>
      <c r="D267" s="21" t="s">
        <v>2796</v>
      </c>
      <c r="E267" s="21" t="s">
        <v>1911</v>
      </c>
      <c r="F267" s="21" t="s">
        <v>768</v>
      </c>
      <c r="G267" s="35">
        <v>46192.832083333335</v>
      </c>
      <c r="H267" s="21" t="s">
        <v>1912</v>
      </c>
      <c r="I267" s="21" t="s">
        <v>1913</v>
      </c>
      <c r="J267" s="21" t="s">
        <v>1914</v>
      </c>
      <c r="K267" s="21" t="s">
        <v>1835</v>
      </c>
      <c r="L267" s="21" t="s">
        <v>1055</v>
      </c>
      <c r="M267" s="21" t="s">
        <v>1836</v>
      </c>
      <c r="N267" s="21" t="s">
        <v>2204</v>
      </c>
      <c r="O267" s="21" t="s">
        <v>2205</v>
      </c>
      <c r="P267" s="21" t="s">
        <v>1930</v>
      </c>
      <c r="Q267" s="21" t="s">
        <v>1278</v>
      </c>
      <c r="R267" s="21" t="s">
        <v>1332</v>
      </c>
      <c r="S267" s="21" t="s">
        <v>1127</v>
      </c>
      <c r="T267" s="21" t="s">
        <v>1917</v>
      </c>
      <c r="U267" s="21" t="s">
        <v>1753</v>
      </c>
      <c r="V267" s="21" t="str">
        <f>_xlfn.XLOOKUP(U267,'T07'!$D$3:$D$1500,'T07'!$BI$3:$BI$1500)&amp;" / "&amp;_xlfn.XLOOKUP(U267,'T07'!$D$3:$D$1500,'T07'!$BJ$3:$BJ$1500)</f>
        <v>LHR-HTV-2009-86678 / HTV</v>
      </c>
      <c r="W267" s="21" t="s">
        <v>1917</v>
      </c>
      <c r="X267" s="21" t="s">
        <v>1755</v>
      </c>
      <c r="Y267" s="21" t="s">
        <v>1931</v>
      </c>
      <c r="Z267" s="21">
        <v>1</v>
      </c>
      <c r="AA267" s="21" t="s">
        <v>1826</v>
      </c>
      <c r="AB267" s="21" t="s">
        <v>1804</v>
      </c>
      <c r="AC267" s="25">
        <v>1900</v>
      </c>
      <c r="AD267" s="25">
        <v>250</v>
      </c>
      <c r="AE267" s="21" t="s">
        <v>2811</v>
      </c>
      <c r="AF267" s="21" t="s">
        <v>2812</v>
      </c>
      <c r="AG267" s="35">
        <v>46192.852083333331</v>
      </c>
      <c r="AH267" s="21" t="s">
        <v>1934</v>
      </c>
      <c r="AI267" s="25">
        <v>250</v>
      </c>
      <c r="AJ267" s="21" t="s">
        <v>1056</v>
      </c>
      <c r="AK267" s="21" t="s">
        <v>1922</v>
      </c>
      <c r="AL267" s="21" t="str">
        <f>IF(AD267-AI267&gt;0,(AD267-AI267)&amp;" bags - damaged in transit","None")</f>
        <v>None</v>
      </c>
      <c r="AM267" s="21" t="s">
        <v>844</v>
      </c>
      <c r="AN267" s="21" t="s">
        <v>848</v>
      </c>
      <c r="AO267" s="21" t="s">
        <v>2799</v>
      </c>
      <c r="AP267" s="21" t="str">
        <f>IF(AO267="Pending","Not yet invoiced",IF(AI267=AD267,"Matched","Invoiced on received qty ("&amp;AI267&amp;" of "&amp;AD267&amp;")"))</f>
        <v>Matched</v>
      </c>
      <c r="AQ267" s="21" t="s">
        <v>2800</v>
      </c>
    </row>
    <row r="268" spans="1:43" x14ac:dyDescent="0.3">
      <c r="A268" s="21" t="s">
        <v>2810</v>
      </c>
      <c r="B268" s="35">
        <v>46192.708333333336</v>
      </c>
      <c r="C268" s="21" t="s">
        <v>1909</v>
      </c>
      <c r="D268" s="21" t="s">
        <v>2796</v>
      </c>
      <c r="E268" s="21" t="s">
        <v>1945</v>
      </c>
      <c r="F268" s="21" t="s">
        <v>768</v>
      </c>
      <c r="G268" s="35">
        <v>46192.832083333335</v>
      </c>
      <c r="H268" s="21" t="s">
        <v>1912</v>
      </c>
      <c r="I268" s="21" t="s">
        <v>1913</v>
      </c>
      <c r="J268" s="21" t="s">
        <v>1914</v>
      </c>
      <c r="K268" s="21" t="s">
        <v>1835</v>
      </c>
      <c r="L268" s="21" t="s">
        <v>1055</v>
      </c>
      <c r="M268" s="21" t="s">
        <v>1836</v>
      </c>
      <c r="N268" s="21" t="s">
        <v>2204</v>
      </c>
      <c r="O268" s="21" t="s">
        <v>2205</v>
      </c>
      <c r="P268" s="21" t="s">
        <v>1930</v>
      </c>
      <c r="Q268" s="21" t="s">
        <v>1278</v>
      </c>
      <c r="R268" s="21" t="s">
        <v>1332</v>
      </c>
      <c r="S268" s="21" t="s">
        <v>1127</v>
      </c>
      <c r="T268" s="21" t="s">
        <v>1917</v>
      </c>
      <c r="U268" s="21" t="s">
        <v>1753</v>
      </c>
      <c r="V268" s="21" t="str">
        <f>_xlfn.XLOOKUP(U268,'T07'!$D$3:$D$1500,'T07'!$BI$3:$BI$1500)&amp;" / "&amp;_xlfn.XLOOKUP(U268,'T07'!$D$3:$D$1500,'T07'!$BJ$3:$BJ$1500)</f>
        <v>LHR-HTV-2009-86678 / HTV</v>
      </c>
      <c r="W268" s="21" t="s">
        <v>1917</v>
      </c>
      <c r="X268" s="21" t="s">
        <v>1755</v>
      </c>
      <c r="Y268" s="21" t="s">
        <v>1931</v>
      </c>
      <c r="Z268" s="21">
        <v>2</v>
      </c>
      <c r="AA268" s="21" t="s">
        <v>1865</v>
      </c>
      <c r="AB268" s="21" t="s">
        <v>1804</v>
      </c>
      <c r="AC268" s="25">
        <v>600</v>
      </c>
      <c r="AD268" s="25">
        <v>250</v>
      </c>
      <c r="AE268" s="21" t="s">
        <v>2813</v>
      </c>
      <c r="AF268" s="21" t="s">
        <v>2812</v>
      </c>
      <c r="AG268" s="35">
        <v>46192.852083333331</v>
      </c>
      <c r="AH268" s="21" t="s">
        <v>1934</v>
      </c>
      <c r="AI268" s="25">
        <v>244</v>
      </c>
      <c r="AJ268" s="21" t="s">
        <v>1056</v>
      </c>
      <c r="AK268" s="21" t="s">
        <v>1922</v>
      </c>
      <c r="AL268" s="21" t="str">
        <f>IF(AD268-AI268&gt;0,(AD268-AI268)&amp;" bags - damaged in transit","None")</f>
        <v>6 bags - damaged in transit</v>
      </c>
      <c r="AM268" s="21" t="s">
        <v>2814</v>
      </c>
      <c r="AN268" s="21" t="s">
        <v>2815</v>
      </c>
      <c r="AO268" s="21" t="s">
        <v>2799</v>
      </c>
      <c r="AP268" s="21" t="str">
        <f>IF(AO268="Pending","Not yet invoiced",IF(AI268=AD268,"Matched","Invoiced on received qty ("&amp;AI268&amp;" of "&amp;AD268&amp;")"))</f>
        <v>Invoiced on received qty (244 of 250)</v>
      </c>
      <c r="AQ268" s="21" t="s">
        <v>2800</v>
      </c>
    </row>
    <row r="269" spans="1:43" x14ac:dyDescent="0.3">
      <c r="A269" s="21" t="s">
        <v>2816</v>
      </c>
      <c r="B269" s="35">
        <v>46196.375</v>
      </c>
      <c r="C269" s="21" t="s">
        <v>1909</v>
      </c>
      <c r="D269" s="21" t="s">
        <v>2796</v>
      </c>
      <c r="E269" s="21" t="s">
        <v>1911</v>
      </c>
      <c r="F269" s="21" t="s">
        <v>768</v>
      </c>
      <c r="G269" s="35">
        <v>46196.498749999999</v>
      </c>
      <c r="H269" s="21" t="s">
        <v>1912</v>
      </c>
      <c r="I269" s="21" t="s">
        <v>1913</v>
      </c>
      <c r="J269" s="21" t="s">
        <v>1914</v>
      </c>
      <c r="K269" s="21" t="s">
        <v>1835</v>
      </c>
      <c r="L269" s="21" t="s">
        <v>1055</v>
      </c>
      <c r="M269" s="21" t="s">
        <v>1836</v>
      </c>
      <c r="N269" s="21" t="s">
        <v>2204</v>
      </c>
      <c r="O269" s="21" t="s">
        <v>2205</v>
      </c>
      <c r="P269" s="21" t="s">
        <v>1930</v>
      </c>
      <c r="Q269" s="21" t="s">
        <v>1278</v>
      </c>
      <c r="R269" s="21" t="s">
        <v>1287</v>
      </c>
      <c r="S269" s="21" t="s">
        <v>1104</v>
      </c>
      <c r="T269" s="21" t="s">
        <v>1917</v>
      </c>
      <c r="U269" s="21" t="s">
        <v>1697</v>
      </c>
      <c r="V269" s="21" t="str">
        <f>_xlfn.XLOOKUP(U269,'T07'!$D$3:$D$1500,'T07'!$BI$3:$BI$1500)&amp;" / "&amp;_xlfn.XLOOKUP(U269,'T07'!$D$3:$D$1500,'T07'!$BJ$3:$BJ$1500)</f>
        <v>LHR-HTV-2013-23962 / HTV</v>
      </c>
      <c r="W269" s="21" t="s">
        <v>1917</v>
      </c>
      <c r="X269" s="21" t="s">
        <v>1700</v>
      </c>
      <c r="Y269" s="21" t="s">
        <v>2130</v>
      </c>
      <c r="Z269" s="21">
        <v>1</v>
      </c>
      <c r="AA269" s="21" t="s">
        <v>1826</v>
      </c>
      <c r="AB269" s="21" t="s">
        <v>1804</v>
      </c>
      <c r="AC269" s="25">
        <v>1650</v>
      </c>
      <c r="AD269" s="25">
        <v>1000</v>
      </c>
      <c r="AE269" s="21" t="s">
        <v>2817</v>
      </c>
      <c r="AF269" s="21" t="s">
        <v>2818</v>
      </c>
      <c r="AG269" s="35">
        <v>46196.518749999996</v>
      </c>
      <c r="AH269" s="21" t="s">
        <v>1983</v>
      </c>
      <c r="AI269" s="25">
        <v>1000</v>
      </c>
      <c r="AJ269" s="21" t="s">
        <v>1056</v>
      </c>
      <c r="AK269" s="21" t="s">
        <v>1922</v>
      </c>
      <c r="AL269" s="21" t="str">
        <f>IF(AD269-AI269&gt;0,(AD269-AI269)&amp;" bags - damaged in transit","None")</f>
        <v>None</v>
      </c>
      <c r="AM269" s="21" t="s">
        <v>844</v>
      </c>
      <c r="AN269" s="21" t="s">
        <v>848</v>
      </c>
      <c r="AO269" s="21" t="s">
        <v>2799</v>
      </c>
      <c r="AP269" s="21" t="str">
        <f>IF(AO269="Pending","Not yet invoiced",IF(AI269=AD269,"Matched","Invoiced on received qty ("&amp;AI269&amp;" of "&amp;AD269&amp;")"))</f>
        <v>Matched</v>
      </c>
      <c r="AQ269" s="21" t="s">
        <v>2800</v>
      </c>
    </row>
    <row r="270" spans="1:43" x14ac:dyDescent="0.3">
      <c r="A270" s="21" t="s">
        <v>2819</v>
      </c>
      <c r="B270" s="35">
        <v>46206.625</v>
      </c>
      <c r="C270" s="21" t="s">
        <v>1909</v>
      </c>
      <c r="D270" s="21" t="s">
        <v>2820</v>
      </c>
      <c r="E270" s="21" t="s">
        <v>2056</v>
      </c>
      <c r="F270" s="21" t="s">
        <v>768</v>
      </c>
      <c r="G270" s="35">
        <v>46206.762291666666</v>
      </c>
      <c r="H270" s="21" t="s">
        <v>1912</v>
      </c>
      <c r="I270" s="21" t="s">
        <v>1913</v>
      </c>
      <c r="J270" s="21" t="s">
        <v>1914</v>
      </c>
      <c r="K270" s="21" t="s">
        <v>1844</v>
      </c>
      <c r="L270" s="21" t="s">
        <v>1065</v>
      </c>
      <c r="M270" s="21" t="s">
        <v>1845</v>
      </c>
      <c r="N270" s="21" t="s">
        <v>2064</v>
      </c>
      <c r="O270" s="21" t="s">
        <v>2065</v>
      </c>
      <c r="P270" s="21" t="s">
        <v>1930</v>
      </c>
      <c r="Q270" s="21" t="s">
        <v>1278</v>
      </c>
      <c r="R270" s="21" t="s">
        <v>1302</v>
      </c>
      <c r="S270" s="21" t="s">
        <v>1127</v>
      </c>
      <c r="T270" s="21" t="s">
        <v>1917</v>
      </c>
      <c r="U270" s="21" t="s">
        <v>1711</v>
      </c>
      <c r="V270" s="21" t="str">
        <f>_xlfn.XLOOKUP(U270,'T07'!$D$3:$D$1500,'T07'!$BI$3:$BI$1500)&amp;" / "&amp;_xlfn.XLOOKUP(U270,'T07'!$D$3:$D$1500,'T07'!$BJ$3:$BJ$1500)</f>
        <v>LHR-HTV-2008-42260 / HTV</v>
      </c>
      <c r="W270" s="21" t="s">
        <v>1917</v>
      </c>
      <c r="X270" s="21" t="s">
        <v>1713</v>
      </c>
      <c r="Y270" s="21" t="s">
        <v>2086</v>
      </c>
      <c r="Z270" s="21">
        <v>1</v>
      </c>
      <c r="AA270" s="21" t="s">
        <v>1840</v>
      </c>
      <c r="AB270" s="21" t="s">
        <v>1841</v>
      </c>
      <c r="AC270" s="25">
        <v>5500</v>
      </c>
      <c r="AD270" s="25">
        <v>500</v>
      </c>
      <c r="AE270" s="21" t="s">
        <v>2821</v>
      </c>
      <c r="AF270" s="21" t="s">
        <v>2822</v>
      </c>
      <c r="AG270" s="35">
        <v>46206.782291666663</v>
      </c>
      <c r="AH270" s="21" t="s">
        <v>1934</v>
      </c>
      <c r="AI270" s="25">
        <v>500</v>
      </c>
      <c r="AJ270" s="21" t="s">
        <v>1067</v>
      </c>
      <c r="AK270" s="21" t="s">
        <v>1922</v>
      </c>
      <c r="AL270" s="21" t="str">
        <f>IF(AD270-AI270&gt;0,(AD270-AI270)&amp;" bags - damaged in transit","None")</f>
        <v>None</v>
      </c>
      <c r="AM270" s="21" t="s">
        <v>844</v>
      </c>
      <c r="AN270" s="21" t="s">
        <v>848</v>
      </c>
      <c r="AO270" s="21" t="s">
        <v>2823</v>
      </c>
      <c r="AP270" s="21" t="str">
        <f>IF(AO270="Pending","Not yet invoiced",IF(AI270=AD270,"Matched","Invoiced on received qty ("&amp;AI270&amp;" of "&amp;AD270&amp;")"))</f>
        <v>Matched</v>
      </c>
      <c r="AQ270" s="21" t="s">
        <v>2824</v>
      </c>
    </row>
    <row r="271" spans="1:43" x14ac:dyDescent="0.3">
      <c r="A271" s="21" t="s">
        <v>2825</v>
      </c>
      <c r="B271" s="35">
        <v>46207.291666666664</v>
      </c>
      <c r="C271" s="21" t="s">
        <v>1909</v>
      </c>
      <c r="D271" s="21" t="s">
        <v>2826</v>
      </c>
      <c r="E271" s="21" t="s">
        <v>1927</v>
      </c>
      <c r="F271" s="21" t="s">
        <v>768</v>
      </c>
      <c r="G271" s="35">
        <v>46207.564375000002</v>
      </c>
      <c r="H271" s="21" t="s">
        <v>1912</v>
      </c>
      <c r="I271" s="21" t="s">
        <v>1913</v>
      </c>
      <c r="J271" s="21" t="s">
        <v>1914</v>
      </c>
      <c r="K271" s="21" t="s">
        <v>1800</v>
      </c>
      <c r="L271" s="21" t="s">
        <v>1073</v>
      </c>
      <c r="M271" s="21" t="s">
        <v>1801</v>
      </c>
      <c r="N271" s="21" t="s">
        <v>1928</v>
      </c>
      <c r="O271" s="21" t="s">
        <v>1929</v>
      </c>
      <c r="P271" s="21" t="s">
        <v>1930</v>
      </c>
      <c r="Q271" s="21" t="s">
        <v>1278</v>
      </c>
      <c r="R271" s="21" t="s">
        <v>1280</v>
      </c>
      <c r="S271" s="21" t="s">
        <v>1247</v>
      </c>
      <c r="T271" s="21" t="s">
        <v>1917</v>
      </c>
      <c r="U271" s="21" t="s">
        <v>1766</v>
      </c>
      <c r="V271" s="21" t="str">
        <f>_xlfn.XLOOKUP(U271,'T07'!$D$3:$D$1500,'T07'!$BI$3:$BI$1500)&amp;" / "&amp;_xlfn.XLOOKUP(U271,'T07'!$D$3:$D$1500,'T07'!$BJ$3:$BJ$1500)</f>
        <v>LHR-LTV-2019-66685 / LTV</v>
      </c>
      <c r="W271" s="21" t="s">
        <v>1917</v>
      </c>
      <c r="X271" s="21" t="s">
        <v>1768</v>
      </c>
      <c r="Y271" s="21" t="s">
        <v>2018</v>
      </c>
      <c r="Z271" s="21">
        <v>1</v>
      </c>
      <c r="AA271" s="21" t="s">
        <v>1840</v>
      </c>
      <c r="AB271" s="21" t="s">
        <v>1841</v>
      </c>
      <c r="AC271" s="25">
        <v>2500</v>
      </c>
      <c r="AD271" s="25">
        <v>200</v>
      </c>
      <c r="AE271" s="21" t="s">
        <v>2827</v>
      </c>
      <c r="AF271" s="21" t="s">
        <v>2828</v>
      </c>
      <c r="AG271" s="35">
        <v>46207.584374999999</v>
      </c>
      <c r="AH271" s="21" t="s">
        <v>1934</v>
      </c>
      <c r="AI271" s="25">
        <v>200</v>
      </c>
      <c r="AJ271" s="21" t="s">
        <v>1074</v>
      </c>
      <c r="AK271" s="21" t="s">
        <v>1922</v>
      </c>
      <c r="AL271" s="21" t="str">
        <f>IF(AD271-AI271&gt;0,(AD271-AI271)&amp;" bags - damaged in transit","None")</f>
        <v>None</v>
      </c>
      <c r="AM271" s="21" t="s">
        <v>844</v>
      </c>
      <c r="AN271" s="21" t="s">
        <v>848</v>
      </c>
      <c r="AO271" s="21" t="s">
        <v>2829</v>
      </c>
      <c r="AP271" s="21" t="str">
        <f>IF(AO271="Pending","Not yet invoiced",IF(AI271=AD271,"Matched","Invoiced on received qty ("&amp;AI271&amp;" of "&amp;AD271&amp;")"))</f>
        <v>Matched</v>
      </c>
      <c r="AQ271" s="21" t="s">
        <v>2824</v>
      </c>
    </row>
    <row r="272" spans="1:43" x14ac:dyDescent="0.3">
      <c r="A272" s="21" t="s">
        <v>2830</v>
      </c>
      <c r="B272" s="35">
        <v>46208.291666666664</v>
      </c>
      <c r="C272" s="21" t="s">
        <v>1909</v>
      </c>
      <c r="D272" s="21" t="s">
        <v>2820</v>
      </c>
      <c r="E272" s="21" t="s">
        <v>2056</v>
      </c>
      <c r="F272" s="21" t="s">
        <v>768</v>
      </c>
      <c r="G272" s="35">
        <v>46208.42895833333</v>
      </c>
      <c r="H272" s="21" t="s">
        <v>1912</v>
      </c>
      <c r="I272" s="21" t="s">
        <v>1913</v>
      </c>
      <c r="J272" s="21" t="s">
        <v>1914</v>
      </c>
      <c r="K272" s="21" t="s">
        <v>1844</v>
      </c>
      <c r="L272" s="21" t="s">
        <v>1065</v>
      </c>
      <c r="M272" s="21" t="s">
        <v>1845</v>
      </c>
      <c r="N272" s="21" t="s">
        <v>2064</v>
      </c>
      <c r="O272" s="21" t="s">
        <v>2065</v>
      </c>
      <c r="P272" s="21" t="s">
        <v>1930</v>
      </c>
      <c r="Q272" s="21" t="s">
        <v>1213</v>
      </c>
      <c r="R272" s="21" t="s">
        <v>1244</v>
      </c>
      <c r="S272" s="21" t="s">
        <v>1247</v>
      </c>
      <c r="T272" s="21" t="s">
        <v>1917</v>
      </c>
      <c r="U272" s="21" t="s">
        <v>1766</v>
      </c>
      <c r="V272" s="21" t="str">
        <f>_xlfn.XLOOKUP(U272,'T07'!$D$3:$D$1500,'T07'!$BI$3:$BI$1500)&amp;" / "&amp;_xlfn.XLOOKUP(U272,'T07'!$D$3:$D$1500,'T07'!$BJ$3:$BJ$1500)</f>
        <v>LHR-LTV-2019-66685 / LTV</v>
      </c>
      <c r="W272" s="21" t="s">
        <v>1917</v>
      </c>
      <c r="X272" s="21" t="s">
        <v>1768</v>
      </c>
      <c r="Y272" s="21" t="s">
        <v>2097</v>
      </c>
      <c r="Z272" s="21">
        <v>1</v>
      </c>
      <c r="AA272" s="21" t="s">
        <v>1840</v>
      </c>
      <c r="AB272" s="21" t="s">
        <v>1841</v>
      </c>
      <c r="AC272" s="25">
        <v>5000</v>
      </c>
      <c r="AD272" s="25">
        <v>200</v>
      </c>
      <c r="AE272" s="21" t="s">
        <v>2831</v>
      </c>
      <c r="AF272" s="21" t="s">
        <v>2832</v>
      </c>
      <c r="AG272" s="35">
        <v>46208.448958333327</v>
      </c>
      <c r="AH272" s="21" t="s">
        <v>1934</v>
      </c>
      <c r="AI272" s="25">
        <v>200</v>
      </c>
      <c r="AJ272" s="21" t="s">
        <v>1067</v>
      </c>
      <c r="AK272" s="21" t="s">
        <v>1922</v>
      </c>
      <c r="AL272" s="21" t="str">
        <f>IF(AD272-AI272&gt;0,(AD272-AI272)&amp;" bags - damaged in transit","None")</f>
        <v>None</v>
      </c>
      <c r="AM272" s="21" t="s">
        <v>844</v>
      </c>
      <c r="AN272" s="21" t="s">
        <v>848</v>
      </c>
      <c r="AO272" s="21" t="s">
        <v>2823</v>
      </c>
      <c r="AP272" s="21" t="str">
        <f>IF(AO272="Pending","Not yet invoiced",IF(AI272=AD272,"Matched","Invoiced on received qty ("&amp;AI272&amp;" of "&amp;AD272&amp;")"))</f>
        <v>Matched</v>
      </c>
      <c r="AQ272" s="21" t="s">
        <v>2833</v>
      </c>
    </row>
    <row r="273" spans="1:43" x14ac:dyDescent="0.3">
      <c r="A273" s="21" t="s">
        <v>2834</v>
      </c>
      <c r="B273" s="35">
        <v>46211.291666666664</v>
      </c>
      <c r="C273" s="21" t="s">
        <v>1909</v>
      </c>
      <c r="D273" s="21" t="s">
        <v>2826</v>
      </c>
      <c r="E273" s="21" t="s">
        <v>1911</v>
      </c>
      <c r="F273" s="21" t="s">
        <v>768</v>
      </c>
      <c r="G273" s="35">
        <v>46211.564375000002</v>
      </c>
      <c r="H273" s="21" t="s">
        <v>1912</v>
      </c>
      <c r="I273" s="21" t="s">
        <v>1913</v>
      </c>
      <c r="J273" s="21" t="s">
        <v>1914</v>
      </c>
      <c r="K273" s="21" t="s">
        <v>1800</v>
      </c>
      <c r="L273" s="21" t="s">
        <v>1073</v>
      </c>
      <c r="M273" s="21" t="s">
        <v>1801</v>
      </c>
      <c r="N273" s="21" t="s">
        <v>1928</v>
      </c>
      <c r="O273" s="21" t="s">
        <v>1929</v>
      </c>
      <c r="P273" s="21" t="s">
        <v>1930</v>
      </c>
      <c r="Q273" s="21" t="s">
        <v>1278</v>
      </c>
      <c r="R273" s="21" t="s">
        <v>1287</v>
      </c>
      <c r="S273" s="21" t="s">
        <v>1104</v>
      </c>
      <c r="T273" s="21" t="s">
        <v>1917</v>
      </c>
      <c r="U273" s="21" t="s">
        <v>1677</v>
      </c>
      <c r="V273" s="21" t="str">
        <f>_xlfn.XLOOKUP(U273,'T07'!$D$3:$D$1500,'T07'!$BI$3:$BI$1500)&amp;" / "&amp;_xlfn.XLOOKUP(U273,'T07'!$D$3:$D$1500,'T07'!$BJ$3:$BJ$1500)</f>
        <v>LHR-HTV-2010-55907 / HTV</v>
      </c>
      <c r="W273" s="21" t="s">
        <v>1917</v>
      </c>
      <c r="X273" s="21" t="s">
        <v>1679</v>
      </c>
      <c r="Y273" s="21" t="s">
        <v>2130</v>
      </c>
      <c r="Z273" s="21">
        <v>1</v>
      </c>
      <c r="AA273" s="21" t="s">
        <v>1808</v>
      </c>
      <c r="AB273" s="21" t="s">
        <v>1804</v>
      </c>
      <c r="AC273" s="25">
        <v>1500</v>
      </c>
      <c r="AD273" s="25">
        <v>500</v>
      </c>
      <c r="AE273" s="21" t="s">
        <v>2835</v>
      </c>
      <c r="AF273" s="21" t="s">
        <v>2836</v>
      </c>
      <c r="AG273" s="35">
        <v>46211.584374999999</v>
      </c>
      <c r="AH273" s="21" t="s">
        <v>1934</v>
      </c>
      <c r="AI273" s="25">
        <v>500</v>
      </c>
      <c r="AJ273" s="21" t="s">
        <v>1074</v>
      </c>
      <c r="AK273" s="21" t="s">
        <v>1922</v>
      </c>
      <c r="AL273" s="21" t="str">
        <f>IF(AD273-AI273&gt;0,(AD273-AI273)&amp;" bags - damaged in transit","None")</f>
        <v>None</v>
      </c>
      <c r="AM273" s="21" t="s">
        <v>844</v>
      </c>
      <c r="AN273" s="21" t="s">
        <v>848</v>
      </c>
      <c r="AO273" s="21" t="s">
        <v>2829</v>
      </c>
      <c r="AP273" s="21" t="str">
        <f>IF(AO273="Pending","Not yet invoiced",IF(AI273=AD273,"Matched","Invoiced on received qty ("&amp;AI273&amp;" of "&amp;AD273&amp;")"))</f>
        <v>Matched</v>
      </c>
      <c r="AQ273" s="21" t="s">
        <v>2824</v>
      </c>
    </row>
    <row r="274" spans="1:43" x14ac:dyDescent="0.3">
      <c r="A274" s="21" t="s">
        <v>2834</v>
      </c>
      <c r="B274" s="35">
        <v>46211.291666666664</v>
      </c>
      <c r="C274" s="21" t="s">
        <v>1909</v>
      </c>
      <c r="D274" s="21" t="s">
        <v>2826</v>
      </c>
      <c r="E274" s="21" t="s">
        <v>2056</v>
      </c>
      <c r="F274" s="21" t="s">
        <v>768</v>
      </c>
      <c r="G274" s="35">
        <v>46211.564375000002</v>
      </c>
      <c r="H274" s="21" t="s">
        <v>1912</v>
      </c>
      <c r="I274" s="21" t="s">
        <v>1913</v>
      </c>
      <c r="J274" s="21" t="s">
        <v>1914</v>
      </c>
      <c r="K274" s="21" t="s">
        <v>1800</v>
      </c>
      <c r="L274" s="21" t="s">
        <v>1073</v>
      </c>
      <c r="M274" s="21" t="s">
        <v>1801</v>
      </c>
      <c r="N274" s="21" t="s">
        <v>1928</v>
      </c>
      <c r="O274" s="21" t="s">
        <v>1929</v>
      </c>
      <c r="P274" s="21" t="s">
        <v>1930</v>
      </c>
      <c r="Q274" s="21" t="s">
        <v>1278</v>
      </c>
      <c r="R274" s="21" t="s">
        <v>1287</v>
      </c>
      <c r="S274" s="21" t="s">
        <v>1104</v>
      </c>
      <c r="T274" s="21" t="s">
        <v>1917</v>
      </c>
      <c r="U274" s="21" t="s">
        <v>1677</v>
      </c>
      <c r="V274" s="21" t="str">
        <f>_xlfn.XLOOKUP(U274,'T07'!$D$3:$D$1500,'T07'!$BI$3:$BI$1500)&amp;" / "&amp;_xlfn.XLOOKUP(U274,'T07'!$D$3:$D$1500,'T07'!$BJ$3:$BJ$1500)</f>
        <v>LHR-HTV-2010-55907 / HTV</v>
      </c>
      <c r="W274" s="21" t="s">
        <v>1917</v>
      </c>
      <c r="X274" s="21" t="s">
        <v>1679</v>
      </c>
      <c r="Y274" s="21" t="s">
        <v>2130</v>
      </c>
      <c r="Z274" s="21">
        <v>2</v>
      </c>
      <c r="AA274" s="21" t="s">
        <v>1840</v>
      </c>
      <c r="AB274" s="21" t="s">
        <v>1841</v>
      </c>
      <c r="AC274" s="25">
        <v>2300</v>
      </c>
      <c r="AD274" s="25">
        <v>500</v>
      </c>
      <c r="AE274" s="21" t="s">
        <v>2837</v>
      </c>
      <c r="AF274" s="21" t="s">
        <v>2836</v>
      </c>
      <c r="AG274" s="35">
        <v>46211.584374999999</v>
      </c>
      <c r="AH274" s="21" t="s">
        <v>1934</v>
      </c>
      <c r="AI274" s="25">
        <v>500</v>
      </c>
      <c r="AJ274" s="21" t="s">
        <v>1074</v>
      </c>
      <c r="AK274" s="21" t="s">
        <v>1922</v>
      </c>
      <c r="AL274" s="21" t="str">
        <f>IF(AD274-AI274&gt;0,(AD274-AI274)&amp;" bags - damaged in transit","None")</f>
        <v>None</v>
      </c>
      <c r="AM274" s="21" t="s">
        <v>844</v>
      </c>
      <c r="AN274" s="21" t="s">
        <v>848</v>
      </c>
      <c r="AO274" s="21" t="s">
        <v>2829</v>
      </c>
      <c r="AP274" s="21" t="str">
        <f>IF(AO274="Pending","Not yet invoiced",IF(AI274=AD274,"Matched","Invoiced on received qty ("&amp;AI274&amp;" of "&amp;AD274&amp;")"))</f>
        <v>Matched</v>
      </c>
      <c r="AQ274" s="21" t="s">
        <v>2824</v>
      </c>
    </row>
    <row r="275" spans="1:43" x14ac:dyDescent="0.3">
      <c r="A275" s="21" t="s">
        <v>2838</v>
      </c>
      <c r="B275" s="35">
        <v>46213.291666666664</v>
      </c>
      <c r="C275" s="21" t="s">
        <v>1909</v>
      </c>
      <c r="D275" s="21" t="s">
        <v>2820</v>
      </c>
      <c r="E275" s="21" t="s">
        <v>1927</v>
      </c>
      <c r="F275" s="21" t="s">
        <v>768</v>
      </c>
      <c r="G275" s="35">
        <v>46213.42895833333</v>
      </c>
      <c r="H275" s="21" t="s">
        <v>1912</v>
      </c>
      <c r="I275" s="21" t="s">
        <v>1913</v>
      </c>
      <c r="J275" s="21" t="s">
        <v>1914</v>
      </c>
      <c r="K275" s="21" t="s">
        <v>1844</v>
      </c>
      <c r="L275" s="21" t="s">
        <v>1065</v>
      </c>
      <c r="M275" s="21" t="s">
        <v>1845</v>
      </c>
      <c r="N275" s="21" t="s">
        <v>2064</v>
      </c>
      <c r="O275" s="21" t="s">
        <v>2065</v>
      </c>
      <c r="P275" s="21" t="s">
        <v>1930</v>
      </c>
      <c r="Q275" s="21" t="s">
        <v>1278</v>
      </c>
      <c r="R275" s="21" t="s">
        <v>1287</v>
      </c>
      <c r="S275" s="21" t="s">
        <v>1104</v>
      </c>
      <c r="T275" s="21" t="s">
        <v>1917</v>
      </c>
      <c r="U275" s="21" t="s">
        <v>1711</v>
      </c>
      <c r="V275" s="21" t="str">
        <f>_xlfn.XLOOKUP(U275,'T07'!$D$3:$D$1500,'T07'!$BI$3:$BI$1500)&amp;" / "&amp;_xlfn.XLOOKUP(U275,'T07'!$D$3:$D$1500,'T07'!$BJ$3:$BJ$1500)</f>
        <v>LHR-HTV-2008-42260 / HTV</v>
      </c>
      <c r="W275" s="21" t="s">
        <v>1917</v>
      </c>
      <c r="X275" s="21" t="s">
        <v>1713</v>
      </c>
      <c r="Y275" s="21" t="s">
        <v>2130</v>
      </c>
      <c r="Z275" s="21">
        <v>1</v>
      </c>
      <c r="AA275" s="21" t="s">
        <v>1840</v>
      </c>
      <c r="AB275" s="21" t="s">
        <v>1841</v>
      </c>
      <c r="AC275" s="25">
        <v>4800</v>
      </c>
      <c r="AD275" s="25">
        <v>1000</v>
      </c>
      <c r="AE275" s="21" t="s">
        <v>2839</v>
      </c>
      <c r="AF275" s="21" t="s">
        <v>2840</v>
      </c>
      <c r="AG275" s="35">
        <v>46213.448958333327</v>
      </c>
      <c r="AH275" s="21" t="s">
        <v>1983</v>
      </c>
      <c r="AI275" s="25">
        <v>1000</v>
      </c>
      <c r="AJ275" s="21" t="s">
        <v>1067</v>
      </c>
      <c r="AK275" s="21" t="s">
        <v>1922</v>
      </c>
      <c r="AL275" s="21" t="str">
        <f>IF(AD275-AI275&gt;0,(AD275-AI275)&amp;" bags - damaged in transit","None")</f>
        <v>None</v>
      </c>
      <c r="AM275" s="21" t="s">
        <v>844</v>
      </c>
      <c r="AN275" s="21" t="s">
        <v>848</v>
      </c>
      <c r="AO275" s="21" t="s">
        <v>2823</v>
      </c>
      <c r="AP275" s="21" t="str">
        <f>IF(AO275="Pending","Not yet invoiced",IF(AI275=AD275,"Matched","Invoiced on received qty ("&amp;AI275&amp;" of "&amp;AD275&amp;")"))</f>
        <v>Matched</v>
      </c>
      <c r="AQ275" s="21" t="s">
        <v>2824</v>
      </c>
    </row>
    <row r="276" spans="1:43" x14ac:dyDescent="0.3">
      <c r="A276" s="21" t="s">
        <v>2841</v>
      </c>
      <c r="B276" s="35">
        <v>46214.625</v>
      </c>
      <c r="C276" s="21" t="s">
        <v>1909</v>
      </c>
      <c r="D276" s="21" t="s">
        <v>2826</v>
      </c>
      <c r="E276" s="21" t="s">
        <v>1927</v>
      </c>
      <c r="F276" s="21" t="s">
        <v>768</v>
      </c>
      <c r="G276" s="35">
        <v>46214.897708333338</v>
      </c>
      <c r="H276" s="21" t="s">
        <v>1912</v>
      </c>
      <c r="I276" s="21" t="s">
        <v>1913</v>
      </c>
      <c r="J276" s="21" t="s">
        <v>1914</v>
      </c>
      <c r="K276" s="21" t="s">
        <v>1800</v>
      </c>
      <c r="L276" s="21" t="s">
        <v>1073</v>
      </c>
      <c r="M276" s="21" t="s">
        <v>1801</v>
      </c>
      <c r="N276" s="21" t="s">
        <v>1928</v>
      </c>
      <c r="O276" s="21" t="s">
        <v>1929</v>
      </c>
      <c r="P276" s="21" t="s">
        <v>1930</v>
      </c>
      <c r="Q276" s="21" t="s">
        <v>1213</v>
      </c>
      <c r="R276" s="21" t="s">
        <v>1236</v>
      </c>
      <c r="S276" s="21" t="s">
        <v>1127</v>
      </c>
      <c r="T276" s="21" t="s">
        <v>1917</v>
      </c>
      <c r="U276" s="21" t="s">
        <v>1677</v>
      </c>
      <c r="V276" s="21" t="str">
        <f>_xlfn.XLOOKUP(U276,'T07'!$D$3:$D$1500,'T07'!$BI$3:$BI$1500)&amp;" / "&amp;_xlfn.XLOOKUP(U276,'T07'!$D$3:$D$1500,'T07'!$BJ$3:$BJ$1500)</f>
        <v>LHR-HTV-2010-55907 / HTV</v>
      </c>
      <c r="W276" s="21" t="s">
        <v>1917</v>
      </c>
      <c r="X276" s="21" t="s">
        <v>1679</v>
      </c>
      <c r="Y276" s="21" t="s">
        <v>2000</v>
      </c>
      <c r="Z276" s="21">
        <v>1</v>
      </c>
      <c r="AA276" s="21" t="s">
        <v>1840</v>
      </c>
      <c r="AB276" s="21" t="s">
        <v>1841</v>
      </c>
      <c r="AC276" s="25">
        <v>1800</v>
      </c>
      <c r="AD276" s="25">
        <v>500</v>
      </c>
      <c r="AE276" s="21" t="s">
        <v>2842</v>
      </c>
      <c r="AF276" s="21" t="s">
        <v>2843</v>
      </c>
      <c r="AG276" s="35">
        <v>46214.917708333334</v>
      </c>
      <c r="AH276" s="21" t="s">
        <v>1934</v>
      </c>
      <c r="AI276" s="25">
        <v>500</v>
      </c>
      <c r="AJ276" s="21" t="s">
        <v>1074</v>
      </c>
      <c r="AK276" s="21" t="s">
        <v>1922</v>
      </c>
      <c r="AL276" s="21" t="str">
        <f>IF(AD276-AI276&gt;0,(AD276-AI276)&amp;" bags - damaged in transit","None")</f>
        <v>None</v>
      </c>
      <c r="AM276" s="21" t="s">
        <v>844</v>
      </c>
      <c r="AN276" s="21" t="s">
        <v>848</v>
      </c>
      <c r="AO276" s="21" t="s">
        <v>2829</v>
      </c>
      <c r="AP276" s="21" t="str">
        <f>IF(AO276="Pending","Not yet invoiced",IF(AI276=AD276,"Matched","Invoiced on received qty ("&amp;AI276&amp;" of "&amp;AD276&amp;")"))</f>
        <v>Matched</v>
      </c>
      <c r="AQ276" s="21" t="s">
        <v>2833</v>
      </c>
    </row>
    <row r="277" spans="1:43" x14ac:dyDescent="0.3">
      <c r="A277" s="21" t="s">
        <v>2844</v>
      </c>
      <c r="B277" s="35">
        <v>46215.583333333336</v>
      </c>
      <c r="C277" s="21" t="s">
        <v>1909</v>
      </c>
      <c r="D277" s="21" t="s">
        <v>2820</v>
      </c>
      <c r="E277" s="21" t="s">
        <v>2056</v>
      </c>
      <c r="F277" s="21" t="s">
        <v>768</v>
      </c>
      <c r="G277" s="35">
        <v>46215.720625000002</v>
      </c>
      <c r="H277" s="21" t="s">
        <v>1912</v>
      </c>
      <c r="I277" s="21" t="s">
        <v>1913</v>
      </c>
      <c r="J277" s="21" t="s">
        <v>1914</v>
      </c>
      <c r="K277" s="21" t="s">
        <v>1844</v>
      </c>
      <c r="L277" s="21" t="s">
        <v>1065</v>
      </c>
      <c r="M277" s="21" t="s">
        <v>1845</v>
      </c>
      <c r="N277" s="21" t="s">
        <v>2064</v>
      </c>
      <c r="O277" s="21" t="s">
        <v>2065</v>
      </c>
      <c r="P277" s="21" t="s">
        <v>1930</v>
      </c>
      <c r="Q277" s="21" t="s">
        <v>1278</v>
      </c>
      <c r="R277" s="21" t="s">
        <v>1317</v>
      </c>
      <c r="S277" s="21" t="s">
        <v>1104</v>
      </c>
      <c r="T277" s="21" t="s">
        <v>1917</v>
      </c>
      <c r="U277" s="21" t="s">
        <v>1782</v>
      </c>
      <c r="V277" s="21" t="str">
        <f>_xlfn.XLOOKUP(U277,'T07'!$D$3:$D$1500,'T07'!$BI$3:$BI$1500)&amp;" / "&amp;_xlfn.XLOOKUP(U277,'T07'!$D$3:$D$1500,'T07'!$BJ$3:$BJ$1500)</f>
        <v>LHR-HTV-2014-51184 / HTV</v>
      </c>
      <c r="W277" s="21" t="s">
        <v>1917</v>
      </c>
      <c r="X277" s="21" t="s">
        <v>1785</v>
      </c>
      <c r="Y277" s="21" t="s">
        <v>1942</v>
      </c>
      <c r="Z277" s="21">
        <v>1</v>
      </c>
      <c r="AA277" s="21" t="s">
        <v>1840</v>
      </c>
      <c r="AB277" s="21" t="s">
        <v>1841</v>
      </c>
      <c r="AC277" s="25">
        <v>3800</v>
      </c>
      <c r="AD277" s="25">
        <v>1000</v>
      </c>
      <c r="AE277" s="21" t="s">
        <v>2845</v>
      </c>
      <c r="AF277" s="21" t="s">
        <v>2846</v>
      </c>
      <c r="AG277" s="35">
        <v>46215.740624999999</v>
      </c>
      <c r="AH277" s="21" t="s">
        <v>1983</v>
      </c>
      <c r="AI277" s="25">
        <v>1000</v>
      </c>
      <c r="AJ277" s="21" t="s">
        <v>1067</v>
      </c>
      <c r="AK277" s="21" t="s">
        <v>1922</v>
      </c>
      <c r="AL277" s="21" t="str">
        <f>IF(AD277-AI277&gt;0,(AD277-AI277)&amp;" bags - damaged in transit","None")</f>
        <v>None</v>
      </c>
      <c r="AM277" s="21" t="s">
        <v>844</v>
      </c>
      <c r="AN277" s="21" t="s">
        <v>848</v>
      </c>
      <c r="AO277" s="21" t="s">
        <v>2823</v>
      </c>
      <c r="AP277" s="21" t="str">
        <f>IF(AO277="Pending","Not yet invoiced",IF(AI277=AD277,"Matched","Invoiced on received qty ("&amp;AI277&amp;" of "&amp;AD277&amp;")"))</f>
        <v>Matched</v>
      </c>
      <c r="AQ277" s="21" t="s">
        <v>2824</v>
      </c>
    </row>
    <row r="278" spans="1:43" x14ac:dyDescent="0.3">
      <c r="A278" s="21" t="s">
        <v>2847</v>
      </c>
      <c r="B278" s="35">
        <v>46219.666666666664</v>
      </c>
      <c r="C278" s="21" t="s">
        <v>1909</v>
      </c>
      <c r="D278" s="21" t="s">
        <v>2820</v>
      </c>
      <c r="E278" s="21" t="s">
        <v>2056</v>
      </c>
      <c r="F278" s="21" t="s">
        <v>768</v>
      </c>
      <c r="G278" s="35">
        <v>46219.80395833333</v>
      </c>
      <c r="H278" s="21" t="s">
        <v>1912</v>
      </c>
      <c r="I278" s="21" t="s">
        <v>1913</v>
      </c>
      <c r="J278" s="21" t="s">
        <v>1914</v>
      </c>
      <c r="K278" s="21" t="s">
        <v>1844</v>
      </c>
      <c r="L278" s="21" t="s">
        <v>1065</v>
      </c>
      <c r="M278" s="21" t="s">
        <v>1845</v>
      </c>
      <c r="N278" s="21" t="s">
        <v>2064</v>
      </c>
      <c r="O278" s="21" t="s">
        <v>2065</v>
      </c>
      <c r="P278" s="21" t="s">
        <v>1930</v>
      </c>
      <c r="Q278" s="21" t="s">
        <v>1213</v>
      </c>
      <c r="R278" s="21" t="s">
        <v>1271</v>
      </c>
      <c r="S278" s="21" t="s">
        <v>1127</v>
      </c>
      <c r="T278" s="21" t="s">
        <v>1917</v>
      </c>
      <c r="U278" s="21" t="s">
        <v>1724</v>
      </c>
      <c r="V278" s="21" t="str">
        <f>_xlfn.XLOOKUP(U278,'T07'!$D$3:$D$1500,'T07'!$BI$3:$BI$1500)&amp;" / "&amp;_xlfn.XLOOKUP(U278,'T07'!$D$3:$D$1500,'T07'!$BJ$3:$BJ$1500)</f>
        <v>LHR-HTV-2008-90487 / HTV</v>
      </c>
      <c r="W278" s="21" t="s">
        <v>1917</v>
      </c>
      <c r="X278" s="21" t="s">
        <v>1726</v>
      </c>
      <c r="Y278" s="21" t="s">
        <v>2022</v>
      </c>
      <c r="Z278" s="21">
        <v>1</v>
      </c>
      <c r="AA278" s="21" t="s">
        <v>1840</v>
      </c>
      <c r="AB278" s="21" t="s">
        <v>1841</v>
      </c>
      <c r="AC278" s="25">
        <v>2800</v>
      </c>
      <c r="AD278" s="25">
        <v>500</v>
      </c>
      <c r="AE278" s="21" t="s">
        <v>2848</v>
      </c>
      <c r="AF278" s="21" t="s">
        <v>2849</v>
      </c>
      <c r="AG278" s="35">
        <v>46219.823958333327</v>
      </c>
      <c r="AH278" s="21" t="s">
        <v>1934</v>
      </c>
      <c r="AI278" s="25">
        <v>500</v>
      </c>
      <c r="AJ278" s="21" t="s">
        <v>1067</v>
      </c>
      <c r="AK278" s="21" t="s">
        <v>1922</v>
      </c>
      <c r="AL278" s="21" t="str">
        <f>IF(AD278-AI278&gt;0,(AD278-AI278)&amp;" bags - damaged in transit","None")</f>
        <v>None</v>
      </c>
      <c r="AM278" s="21" t="s">
        <v>844</v>
      </c>
      <c r="AN278" s="21" t="s">
        <v>848</v>
      </c>
      <c r="AO278" s="21" t="s">
        <v>2823</v>
      </c>
      <c r="AP278" s="21" t="str">
        <f>IF(AO278="Pending","Not yet invoiced",IF(AI278=AD278,"Matched","Invoiced on received qty ("&amp;AI278&amp;" of "&amp;AD278&amp;")"))</f>
        <v>Matched</v>
      </c>
      <c r="AQ278" s="21" t="s">
        <v>2833</v>
      </c>
    </row>
    <row r="279" spans="1:43" x14ac:dyDescent="0.3">
      <c r="A279" s="21" t="s">
        <v>2850</v>
      </c>
      <c r="B279" s="35">
        <v>46220.666666666664</v>
      </c>
      <c r="C279" s="21" t="s">
        <v>1909</v>
      </c>
      <c r="D279" s="21" t="s">
        <v>2826</v>
      </c>
      <c r="E279" s="21" t="s">
        <v>1927</v>
      </c>
      <c r="F279" s="21" t="s">
        <v>768</v>
      </c>
      <c r="G279" s="35">
        <v>46220.939375000002</v>
      </c>
      <c r="H279" s="21" t="s">
        <v>1912</v>
      </c>
      <c r="I279" s="21" t="s">
        <v>1913</v>
      </c>
      <c r="J279" s="21" t="s">
        <v>1914</v>
      </c>
      <c r="K279" s="21" t="s">
        <v>1800</v>
      </c>
      <c r="L279" s="21" t="s">
        <v>1073</v>
      </c>
      <c r="M279" s="21" t="s">
        <v>1801</v>
      </c>
      <c r="N279" s="21" t="s">
        <v>1928</v>
      </c>
      <c r="O279" s="21" t="s">
        <v>1929</v>
      </c>
      <c r="P279" s="21" t="s">
        <v>1930</v>
      </c>
      <c r="Q279" s="21" t="s">
        <v>1213</v>
      </c>
      <c r="R279" s="21" t="s">
        <v>1271</v>
      </c>
      <c r="S279" s="21" t="s">
        <v>1127</v>
      </c>
      <c r="T279" s="21" t="s">
        <v>1917</v>
      </c>
      <c r="U279" s="21" t="s">
        <v>1739</v>
      </c>
      <c r="V279" s="21" t="str">
        <f>_xlfn.XLOOKUP(U279,'T07'!$D$3:$D$1500,'T07'!$BI$3:$BI$1500)&amp;" / "&amp;_xlfn.XLOOKUP(U279,'T07'!$D$3:$D$1500,'T07'!$BJ$3:$BJ$1500)</f>
        <v>LHR-HTV-2020-13470 / HTV</v>
      </c>
      <c r="W279" s="21" t="s">
        <v>1917</v>
      </c>
      <c r="X279" s="21" t="s">
        <v>1742</v>
      </c>
      <c r="Y279" s="21" t="s">
        <v>2022</v>
      </c>
      <c r="Z279" s="21">
        <v>1</v>
      </c>
      <c r="AA279" s="21" t="s">
        <v>1808</v>
      </c>
      <c r="AB279" s="21" t="s">
        <v>1804</v>
      </c>
      <c r="AC279" s="25">
        <v>1000</v>
      </c>
      <c r="AD279" s="25">
        <v>250</v>
      </c>
      <c r="AE279" s="21" t="s">
        <v>2851</v>
      </c>
      <c r="AF279" s="21" t="s">
        <v>2852</v>
      </c>
      <c r="AG279" s="35">
        <v>46220.959374999999</v>
      </c>
      <c r="AH279" s="21" t="s">
        <v>1934</v>
      </c>
      <c r="AI279" s="25">
        <v>250</v>
      </c>
      <c r="AJ279" s="21" t="s">
        <v>1074</v>
      </c>
      <c r="AK279" s="21" t="s">
        <v>1922</v>
      </c>
      <c r="AL279" s="21" t="str">
        <f>IF(AD279-AI279&gt;0,(AD279-AI279)&amp;" bags - damaged in transit","None")</f>
        <v>None</v>
      </c>
      <c r="AM279" s="21" t="s">
        <v>844</v>
      </c>
      <c r="AN279" s="21" t="s">
        <v>848</v>
      </c>
      <c r="AO279" s="21" t="s">
        <v>2829</v>
      </c>
      <c r="AP279" s="21" t="str">
        <f>IF(AO279="Pending","Not yet invoiced",IF(AI279=AD279,"Matched","Invoiced on received qty ("&amp;AI279&amp;" of "&amp;AD279&amp;")"))</f>
        <v>Matched</v>
      </c>
      <c r="AQ279" s="21" t="s">
        <v>2833</v>
      </c>
    </row>
    <row r="280" spans="1:43" x14ac:dyDescent="0.3">
      <c r="A280" s="21" t="s">
        <v>2850</v>
      </c>
      <c r="B280" s="35">
        <v>46220.666666666664</v>
      </c>
      <c r="C280" s="21" t="s">
        <v>1909</v>
      </c>
      <c r="D280" s="21" t="s">
        <v>2826</v>
      </c>
      <c r="E280" s="21" t="s">
        <v>1927</v>
      </c>
      <c r="F280" s="21" t="s">
        <v>768</v>
      </c>
      <c r="G280" s="35">
        <v>46220.939375000002</v>
      </c>
      <c r="H280" s="21" t="s">
        <v>1912</v>
      </c>
      <c r="I280" s="21" t="s">
        <v>1913</v>
      </c>
      <c r="J280" s="21" t="s">
        <v>1914</v>
      </c>
      <c r="K280" s="21" t="s">
        <v>1800</v>
      </c>
      <c r="L280" s="21" t="s">
        <v>1073</v>
      </c>
      <c r="M280" s="21" t="s">
        <v>1801</v>
      </c>
      <c r="N280" s="21" t="s">
        <v>1928</v>
      </c>
      <c r="O280" s="21" t="s">
        <v>1929</v>
      </c>
      <c r="P280" s="21" t="s">
        <v>1930</v>
      </c>
      <c r="Q280" s="21" t="s">
        <v>1213</v>
      </c>
      <c r="R280" s="21" t="s">
        <v>1271</v>
      </c>
      <c r="S280" s="21" t="s">
        <v>1127</v>
      </c>
      <c r="T280" s="21" t="s">
        <v>1917</v>
      </c>
      <c r="U280" s="21" t="s">
        <v>1739</v>
      </c>
      <c r="V280" s="21" t="str">
        <f>_xlfn.XLOOKUP(U280,'T07'!$D$3:$D$1500,'T07'!$BI$3:$BI$1500)&amp;" / "&amp;_xlfn.XLOOKUP(U280,'T07'!$D$3:$D$1500,'T07'!$BJ$3:$BJ$1500)</f>
        <v>LHR-HTV-2020-13470 / HTV</v>
      </c>
      <c r="W280" s="21" t="s">
        <v>1917</v>
      </c>
      <c r="X280" s="21" t="s">
        <v>1742</v>
      </c>
      <c r="Y280" s="21" t="s">
        <v>2022</v>
      </c>
      <c r="Z280" s="21">
        <v>2</v>
      </c>
      <c r="AA280" s="21" t="s">
        <v>1840</v>
      </c>
      <c r="AB280" s="21" t="s">
        <v>1841</v>
      </c>
      <c r="AC280" s="25">
        <v>1300</v>
      </c>
      <c r="AD280" s="25">
        <v>250</v>
      </c>
      <c r="AE280" s="21" t="s">
        <v>2853</v>
      </c>
      <c r="AF280" s="21" t="s">
        <v>2852</v>
      </c>
      <c r="AG280" s="35">
        <v>46220.959374999999</v>
      </c>
      <c r="AH280" s="21" t="s">
        <v>1934</v>
      </c>
      <c r="AI280" s="25">
        <v>250</v>
      </c>
      <c r="AJ280" s="21" t="s">
        <v>1074</v>
      </c>
      <c r="AK280" s="21" t="s">
        <v>1922</v>
      </c>
      <c r="AL280" s="21" t="str">
        <f>IF(AD280-AI280&gt;0,(AD280-AI280)&amp;" bags - damaged in transit","None")</f>
        <v>None</v>
      </c>
      <c r="AM280" s="21" t="s">
        <v>844</v>
      </c>
      <c r="AN280" s="21" t="s">
        <v>848</v>
      </c>
      <c r="AO280" s="21" t="s">
        <v>2829</v>
      </c>
      <c r="AP280" s="21" t="str">
        <f>IF(AO280="Pending","Not yet invoiced",IF(AI280=AD280,"Matched","Invoiced on received qty ("&amp;AI280&amp;" of "&amp;AD280&amp;")"))</f>
        <v>Matched</v>
      </c>
      <c r="AQ280" s="21" t="s">
        <v>2833</v>
      </c>
    </row>
    <row r="281" spans="1:43" x14ac:dyDescent="0.3">
      <c r="A281" s="21" t="s">
        <v>2854</v>
      </c>
      <c r="B281" s="35">
        <v>46224.333333333336</v>
      </c>
      <c r="C281" s="21" t="s">
        <v>1909</v>
      </c>
      <c r="D281" s="21" t="s">
        <v>2826</v>
      </c>
      <c r="E281" s="21" t="s">
        <v>2056</v>
      </c>
      <c r="F281" s="21" t="s">
        <v>768</v>
      </c>
      <c r="G281" s="35">
        <v>46224.606041666673</v>
      </c>
      <c r="H281" s="21" t="s">
        <v>1912</v>
      </c>
      <c r="I281" s="21" t="s">
        <v>1913</v>
      </c>
      <c r="J281" s="21" t="s">
        <v>1914</v>
      </c>
      <c r="K281" s="21" t="s">
        <v>1800</v>
      </c>
      <c r="L281" s="21" t="s">
        <v>1073</v>
      </c>
      <c r="M281" s="21" t="s">
        <v>1801</v>
      </c>
      <c r="N281" s="21" t="s">
        <v>1928</v>
      </c>
      <c r="O281" s="21" t="s">
        <v>1929</v>
      </c>
      <c r="P281" s="21" t="s">
        <v>1930</v>
      </c>
      <c r="Q281" s="21" t="s">
        <v>1213</v>
      </c>
      <c r="R281" s="21" t="s">
        <v>1244</v>
      </c>
      <c r="S281" s="21" t="s">
        <v>1247</v>
      </c>
      <c r="T281" s="21" t="s">
        <v>1917</v>
      </c>
      <c r="U281" s="21" t="s">
        <v>1766</v>
      </c>
      <c r="V281" s="21" t="str">
        <f>_xlfn.XLOOKUP(U281,'T07'!$D$3:$D$1500,'T07'!$BI$3:$BI$1500)&amp;" / "&amp;_xlfn.XLOOKUP(U281,'T07'!$D$3:$D$1500,'T07'!$BJ$3:$BJ$1500)</f>
        <v>LHR-LTV-2019-66685 / LTV</v>
      </c>
      <c r="W281" s="21" t="s">
        <v>1917</v>
      </c>
      <c r="X281" s="21" t="s">
        <v>1768</v>
      </c>
      <c r="Y281" s="21" t="s">
        <v>2097</v>
      </c>
      <c r="Z281" s="21">
        <v>1</v>
      </c>
      <c r="AA281" s="21" t="s">
        <v>1840</v>
      </c>
      <c r="AB281" s="21" t="s">
        <v>1841</v>
      </c>
      <c r="AC281" s="25">
        <v>1050</v>
      </c>
      <c r="AD281" s="25">
        <v>100</v>
      </c>
      <c r="AE281" s="21" t="s">
        <v>2855</v>
      </c>
      <c r="AF281" s="21" t="s">
        <v>2856</v>
      </c>
      <c r="AG281" s="35">
        <v>46224.62604166667</v>
      </c>
      <c r="AH281" s="21" t="s">
        <v>1934</v>
      </c>
      <c r="AI281" s="25">
        <v>94</v>
      </c>
      <c r="AJ281" s="21" t="s">
        <v>1074</v>
      </c>
      <c r="AK281" s="21" t="s">
        <v>1922</v>
      </c>
      <c r="AL281" s="21" t="str">
        <f>IF(AD281-AI281&gt;0,(AD281-AI281)&amp;" bags - damaged in transit","None")</f>
        <v>6 bags - damaged in transit</v>
      </c>
      <c r="AM281" s="21" t="s">
        <v>2857</v>
      </c>
      <c r="AN281" s="21" t="s">
        <v>2858</v>
      </c>
      <c r="AO281" s="21" t="s">
        <v>2829</v>
      </c>
      <c r="AP281" s="21" t="str">
        <f>IF(AO281="Pending","Not yet invoiced",IF(AI281=AD281,"Matched","Invoiced on received qty ("&amp;AI281&amp;" of "&amp;AD281&amp;")"))</f>
        <v>Invoiced on received qty (94 of 100)</v>
      </c>
      <c r="AQ281" s="21" t="s">
        <v>2833</v>
      </c>
    </row>
    <row r="282" spans="1:43" x14ac:dyDescent="0.3">
      <c r="A282" s="21" t="s">
        <v>2854</v>
      </c>
      <c r="B282" s="35">
        <v>46224.333333333336</v>
      </c>
      <c r="C282" s="21" t="s">
        <v>1909</v>
      </c>
      <c r="D282" s="21" t="s">
        <v>2826</v>
      </c>
      <c r="E282" s="21" t="s">
        <v>1911</v>
      </c>
      <c r="F282" s="21" t="s">
        <v>768</v>
      </c>
      <c r="G282" s="35">
        <v>46224.606041666673</v>
      </c>
      <c r="H282" s="21" t="s">
        <v>1912</v>
      </c>
      <c r="I282" s="21" t="s">
        <v>1913</v>
      </c>
      <c r="J282" s="21" t="s">
        <v>1914</v>
      </c>
      <c r="K282" s="21" t="s">
        <v>1800</v>
      </c>
      <c r="L282" s="21" t="s">
        <v>1073</v>
      </c>
      <c r="M282" s="21" t="s">
        <v>1801</v>
      </c>
      <c r="N282" s="21" t="s">
        <v>1928</v>
      </c>
      <c r="O282" s="21" t="s">
        <v>1929</v>
      </c>
      <c r="P282" s="21" t="s">
        <v>1930</v>
      </c>
      <c r="Q282" s="21" t="s">
        <v>1213</v>
      </c>
      <c r="R282" s="21" t="s">
        <v>1244</v>
      </c>
      <c r="S282" s="21" t="s">
        <v>1247</v>
      </c>
      <c r="T282" s="21" t="s">
        <v>1917</v>
      </c>
      <c r="U282" s="21" t="s">
        <v>1766</v>
      </c>
      <c r="V282" s="21" t="str">
        <f>_xlfn.XLOOKUP(U282,'T07'!$D$3:$D$1500,'T07'!$BI$3:$BI$1500)&amp;" / "&amp;_xlfn.XLOOKUP(U282,'T07'!$D$3:$D$1500,'T07'!$BJ$3:$BJ$1500)</f>
        <v>LHR-LTV-2019-66685 / LTV</v>
      </c>
      <c r="W282" s="21" t="s">
        <v>1917</v>
      </c>
      <c r="X282" s="21" t="s">
        <v>1768</v>
      </c>
      <c r="Y282" s="21" t="s">
        <v>2097</v>
      </c>
      <c r="Z282" s="21">
        <v>2</v>
      </c>
      <c r="AA282" s="21" t="s">
        <v>1808</v>
      </c>
      <c r="AB282" s="21" t="s">
        <v>1804</v>
      </c>
      <c r="AC282" s="25">
        <v>750</v>
      </c>
      <c r="AD282" s="25">
        <v>100</v>
      </c>
      <c r="AE282" s="21" t="s">
        <v>2859</v>
      </c>
      <c r="AF282" s="21" t="s">
        <v>2856</v>
      </c>
      <c r="AG282" s="35">
        <v>46224.62604166667</v>
      </c>
      <c r="AH282" s="21" t="s">
        <v>1934</v>
      </c>
      <c r="AI282" s="25">
        <v>100</v>
      </c>
      <c r="AJ282" s="21" t="s">
        <v>1074</v>
      </c>
      <c r="AK282" s="21" t="s">
        <v>1922</v>
      </c>
      <c r="AL282" s="21" t="str">
        <f>IF(AD282-AI282&gt;0,(AD282-AI282)&amp;" bags - damaged in transit","None")</f>
        <v>None</v>
      </c>
      <c r="AM282" s="21" t="s">
        <v>844</v>
      </c>
      <c r="AN282" s="21" t="s">
        <v>848</v>
      </c>
      <c r="AO282" s="21" t="s">
        <v>2829</v>
      </c>
      <c r="AP282" s="21" t="str">
        <f>IF(AO282="Pending","Not yet invoiced",IF(AI282=AD282,"Matched","Invoiced on received qty ("&amp;AI282&amp;" of "&amp;AD282&amp;")"))</f>
        <v>Matched</v>
      </c>
      <c r="AQ282" s="21" t="s">
        <v>2833</v>
      </c>
    </row>
    <row r="283" spans="1:43" x14ac:dyDescent="0.3">
      <c r="A283" s="21" t="s">
        <v>2860</v>
      </c>
      <c r="B283" s="35">
        <v>46224.666666666664</v>
      </c>
      <c r="C283" s="21" t="s">
        <v>1909</v>
      </c>
      <c r="D283" s="21" t="s">
        <v>2820</v>
      </c>
      <c r="E283" s="21" t="s">
        <v>2056</v>
      </c>
      <c r="F283" s="21" t="s">
        <v>768</v>
      </c>
      <c r="G283" s="35">
        <v>46224.80395833333</v>
      </c>
      <c r="H283" s="21" t="s">
        <v>1912</v>
      </c>
      <c r="I283" s="21" t="s">
        <v>1913</v>
      </c>
      <c r="J283" s="21" t="s">
        <v>1914</v>
      </c>
      <c r="K283" s="21" t="s">
        <v>1844</v>
      </c>
      <c r="L283" s="21" t="s">
        <v>1065</v>
      </c>
      <c r="M283" s="21" t="s">
        <v>1845</v>
      </c>
      <c r="N283" s="21" t="s">
        <v>2064</v>
      </c>
      <c r="O283" s="21" t="s">
        <v>2065</v>
      </c>
      <c r="P283" s="21" t="s">
        <v>1930</v>
      </c>
      <c r="Q283" s="21" t="s">
        <v>1213</v>
      </c>
      <c r="R283" s="21" t="s">
        <v>1216</v>
      </c>
      <c r="S283" s="21" t="s">
        <v>1104</v>
      </c>
      <c r="T283" s="21" t="s">
        <v>1917</v>
      </c>
      <c r="U283" s="21" t="s">
        <v>1711</v>
      </c>
      <c r="V283" s="21" t="str">
        <f>_xlfn.XLOOKUP(U283,'T07'!$D$3:$D$1500,'T07'!$BI$3:$BI$1500)&amp;" / "&amp;_xlfn.XLOOKUP(U283,'T07'!$D$3:$D$1500,'T07'!$BJ$3:$BJ$1500)</f>
        <v>LHR-HTV-2008-42260 / HTV</v>
      </c>
      <c r="W283" s="21" t="s">
        <v>1917</v>
      </c>
      <c r="X283" s="21" t="s">
        <v>1713</v>
      </c>
      <c r="Y283" s="21" t="s">
        <v>2057</v>
      </c>
      <c r="Z283" s="21">
        <v>1</v>
      </c>
      <c r="AA283" s="21" t="s">
        <v>1840</v>
      </c>
      <c r="AB283" s="21" t="s">
        <v>1841</v>
      </c>
      <c r="AC283" s="25">
        <v>2300</v>
      </c>
      <c r="AD283" s="25">
        <v>1000</v>
      </c>
      <c r="AE283" s="21" t="s">
        <v>2861</v>
      </c>
      <c r="AF283" s="21" t="s">
        <v>2862</v>
      </c>
      <c r="AG283" s="35">
        <v>46224.823958333327</v>
      </c>
      <c r="AH283" s="21" t="s">
        <v>1983</v>
      </c>
      <c r="AI283" s="25">
        <v>1000</v>
      </c>
      <c r="AJ283" s="21" t="s">
        <v>1067</v>
      </c>
      <c r="AK283" s="21" t="s">
        <v>1922</v>
      </c>
      <c r="AL283" s="21" t="str">
        <f>IF(AD283-AI283&gt;0,(AD283-AI283)&amp;" bags - damaged in transit","None")</f>
        <v>None</v>
      </c>
      <c r="AM283" s="21" t="s">
        <v>844</v>
      </c>
      <c r="AN283" s="21" t="s">
        <v>848</v>
      </c>
      <c r="AO283" s="21" t="s">
        <v>2823</v>
      </c>
      <c r="AP283" s="21" t="str">
        <f>IF(AO283="Pending","Not yet invoiced",IF(AI283=AD283,"Matched","Invoiced on received qty ("&amp;AI283&amp;" of "&amp;AD283&amp;")"))</f>
        <v>Matched</v>
      </c>
      <c r="AQ283" s="21" t="s">
        <v>2833</v>
      </c>
    </row>
    <row r="284" spans="1:43" x14ac:dyDescent="0.3">
      <c r="A284" s="21" t="s">
        <v>2863</v>
      </c>
      <c r="B284" s="35">
        <v>46225.541666666664</v>
      </c>
      <c r="C284" s="21" t="s">
        <v>1909</v>
      </c>
      <c r="D284" s="21" t="s">
        <v>2826</v>
      </c>
      <c r="E284" s="21" t="s">
        <v>2056</v>
      </c>
      <c r="F284" s="21" t="s">
        <v>768</v>
      </c>
      <c r="G284" s="35">
        <v>46225.814375000002</v>
      </c>
      <c r="H284" s="21" t="s">
        <v>1912</v>
      </c>
      <c r="I284" s="21" t="s">
        <v>1913</v>
      </c>
      <c r="J284" s="21" t="s">
        <v>1914</v>
      </c>
      <c r="K284" s="21" t="s">
        <v>1800</v>
      </c>
      <c r="L284" s="21" t="s">
        <v>1073</v>
      </c>
      <c r="M284" s="21" t="s">
        <v>1801</v>
      </c>
      <c r="N284" s="21" t="s">
        <v>1928</v>
      </c>
      <c r="O284" s="21" t="s">
        <v>1929</v>
      </c>
      <c r="P284" s="21" t="s">
        <v>1930</v>
      </c>
      <c r="Q284" s="21" t="s">
        <v>1213</v>
      </c>
      <c r="R284" s="21" t="s">
        <v>1216</v>
      </c>
      <c r="S284" s="21" t="s">
        <v>1104</v>
      </c>
      <c r="T284" s="21" t="s">
        <v>1917</v>
      </c>
      <c r="U284" s="21" t="s">
        <v>1782</v>
      </c>
      <c r="V284" s="21" t="str">
        <f>_xlfn.XLOOKUP(U284,'T07'!$D$3:$D$1500,'T07'!$BI$3:$BI$1500)&amp;" / "&amp;_xlfn.XLOOKUP(U284,'T07'!$D$3:$D$1500,'T07'!$BJ$3:$BJ$1500)</f>
        <v>LHR-HTV-2014-51184 / HTV</v>
      </c>
      <c r="W284" s="21" t="s">
        <v>1917</v>
      </c>
      <c r="X284" s="21" t="s">
        <v>1785</v>
      </c>
      <c r="Y284" s="21" t="s">
        <v>2057</v>
      </c>
      <c r="Z284" s="21">
        <v>1</v>
      </c>
      <c r="AA284" s="21" t="s">
        <v>1840</v>
      </c>
      <c r="AB284" s="21" t="s">
        <v>1841</v>
      </c>
      <c r="AC284" s="25">
        <v>950</v>
      </c>
      <c r="AD284" s="25">
        <v>500</v>
      </c>
      <c r="AE284" s="21" t="s">
        <v>2864</v>
      </c>
      <c r="AF284" s="21" t="s">
        <v>2865</v>
      </c>
      <c r="AG284" s="35">
        <v>46225.834374999999</v>
      </c>
      <c r="AH284" s="21" t="s">
        <v>1934</v>
      </c>
      <c r="AI284" s="25">
        <v>494</v>
      </c>
      <c r="AJ284" s="21" t="s">
        <v>1074</v>
      </c>
      <c r="AK284" s="21" t="s">
        <v>1922</v>
      </c>
      <c r="AL284" s="21" t="str">
        <f>IF(AD284-AI284&gt;0,(AD284-AI284)&amp;" bags - damaged in transit","None")</f>
        <v>6 bags - damaged in transit</v>
      </c>
      <c r="AM284" s="21" t="s">
        <v>2866</v>
      </c>
      <c r="AN284" s="21" t="s">
        <v>2858</v>
      </c>
      <c r="AO284" s="21" t="s">
        <v>2829</v>
      </c>
      <c r="AP284" s="21" t="str">
        <f>IF(AO284="Pending","Not yet invoiced",IF(AI284=AD284,"Matched","Invoiced on received qty ("&amp;AI284&amp;" of "&amp;AD284&amp;")"))</f>
        <v>Invoiced on received qty (494 of 500)</v>
      </c>
      <c r="AQ284" s="21" t="s">
        <v>2833</v>
      </c>
    </row>
    <row r="285" spans="1:43" x14ac:dyDescent="0.3">
      <c r="A285" s="21" t="s">
        <v>2863</v>
      </c>
      <c r="B285" s="35">
        <v>46225.541666666664</v>
      </c>
      <c r="C285" s="21" t="s">
        <v>1909</v>
      </c>
      <c r="D285" s="21" t="s">
        <v>2826</v>
      </c>
      <c r="E285" s="21" t="s">
        <v>1911</v>
      </c>
      <c r="F285" s="21" t="s">
        <v>768</v>
      </c>
      <c r="G285" s="35">
        <v>46225.814375000002</v>
      </c>
      <c r="H285" s="21" t="s">
        <v>1912</v>
      </c>
      <c r="I285" s="21" t="s">
        <v>1913</v>
      </c>
      <c r="J285" s="21" t="s">
        <v>1914</v>
      </c>
      <c r="K285" s="21" t="s">
        <v>1800</v>
      </c>
      <c r="L285" s="21" t="s">
        <v>1073</v>
      </c>
      <c r="M285" s="21" t="s">
        <v>1801</v>
      </c>
      <c r="N285" s="21" t="s">
        <v>1928</v>
      </c>
      <c r="O285" s="21" t="s">
        <v>1929</v>
      </c>
      <c r="P285" s="21" t="s">
        <v>1930</v>
      </c>
      <c r="Q285" s="21" t="s">
        <v>1213</v>
      </c>
      <c r="R285" s="21" t="s">
        <v>1216</v>
      </c>
      <c r="S285" s="21" t="s">
        <v>1104</v>
      </c>
      <c r="T285" s="21" t="s">
        <v>1917</v>
      </c>
      <c r="U285" s="21" t="s">
        <v>1782</v>
      </c>
      <c r="V285" s="21" t="str">
        <f>_xlfn.XLOOKUP(U285,'T07'!$D$3:$D$1500,'T07'!$BI$3:$BI$1500)&amp;" / "&amp;_xlfn.XLOOKUP(U285,'T07'!$D$3:$D$1500,'T07'!$BJ$3:$BJ$1500)</f>
        <v>LHR-HTV-2014-51184 / HTV</v>
      </c>
      <c r="W285" s="21" t="s">
        <v>1917</v>
      </c>
      <c r="X285" s="21" t="s">
        <v>1785</v>
      </c>
      <c r="Y285" s="21" t="s">
        <v>2057</v>
      </c>
      <c r="Z285" s="21">
        <v>2</v>
      </c>
      <c r="AA285" s="21" t="s">
        <v>1808</v>
      </c>
      <c r="AB285" s="21" t="s">
        <v>1804</v>
      </c>
      <c r="AC285" s="25">
        <v>650</v>
      </c>
      <c r="AD285" s="25">
        <v>500</v>
      </c>
      <c r="AE285" s="21" t="s">
        <v>2867</v>
      </c>
      <c r="AF285" s="21" t="s">
        <v>2865</v>
      </c>
      <c r="AG285" s="35">
        <v>46225.834374999999</v>
      </c>
      <c r="AH285" s="21" t="s">
        <v>1934</v>
      </c>
      <c r="AI285" s="25">
        <v>496</v>
      </c>
      <c r="AJ285" s="21" t="s">
        <v>1074</v>
      </c>
      <c r="AK285" s="21" t="s">
        <v>1922</v>
      </c>
      <c r="AL285" s="21" t="str">
        <f>IF(AD285-AI285&gt;0,(AD285-AI285)&amp;" bags - damaged in transit","None")</f>
        <v>4 bags - damaged in transit</v>
      </c>
      <c r="AM285" s="21" t="s">
        <v>2866</v>
      </c>
      <c r="AN285" s="21" t="s">
        <v>2868</v>
      </c>
      <c r="AO285" s="21" t="s">
        <v>2829</v>
      </c>
      <c r="AP285" s="21" t="str">
        <f>IF(AO285="Pending","Not yet invoiced",IF(AI285=AD285,"Matched","Invoiced on received qty ("&amp;AI285&amp;" of "&amp;AD285&amp;")"))</f>
        <v>Invoiced on received qty (496 of 500)</v>
      </c>
      <c r="AQ285" s="21" t="s">
        <v>2833</v>
      </c>
    </row>
    <row r="286" spans="1:43" x14ac:dyDescent="0.3">
      <c r="A286" s="21" t="s">
        <v>2869</v>
      </c>
      <c r="B286" s="35">
        <v>46227.291666666664</v>
      </c>
      <c r="C286" s="21" t="s">
        <v>1909</v>
      </c>
      <c r="D286" s="21" t="s">
        <v>2820</v>
      </c>
      <c r="E286" s="21" t="s">
        <v>2056</v>
      </c>
      <c r="F286" s="21" t="s">
        <v>768</v>
      </c>
      <c r="G286" s="35">
        <v>46227.42895833333</v>
      </c>
      <c r="H286" s="21" t="s">
        <v>1912</v>
      </c>
      <c r="I286" s="21" t="s">
        <v>1913</v>
      </c>
      <c r="J286" s="21" t="s">
        <v>1914</v>
      </c>
      <c r="K286" s="21" t="s">
        <v>1844</v>
      </c>
      <c r="L286" s="21" t="s">
        <v>1065</v>
      </c>
      <c r="M286" s="21" t="s">
        <v>1845</v>
      </c>
      <c r="N286" s="21" t="s">
        <v>2064</v>
      </c>
      <c r="O286" s="21" t="s">
        <v>2065</v>
      </c>
      <c r="P286" s="21" t="s">
        <v>1930</v>
      </c>
      <c r="Q286" s="21" t="s">
        <v>1213</v>
      </c>
      <c r="R286" s="21" t="s">
        <v>1271</v>
      </c>
      <c r="S286" s="21" t="s">
        <v>1127</v>
      </c>
      <c r="T286" s="21" t="s">
        <v>1917</v>
      </c>
      <c r="U286" s="21" t="s">
        <v>1724</v>
      </c>
      <c r="V286" s="21" t="str">
        <f>_xlfn.XLOOKUP(U286,'T07'!$D$3:$D$1500,'T07'!$BI$3:$BI$1500)&amp;" / "&amp;_xlfn.XLOOKUP(U286,'T07'!$D$3:$D$1500,'T07'!$BJ$3:$BJ$1500)</f>
        <v>LHR-HTV-2008-90487 / HTV</v>
      </c>
      <c r="W286" s="21" t="s">
        <v>1917</v>
      </c>
      <c r="X286" s="21" t="s">
        <v>1726</v>
      </c>
      <c r="Y286" s="21" t="s">
        <v>2022</v>
      </c>
      <c r="Z286" s="21">
        <v>1</v>
      </c>
      <c r="AA286" s="21" t="s">
        <v>1840</v>
      </c>
      <c r="AB286" s="21" t="s">
        <v>1841</v>
      </c>
      <c r="AC286" s="25">
        <v>1300</v>
      </c>
      <c r="AD286" s="25">
        <v>500</v>
      </c>
      <c r="AE286" s="21" t="s">
        <v>2870</v>
      </c>
      <c r="AF286" s="21" t="s">
        <v>2871</v>
      </c>
      <c r="AG286" s="35">
        <v>46227.448958333327</v>
      </c>
      <c r="AH286" s="21" t="s">
        <v>1934</v>
      </c>
      <c r="AI286" s="25">
        <v>500</v>
      </c>
      <c r="AJ286" s="21" t="s">
        <v>1067</v>
      </c>
      <c r="AK286" s="21" t="s">
        <v>1922</v>
      </c>
      <c r="AL286" s="21" t="str">
        <f>IF(AD286-AI286&gt;0,(AD286-AI286)&amp;" bags - damaged in transit","None")</f>
        <v>None</v>
      </c>
      <c r="AM286" s="21" t="s">
        <v>844</v>
      </c>
      <c r="AN286" s="21" t="s">
        <v>848</v>
      </c>
      <c r="AO286" s="21" t="s">
        <v>2823</v>
      </c>
      <c r="AP286" s="21" t="str">
        <f>IF(AO286="Pending","Not yet invoiced",IF(AI286=AD286,"Matched","Invoiced on received qty ("&amp;AI286&amp;" of "&amp;AD286&amp;")"))</f>
        <v>Matched</v>
      </c>
      <c r="AQ286" s="21" t="s">
        <v>2833</v>
      </c>
    </row>
    <row r="287" spans="1:43" x14ac:dyDescent="0.3">
      <c r="A287" s="21" t="s">
        <v>2872</v>
      </c>
      <c r="B287" s="35">
        <v>46238.375</v>
      </c>
      <c r="C287" s="21" t="s">
        <v>1909</v>
      </c>
      <c r="D287" s="21" t="s">
        <v>2873</v>
      </c>
      <c r="E287" s="21" t="s">
        <v>2056</v>
      </c>
      <c r="F287" s="21" t="s">
        <v>768</v>
      </c>
      <c r="G287" s="35">
        <v>46238.47791666667</v>
      </c>
      <c r="H287" s="21" t="s">
        <v>2188</v>
      </c>
      <c r="I287" s="21" t="s">
        <v>1913</v>
      </c>
      <c r="J287" s="21" t="s">
        <v>1914</v>
      </c>
      <c r="K287" s="21" t="s">
        <v>1857</v>
      </c>
      <c r="L287" s="21" t="s">
        <v>1115</v>
      </c>
      <c r="M287" s="21" t="s">
        <v>1121</v>
      </c>
      <c r="N287" s="21" t="s">
        <v>2189</v>
      </c>
      <c r="O287" s="21" t="s">
        <v>1125</v>
      </c>
      <c r="P287" s="21" t="s">
        <v>2190</v>
      </c>
      <c r="Q287" s="21" t="s">
        <v>1118</v>
      </c>
      <c r="R287" s="21" t="s">
        <v>2874</v>
      </c>
      <c r="S287" s="21" t="s">
        <v>1127</v>
      </c>
      <c r="T287" s="21" t="s">
        <v>2192</v>
      </c>
      <c r="U287" s="21" t="s">
        <v>2220</v>
      </c>
      <c r="V287" s="21" t="s">
        <v>2194</v>
      </c>
      <c r="W287" s="21" t="s">
        <v>2195</v>
      </c>
      <c r="X287" s="21" t="s">
        <v>844</v>
      </c>
      <c r="Y287" s="21" t="s">
        <v>844</v>
      </c>
      <c r="Z287" s="21">
        <v>1</v>
      </c>
      <c r="AA287" s="21" t="s">
        <v>1840</v>
      </c>
      <c r="AB287" s="21" t="s">
        <v>1841</v>
      </c>
      <c r="AC287" s="25">
        <v>1000</v>
      </c>
      <c r="AD287" s="25">
        <v>100</v>
      </c>
      <c r="AE287" s="21" t="s">
        <v>2875</v>
      </c>
      <c r="AF287" s="21" t="s">
        <v>2876</v>
      </c>
      <c r="AG287" s="35">
        <v>46238.497916666667</v>
      </c>
      <c r="AH287" s="21" t="s">
        <v>1934</v>
      </c>
      <c r="AI287" s="25">
        <v>100</v>
      </c>
      <c r="AJ287" s="21" t="s">
        <v>2198</v>
      </c>
      <c r="AK287" s="21" t="s">
        <v>1922</v>
      </c>
      <c r="AL287" s="21" t="str">
        <f>IF(AD287-AI287&gt;0,(AD287-AI287)&amp;" bags - damaged in transit","None")</f>
        <v>None</v>
      </c>
      <c r="AM287" s="21" t="s">
        <v>844</v>
      </c>
      <c r="AN287" s="21" t="s">
        <v>848</v>
      </c>
      <c r="AO287" s="21" t="s">
        <v>2877</v>
      </c>
      <c r="AP287" s="21" t="str">
        <f>IF(AO287="Pending","Not yet invoiced",IF(AI287=AD287,"Matched","Invoiced on received qty ("&amp;AI287&amp;" of "&amp;AD287&amp;")"))</f>
        <v>Matched</v>
      </c>
      <c r="AQ287" s="21" t="s">
        <v>2200</v>
      </c>
    </row>
    <row r="288" spans="1:43" x14ac:dyDescent="0.3">
      <c r="A288" s="21" t="s">
        <v>2872</v>
      </c>
      <c r="B288" s="35">
        <v>46238.375</v>
      </c>
      <c r="C288" s="21" t="s">
        <v>1909</v>
      </c>
      <c r="D288" s="21" t="s">
        <v>2873</v>
      </c>
      <c r="E288" s="21" t="s">
        <v>1911</v>
      </c>
      <c r="F288" s="21" t="s">
        <v>768</v>
      </c>
      <c r="G288" s="35">
        <v>46238.47791666667</v>
      </c>
      <c r="H288" s="21" t="s">
        <v>2188</v>
      </c>
      <c r="I288" s="21" t="s">
        <v>1913</v>
      </c>
      <c r="J288" s="21" t="s">
        <v>1914</v>
      </c>
      <c r="K288" s="21" t="s">
        <v>1857</v>
      </c>
      <c r="L288" s="21" t="s">
        <v>1115</v>
      </c>
      <c r="M288" s="21" t="s">
        <v>1121</v>
      </c>
      <c r="N288" s="21" t="s">
        <v>2189</v>
      </c>
      <c r="O288" s="21" t="s">
        <v>1125</v>
      </c>
      <c r="P288" s="21" t="s">
        <v>2190</v>
      </c>
      <c r="Q288" s="21" t="s">
        <v>1118</v>
      </c>
      <c r="R288" s="21" t="s">
        <v>2874</v>
      </c>
      <c r="S288" s="21" t="s">
        <v>1127</v>
      </c>
      <c r="T288" s="21" t="s">
        <v>2192</v>
      </c>
      <c r="U288" s="21" t="s">
        <v>2220</v>
      </c>
      <c r="V288" s="21" t="s">
        <v>2194</v>
      </c>
      <c r="W288" s="21" t="s">
        <v>2195</v>
      </c>
      <c r="X288" s="21" t="s">
        <v>844</v>
      </c>
      <c r="Y288" s="21" t="s">
        <v>844</v>
      </c>
      <c r="Z288" s="21">
        <v>2</v>
      </c>
      <c r="AA288" s="21" t="s">
        <v>1808</v>
      </c>
      <c r="AB288" s="21" t="s">
        <v>1804</v>
      </c>
      <c r="AC288" s="25">
        <v>2000</v>
      </c>
      <c r="AD288" s="25">
        <v>100</v>
      </c>
      <c r="AE288" s="21" t="s">
        <v>2878</v>
      </c>
      <c r="AF288" s="21" t="s">
        <v>2876</v>
      </c>
      <c r="AG288" s="35">
        <v>46238.497916666667</v>
      </c>
      <c r="AH288" s="21" t="s">
        <v>1934</v>
      </c>
      <c r="AI288" s="25">
        <v>100</v>
      </c>
      <c r="AJ288" s="21" t="s">
        <v>2198</v>
      </c>
      <c r="AK288" s="21" t="s">
        <v>1922</v>
      </c>
      <c r="AL288" s="21" t="str">
        <f>IF(AD288-AI288&gt;0,(AD288-AI288)&amp;" bags - damaged in transit","None")</f>
        <v>None</v>
      </c>
      <c r="AM288" s="21" t="s">
        <v>844</v>
      </c>
      <c r="AN288" s="21" t="s">
        <v>848</v>
      </c>
      <c r="AO288" s="21" t="s">
        <v>2877</v>
      </c>
      <c r="AP288" s="21" t="str">
        <f>IF(AO288="Pending","Not yet invoiced",IF(AI288=AD288,"Matched","Invoiced on received qty ("&amp;AI288&amp;" of "&amp;AD288&amp;")"))</f>
        <v>Matched</v>
      </c>
      <c r="AQ288" s="21" t="s">
        <v>2200</v>
      </c>
    </row>
    <row r="289" spans="1:43" x14ac:dyDescent="0.3">
      <c r="A289" s="21" t="s">
        <v>2879</v>
      </c>
      <c r="B289" s="35">
        <v>46238.458333333336</v>
      </c>
      <c r="C289" s="21" t="s">
        <v>1909</v>
      </c>
      <c r="D289" s="21" t="s">
        <v>2880</v>
      </c>
      <c r="E289" s="21" t="s">
        <v>2056</v>
      </c>
      <c r="F289" s="21" t="s">
        <v>768</v>
      </c>
      <c r="G289" s="35">
        <v>46238.577916666669</v>
      </c>
      <c r="H289" s="21" t="s">
        <v>1912</v>
      </c>
      <c r="I289" s="21" t="s">
        <v>1913</v>
      </c>
      <c r="J289" s="21" t="s">
        <v>1914</v>
      </c>
      <c r="K289" s="21" t="s">
        <v>1813</v>
      </c>
      <c r="L289" s="21" t="s">
        <v>1089</v>
      </c>
      <c r="M289" s="21" t="s">
        <v>1097</v>
      </c>
      <c r="N289" s="21" t="s">
        <v>2161</v>
      </c>
      <c r="O289" s="21" t="s">
        <v>1101</v>
      </c>
      <c r="P289" s="21" t="s">
        <v>1916</v>
      </c>
      <c r="Q289" s="21" t="s">
        <v>1278</v>
      </c>
      <c r="R289" s="21" t="s">
        <v>1302</v>
      </c>
      <c r="S289" s="21" t="s">
        <v>1127</v>
      </c>
      <c r="T289" s="21" t="s">
        <v>1917</v>
      </c>
      <c r="U289" s="21" t="s">
        <v>1677</v>
      </c>
      <c r="V289" s="21" t="str">
        <f>_xlfn.XLOOKUP(U289,'T07'!$D$3:$D$1500,'T07'!$BI$3:$BI$1500)&amp;" / "&amp;_xlfn.XLOOKUP(U289,'T07'!$D$3:$D$1500,'T07'!$BJ$3:$BJ$1500)</f>
        <v>LHR-HTV-2010-55907 / HTV</v>
      </c>
      <c r="W289" s="21" t="s">
        <v>1917</v>
      </c>
      <c r="X289" s="21" t="s">
        <v>1679</v>
      </c>
      <c r="Y289" s="21" t="s">
        <v>2086</v>
      </c>
      <c r="Z289" s="21">
        <v>1</v>
      </c>
      <c r="AA289" s="21" t="s">
        <v>1840</v>
      </c>
      <c r="AB289" s="21" t="s">
        <v>1841</v>
      </c>
      <c r="AC289" s="25">
        <v>2500</v>
      </c>
      <c r="AD289" s="25">
        <v>500</v>
      </c>
      <c r="AE289" s="21" t="s">
        <v>2881</v>
      </c>
      <c r="AF289" s="21" t="s">
        <v>2882</v>
      </c>
      <c r="AG289" s="35">
        <v>46238.597916666666</v>
      </c>
      <c r="AH289" s="21" t="s">
        <v>1934</v>
      </c>
      <c r="AI289" s="25">
        <v>500</v>
      </c>
      <c r="AJ289" s="21" t="s">
        <v>2164</v>
      </c>
      <c r="AK289" s="21" t="s">
        <v>1922</v>
      </c>
      <c r="AL289" s="21" t="str">
        <f>IF(AD289-AI289&gt;0,(AD289-AI289)&amp;" bags - damaged in transit","None")</f>
        <v>None</v>
      </c>
      <c r="AM289" s="21" t="s">
        <v>844</v>
      </c>
      <c r="AN289" s="21" t="s">
        <v>848</v>
      </c>
      <c r="AO289" s="21" t="s">
        <v>2883</v>
      </c>
      <c r="AP289" s="21" t="str">
        <f>IF(AO289="Pending","Not yet invoiced",IF(AI289=AD289,"Matched","Invoiced on received qty ("&amp;AI289&amp;" of "&amp;AD289&amp;")"))</f>
        <v>Matched</v>
      </c>
      <c r="AQ289" s="21" t="s">
        <v>2884</v>
      </c>
    </row>
    <row r="290" spans="1:43" x14ac:dyDescent="0.3">
      <c r="A290" s="21" t="s">
        <v>2885</v>
      </c>
      <c r="B290" s="35">
        <v>46240.25</v>
      </c>
      <c r="C290" s="21" t="s">
        <v>1909</v>
      </c>
      <c r="D290" s="21" t="s">
        <v>2873</v>
      </c>
      <c r="E290" s="21" t="s">
        <v>1911</v>
      </c>
      <c r="F290" s="21" t="s">
        <v>768</v>
      </c>
      <c r="G290" s="35">
        <v>46240.35291666667</v>
      </c>
      <c r="H290" s="21" t="s">
        <v>2188</v>
      </c>
      <c r="I290" s="21" t="s">
        <v>1913</v>
      </c>
      <c r="J290" s="21" t="s">
        <v>1914</v>
      </c>
      <c r="K290" s="21" t="s">
        <v>1857</v>
      </c>
      <c r="L290" s="21" t="s">
        <v>1115</v>
      </c>
      <c r="M290" s="21" t="s">
        <v>1121</v>
      </c>
      <c r="N290" s="21" t="s">
        <v>2189</v>
      </c>
      <c r="O290" s="21" t="s">
        <v>1125</v>
      </c>
      <c r="P290" s="21" t="s">
        <v>2190</v>
      </c>
      <c r="Q290" s="21" t="s">
        <v>1118</v>
      </c>
      <c r="R290" s="21" t="s">
        <v>2886</v>
      </c>
      <c r="S290" s="21" t="s">
        <v>1127</v>
      </c>
      <c r="T290" s="21" t="s">
        <v>2192</v>
      </c>
      <c r="U290" s="21" t="s">
        <v>2234</v>
      </c>
      <c r="V290" s="21" t="s">
        <v>2194</v>
      </c>
      <c r="W290" s="21" t="s">
        <v>2195</v>
      </c>
      <c r="X290" s="21" t="s">
        <v>844</v>
      </c>
      <c r="Y290" s="21" t="s">
        <v>844</v>
      </c>
      <c r="Z290" s="21">
        <v>1</v>
      </c>
      <c r="AA290" s="21" t="s">
        <v>1808</v>
      </c>
      <c r="AB290" s="21" t="s">
        <v>1804</v>
      </c>
      <c r="AC290" s="25">
        <v>1900</v>
      </c>
      <c r="AD290" s="25">
        <v>500</v>
      </c>
      <c r="AE290" s="21" t="s">
        <v>2887</v>
      </c>
      <c r="AF290" s="21" t="s">
        <v>2888</v>
      </c>
      <c r="AG290" s="35">
        <v>46240.372916666667</v>
      </c>
      <c r="AH290" s="21" t="s">
        <v>1934</v>
      </c>
      <c r="AI290" s="25">
        <v>500</v>
      </c>
      <c r="AJ290" s="21" t="s">
        <v>2198</v>
      </c>
      <c r="AK290" s="21" t="s">
        <v>1922</v>
      </c>
      <c r="AL290" s="21" t="str">
        <f>IF(AD290-AI290&gt;0,(AD290-AI290)&amp;" bags - damaged in transit","None")</f>
        <v>None</v>
      </c>
      <c r="AM290" s="21" t="s">
        <v>844</v>
      </c>
      <c r="AN290" s="21" t="s">
        <v>848</v>
      </c>
      <c r="AO290" s="21" t="s">
        <v>2877</v>
      </c>
      <c r="AP290" s="21" t="str">
        <f>IF(AO290="Pending","Not yet invoiced",IF(AI290=AD290,"Matched","Invoiced on received qty ("&amp;AI290&amp;" of "&amp;AD290&amp;")"))</f>
        <v>Matched</v>
      </c>
      <c r="AQ290" s="21" t="s">
        <v>2200</v>
      </c>
    </row>
    <row r="291" spans="1:43" x14ac:dyDescent="0.3">
      <c r="A291" s="21" t="s">
        <v>2889</v>
      </c>
      <c r="B291" s="35">
        <v>46241.666666666664</v>
      </c>
      <c r="C291" s="21" t="s">
        <v>1909</v>
      </c>
      <c r="D291" s="21" t="s">
        <v>2880</v>
      </c>
      <c r="E291" s="21" t="s">
        <v>1927</v>
      </c>
      <c r="F291" s="21" t="s">
        <v>768</v>
      </c>
      <c r="G291" s="35">
        <v>46241.786249999997</v>
      </c>
      <c r="H291" s="21" t="s">
        <v>1912</v>
      </c>
      <c r="I291" s="21" t="s">
        <v>1913</v>
      </c>
      <c r="J291" s="21" t="s">
        <v>1914</v>
      </c>
      <c r="K291" s="21" t="s">
        <v>1813</v>
      </c>
      <c r="L291" s="21" t="s">
        <v>1089</v>
      </c>
      <c r="M291" s="21" t="s">
        <v>1097</v>
      </c>
      <c r="N291" s="21" t="s">
        <v>2161</v>
      </c>
      <c r="O291" s="21" t="s">
        <v>1101</v>
      </c>
      <c r="P291" s="21" t="s">
        <v>1916</v>
      </c>
      <c r="Q291" s="21" t="s">
        <v>1278</v>
      </c>
      <c r="R291" s="21" t="s">
        <v>1317</v>
      </c>
      <c r="S291" s="21" t="s">
        <v>1104</v>
      </c>
      <c r="T291" s="21" t="s">
        <v>1917</v>
      </c>
      <c r="U291" s="21" t="s">
        <v>1753</v>
      </c>
      <c r="V291" s="21" t="str">
        <f>_xlfn.XLOOKUP(U291,'T07'!$D$3:$D$1500,'T07'!$BI$3:$BI$1500)&amp;" / "&amp;_xlfn.XLOOKUP(U291,'T07'!$D$3:$D$1500,'T07'!$BJ$3:$BJ$1500)</f>
        <v>LHR-HTV-2009-86678 / HTV</v>
      </c>
      <c r="W291" s="21" t="s">
        <v>1917</v>
      </c>
      <c r="X291" s="21" t="s">
        <v>1755</v>
      </c>
      <c r="Y291" s="21" t="s">
        <v>1942</v>
      </c>
      <c r="Z291" s="21">
        <v>1</v>
      </c>
      <c r="AA291" s="21" t="s">
        <v>1840</v>
      </c>
      <c r="AB291" s="21" t="s">
        <v>1841</v>
      </c>
      <c r="AC291" s="25">
        <v>2000</v>
      </c>
      <c r="AD291" s="25">
        <v>500</v>
      </c>
      <c r="AE291" s="21" t="s">
        <v>2890</v>
      </c>
      <c r="AF291" s="21" t="s">
        <v>2891</v>
      </c>
      <c r="AG291" s="35">
        <v>46241.806249999994</v>
      </c>
      <c r="AH291" s="21" t="s">
        <v>1934</v>
      </c>
      <c r="AI291" s="25">
        <v>500</v>
      </c>
      <c r="AJ291" s="21" t="s">
        <v>2164</v>
      </c>
      <c r="AK291" s="21" t="s">
        <v>1922</v>
      </c>
      <c r="AL291" s="21" t="str">
        <f>IF(AD291-AI291&gt;0,(AD291-AI291)&amp;" bags - damaged in transit","None")</f>
        <v>None</v>
      </c>
      <c r="AM291" s="21" t="s">
        <v>844</v>
      </c>
      <c r="AN291" s="21" t="s">
        <v>848</v>
      </c>
      <c r="AO291" s="21" t="s">
        <v>2883</v>
      </c>
      <c r="AP291" s="21" t="str">
        <f>IF(AO291="Pending","Not yet invoiced",IF(AI291=AD291,"Matched","Invoiced on received qty ("&amp;AI291&amp;" of "&amp;AD291&amp;")"))</f>
        <v>Matched</v>
      </c>
      <c r="AQ291" s="21" t="s">
        <v>2884</v>
      </c>
    </row>
    <row r="292" spans="1:43" x14ac:dyDescent="0.3">
      <c r="A292" s="21" t="s">
        <v>2889</v>
      </c>
      <c r="B292" s="35">
        <v>46241.666666666664</v>
      </c>
      <c r="C292" s="21" t="s">
        <v>1909</v>
      </c>
      <c r="D292" s="21" t="s">
        <v>2880</v>
      </c>
      <c r="E292" s="21" t="s">
        <v>1927</v>
      </c>
      <c r="F292" s="21" t="s">
        <v>768</v>
      </c>
      <c r="G292" s="35">
        <v>46241.786249999997</v>
      </c>
      <c r="H292" s="21" t="s">
        <v>1912</v>
      </c>
      <c r="I292" s="21" t="s">
        <v>1913</v>
      </c>
      <c r="J292" s="21" t="s">
        <v>1914</v>
      </c>
      <c r="K292" s="21" t="s">
        <v>1813</v>
      </c>
      <c r="L292" s="21" t="s">
        <v>1089</v>
      </c>
      <c r="M292" s="21" t="s">
        <v>1097</v>
      </c>
      <c r="N292" s="21" t="s">
        <v>2161</v>
      </c>
      <c r="O292" s="21" t="s">
        <v>1101</v>
      </c>
      <c r="P292" s="21" t="s">
        <v>1916</v>
      </c>
      <c r="Q292" s="21" t="s">
        <v>1278</v>
      </c>
      <c r="R292" s="21" t="s">
        <v>1317</v>
      </c>
      <c r="S292" s="21" t="s">
        <v>1104</v>
      </c>
      <c r="T292" s="21" t="s">
        <v>1917</v>
      </c>
      <c r="U292" s="21" t="s">
        <v>1753</v>
      </c>
      <c r="V292" s="21" t="str">
        <f>_xlfn.XLOOKUP(U292,'T07'!$D$3:$D$1500,'T07'!$BI$3:$BI$1500)&amp;" / "&amp;_xlfn.XLOOKUP(U292,'T07'!$D$3:$D$1500,'T07'!$BJ$3:$BJ$1500)</f>
        <v>LHR-HTV-2009-86678 / HTV</v>
      </c>
      <c r="W292" s="21" t="s">
        <v>1917</v>
      </c>
      <c r="X292" s="21" t="s">
        <v>1755</v>
      </c>
      <c r="Y292" s="21" t="s">
        <v>1942</v>
      </c>
      <c r="Z292" s="21">
        <v>2</v>
      </c>
      <c r="AA292" s="21" t="s">
        <v>1826</v>
      </c>
      <c r="AB292" s="21" t="s">
        <v>1804</v>
      </c>
      <c r="AC292" s="25">
        <v>1500</v>
      </c>
      <c r="AD292" s="25">
        <v>500</v>
      </c>
      <c r="AE292" s="21" t="s">
        <v>2892</v>
      </c>
      <c r="AF292" s="21" t="s">
        <v>2891</v>
      </c>
      <c r="AG292" s="35">
        <v>46241.806249999994</v>
      </c>
      <c r="AH292" s="21" t="s">
        <v>1934</v>
      </c>
      <c r="AI292" s="25">
        <v>500</v>
      </c>
      <c r="AJ292" s="21" t="s">
        <v>2164</v>
      </c>
      <c r="AK292" s="21" t="s">
        <v>1922</v>
      </c>
      <c r="AL292" s="21" t="str">
        <f>IF(AD292-AI292&gt;0,(AD292-AI292)&amp;" bags - damaged in transit","None")</f>
        <v>None</v>
      </c>
      <c r="AM292" s="21" t="s">
        <v>844</v>
      </c>
      <c r="AN292" s="21" t="s">
        <v>848</v>
      </c>
      <c r="AO292" s="21" t="s">
        <v>2883</v>
      </c>
      <c r="AP292" s="21" t="str">
        <f>IF(AO292="Pending","Not yet invoiced",IF(AI292=AD292,"Matched","Invoiced on received qty ("&amp;AI292&amp;" of "&amp;AD292&amp;")"))</f>
        <v>Matched</v>
      </c>
      <c r="AQ292" s="21" t="s">
        <v>2884</v>
      </c>
    </row>
    <row r="293" spans="1:43" x14ac:dyDescent="0.3">
      <c r="A293" s="21" t="s">
        <v>2893</v>
      </c>
      <c r="B293" s="35">
        <v>46246.291666666664</v>
      </c>
      <c r="C293" s="21" t="s">
        <v>1909</v>
      </c>
      <c r="D293" s="21" t="s">
        <v>2873</v>
      </c>
      <c r="E293" s="21" t="s">
        <v>1927</v>
      </c>
      <c r="F293" s="21" t="s">
        <v>768</v>
      </c>
      <c r="G293" s="35">
        <v>46246.394583333335</v>
      </c>
      <c r="H293" s="21" t="s">
        <v>2188</v>
      </c>
      <c r="I293" s="21" t="s">
        <v>1913</v>
      </c>
      <c r="J293" s="21" t="s">
        <v>1914</v>
      </c>
      <c r="K293" s="21" t="s">
        <v>1857</v>
      </c>
      <c r="L293" s="21" t="s">
        <v>1115</v>
      </c>
      <c r="M293" s="21" t="s">
        <v>1121</v>
      </c>
      <c r="N293" s="21" t="s">
        <v>2189</v>
      </c>
      <c r="O293" s="21" t="s">
        <v>1125</v>
      </c>
      <c r="P293" s="21" t="s">
        <v>2190</v>
      </c>
      <c r="Q293" s="21" t="s">
        <v>1118</v>
      </c>
      <c r="R293" s="21" t="s">
        <v>2894</v>
      </c>
      <c r="S293" s="21" t="s">
        <v>1127</v>
      </c>
      <c r="T293" s="21" t="s">
        <v>2192</v>
      </c>
      <c r="U293" s="21" t="s">
        <v>2220</v>
      </c>
      <c r="V293" s="21" t="s">
        <v>2194</v>
      </c>
      <c r="W293" s="21" t="s">
        <v>2195</v>
      </c>
      <c r="X293" s="21" t="s">
        <v>844</v>
      </c>
      <c r="Y293" s="21" t="s">
        <v>844</v>
      </c>
      <c r="Z293" s="21">
        <v>1</v>
      </c>
      <c r="AA293" s="21" t="s">
        <v>1808</v>
      </c>
      <c r="AB293" s="21" t="s">
        <v>1804</v>
      </c>
      <c r="AC293" s="25">
        <v>1400</v>
      </c>
      <c r="AD293" s="25">
        <v>500</v>
      </c>
      <c r="AE293" s="21" t="s">
        <v>2895</v>
      </c>
      <c r="AF293" s="21" t="s">
        <v>2896</v>
      </c>
      <c r="AG293" s="35">
        <v>46246.414583333331</v>
      </c>
      <c r="AH293" s="21" t="s">
        <v>1934</v>
      </c>
      <c r="AI293" s="25">
        <v>500</v>
      </c>
      <c r="AJ293" s="21" t="s">
        <v>2198</v>
      </c>
      <c r="AK293" s="21" t="s">
        <v>1922</v>
      </c>
      <c r="AL293" s="21" t="str">
        <f>IF(AD293-AI293&gt;0,(AD293-AI293)&amp;" bags - damaged in transit","None")</f>
        <v>None</v>
      </c>
      <c r="AM293" s="21" t="s">
        <v>844</v>
      </c>
      <c r="AN293" s="21" t="s">
        <v>848</v>
      </c>
      <c r="AO293" s="21" t="s">
        <v>2877</v>
      </c>
      <c r="AP293" s="21" t="str">
        <f>IF(AO293="Pending","Not yet invoiced",IF(AI293=AD293,"Matched","Invoiced on received qty ("&amp;AI293&amp;" of "&amp;AD293&amp;")"))</f>
        <v>Matched</v>
      </c>
      <c r="AQ293" s="21" t="s">
        <v>2200</v>
      </c>
    </row>
    <row r="294" spans="1:43" x14ac:dyDescent="0.3">
      <c r="A294" s="21" t="s">
        <v>2897</v>
      </c>
      <c r="B294" s="35">
        <v>46249.458333333336</v>
      </c>
      <c r="C294" s="21" t="s">
        <v>1909</v>
      </c>
      <c r="D294" s="21" t="s">
        <v>2880</v>
      </c>
      <c r="E294" s="21" t="s">
        <v>2056</v>
      </c>
      <c r="F294" s="21" t="s">
        <v>768</v>
      </c>
      <c r="G294" s="35">
        <v>46249.577916666669</v>
      </c>
      <c r="H294" s="21" t="s">
        <v>1912</v>
      </c>
      <c r="I294" s="21" t="s">
        <v>1913</v>
      </c>
      <c r="J294" s="21" t="s">
        <v>1914</v>
      </c>
      <c r="K294" s="21" t="s">
        <v>1813</v>
      </c>
      <c r="L294" s="21" t="s">
        <v>1089</v>
      </c>
      <c r="M294" s="21" t="s">
        <v>1097</v>
      </c>
      <c r="N294" s="21" t="s">
        <v>2161</v>
      </c>
      <c r="O294" s="21" t="s">
        <v>1101</v>
      </c>
      <c r="P294" s="21" t="s">
        <v>1916</v>
      </c>
      <c r="Q294" s="21" t="s">
        <v>1213</v>
      </c>
      <c r="R294" s="21" t="s">
        <v>1227</v>
      </c>
      <c r="S294" s="21" t="s">
        <v>1127</v>
      </c>
      <c r="T294" s="21" t="s">
        <v>1917</v>
      </c>
      <c r="U294" s="21" t="s">
        <v>1739</v>
      </c>
      <c r="V294" s="21" t="str">
        <f>_xlfn.XLOOKUP(U294,'T07'!$D$3:$D$1500,'T07'!$BI$3:$BI$1500)&amp;" / "&amp;_xlfn.XLOOKUP(U294,'T07'!$D$3:$D$1500,'T07'!$BJ$3:$BJ$1500)</f>
        <v>LHR-HTV-2020-13470 / HTV</v>
      </c>
      <c r="W294" s="21" t="s">
        <v>1917</v>
      </c>
      <c r="X294" s="21" t="s">
        <v>1742</v>
      </c>
      <c r="Y294" s="21" t="s">
        <v>1991</v>
      </c>
      <c r="Z294" s="21">
        <v>1</v>
      </c>
      <c r="AA294" s="21" t="s">
        <v>1840</v>
      </c>
      <c r="AB294" s="21" t="s">
        <v>1841</v>
      </c>
      <c r="AC294" s="25">
        <v>1500</v>
      </c>
      <c r="AD294" s="25">
        <v>250</v>
      </c>
      <c r="AE294" s="21" t="s">
        <v>2898</v>
      </c>
      <c r="AF294" s="21" t="s">
        <v>2899</v>
      </c>
      <c r="AG294" s="35">
        <v>46249.597916666666</v>
      </c>
      <c r="AH294" s="21" t="s">
        <v>1934</v>
      </c>
      <c r="AI294" s="25">
        <v>250</v>
      </c>
      <c r="AJ294" s="21" t="s">
        <v>2164</v>
      </c>
      <c r="AK294" s="21" t="s">
        <v>1922</v>
      </c>
      <c r="AL294" s="21" t="str">
        <f>IF(AD294-AI294&gt;0,(AD294-AI294)&amp;" bags - damaged in transit","None")</f>
        <v>None</v>
      </c>
      <c r="AM294" s="21" t="s">
        <v>844</v>
      </c>
      <c r="AN294" s="21" t="s">
        <v>848</v>
      </c>
      <c r="AO294" s="21" t="s">
        <v>2883</v>
      </c>
      <c r="AP294" s="21" t="str">
        <f>IF(AO294="Pending","Not yet invoiced",IF(AI294=AD294,"Matched","Invoiced on received qty ("&amp;AI294&amp;" of "&amp;AD294&amp;")"))</f>
        <v>Matched</v>
      </c>
      <c r="AQ294" s="21" t="s">
        <v>2900</v>
      </c>
    </row>
    <row r="295" spans="1:43" x14ac:dyDescent="0.3">
      <c r="A295" s="21" t="s">
        <v>2897</v>
      </c>
      <c r="B295" s="35">
        <v>46249.458333333336</v>
      </c>
      <c r="C295" s="21" t="s">
        <v>1909</v>
      </c>
      <c r="D295" s="21" t="s">
        <v>2880</v>
      </c>
      <c r="E295" s="21" t="s">
        <v>1911</v>
      </c>
      <c r="F295" s="21" t="s">
        <v>768</v>
      </c>
      <c r="G295" s="35">
        <v>46249.577916666669</v>
      </c>
      <c r="H295" s="21" t="s">
        <v>1912</v>
      </c>
      <c r="I295" s="21" t="s">
        <v>1913</v>
      </c>
      <c r="J295" s="21" t="s">
        <v>1914</v>
      </c>
      <c r="K295" s="21" t="s">
        <v>1813</v>
      </c>
      <c r="L295" s="21" t="s">
        <v>1089</v>
      </c>
      <c r="M295" s="21" t="s">
        <v>1097</v>
      </c>
      <c r="N295" s="21" t="s">
        <v>2161</v>
      </c>
      <c r="O295" s="21" t="s">
        <v>1101</v>
      </c>
      <c r="P295" s="21" t="s">
        <v>1916</v>
      </c>
      <c r="Q295" s="21" t="s">
        <v>1213</v>
      </c>
      <c r="R295" s="21" t="s">
        <v>1227</v>
      </c>
      <c r="S295" s="21" t="s">
        <v>1127</v>
      </c>
      <c r="T295" s="21" t="s">
        <v>1917</v>
      </c>
      <c r="U295" s="21" t="s">
        <v>1739</v>
      </c>
      <c r="V295" s="21" t="str">
        <f>_xlfn.XLOOKUP(U295,'T07'!$D$3:$D$1500,'T07'!$BI$3:$BI$1500)&amp;" / "&amp;_xlfn.XLOOKUP(U295,'T07'!$D$3:$D$1500,'T07'!$BJ$3:$BJ$1500)</f>
        <v>LHR-HTV-2020-13470 / HTV</v>
      </c>
      <c r="W295" s="21" t="s">
        <v>1917</v>
      </c>
      <c r="X295" s="21" t="s">
        <v>1742</v>
      </c>
      <c r="Y295" s="21" t="s">
        <v>1991</v>
      </c>
      <c r="Z295" s="21">
        <v>2</v>
      </c>
      <c r="AA295" s="21" t="s">
        <v>1826</v>
      </c>
      <c r="AB295" s="21" t="s">
        <v>1804</v>
      </c>
      <c r="AC295" s="25">
        <v>1000</v>
      </c>
      <c r="AD295" s="25">
        <v>250</v>
      </c>
      <c r="AE295" s="21" t="s">
        <v>2901</v>
      </c>
      <c r="AF295" s="21" t="s">
        <v>2899</v>
      </c>
      <c r="AG295" s="35">
        <v>46249.597916666666</v>
      </c>
      <c r="AH295" s="21" t="s">
        <v>1934</v>
      </c>
      <c r="AI295" s="25">
        <v>250</v>
      </c>
      <c r="AJ295" s="21" t="s">
        <v>2164</v>
      </c>
      <c r="AK295" s="21" t="s">
        <v>1922</v>
      </c>
      <c r="AL295" s="21" t="str">
        <f>IF(AD295-AI295&gt;0,(AD295-AI295)&amp;" bags - damaged in transit","None")</f>
        <v>None</v>
      </c>
      <c r="AM295" s="21" t="s">
        <v>844</v>
      </c>
      <c r="AN295" s="21" t="s">
        <v>848</v>
      </c>
      <c r="AO295" s="21" t="s">
        <v>2883</v>
      </c>
      <c r="AP295" s="21" t="str">
        <f>IF(AO295="Pending","Not yet invoiced",IF(AI295=AD295,"Matched","Invoiced on received qty ("&amp;AI295&amp;" of "&amp;AD295&amp;")"))</f>
        <v>Matched</v>
      </c>
      <c r="AQ295" s="21" t="s">
        <v>2900</v>
      </c>
    </row>
    <row r="296" spans="1:43" x14ac:dyDescent="0.3">
      <c r="A296" s="21" t="s">
        <v>2902</v>
      </c>
      <c r="B296" s="35">
        <v>46250.458333333336</v>
      </c>
      <c r="C296" s="21" t="s">
        <v>1909</v>
      </c>
      <c r="D296" s="21" t="s">
        <v>2873</v>
      </c>
      <c r="E296" s="21" t="s">
        <v>1911</v>
      </c>
      <c r="F296" s="21" t="s">
        <v>768</v>
      </c>
      <c r="G296" s="35">
        <v>46250.561250000006</v>
      </c>
      <c r="H296" s="21" t="s">
        <v>2188</v>
      </c>
      <c r="I296" s="21" t="s">
        <v>1913</v>
      </c>
      <c r="J296" s="21" t="s">
        <v>1914</v>
      </c>
      <c r="K296" s="21" t="s">
        <v>1857</v>
      </c>
      <c r="L296" s="21" t="s">
        <v>1115</v>
      </c>
      <c r="M296" s="21" t="s">
        <v>1121</v>
      </c>
      <c r="N296" s="21" t="s">
        <v>2189</v>
      </c>
      <c r="O296" s="21" t="s">
        <v>1125</v>
      </c>
      <c r="P296" s="21" t="s">
        <v>2190</v>
      </c>
      <c r="Q296" s="21" t="s">
        <v>1118</v>
      </c>
      <c r="R296" s="21" t="s">
        <v>2903</v>
      </c>
      <c r="S296" s="21" t="s">
        <v>1127</v>
      </c>
      <c r="T296" s="21" t="s">
        <v>2192</v>
      </c>
      <c r="U296" s="21" t="s">
        <v>2234</v>
      </c>
      <c r="V296" s="21" t="s">
        <v>2194</v>
      </c>
      <c r="W296" s="21" t="s">
        <v>2195</v>
      </c>
      <c r="X296" s="21" t="s">
        <v>844</v>
      </c>
      <c r="Y296" s="21" t="s">
        <v>844</v>
      </c>
      <c r="Z296" s="21">
        <v>1</v>
      </c>
      <c r="AA296" s="21" t="s">
        <v>1808</v>
      </c>
      <c r="AB296" s="21" t="s">
        <v>1804</v>
      </c>
      <c r="AC296" s="25">
        <v>900</v>
      </c>
      <c r="AD296" s="25">
        <v>250</v>
      </c>
      <c r="AE296" s="21" t="s">
        <v>2904</v>
      </c>
      <c r="AF296" s="21" t="s">
        <v>2905</v>
      </c>
      <c r="AG296" s="35">
        <v>46250.581250000003</v>
      </c>
      <c r="AH296" s="21" t="s">
        <v>1934</v>
      </c>
      <c r="AI296" s="25">
        <v>250</v>
      </c>
      <c r="AJ296" s="21" t="s">
        <v>2198</v>
      </c>
      <c r="AK296" s="21" t="s">
        <v>1922</v>
      </c>
      <c r="AL296" s="21" t="str">
        <f>IF(AD296-AI296&gt;0,(AD296-AI296)&amp;" bags - damaged in transit","None")</f>
        <v>None</v>
      </c>
      <c r="AM296" s="21" t="s">
        <v>844</v>
      </c>
      <c r="AN296" s="21" t="s">
        <v>848</v>
      </c>
      <c r="AO296" s="21" t="s">
        <v>2877</v>
      </c>
      <c r="AP296" s="21" t="str">
        <f>IF(AO296="Pending","Not yet invoiced",IF(AI296=AD296,"Matched","Invoiced on received qty ("&amp;AI296&amp;" of "&amp;AD296&amp;")"))</f>
        <v>Matched</v>
      </c>
      <c r="AQ296" s="21" t="s">
        <v>2200</v>
      </c>
    </row>
    <row r="297" spans="1:43" x14ac:dyDescent="0.3">
      <c r="A297" s="21" t="s">
        <v>2902</v>
      </c>
      <c r="B297" s="35">
        <v>46250.458333333336</v>
      </c>
      <c r="C297" s="21" t="s">
        <v>1909</v>
      </c>
      <c r="D297" s="21" t="s">
        <v>2873</v>
      </c>
      <c r="E297" s="21" t="s">
        <v>2056</v>
      </c>
      <c r="F297" s="21" t="s">
        <v>768</v>
      </c>
      <c r="G297" s="35">
        <v>46250.561250000006</v>
      </c>
      <c r="H297" s="21" t="s">
        <v>2188</v>
      </c>
      <c r="I297" s="21" t="s">
        <v>1913</v>
      </c>
      <c r="J297" s="21" t="s">
        <v>1914</v>
      </c>
      <c r="K297" s="21" t="s">
        <v>1857</v>
      </c>
      <c r="L297" s="21" t="s">
        <v>1115</v>
      </c>
      <c r="M297" s="21" t="s">
        <v>1121</v>
      </c>
      <c r="N297" s="21" t="s">
        <v>2189</v>
      </c>
      <c r="O297" s="21" t="s">
        <v>1125</v>
      </c>
      <c r="P297" s="21" t="s">
        <v>2190</v>
      </c>
      <c r="Q297" s="21" t="s">
        <v>1118</v>
      </c>
      <c r="R297" s="21" t="s">
        <v>2903</v>
      </c>
      <c r="S297" s="21" t="s">
        <v>1127</v>
      </c>
      <c r="T297" s="21" t="s">
        <v>2192</v>
      </c>
      <c r="U297" s="21" t="s">
        <v>2234</v>
      </c>
      <c r="V297" s="21" t="s">
        <v>2194</v>
      </c>
      <c r="W297" s="21" t="s">
        <v>2195</v>
      </c>
      <c r="X297" s="21" t="s">
        <v>844</v>
      </c>
      <c r="Y297" s="21" t="s">
        <v>844</v>
      </c>
      <c r="Z297" s="21">
        <v>2</v>
      </c>
      <c r="AA297" s="21" t="s">
        <v>1840</v>
      </c>
      <c r="AB297" s="21" t="s">
        <v>1841</v>
      </c>
      <c r="AC297" s="25">
        <v>900</v>
      </c>
      <c r="AD297" s="25">
        <v>250</v>
      </c>
      <c r="AE297" s="21" t="s">
        <v>2906</v>
      </c>
      <c r="AF297" s="21" t="s">
        <v>2905</v>
      </c>
      <c r="AG297" s="35">
        <v>46250.581250000003</v>
      </c>
      <c r="AH297" s="21" t="s">
        <v>1934</v>
      </c>
      <c r="AI297" s="25">
        <v>250</v>
      </c>
      <c r="AJ297" s="21" t="s">
        <v>2198</v>
      </c>
      <c r="AK297" s="21" t="s">
        <v>1922</v>
      </c>
      <c r="AL297" s="21" t="str">
        <f>IF(AD297-AI297&gt;0,(AD297-AI297)&amp;" bags - damaged in transit","None")</f>
        <v>None</v>
      </c>
      <c r="AM297" s="21" t="s">
        <v>844</v>
      </c>
      <c r="AN297" s="21" t="s">
        <v>848</v>
      </c>
      <c r="AO297" s="21" t="s">
        <v>2877</v>
      </c>
      <c r="AP297" s="21" t="str">
        <f>IF(AO297="Pending","Not yet invoiced",IF(AI297=AD297,"Matched","Invoiced on received qty ("&amp;AI297&amp;" of "&amp;AD297&amp;")"))</f>
        <v>Matched</v>
      </c>
      <c r="AQ297" s="21" t="s">
        <v>2200</v>
      </c>
    </row>
    <row r="298" spans="1:43" x14ac:dyDescent="0.3">
      <c r="A298" s="21" t="s">
        <v>2907</v>
      </c>
      <c r="B298" s="35">
        <v>46251.666666666664</v>
      </c>
      <c r="C298" s="21" t="s">
        <v>1909</v>
      </c>
      <c r="D298" s="21" t="s">
        <v>2880</v>
      </c>
      <c r="E298" s="21" t="s">
        <v>2056</v>
      </c>
      <c r="F298" s="21" t="s">
        <v>768</v>
      </c>
      <c r="G298" s="35">
        <v>46251.786249999997</v>
      </c>
      <c r="H298" s="21" t="s">
        <v>1912</v>
      </c>
      <c r="I298" s="21" t="s">
        <v>1913</v>
      </c>
      <c r="J298" s="21" t="s">
        <v>1914</v>
      </c>
      <c r="K298" s="21" t="s">
        <v>1813</v>
      </c>
      <c r="L298" s="21" t="s">
        <v>1089</v>
      </c>
      <c r="M298" s="21" t="s">
        <v>1097</v>
      </c>
      <c r="N298" s="21" t="s">
        <v>2161</v>
      </c>
      <c r="O298" s="21" t="s">
        <v>1101</v>
      </c>
      <c r="P298" s="21" t="s">
        <v>1916</v>
      </c>
      <c r="Q298" s="21" t="s">
        <v>1213</v>
      </c>
      <c r="R298" s="21" t="s">
        <v>1227</v>
      </c>
      <c r="S298" s="21" t="s">
        <v>1127</v>
      </c>
      <c r="T298" s="21" t="s">
        <v>1917</v>
      </c>
      <c r="U298" s="21" t="s">
        <v>1711</v>
      </c>
      <c r="V298" s="21" t="str">
        <f>_xlfn.XLOOKUP(U298,'T07'!$D$3:$D$1500,'T07'!$BI$3:$BI$1500)&amp;" / "&amp;_xlfn.XLOOKUP(U298,'T07'!$D$3:$D$1500,'T07'!$BJ$3:$BJ$1500)</f>
        <v>LHR-HTV-2008-42260 / HTV</v>
      </c>
      <c r="W298" s="21" t="s">
        <v>1917</v>
      </c>
      <c r="X298" s="21" t="s">
        <v>1713</v>
      </c>
      <c r="Y298" s="21" t="s">
        <v>1991</v>
      </c>
      <c r="Z298" s="21">
        <v>1</v>
      </c>
      <c r="AA298" s="21" t="s">
        <v>1840</v>
      </c>
      <c r="AB298" s="21" t="s">
        <v>1841</v>
      </c>
      <c r="AC298" s="25">
        <v>1250</v>
      </c>
      <c r="AD298" s="25">
        <v>250</v>
      </c>
      <c r="AE298" s="21" t="s">
        <v>2908</v>
      </c>
      <c r="AF298" s="21" t="s">
        <v>2909</v>
      </c>
      <c r="AG298" s="35">
        <v>46251.806249999994</v>
      </c>
      <c r="AH298" s="21" t="s">
        <v>1934</v>
      </c>
      <c r="AI298" s="25">
        <v>250</v>
      </c>
      <c r="AJ298" s="21" t="s">
        <v>2164</v>
      </c>
      <c r="AK298" s="21" t="s">
        <v>1922</v>
      </c>
      <c r="AL298" s="21" t="str">
        <f>IF(AD298-AI298&gt;0,(AD298-AI298)&amp;" bags - damaged in transit","None")</f>
        <v>None</v>
      </c>
      <c r="AM298" s="21" t="s">
        <v>844</v>
      </c>
      <c r="AN298" s="21" t="s">
        <v>848</v>
      </c>
      <c r="AO298" s="21" t="s">
        <v>2883</v>
      </c>
      <c r="AP298" s="21" t="str">
        <f>IF(AO298="Pending","Not yet invoiced",IF(AI298=AD298,"Matched","Invoiced on received qty ("&amp;AI298&amp;" of "&amp;AD298&amp;")"))</f>
        <v>Matched</v>
      </c>
      <c r="AQ298" s="21" t="s">
        <v>2900</v>
      </c>
    </row>
    <row r="299" spans="1:43" x14ac:dyDescent="0.3">
      <c r="A299" s="21" t="s">
        <v>2907</v>
      </c>
      <c r="B299" s="35">
        <v>46251.666666666664</v>
      </c>
      <c r="C299" s="21" t="s">
        <v>1909</v>
      </c>
      <c r="D299" s="21" t="s">
        <v>2880</v>
      </c>
      <c r="E299" s="21" t="s">
        <v>1911</v>
      </c>
      <c r="F299" s="21" t="s">
        <v>768</v>
      </c>
      <c r="G299" s="35">
        <v>46251.786249999997</v>
      </c>
      <c r="H299" s="21" t="s">
        <v>1912</v>
      </c>
      <c r="I299" s="21" t="s">
        <v>1913</v>
      </c>
      <c r="J299" s="21" t="s">
        <v>1914</v>
      </c>
      <c r="K299" s="21" t="s">
        <v>1813</v>
      </c>
      <c r="L299" s="21" t="s">
        <v>1089</v>
      </c>
      <c r="M299" s="21" t="s">
        <v>1097</v>
      </c>
      <c r="N299" s="21" t="s">
        <v>2161</v>
      </c>
      <c r="O299" s="21" t="s">
        <v>1101</v>
      </c>
      <c r="P299" s="21" t="s">
        <v>1916</v>
      </c>
      <c r="Q299" s="21" t="s">
        <v>1213</v>
      </c>
      <c r="R299" s="21" t="s">
        <v>1227</v>
      </c>
      <c r="S299" s="21" t="s">
        <v>1127</v>
      </c>
      <c r="T299" s="21" t="s">
        <v>1917</v>
      </c>
      <c r="U299" s="21" t="s">
        <v>1711</v>
      </c>
      <c r="V299" s="21" t="str">
        <f>_xlfn.XLOOKUP(U299,'T07'!$D$3:$D$1500,'T07'!$BI$3:$BI$1500)&amp;" / "&amp;_xlfn.XLOOKUP(U299,'T07'!$D$3:$D$1500,'T07'!$BJ$3:$BJ$1500)</f>
        <v>LHR-HTV-2008-42260 / HTV</v>
      </c>
      <c r="W299" s="21" t="s">
        <v>1917</v>
      </c>
      <c r="X299" s="21" t="s">
        <v>1713</v>
      </c>
      <c r="Y299" s="21" t="s">
        <v>1991</v>
      </c>
      <c r="Z299" s="21">
        <v>2</v>
      </c>
      <c r="AA299" s="21" t="s">
        <v>1826</v>
      </c>
      <c r="AB299" s="21" t="s">
        <v>1804</v>
      </c>
      <c r="AC299" s="25">
        <v>750</v>
      </c>
      <c r="AD299" s="25">
        <v>250</v>
      </c>
      <c r="AE299" s="21" t="s">
        <v>2910</v>
      </c>
      <c r="AF299" s="21" t="s">
        <v>2909</v>
      </c>
      <c r="AG299" s="35">
        <v>46251.806249999994</v>
      </c>
      <c r="AH299" s="21" t="s">
        <v>1934</v>
      </c>
      <c r="AI299" s="25">
        <v>250</v>
      </c>
      <c r="AJ299" s="21" t="s">
        <v>2164</v>
      </c>
      <c r="AK299" s="21" t="s">
        <v>1922</v>
      </c>
      <c r="AL299" s="21" t="str">
        <f>IF(AD299-AI299&gt;0,(AD299-AI299)&amp;" bags - damaged in transit","None")</f>
        <v>None</v>
      </c>
      <c r="AM299" s="21" t="s">
        <v>844</v>
      </c>
      <c r="AN299" s="21" t="s">
        <v>848</v>
      </c>
      <c r="AO299" s="21" t="s">
        <v>2883</v>
      </c>
      <c r="AP299" s="21" t="str">
        <f>IF(AO299="Pending","Not yet invoiced",IF(AI299=AD299,"Matched","Invoiced on received qty ("&amp;AI299&amp;" of "&amp;AD299&amp;")"))</f>
        <v>Matched</v>
      </c>
      <c r="AQ299" s="21" t="s">
        <v>2900</v>
      </c>
    </row>
    <row r="300" spans="1:43" x14ac:dyDescent="0.3">
      <c r="A300" s="21" t="s">
        <v>2911</v>
      </c>
      <c r="B300" s="35">
        <v>46252.25</v>
      </c>
      <c r="C300" s="21" t="s">
        <v>1909</v>
      </c>
      <c r="D300" s="21" t="s">
        <v>2873</v>
      </c>
      <c r="E300" s="21" t="s">
        <v>2056</v>
      </c>
      <c r="F300" s="21" t="s">
        <v>768</v>
      </c>
      <c r="G300" s="35">
        <v>46252.35291666667</v>
      </c>
      <c r="H300" s="21" t="s">
        <v>2188</v>
      </c>
      <c r="I300" s="21" t="s">
        <v>1913</v>
      </c>
      <c r="J300" s="21" t="s">
        <v>1914</v>
      </c>
      <c r="K300" s="21" t="s">
        <v>1857</v>
      </c>
      <c r="L300" s="21" t="s">
        <v>1115</v>
      </c>
      <c r="M300" s="21" t="s">
        <v>1121</v>
      </c>
      <c r="N300" s="21" t="s">
        <v>2189</v>
      </c>
      <c r="O300" s="21" t="s">
        <v>1125</v>
      </c>
      <c r="P300" s="21" t="s">
        <v>2190</v>
      </c>
      <c r="Q300" s="21" t="s">
        <v>1118</v>
      </c>
      <c r="R300" s="21" t="s">
        <v>2912</v>
      </c>
      <c r="S300" s="21" t="s">
        <v>1127</v>
      </c>
      <c r="T300" s="21" t="s">
        <v>2192</v>
      </c>
      <c r="U300" s="21" t="s">
        <v>2220</v>
      </c>
      <c r="V300" s="21" t="s">
        <v>2194</v>
      </c>
      <c r="W300" s="21" t="s">
        <v>2195</v>
      </c>
      <c r="X300" s="21" t="s">
        <v>844</v>
      </c>
      <c r="Y300" s="21" t="s">
        <v>844</v>
      </c>
      <c r="Z300" s="21">
        <v>1</v>
      </c>
      <c r="AA300" s="21" t="s">
        <v>1840</v>
      </c>
      <c r="AB300" s="21" t="s">
        <v>1841</v>
      </c>
      <c r="AC300" s="25">
        <v>650</v>
      </c>
      <c r="AD300" s="25">
        <v>100</v>
      </c>
      <c r="AE300" s="21" t="s">
        <v>2913</v>
      </c>
      <c r="AF300" s="21" t="s">
        <v>2914</v>
      </c>
      <c r="AG300" s="35">
        <v>46252.372916666667</v>
      </c>
      <c r="AH300" s="21" t="s">
        <v>1934</v>
      </c>
      <c r="AI300" s="25">
        <v>100</v>
      </c>
      <c r="AJ300" s="21" t="s">
        <v>2198</v>
      </c>
      <c r="AK300" s="21" t="s">
        <v>1922</v>
      </c>
      <c r="AL300" s="21" t="str">
        <f>IF(AD300-AI300&gt;0,(AD300-AI300)&amp;" bags - damaged in transit","None")</f>
        <v>None</v>
      </c>
      <c r="AM300" s="21" t="s">
        <v>844</v>
      </c>
      <c r="AN300" s="21" t="s">
        <v>848</v>
      </c>
      <c r="AO300" s="21" t="s">
        <v>2877</v>
      </c>
      <c r="AP300" s="21" t="str">
        <f>IF(AO300="Pending","Not yet invoiced",IF(AI300=AD300,"Matched","Invoiced on received qty ("&amp;AI300&amp;" of "&amp;AD300&amp;")"))</f>
        <v>Matched</v>
      </c>
      <c r="AQ300" s="21" t="s">
        <v>2200</v>
      </c>
    </row>
    <row r="301" spans="1:43" x14ac:dyDescent="0.3">
      <c r="A301" s="21" t="s">
        <v>2911</v>
      </c>
      <c r="B301" s="35">
        <v>46252.25</v>
      </c>
      <c r="C301" s="21" t="s">
        <v>1909</v>
      </c>
      <c r="D301" s="21" t="s">
        <v>2873</v>
      </c>
      <c r="E301" s="21" t="s">
        <v>1911</v>
      </c>
      <c r="F301" s="21" t="s">
        <v>768</v>
      </c>
      <c r="G301" s="35">
        <v>46252.35291666667</v>
      </c>
      <c r="H301" s="21" t="s">
        <v>2188</v>
      </c>
      <c r="I301" s="21" t="s">
        <v>1913</v>
      </c>
      <c r="J301" s="21" t="s">
        <v>1914</v>
      </c>
      <c r="K301" s="21" t="s">
        <v>1857</v>
      </c>
      <c r="L301" s="21" t="s">
        <v>1115</v>
      </c>
      <c r="M301" s="21" t="s">
        <v>1121</v>
      </c>
      <c r="N301" s="21" t="s">
        <v>2189</v>
      </c>
      <c r="O301" s="21" t="s">
        <v>1125</v>
      </c>
      <c r="P301" s="21" t="s">
        <v>2190</v>
      </c>
      <c r="Q301" s="21" t="s">
        <v>1118</v>
      </c>
      <c r="R301" s="21" t="s">
        <v>2912</v>
      </c>
      <c r="S301" s="21" t="s">
        <v>1127</v>
      </c>
      <c r="T301" s="21" t="s">
        <v>2192</v>
      </c>
      <c r="U301" s="21" t="s">
        <v>2220</v>
      </c>
      <c r="V301" s="21" t="s">
        <v>2194</v>
      </c>
      <c r="W301" s="21" t="s">
        <v>2195</v>
      </c>
      <c r="X301" s="21" t="s">
        <v>844</v>
      </c>
      <c r="Y301" s="21" t="s">
        <v>844</v>
      </c>
      <c r="Z301" s="21">
        <v>2</v>
      </c>
      <c r="AA301" s="21" t="s">
        <v>1808</v>
      </c>
      <c r="AB301" s="21" t="s">
        <v>1804</v>
      </c>
      <c r="AC301" s="25">
        <v>650</v>
      </c>
      <c r="AD301" s="25">
        <v>100</v>
      </c>
      <c r="AE301" s="21" t="s">
        <v>2915</v>
      </c>
      <c r="AF301" s="21" t="s">
        <v>2914</v>
      </c>
      <c r="AG301" s="35">
        <v>46252.372916666667</v>
      </c>
      <c r="AH301" s="21" t="s">
        <v>1934</v>
      </c>
      <c r="AI301" s="25">
        <v>97</v>
      </c>
      <c r="AJ301" s="21" t="s">
        <v>2198</v>
      </c>
      <c r="AK301" s="21" t="s">
        <v>1922</v>
      </c>
      <c r="AL301" s="21" t="str">
        <f>IF(AD301-AI301&gt;0,(AD301-AI301)&amp;" bags - damaged in transit","None")</f>
        <v>3 bags - damaged in transit</v>
      </c>
      <c r="AM301" s="21" t="s">
        <v>2916</v>
      </c>
      <c r="AN301" s="21" t="s">
        <v>2917</v>
      </c>
      <c r="AO301" s="21" t="s">
        <v>2877</v>
      </c>
      <c r="AP301" s="21" t="str">
        <f>IF(AO301="Pending","Not yet invoiced",IF(AI301=AD301,"Matched","Invoiced on received qty ("&amp;AI301&amp;" of "&amp;AD301&amp;")"))</f>
        <v>Invoiced on received qty (97 of 100)</v>
      </c>
      <c r="AQ301" s="21" t="s">
        <v>2200</v>
      </c>
    </row>
    <row r="302" spans="1:43" x14ac:dyDescent="0.3">
      <c r="A302" s="21" t="s">
        <v>2918</v>
      </c>
      <c r="B302" s="35">
        <v>46256.583333333336</v>
      </c>
      <c r="C302" s="21" t="s">
        <v>1909</v>
      </c>
      <c r="D302" s="21" t="s">
        <v>2873</v>
      </c>
      <c r="E302" s="21" t="s">
        <v>1927</v>
      </c>
      <c r="F302" s="21" t="s">
        <v>768</v>
      </c>
      <c r="G302" s="35">
        <v>46256.686250000006</v>
      </c>
      <c r="H302" s="21" t="s">
        <v>2188</v>
      </c>
      <c r="I302" s="21" t="s">
        <v>1913</v>
      </c>
      <c r="J302" s="21" t="s">
        <v>1914</v>
      </c>
      <c r="K302" s="21" t="s">
        <v>1857</v>
      </c>
      <c r="L302" s="21" t="s">
        <v>1115</v>
      </c>
      <c r="M302" s="21" t="s">
        <v>1121</v>
      </c>
      <c r="N302" s="21" t="s">
        <v>2189</v>
      </c>
      <c r="O302" s="21" t="s">
        <v>1125</v>
      </c>
      <c r="P302" s="21" t="s">
        <v>2190</v>
      </c>
      <c r="Q302" s="21" t="s">
        <v>1118</v>
      </c>
      <c r="R302" s="21" t="s">
        <v>2919</v>
      </c>
      <c r="S302" s="21" t="s">
        <v>1127</v>
      </c>
      <c r="T302" s="21" t="s">
        <v>2192</v>
      </c>
      <c r="U302" s="21" t="s">
        <v>2193</v>
      </c>
      <c r="V302" s="21" t="s">
        <v>2194</v>
      </c>
      <c r="W302" s="21" t="s">
        <v>2195</v>
      </c>
      <c r="X302" s="21" t="s">
        <v>844</v>
      </c>
      <c r="Y302" s="21" t="s">
        <v>844</v>
      </c>
      <c r="Z302" s="21">
        <v>1</v>
      </c>
      <c r="AA302" s="21" t="s">
        <v>1808</v>
      </c>
      <c r="AB302" s="21" t="s">
        <v>1804</v>
      </c>
      <c r="AC302" s="25">
        <v>550</v>
      </c>
      <c r="AD302" s="25">
        <v>250</v>
      </c>
      <c r="AE302" s="21" t="s">
        <v>2920</v>
      </c>
      <c r="AF302" s="21" t="s">
        <v>2921</v>
      </c>
      <c r="AG302" s="35">
        <v>46256.706250000003</v>
      </c>
      <c r="AH302" s="21" t="s">
        <v>1934</v>
      </c>
      <c r="AI302" s="25">
        <v>250</v>
      </c>
      <c r="AJ302" s="21" t="s">
        <v>2198</v>
      </c>
      <c r="AK302" s="21" t="s">
        <v>1922</v>
      </c>
      <c r="AL302" s="21" t="str">
        <f>IF(AD302-AI302&gt;0,(AD302-AI302)&amp;" bags - damaged in transit","None")</f>
        <v>None</v>
      </c>
      <c r="AM302" s="21" t="s">
        <v>844</v>
      </c>
      <c r="AN302" s="21" t="s">
        <v>848</v>
      </c>
      <c r="AO302" s="21" t="s">
        <v>2877</v>
      </c>
      <c r="AP302" s="21" t="str">
        <f>IF(AO302="Pending","Not yet invoiced",IF(AI302=AD302,"Matched","Invoiced on received qty ("&amp;AI302&amp;" of "&amp;AD302&amp;")"))</f>
        <v>Matched</v>
      </c>
      <c r="AQ302" s="21" t="s">
        <v>2200</v>
      </c>
    </row>
    <row r="303" spans="1:43" x14ac:dyDescent="0.3">
      <c r="A303" s="21" t="s">
        <v>2918</v>
      </c>
      <c r="B303" s="35">
        <v>46256.583333333336</v>
      </c>
      <c r="C303" s="21" t="s">
        <v>1909</v>
      </c>
      <c r="D303" s="21" t="s">
        <v>2873</v>
      </c>
      <c r="E303" s="21" t="s">
        <v>1927</v>
      </c>
      <c r="F303" s="21" t="s">
        <v>768</v>
      </c>
      <c r="G303" s="35">
        <v>46256.686250000006</v>
      </c>
      <c r="H303" s="21" t="s">
        <v>2188</v>
      </c>
      <c r="I303" s="21" t="s">
        <v>1913</v>
      </c>
      <c r="J303" s="21" t="s">
        <v>1914</v>
      </c>
      <c r="K303" s="21" t="s">
        <v>1857</v>
      </c>
      <c r="L303" s="21" t="s">
        <v>1115</v>
      </c>
      <c r="M303" s="21" t="s">
        <v>1121</v>
      </c>
      <c r="N303" s="21" t="s">
        <v>2189</v>
      </c>
      <c r="O303" s="21" t="s">
        <v>1125</v>
      </c>
      <c r="P303" s="21" t="s">
        <v>2190</v>
      </c>
      <c r="Q303" s="21" t="s">
        <v>1118</v>
      </c>
      <c r="R303" s="21" t="s">
        <v>2919</v>
      </c>
      <c r="S303" s="21" t="s">
        <v>1127</v>
      </c>
      <c r="T303" s="21" t="s">
        <v>2192</v>
      </c>
      <c r="U303" s="21" t="s">
        <v>2193</v>
      </c>
      <c r="V303" s="21" t="s">
        <v>2194</v>
      </c>
      <c r="W303" s="21" t="s">
        <v>2195</v>
      </c>
      <c r="X303" s="21" t="s">
        <v>844</v>
      </c>
      <c r="Y303" s="21" t="s">
        <v>844</v>
      </c>
      <c r="Z303" s="21">
        <v>2</v>
      </c>
      <c r="AA303" s="21" t="s">
        <v>1840</v>
      </c>
      <c r="AB303" s="21" t="s">
        <v>1841</v>
      </c>
      <c r="AC303" s="25">
        <v>550</v>
      </c>
      <c r="AD303" s="25">
        <v>250</v>
      </c>
      <c r="AE303" s="21" t="s">
        <v>2922</v>
      </c>
      <c r="AF303" s="21" t="s">
        <v>2921</v>
      </c>
      <c r="AG303" s="35">
        <v>46256.706250000003</v>
      </c>
      <c r="AH303" s="21" t="s">
        <v>1934</v>
      </c>
      <c r="AI303" s="25">
        <v>250</v>
      </c>
      <c r="AJ303" s="21" t="s">
        <v>2198</v>
      </c>
      <c r="AK303" s="21" t="s">
        <v>1922</v>
      </c>
      <c r="AL303" s="21" t="str">
        <f>IF(AD303-AI303&gt;0,(AD303-AI303)&amp;" bags - damaged in transit","None")</f>
        <v>None</v>
      </c>
      <c r="AM303" s="21" t="s">
        <v>844</v>
      </c>
      <c r="AN303" s="21" t="s">
        <v>848</v>
      </c>
      <c r="AO303" s="21" t="s">
        <v>2877</v>
      </c>
      <c r="AP303" s="21" t="str">
        <f>IF(AO303="Pending","Not yet invoiced",IF(AI303=AD303,"Matched","Invoiced on received qty ("&amp;AI303&amp;" of "&amp;AD303&amp;")"))</f>
        <v>Matched</v>
      </c>
      <c r="AQ303" s="21" t="s">
        <v>2200</v>
      </c>
    </row>
    <row r="304" spans="1:43" x14ac:dyDescent="0.3">
      <c r="A304" s="21" t="s">
        <v>2923</v>
      </c>
      <c r="B304" s="35">
        <v>46259.541666666664</v>
      </c>
      <c r="C304" s="21" t="s">
        <v>1909</v>
      </c>
      <c r="D304" s="21" t="s">
        <v>2880</v>
      </c>
      <c r="E304" s="21" t="s">
        <v>2056</v>
      </c>
      <c r="F304" s="21" t="s">
        <v>768</v>
      </c>
      <c r="G304" s="35">
        <v>46259.661249999997</v>
      </c>
      <c r="H304" s="21" t="s">
        <v>1912</v>
      </c>
      <c r="I304" s="21" t="s">
        <v>1913</v>
      </c>
      <c r="J304" s="21" t="s">
        <v>1914</v>
      </c>
      <c r="K304" s="21" t="s">
        <v>1813</v>
      </c>
      <c r="L304" s="21" t="s">
        <v>1089</v>
      </c>
      <c r="M304" s="21" t="s">
        <v>1097</v>
      </c>
      <c r="N304" s="21" t="s">
        <v>2161</v>
      </c>
      <c r="O304" s="21" t="s">
        <v>1101</v>
      </c>
      <c r="P304" s="21" t="s">
        <v>1916</v>
      </c>
      <c r="Q304" s="21" t="s">
        <v>1278</v>
      </c>
      <c r="R304" s="21" t="s">
        <v>1332</v>
      </c>
      <c r="S304" s="21" t="s">
        <v>1127</v>
      </c>
      <c r="T304" s="21" t="s">
        <v>1917</v>
      </c>
      <c r="U304" s="21" t="s">
        <v>1739</v>
      </c>
      <c r="V304" s="21" t="str">
        <f>_xlfn.XLOOKUP(U304,'T07'!$D$3:$D$1500,'T07'!$BI$3:$BI$1500)&amp;" / "&amp;_xlfn.XLOOKUP(U304,'T07'!$D$3:$D$1500,'T07'!$BJ$3:$BJ$1500)</f>
        <v>LHR-HTV-2020-13470 / HTV</v>
      </c>
      <c r="W304" s="21" t="s">
        <v>1917</v>
      </c>
      <c r="X304" s="21" t="s">
        <v>1742</v>
      </c>
      <c r="Y304" s="21" t="s">
        <v>1931</v>
      </c>
      <c r="Z304" s="21">
        <v>1</v>
      </c>
      <c r="AA304" s="21" t="s">
        <v>1840</v>
      </c>
      <c r="AB304" s="21" t="s">
        <v>1841</v>
      </c>
      <c r="AC304" s="25">
        <v>1000</v>
      </c>
      <c r="AD304" s="25">
        <v>500</v>
      </c>
      <c r="AE304" s="21" t="s">
        <v>2924</v>
      </c>
      <c r="AF304" s="21" t="s">
        <v>2925</v>
      </c>
      <c r="AG304" s="35">
        <v>46259.681249999994</v>
      </c>
      <c r="AH304" s="21" t="s">
        <v>1934</v>
      </c>
      <c r="AI304" s="25">
        <v>500</v>
      </c>
      <c r="AJ304" s="21" t="s">
        <v>2164</v>
      </c>
      <c r="AK304" s="21" t="s">
        <v>1922</v>
      </c>
      <c r="AL304" s="21" t="str">
        <f>IF(AD304-AI304&gt;0,(AD304-AI304)&amp;" bags - damaged in transit","None")</f>
        <v>None</v>
      </c>
      <c r="AM304" s="21" t="s">
        <v>844</v>
      </c>
      <c r="AN304" s="21" t="s">
        <v>848</v>
      </c>
      <c r="AO304" s="21" t="s">
        <v>2883</v>
      </c>
      <c r="AP304" s="21" t="str">
        <f>IF(AO304="Pending","Not yet invoiced",IF(AI304=AD304,"Matched","Invoiced on received qty ("&amp;AI304&amp;" of "&amp;AD304&amp;")"))</f>
        <v>Matched</v>
      </c>
      <c r="AQ304" s="21" t="s">
        <v>2884</v>
      </c>
    </row>
    <row r="305" spans="1:43" x14ac:dyDescent="0.3">
      <c r="A305" s="21" t="s">
        <v>2926</v>
      </c>
      <c r="B305" s="35">
        <v>46266.625</v>
      </c>
      <c r="C305" s="21" t="s">
        <v>1909</v>
      </c>
      <c r="D305" s="21" t="s">
        <v>2927</v>
      </c>
      <c r="E305" s="21" t="s">
        <v>1911</v>
      </c>
      <c r="F305" s="21" t="s">
        <v>768</v>
      </c>
      <c r="G305" s="35">
        <v>46266.775833333333</v>
      </c>
      <c r="H305" s="21" t="s">
        <v>1912</v>
      </c>
      <c r="I305" s="21" t="s">
        <v>1913</v>
      </c>
      <c r="J305" s="21" t="s">
        <v>1914</v>
      </c>
      <c r="K305" s="21" t="s">
        <v>1870</v>
      </c>
      <c r="L305" s="21" t="s">
        <v>1045</v>
      </c>
      <c r="M305" s="21" t="s">
        <v>1871</v>
      </c>
      <c r="N305" s="21" t="s">
        <v>2354</v>
      </c>
      <c r="O305" s="21" t="s">
        <v>2355</v>
      </c>
      <c r="P305" s="21" t="s">
        <v>1930</v>
      </c>
      <c r="Q305" s="21" t="s">
        <v>1278</v>
      </c>
      <c r="R305" s="21" t="s">
        <v>1302</v>
      </c>
      <c r="S305" s="21" t="s">
        <v>1127</v>
      </c>
      <c r="T305" s="21" t="s">
        <v>1917</v>
      </c>
      <c r="U305" s="21" t="s">
        <v>1711</v>
      </c>
      <c r="V305" s="21" t="str">
        <f>_xlfn.XLOOKUP(U305,'T07'!$D$3:$D$1500,'T07'!$BI$3:$BI$1500)&amp;" / "&amp;_xlfn.XLOOKUP(U305,'T07'!$D$3:$D$1500,'T07'!$BJ$3:$BJ$1500)</f>
        <v>LHR-HTV-2008-42260 / HTV</v>
      </c>
      <c r="W305" s="21" t="s">
        <v>1917</v>
      </c>
      <c r="X305" s="21" t="s">
        <v>1713</v>
      </c>
      <c r="Y305" s="21" t="s">
        <v>2086</v>
      </c>
      <c r="Z305" s="21">
        <v>1</v>
      </c>
      <c r="AA305" s="21" t="s">
        <v>1808</v>
      </c>
      <c r="AB305" s="21" t="s">
        <v>1804</v>
      </c>
      <c r="AC305" s="25">
        <v>4500</v>
      </c>
      <c r="AD305" s="25">
        <v>500</v>
      </c>
      <c r="AE305" s="21" t="s">
        <v>2928</v>
      </c>
      <c r="AF305" s="21" t="s">
        <v>2929</v>
      </c>
      <c r="AG305" s="35">
        <v>46266.79583333333</v>
      </c>
      <c r="AH305" s="21" t="s">
        <v>1934</v>
      </c>
      <c r="AI305" s="25">
        <v>500</v>
      </c>
      <c r="AJ305" s="21" t="s">
        <v>1046</v>
      </c>
      <c r="AK305" s="21" t="s">
        <v>1922</v>
      </c>
      <c r="AL305" s="21" t="str">
        <f>IF(AD305-AI305&gt;0,(AD305-AI305)&amp;" bags - damaged in transit","None")</f>
        <v>None</v>
      </c>
      <c r="AM305" s="21" t="s">
        <v>844</v>
      </c>
      <c r="AN305" s="21" t="s">
        <v>848</v>
      </c>
      <c r="AO305" s="21" t="s">
        <v>2930</v>
      </c>
      <c r="AP305" s="21" t="str">
        <f>IF(AO305="Pending","Not yet invoiced",IF(AI305=AD305,"Matched","Invoiced on received qty ("&amp;AI305&amp;" of "&amp;AD305&amp;")"))</f>
        <v>Matched</v>
      </c>
      <c r="AQ305" s="21" t="s">
        <v>2931</v>
      </c>
    </row>
    <row r="306" spans="1:43" x14ac:dyDescent="0.3">
      <c r="A306" s="21" t="s">
        <v>2932</v>
      </c>
      <c r="B306" s="35">
        <v>46271.458333333336</v>
      </c>
      <c r="C306" s="21" t="s">
        <v>1909</v>
      </c>
      <c r="D306" s="21" t="s">
        <v>2927</v>
      </c>
      <c r="E306" s="21" t="s">
        <v>1911</v>
      </c>
      <c r="F306" s="21" t="s">
        <v>768</v>
      </c>
      <c r="G306" s="35">
        <v>46271.609166666669</v>
      </c>
      <c r="H306" s="21" t="s">
        <v>1912</v>
      </c>
      <c r="I306" s="21" t="s">
        <v>1913</v>
      </c>
      <c r="J306" s="21" t="s">
        <v>1914</v>
      </c>
      <c r="K306" s="21" t="s">
        <v>1870</v>
      </c>
      <c r="L306" s="21" t="s">
        <v>1045</v>
      </c>
      <c r="M306" s="21" t="s">
        <v>1871</v>
      </c>
      <c r="N306" s="21" t="s">
        <v>2354</v>
      </c>
      <c r="O306" s="21" t="s">
        <v>2355</v>
      </c>
      <c r="P306" s="21" t="s">
        <v>1930</v>
      </c>
      <c r="Q306" s="21" t="s">
        <v>1278</v>
      </c>
      <c r="R306" s="21" t="s">
        <v>1332</v>
      </c>
      <c r="S306" s="21" t="s">
        <v>1127</v>
      </c>
      <c r="T306" s="21" t="s">
        <v>1917</v>
      </c>
      <c r="U306" s="21" t="s">
        <v>1677</v>
      </c>
      <c r="V306" s="21" t="str">
        <f>_xlfn.XLOOKUP(U306,'T07'!$D$3:$D$1500,'T07'!$BI$3:$BI$1500)&amp;" / "&amp;_xlfn.XLOOKUP(U306,'T07'!$D$3:$D$1500,'T07'!$BJ$3:$BJ$1500)</f>
        <v>LHR-HTV-2010-55907 / HTV</v>
      </c>
      <c r="W306" s="21" t="s">
        <v>1917</v>
      </c>
      <c r="X306" s="21" t="s">
        <v>1679</v>
      </c>
      <c r="Y306" s="21" t="s">
        <v>1931</v>
      </c>
      <c r="Z306" s="21">
        <v>1</v>
      </c>
      <c r="AA306" s="21" t="s">
        <v>1808</v>
      </c>
      <c r="AB306" s="21" t="s">
        <v>1804</v>
      </c>
      <c r="AC306" s="25">
        <v>4000</v>
      </c>
      <c r="AD306" s="25">
        <v>500</v>
      </c>
      <c r="AE306" s="21" t="s">
        <v>2933</v>
      </c>
      <c r="AF306" s="21" t="s">
        <v>2934</v>
      </c>
      <c r="AG306" s="35">
        <v>46271.629166666666</v>
      </c>
      <c r="AH306" s="21" t="s">
        <v>1934</v>
      </c>
      <c r="AI306" s="25">
        <v>500</v>
      </c>
      <c r="AJ306" s="21" t="s">
        <v>1046</v>
      </c>
      <c r="AK306" s="21" t="s">
        <v>1922</v>
      </c>
      <c r="AL306" s="21" t="str">
        <f>IF(AD306-AI306&gt;0,(AD306-AI306)&amp;" bags - damaged in transit","None")</f>
        <v>None</v>
      </c>
      <c r="AM306" s="21" t="s">
        <v>844</v>
      </c>
      <c r="AN306" s="21" t="s">
        <v>848</v>
      </c>
      <c r="AO306" s="21" t="s">
        <v>2930</v>
      </c>
      <c r="AP306" s="21" t="str">
        <f>IF(AO306="Pending","Not yet invoiced",IF(AI306=AD306,"Matched","Invoiced on received qty ("&amp;AI306&amp;" of "&amp;AD306&amp;")"))</f>
        <v>Matched</v>
      </c>
      <c r="AQ306" s="21" t="s">
        <v>2931</v>
      </c>
    </row>
    <row r="307" spans="1:43" x14ac:dyDescent="0.3">
      <c r="A307" s="21" t="s">
        <v>2935</v>
      </c>
      <c r="B307" s="35">
        <v>46273.5</v>
      </c>
      <c r="C307" s="21" t="s">
        <v>1909</v>
      </c>
      <c r="D307" s="21" t="s">
        <v>2927</v>
      </c>
      <c r="E307" s="21" t="s">
        <v>1911</v>
      </c>
      <c r="F307" s="21" t="s">
        <v>768</v>
      </c>
      <c r="G307" s="35">
        <v>46273.650833333333</v>
      </c>
      <c r="H307" s="21" t="s">
        <v>1912</v>
      </c>
      <c r="I307" s="21" t="s">
        <v>1913</v>
      </c>
      <c r="J307" s="21" t="s">
        <v>1914</v>
      </c>
      <c r="K307" s="21" t="s">
        <v>1870</v>
      </c>
      <c r="L307" s="21" t="s">
        <v>1045</v>
      </c>
      <c r="M307" s="21" t="s">
        <v>1871</v>
      </c>
      <c r="N307" s="21" t="s">
        <v>2354</v>
      </c>
      <c r="O307" s="21" t="s">
        <v>2355</v>
      </c>
      <c r="P307" s="21" t="s">
        <v>1930</v>
      </c>
      <c r="Q307" s="21" t="s">
        <v>1278</v>
      </c>
      <c r="R307" s="21" t="s">
        <v>1287</v>
      </c>
      <c r="S307" s="21" t="s">
        <v>1104</v>
      </c>
      <c r="T307" s="21" t="s">
        <v>1917</v>
      </c>
      <c r="U307" s="21" t="s">
        <v>1753</v>
      </c>
      <c r="V307" s="21" t="str">
        <f>_xlfn.XLOOKUP(U307,'T07'!$D$3:$D$1500,'T07'!$BI$3:$BI$1500)&amp;" / "&amp;_xlfn.XLOOKUP(U307,'T07'!$D$3:$D$1500,'T07'!$BJ$3:$BJ$1500)</f>
        <v>LHR-HTV-2009-86678 / HTV</v>
      </c>
      <c r="W307" s="21" t="s">
        <v>1917</v>
      </c>
      <c r="X307" s="21" t="s">
        <v>1755</v>
      </c>
      <c r="Y307" s="21" t="s">
        <v>2130</v>
      </c>
      <c r="Z307" s="21">
        <v>1</v>
      </c>
      <c r="AA307" s="21" t="s">
        <v>1808</v>
      </c>
      <c r="AB307" s="21" t="s">
        <v>1804</v>
      </c>
      <c r="AC307" s="25">
        <v>3500</v>
      </c>
      <c r="AD307" s="25">
        <v>1000</v>
      </c>
      <c r="AE307" s="21" t="s">
        <v>2936</v>
      </c>
      <c r="AF307" s="21" t="s">
        <v>2937</v>
      </c>
      <c r="AG307" s="35">
        <v>46273.67083333333</v>
      </c>
      <c r="AH307" s="21" t="s">
        <v>1983</v>
      </c>
      <c r="AI307" s="25">
        <v>1000</v>
      </c>
      <c r="AJ307" s="21" t="s">
        <v>1046</v>
      </c>
      <c r="AK307" s="21" t="s">
        <v>1922</v>
      </c>
      <c r="AL307" s="21" t="str">
        <f>IF(AD307-AI307&gt;0,(AD307-AI307)&amp;" bags - damaged in transit","None")</f>
        <v>None</v>
      </c>
      <c r="AM307" s="21" t="s">
        <v>844</v>
      </c>
      <c r="AN307" s="21" t="s">
        <v>848</v>
      </c>
      <c r="AO307" s="21" t="s">
        <v>2930</v>
      </c>
      <c r="AP307" s="21" t="str">
        <f>IF(AO307="Pending","Not yet invoiced",IF(AI307=AD307,"Matched","Invoiced on received qty ("&amp;AI307&amp;" of "&amp;AD307&amp;")"))</f>
        <v>Matched</v>
      </c>
      <c r="AQ307" s="21" t="s">
        <v>2931</v>
      </c>
    </row>
    <row r="308" spans="1:43" x14ac:dyDescent="0.3">
      <c r="A308" s="21" t="s">
        <v>2938</v>
      </c>
      <c r="B308" s="35">
        <v>46277.541666666664</v>
      </c>
      <c r="C308" s="21" t="s">
        <v>1909</v>
      </c>
      <c r="D308" s="21" t="s">
        <v>2927</v>
      </c>
      <c r="E308" s="21" t="s">
        <v>1911</v>
      </c>
      <c r="F308" s="21" t="s">
        <v>768</v>
      </c>
      <c r="G308" s="35">
        <v>46277.692499999997</v>
      </c>
      <c r="H308" s="21" t="s">
        <v>1912</v>
      </c>
      <c r="I308" s="21" t="s">
        <v>1913</v>
      </c>
      <c r="J308" s="21" t="s">
        <v>1914</v>
      </c>
      <c r="K308" s="21" t="s">
        <v>1870</v>
      </c>
      <c r="L308" s="21" t="s">
        <v>1045</v>
      </c>
      <c r="M308" s="21" t="s">
        <v>1871</v>
      </c>
      <c r="N308" s="21" t="s">
        <v>2354</v>
      </c>
      <c r="O308" s="21" t="s">
        <v>2355</v>
      </c>
      <c r="P308" s="21" t="s">
        <v>1930</v>
      </c>
      <c r="Q308" s="21" t="s">
        <v>1278</v>
      </c>
      <c r="R308" s="21" t="s">
        <v>1287</v>
      </c>
      <c r="S308" s="21" t="s">
        <v>1104</v>
      </c>
      <c r="T308" s="21" t="s">
        <v>1917</v>
      </c>
      <c r="U308" s="21" t="s">
        <v>1739</v>
      </c>
      <c r="V308" s="21" t="str">
        <f>_xlfn.XLOOKUP(U308,'T07'!$D$3:$D$1500,'T07'!$BI$3:$BI$1500)&amp;" / "&amp;_xlfn.XLOOKUP(U308,'T07'!$D$3:$D$1500,'T07'!$BJ$3:$BJ$1500)</f>
        <v>LHR-HTV-2020-13470 / HTV</v>
      </c>
      <c r="W308" s="21" t="s">
        <v>1917</v>
      </c>
      <c r="X308" s="21" t="s">
        <v>1742</v>
      </c>
      <c r="Y308" s="21" t="s">
        <v>2130</v>
      </c>
      <c r="Z308" s="21">
        <v>1</v>
      </c>
      <c r="AA308" s="21" t="s">
        <v>1808</v>
      </c>
      <c r="AB308" s="21" t="s">
        <v>1804</v>
      </c>
      <c r="AC308" s="25">
        <v>2500</v>
      </c>
      <c r="AD308" s="25">
        <v>1000</v>
      </c>
      <c r="AE308" s="21" t="s">
        <v>2939</v>
      </c>
      <c r="AF308" s="21" t="s">
        <v>2940</v>
      </c>
      <c r="AG308" s="35">
        <v>46277.712499999994</v>
      </c>
      <c r="AH308" s="21" t="s">
        <v>1983</v>
      </c>
      <c r="AI308" s="25">
        <v>998</v>
      </c>
      <c r="AJ308" s="21" t="s">
        <v>1046</v>
      </c>
      <c r="AK308" s="21" t="s">
        <v>1922</v>
      </c>
      <c r="AL308" s="21" t="str">
        <f>IF(AD308-AI308&gt;0,(AD308-AI308)&amp;" bags - damaged in transit","None")</f>
        <v>2 bags - damaged in transit</v>
      </c>
      <c r="AM308" s="21" t="s">
        <v>2941</v>
      </c>
      <c r="AN308" s="21" t="s">
        <v>2942</v>
      </c>
      <c r="AO308" s="21" t="s">
        <v>2930</v>
      </c>
      <c r="AP308" s="21" t="str">
        <f>IF(AO308="Pending","Not yet invoiced",IF(AI308=AD308,"Matched","Invoiced on received qty ("&amp;AI308&amp;" of "&amp;AD308&amp;")"))</f>
        <v>Invoiced on received qty (998 of 1000)</v>
      </c>
      <c r="AQ308" s="21" t="s">
        <v>2931</v>
      </c>
    </row>
    <row r="309" spans="1:43" x14ac:dyDescent="0.3">
      <c r="A309" s="21" t="s">
        <v>2943</v>
      </c>
      <c r="B309" s="35">
        <v>46279.583333333336</v>
      </c>
      <c r="C309" s="21" t="s">
        <v>1909</v>
      </c>
      <c r="D309" s="21" t="s">
        <v>2944</v>
      </c>
      <c r="E309" s="21" t="s">
        <v>1911</v>
      </c>
      <c r="F309" s="21" t="s">
        <v>768</v>
      </c>
      <c r="G309" s="35">
        <v>46279.702916666669</v>
      </c>
      <c r="H309" s="21" t="s">
        <v>1912</v>
      </c>
      <c r="I309" s="21" t="s">
        <v>1913</v>
      </c>
      <c r="J309" s="21" t="s">
        <v>1914</v>
      </c>
      <c r="K309" s="21" t="s">
        <v>1813</v>
      </c>
      <c r="L309" s="21" t="s">
        <v>1089</v>
      </c>
      <c r="M309" s="21" t="s">
        <v>1097</v>
      </c>
      <c r="N309" s="21" t="s">
        <v>2161</v>
      </c>
      <c r="O309" s="21" t="s">
        <v>1101</v>
      </c>
      <c r="P309" s="21" t="s">
        <v>1916</v>
      </c>
      <c r="Q309" s="21" t="s">
        <v>1278</v>
      </c>
      <c r="R309" s="21" t="s">
        <v>1317</v>
      </c>
      <c r="S309" s="21" t="s">
        <v>1104</v>
      </c>
      <c r="T309" s="21" t="s">
        <v>1917</v>
      </c>
      <c r="U309" s="21" t="s">
        <v>1697</v>
      </c>
      <c r="V309" s="21" t="str">
        <f>_xlfn.XLOOKUP(U309,'T07'!$D$3:$D$1500,'T07'!$BI$3:$BI$1500)&amp;" / "&amp;_xlfn.XLOOKUP(U309,'T07'!$D$3:$D$1500,'T07'!$BJ$3:$BJ$1500)</f>
        <v>LHR-HTV-2013-23962 / HTV</v>
      </c>
      <c r="W309" s="21" t="s">
        <v>1917</v>
      </c>
      <c r="X309" s="21" t="s">
        <v>1700</v>
      </c>
      <c r="Y309" s="21" t="s">
        <v>1942</v>
      </c>
      <c r="Z309" s="21">
        <v>1</v>
      </c>
      <c r="AA309" s="21" t="s">
        <v>1808</v>
      </c>
      <c r="AB309" s="21" t="s">
        <v>1804</v>
      </c>
      <c r="AC309" s="25">
        <v>4500</v>
      </c>
      <c r="AD309" s="25">
        <v>500</v>
      </c>
      <c r="AE309" s="21" t="s">
        <v>2945</v>
      </c>
      <c r="AF309" s="21" t="s">
        <v>2946</v>
      </c>
      <c r="AG309" s="35">
        <v>46279.722916666666</v>
      </c>
      <c r="AH309" s="21" t="s">
        <v>1934</v>
      </c>
      <c r="AI309" s="25">
        <v>500</v>
      </c>
      <c r="AJ309" s="21" t="s">
        <v>2164</v>
      </c>
      <c r="AK309" s="21" t="s">
        <v>1922</v>
      </c>
      <c r="AL309" s="21" t="str">
        <f>IF(AD309-AI309&gt;0,(AD309-AI309)&amp;" bags - damaged in transit","None")</f>
        <v>None</v>
      </c>
      <c r="AM309" s="21" t="s">
        <v>844</v>
      </c>
      <c r="AN309" s="21" t="s">
        <v>848</v>
      </c>
      <c r="AO309" s="21" t="s">
        <v>1760</v>
      </c>
      <c r="AP309" s="21" t="str">
        <f>IF(AO309="Pending","Not yet invoiced",IF(AI309=AD309,"Matched","Invoiced on received qty ("&amp;AI309&amp;" of "&amp;AD309&amp;")"))</f>
        <v>Not yet invoiced</v>
      </c>
      <c r="AQ309" s="21" t="s">
        <v>2931</v>
      </c>
    </row>
    <row r="310" spans="1:43" x14ac:dyDescent="0.3">
      <c r="A310" s="21" t="s">
        <v>2943</v>
      </c>
      <c r="B310" s="35">
        <v>46279.583333333336</v>
      </c>
      <c r="C310" s="21" t="s">
        <v>1909</v>
      </c>
      <c r="D310" s="21" t="s">
        <v>2944</v>
      </c>
      <c r="E310" s="21" t="s">
        <v>1911</v>
      </c>
      <c r="F310" s="21" t="s">
        <v>768</v>
      </c>
      <c r="G310" s="35">
        <v>46279.702916666669</v>
      </c>
      <c r="H310" s="21" t="s">
        <v>1912</v>
      </c>
      <c r="I310" s="21" t="s">
        <v>1913</v>
      </c>
      <c r="J310" s="21" t="s">
        <v>1914</v>
      </c>
      <c r="K310" s="21" t="s">
        <v>1813</v>
      </c>
      <c r="L310" s="21" t="s">
        <v>1089</v>
      </c>
      <c r="M310" s="21" t="s">
        <v>1097</v>
      </c>
      <c r="N310" s="21" t="s">
        <v>2161</v>
      </c>
      <c r="O310" s="21" t="s">
        <v>1101</v>
      </c>
      <c r="P310" s="21" t="s">
        <v>1916</v>
      </c>
      <c r="Q310" s="21" t="s">
        <v>1278</v>
      </c>
      <c r="R310" s="21" t="s">
        <v>1317</v>
      </c>
      <c r="S310" s="21" t="s">
        <v>1104</v>
      </c>
      <c r="T310" s="21" t="s">
        <v>1917</v>
      </c>
      <c r="U310" s="21" t="s">
        <v>1697</v>
      </c>
      <c r="V310" s="21" t="str">
        <f>_xlfn.XLOOKUP(U310,'T07'!$D$3:$D$1500,'T07'!$BI$3:$BI$1500)&amp;" / "&amp;_xlfn.XLOOKUP(U310,'T07'!$D$3:$D$1500,'T07'!$BJ$3:$BJ$1500)</f>
        <v>LHR-HTV-2013-23962 / HTV</v>
      </c>
      <c r="W310" s="21" t="s">
        <v>1917</v>
      </c>
      <c r="X310" s="21" t="s">
        <v>1700</v>
      </c>
      <c r="Y310" s="21" t="s">
        <v>1942</v>
      </c>
      <c r="Z310" s="21">
        <v>2</v>
      </c>
      <c r="AA310" s="21" t="s">
        <v>1826</v>
      </c>
      <c r="AB310" s="21" t="s">
        <v>1804</v>
      </c>
      <c r="AC310" s="25">
        <v>3000</v>
      </c>
      <c r="AD310" s="25">
        <v>500</v>
      </c>
      <c r="AE310" s="21" t="s">
        <v>2947</v>
      </c>
      <c r="AF310" s="21" t="s">
        <v>2946</v>
      </c>
      <c r="AG310" s="35">
        <v>46279.722916666666</v>
      </c>
      <c r="AH310" s="21" t="s">
        <v>1934</v>
      </c>
      <c r="AI310" s="25">
        <v>494</v>
      </c>
      <c r="AJ310" s="21" t="s">
        <v>2164</v>
      </c>
      <c r="AK310" s="21" t="s">
        <v>1922</v>
      </c>
      <c r="AL310" s="21" t="str">
        <f>IF(AD310-AI310&gt;0,(AD310-AI310)&amp;" bags - damaged in transit","None")</f>
        <v>6 bags - damaged in transit</v>
      </c>
      <c r="AM310" s="21" t="s">
        <v>2948</v>
      </c>
      <c r="AN310" s="21" t="s">
        <v>2949</v>
      </c>
      <c r="AO310" s="21" t="s">
        <v>1760</v>
      </c>
      <c r="AP310" s="21" t="str">
        <f>IF(AO310="Pending","Not yet invoiced",IF(AI310=AD310,"Matched","Invoiced on received qty ("&amp;AI310&amp;" of "&amp;AD310&amp;")"))</f>
        <v>Not yet invoiced</v>
      </c>
      <c r="AQ310" s="21" t="s">
        <v>2931</v>
      </c>
    </row>
    <row r="311" spans="1:43" x14ac:dyDescent="0.3">
      <c r="A311" s="21" t="s">
        <v>2950</v>
      </c>
      <c r="B311" s="35">
        <v>46280.291666666664</v>
      </c>
      <c r="C311" s="21" t="s">
        <v>1909</v>
      </c>
      <c r="D311" s="21" t="s">
        <v>2927</v>
      </c>
      <c r="E311" s="21" t="s">
        <v>1911</v>
      </c>
      <c r="F311" s="21" t="s">
        <v>768</v>
      </c>
      <c r="G311" s="35">
        <v>46280.442499999997</v>
      </c>
      <c r="H311" s="21" t="s">
        <v>1912</v>
      </c>
      <c r="I311" s="21" t="s">
        <v>1913</v>
      </c>
      <c r="J311" s="21" t="s">
        <v>1914</v>
      </c>
      <c r="K311" s="21" t="s">
        <v>1870</v>
      </c>
      <c r="L311" s="21" t="s">
        <v>1045</v>
      </c>
      <c r="M311" s="21" t="s">
        <v>1871</v>
      </c>
      <c r="N311" s="21" t="s">
        <v>2354</v>
      </c>
      <c r="O311" s="21" t="s">
        <v>2355</v>
      </c>
      <c r="P311" s="21" t="s">
        <v>1930</v>
      </c>
      <c r="Q311" s="21" t="s">
        <v>1213</v>
      </c>
      <c r="R311" s="21" t="s">
        <v>1264</v>
      </c>
      <c r="S311" s="21" t="s">
        <v>1127</v>
      </c>
      <c r="T311" s="21" t="s">
        <v>1917</v>
      </c>
      <c r="U311" s="21" t="s">
        <v>1739</v>
      </c>
      <c r="V311" s="21" t="str">
        <f>_xlfn.XLOOKUP(U311,'T07'!$D$3:$D$1500,'T07'!$BI$3:$BI$1500)&amp;" / "&amp;_xlfn.XLOOKUP(U311,'T07'!$D$3:$D$1500,'T07'!$BJ$3:$BJ$1500)</f>
        <v>LHR-HTV-2020-13470 / HTV</v>
      </c>
      <c r="W311" s="21" t="s">
        <v>1917</v>
      </c>
      <c r="X311" s="21" t="s">
        <v>1742</v>
      </c>
      <c r="Y311" s="21" t="s">
        <v>2008</v>
      </c>
      <c r="Z311" s="21">
        <v>1</v>
      </c>
      <c r="AA311" s="21" t="s">
        <v>1808</v>
      </c>
      <c r="AB311" s="21" t="s">
        <v>1804</v>
      </c>
      <c r="AC311" s="25">
        <v>1500</v>
      </c>
      <c r="AD311" s="25">
        <v>500</v>
      </c>
      <c r="AE311" s="21" t="s">
        <v>2951</v>
      </c>
      <c r="AF311" s="21" t="s">
        <v>2952</v>
      </c>
      <c r="AG311" s="35">
        <v>46280.462499999994</v>
      </c>
      <c r="AH311" s="21" t="s">
        <v>1934</v>
      </c>
      <c r="AI311" s="25">
        <v>500</v>
      </c>
      <c r="AJ311" s="21" t="s">
        <v>1046</v>
      </c>
      <c r="AK311" s="21" t="s">
        <v>1922</v>
      </c>
      <c r="AL311" s="21" t="str">
        <f>IF(AD311-AI311&gt;0,(AD311-AI311)&amp;" bags - damaged in transit","None")</f>
        <v>None</v>
      </c>
      <c r="AM311" s="21" t="s">
        <v>844</v>
      </c>
      <c r="AN311" s="21" t="s">
        <v>848</v>
      </c>
      <c r="AO311" s="21" t="s">
        <v>2930</v>
      </c>
      <c r="AP311" s="21" t="str">
        <f>IF(AO311="Pending","Not yet invoiced",IF(AI311=AD311,"Matched","Invoiced on received qty ("&amp;AI311&amp;" of "&amp;AD311&amp;")"))</f>
        <v>Matched</v>
      </c>
      <c r="AQ311" s="21" t="s">
        <v>2931</v>
      </c>
    </row>
    <row r="312" spans="1:43" x14ac:dyDescent="0.3">
      <c r="A312" s="21" t="s">
        <v>2953</v>
      </c>
      <c r="B312" s="35">
        <v>46280.708333333336</v>
      </c>
      <c r="C312" s="21" t="s">
        <v>1909</v>
      </c>
      <c r="D312" s="21" t="s">
        <v>2954</v>
      </c>
      <c r="E312" s="21" t="s">
        <v>1927</v>
      </c>
      <c r="F312" s="21" t="s">
        <v>768</v>
      </c>
      <c r="G312" s="35">
        <v>46280.981041666673</v>
      </c>
      <c r="H312" s="21" t="s">
        <v>1912</v>
      </c>
      <c r="I312" s="21" t="s">
        <v>1913</v>
      </c>
      <c r="J312" s="21" t="s">
        <v>1914</v>
      </c>
      <c r="K312" s="21" t="s">
        <v>1800</v>
      </c>
      <c r="L312" s="21" t="s">
        <v>1073</v>
      </c>
      <c r="M312" s="21" t="s">
        <v>1801</v>
      </c>
      <c r="N312" s="21" t="s">
        <v>1928</v>
      </c>
      <c r="O312" s="21" t="s">
        <v>1929</v>
      </c>
      <c r="P312" s="21" t="s">
        <v>1930</v>
      </c>
      <c r="Q312" s="21" t="s">
        <v>1278</v>
      </c>
      <c r="R312" s="21" t="s">
        <v>1280</v>
      </c>
      <c r="S312" s="21" t="s">
        <v>1247</v>
      </c>
      <c r="T312" s="21" t="s">
        <v>1917</v>
      </c>
      <c r="U312" s="21" t="s">
        <v>1766</v>
      </c>
      <c r="V312" s="21" t="str">
        <f>_xlfn.XLOOKUP(U312,'T07'!$D$3:$D$1500,'T07'!$BI$3:$BI$1500)&amp;" / "&amp;_xlfn.XLOOKUP(U312,'T07'!$D$3:$D$1500,'T07'!$BJ$3:$BJ$1500)</f>
        <v>LHR-LTV-2019-66685 / LTV</v>
      </c>
      <c r="W312" s="21" t="s">
        <v>1917</v>
      </c>
      <c r="X312" s="21" t="s">
        <v>1768</v>
      </c>
      <c r="Y312" s="21" t="s">
        <v>2018</v>
      </c>
      <c r="Z312" s="21">
        <v>1</v>
      </c>
      <c r="AA312" s="21" t="s">
        <v>1826</v>
      </c>
      <c r="AB312" s="21" t="s">
        <v>1804</v>
      </c>
      <c r="AC312" s="25">
        <v>1000</v>
      </c>
      <c r="AD312" s="25">
        <v>50</v>
      </c>
      <c r="AE312" s="21" t="s">
        <v>2955</v>
      </c>
      <c r="AF312" s="21" t="s">
        <v>2956</v>
      </c>
      <c r="AG312" s="35">
        <v>46281.00104166667</v>
      </c>
      <c r="AH312" s="21" t="s">
        <v>1934</v>
      </c>
      <c r="AI312" s="25">
        <v>50</v>
      </c>
      <c r="AJ312" s="21" t="s">
        <v>1074</v>
      </c>
      <c r="AK312" s="21" t="s">
        <v>1922</v>
      </c>
      <c r="AL312" s="21" t="str">
        <f>IF(AD312-AI312&gt;0,(AD312-AI312)&amp;" bags - damaged in transit","None")</f>
        <v>None</v>
      </c>
      <c r="AM312" s="21" t="s">
        <v>844</v>
      </c>
      <c r="AN312" s="21" t="s">
        <v>848</v>
      </c>
      <c r="AO312" s="21" t="s">
        <v>1760</v>
      </c>
      <c r="AP312" s="21" t="str">
        <f>IF(AO312="Pending","Not yet invoiced",IF(AI312=AD312,"Matched","Invoiced on received qty ("&amp;AI312&amp;" of "&amp;AD312&amp;")"))</f>
        <v>Not yet invoiced</v>
      </c>
      <c r="AQ312" s="21" t="s">
        <v>2931</v>
      </c>
    </row>
    <row r="313" spans="1:43" x14ac:dyDescent="0.3">
      <c r="A313" s="21" t="s">
        <v>2953</v>
      </c>
      <c r="B313" s="35">
        <v>46280.708333333336</v>
      </c>
      <c r="C313" s="21" t="s">
        <v>1909</v>
      </c>
      <c r="D313" s="21" t="s">
        <v>2954</v>
      </c>
      <c r="E313" s="21" t="s">
        <v>1927</v>
      </c>
      <c r="F313" s="21" t="s">
        <v>768</v>
      </c>
      <c r="G313" s="35">
        <v>46280.981041666673</v>
      </c>
      <c r="H313" s="21" t="s">
        <v>1912</v>
      </c>
      <c r="I313" s="21" t="s">
        <v>1913</v>
      </c>
      <c r="J313" s="21" t="s">
        <v>1914</v>
      </c>
      <c r="K313" s="21" t="s">
        <v>1800</v>
      </c>
      <c r="L313" s="21" t="s">
        <v>1073</v>
      </c>
      <c r="M313" s="21" t="s">
        <v>1801</v>
      </c>
      <c r="N313" s="21" t="s">
        <v>1928</v>
      </c>
      <c r="O313" s="21" t="s">
        <v>1929</v>
      </c>
      <c r="P313" s="21" t="s">
        <v>1930</v>
      </c>
      <c r="Q313" s="21" t="s">
        <v>1278</v>
      </c>
      <c r="R313" s="21" t="s">
        <v>1280</v>
      </c>
      <c r="S313" s="21" t="s">
        <v>1247</v>
      </c>
      <c r="T313" s="21" t="s">
        <v>1917</v>
      </c>
      <c r="U313" s="21" t="s">
        <v>1766</v>
      </c>
      <c r="V313" s="21" t="str">
        <f>_xlfn.XLOOKUP(U313,'T07'!$D$3:$D$1500,'T07'!$BI$3:$BI$1500)&amp;" / "&amp;_xlfn.XLOOKUP(U313,'T07'!$D$3:$D$1500,'T07'!$BJ$3:$BJ$1500)</f>
        <v>LHR-LTV-2019-66685 / LTV</v>
      </c>
      <c r="W313" s="21" t="s">
        <v>1917</v>
      </c>
      <c r="X313" s="21" t="s">
        <v>1768</v>
      </c>
      <c r="Y313" s="21" t="s">
        <v>2018</v>
      </c>
      <c r="Z313" s="21">
        <v>2</v>
      </c>
      <c r="AA313" s="21" t="s">
        <v>1865</v>
      </c>
      <c r="AB313" s="21" t="s">
        <v>1804</v>
      </c>
      <c r="AC313" s="25">
        <v>1500</v>
      </c>
      <c r="AD313" s="25">
        <v>50</v>
      </c>
      <c r="AE313" s="21" t="s">
        <v>2957</v>
      </c>
      <c r="AF313" s="21" t="s">
        <v>2956</v>
      </c>
      <c r="AG313" s="35">
        <v>46281.00104166667</v>
      </c>
      <c r="AH313" s="21" t="s">
        <v>1934</v>
      </c>
      <c r="AI313" s="25">
        <v>46</v>
      </c>
      <c r="AJ313" s="21" t="s">
        <v>1074</v>
      </c>
      <c r="AK313" s="21" t="s">
        <v>1922</v>
      </c>
      <c r="AL313" s="21" t="str">
        <f>IF(AD313-AI313&gt;0,(AD313-AI313)&amp;" bags - damaged in transit","None")</f>
        <v>4 bags - damaged in transit</v>
      </c>
      <c r="AM313" s="21" t="s">
        <v>2958</v>
      </c>
      <c r="AN313" s="21" t="s">
        <v>2959</v>
      </c>
      <c r="AO313" s="21" t="s">
        <v>1760</v>
      </c>
      <c r="AP313" s="21" t="str">
        <f>IF(AO313="Pending","Not yet invoiced",IF(AI313=AD313,"Matched","Invoiced on received qty ("&amp;AI313&amp;" of "&amp;AD313&amp;")"))</f>
        <v>Not yet invoiced</v>
      </c>
      <c r="AQ313" s="21" t="s">
        <v>2931</v>
      </c>
    </row>
    <row r="314" spans="1:43" x14ac:dyDescent="0.3">
      <c r="A314" s="21" t="s">
        <v>2953</v>
      </c>
      <c r="B314" s="35">
        <v>46280.708333333336</v>
      </c>
      <c r="C314" s="21" t="s">
        <v>1909</v>
      </c>
      <c r="D314" s="21" t="s">
        <v>2954</v>
      </c>
      <c r="E314" s="21" t="s">
        <v>1927</v>
      </c>
      <c r="F314" s="21" t="s">
        <v>768</v>
      </c>
      <c r="G314" s="35">
        <v>46280.981041666673</v>
      </c>
      <c r="H314" s="21" t="s">
        <v>1912</v>
      </c>
      <c r="I314" s="21" t="s">
        <v>1913</v>
      </c>
      <c r="J314" s="21" t="s">
        <v>1914</v>
      </c>
      <c r="K314" s="21" t="s">
        <v>1800</v>
      </c>
      <c r="L314" s="21" t="s">
        <v>1073</v>
      </c>
      <c r="M314" s="21" t="s">
        <v>1801</v>
      </c>
      <c r="N314" s="21" t="s">
        <v>1928</v>
      </c>
      <c r="O314" s="21" t="s">
        <v>1929</v>
      </c>
      <c r="P314" s="21" t="s">
        <v>1930</v>
      </c>
      <c r="Q314" s="21" t="s">
        <v>1278</v>
      </c>
      <c r="R314" s="21" t="s">
        <v>1280</v>
      </c>
      <c r="S314" s="21" t="s">
        <v>1247</v>
      </c>
      <c r="T314" s="21" t="s">
        <v>1917</v>
      </c>
      <c r="U314" s="21" t="s">
        <v>1766</v>
      </c>
      <c r="V314" s="21" t="str">
        <f>_xlfn.XLOOKUP(U314,'T07'!$D$3:$D$1500,'T07'!$BI$3:$BI$1500)&amp;" / "&amp;_xlfn.XLOOKUP(U314,'T07'!$D$3:$D$1500,'T07'!$BJ$3:$BJ$1500)</f>
        <v>LHR-LTV-2019-66685 / LTV</v>
      </c>
      <c r="W314" s="21" t="s">
        <v>1917</v>
      </c>
      <c r="X314" s="21" t="s">
        <v>1768</v>
      </c>
      <c r="Y314" s="21" t="s">
        <v>2018</v>
      </c>
      <c r="Z314" s="21">
        <v>3</v>
      </c>
      <c r="AA314" s="21" t="s">
        <v>1828</v>
      </c>
      <c r="AB314" s="21" t="s">
        <v>1804</v>
      </c>
      <c r="AC314" s="25">
        <v>2000</v>
      </c>
      <c r="AD314" s="25">
        <v>50</v>
      </c>
      <c r="AE314" s="21" t="s">
        <v>2960</v>
      </c>
      <c r="AF314" s="21" t="s">
        <v>2956</v>
      </c>
      <c r="AG314" s="35">
        <v>46281.00104166667</v>
      </c>
      <c r="AH314" s="21" t="s">
        <v>1934</v>
      </c>
      <c r="AI314" s="25">
        <v>50</v>
      </c>
      <c r="AJ314" s="21" t="s">
        <v>1074</v>
      </c>
      <c r="AK314" s="21" t="s">
        <v>1922</v>
      </c>
      <c r="AL314" s="21" t="str">
        <f>IF(AD314-AI314&gt;0,(AD314-AI314)&amp;" bags - damaged in transit","None")</f>
        <v>None</v>
      </c>
      <c r="AM314" s="21" t="s">
        <v>844</v>
      </c>
      <c r="AN314" s="21" t="s">
        <v>848</v>
      </c>
      <c r="AO314" s="21" t="s">
        <v>1760</v>
      </c>
      <c r="AP314" s="21" t="str">
        <f>IF(AO314="Pending","Not yet invoiced",IF(AI314=AD314,"Matched","Invoiced on received qty ("&amp;AI314&amp;" of "&amp;AD314&amp;")"))</f>
        <v>Not yet invoiced</v>
      </c>
      <c r="AQ314" s="21" t="s">
        <v>2931</v>
      </c>
    </row>
    <row r="315" spans="1:43" x14ac:dyDescent="0.3">
      <c r="A315" s="21" t="s">
        <v>2961</v>
      </c>
      <c r="B315" s="35">
        <v>46281.25</v>
      </c>
      <c r="C315" s="21" t="s">
        <v>1909</v>
      </c>
      <c r="D315" s="21" t="s">
        <v>2944</v>
      </c>
      <c r="E315" s="21" t="s">
        <v>1911</v>
      </c>
      <c r="F315" s="21" t="s">
        <v>768</v>
      </c>
      <c r="G315" s="35">
        <v>46281.369583333333</v>
      </c>
      <c r="H315" s="21" t="s">
        <v>1912</v>
      </c>
      <c r="I315" s="21" t="s">
        <v>1913</v>
      </c>
      <c r="J315" s="21" t="s">
        <v>1914</v>
      </c>
      <c r="K315" s="21" t="s">
        <v>1813</v>
      </c>
      <c r="L315" s="21" t="s">
        <v>1089</v>
      </c>
      <c r="M315" s="21" t="s">
        <v>1097</v>
      </c>
      <c r="N315" s="21" t="s">
        <v>2161</v>
      </c>
      <c r="O315" s="21" t="s">
        <v>1101</v>
      </c>
      <c r="P315" s="21" t="s">
        <v>1916</v>
      </c>
      <c r="Q315" s="21" t="s">
        <v>1213</v>
      </c>
      <c r="R315" s="21" t="s">
        <v>1216</v>
      </c>
      <c r="S315" s="21" t="s">
        <v>1104</v>
      </c>
      <c r="T315" s="21" t="s">
        <v>1917</v>
      </c>
      <c r="U315" s="21" t="s">
        <v>1711</v>
      </c>
      <c r="V315" s="21" t="str">
        <f>_xlfn.XLOOKUP(U315,'T07'!$D$3:$D$1500,'T07'!$BI$3:$BI$1500)&amp;" / "&amp;_xlfn.XLOOKUP(U315,'T07'!$D$3:$D$1500,'T07'!$BJ$3:$BJ$1500)</f>
        <v>LHR-HTV-2008-42260 / HTV</v>
      </c>
      <c r="W315" s="21" t="s">
        <v>1917</v>
      </c>
      <c r="X315" s="21" t="s">
        <v>1713</v>
      </c>
      <c r="Y315" s="21" t="s">
        <v>2057</v>
      </c>
      <c r="Z315" s="21">
        <v>1</v>
      </c>
      <c r="AA315" s="21" t="s">
        <v>1808</v>
      </c>
      <c r="AB315" s="21" t="s">
        <v>1804</v>
      </c>
      <c r="AC315" s="25">
        <v>4000</v>
      </c>
      <c r="AD315" s="25">
        <v>500</v>
      </c>
      <c r="AE315" s="21" t="s">
        <v>2962</v>
      </c>
      <c r="AF315" s="21" t="s">
        <v>2963</v>
      </c>
      <c r="AG315" s="35">
        <v>46281.38958333333</v>
      </c>
      <c r="AH315" s="21" t="s">
        <v>1934</v>
      </c>
      <c r="AI315" s="25">
        <v>500</v>
      </c>
      <c r="AJ315" s="21" t="s">
        <v>2164</v>
      </c>
      <c r="AK315" s="21" t="s">
        <v>1922</v>
      </c>
      <c r="AL315" s="21" t="str">
        <f>IF(AD315-AI315&gt;0,(AD315-AI315)&amp;" bags - damaged in transit","None")</f>
        <v>None</v>
      </c>
      <c r="AM315" s="21" t="s">
        <v>844</v>
      </c>
      <c r="AN315" s="21" t="s">
        <v>848</v>
      </c>
      <c r="AO315" s="21" t="s">
        <v>1760</v>
      </c>
      <c r="AP315" s="21" t="str">
        <f>IF(AO315="Pending","Not yet invoiced",IF(AI315=AD315,"Matched","Invoiced on received qty ("&amp;AI315&amp;" of "&amp;AD315&amp;")"))</f>
        <v>Not yet invoiced</v>
      </c>
      <c r="AQ315" s="21" t="s">
        <v>2931</v>
      </c>
    </row>
    <row r="316" spans="1:43" x14ac:dyDescent="0.3">
      <c r="A316" s="21" t="s">
        <v>2961</v>
      </c>
      <c r="B316" s="35">
        <v>46281.25</v>
      </c>
      <c r="C316" s="21" t="s">
        <v>1909</v>
      </c>
      <c r="D316" s="21" t="s">
        <v>2944</v>
      </c>
      <c r="E316" s="21" t="s">
        <v>1911</v>
      </c>
      <c r="F316" s="21" t="s">
        <v>768</v>
      </c>
      <c r="G316" s="35">
        <v>46281.369583333333</v>
      </c>
      <c r="H316" s="21" t="s">
        <v>1912</v>
      </c>
      <c r="I316" s="21" t="s">
        <v>1913</v>
      </c>
      <c r="J316" s="21" t="s">
        <v>1914</v>
      </c>
      <c r="K316" s="21" t="s">
        <v>1813</v>
      </c>
      <c r="L316" s="21" t="s">
        <v>1089</v>
      </c>
      <c r="M316" s="21" t="s">
        <v>1097</v>
      </c>
      <c r="N316" s="21" t="s">
        <v>2161</v>
      </c>
      <c r="O316" s="21" t="s">
        <v>1101</v>
      </c>
      <c r="P316" s="21" t="s">
        <v>1916</v>
      </c>
      <c r="Q316" s="21" t="s">
        <v>1213</v>
      </c>
      <c r="R316" s="21" t="s">
        <v>1216</v>
      </c>
      <c r="S316" s="21" t="s">
        <v>1104</v>
      </c>
      <c r="T316" s="21" t="s">
        <v>1917</v>
      </c>
      <c r="U316" s="21" t="s">
        <v>1711</v>
      </c>
      <c r="V316" s="21" t="str">
        <f>_xlfn.XLOOKUP(U316,'T07'!$D$3:$D$1500,'T07'!$BI$3:$BI$1500)&amp;" / "&amp;_xlfn.XLOOKUP(U316,'T07'!$D$3:$D$1500,'T07'!$BJ$3:$BJ$1500)</f>
        <v>LHR-HTV-2008-42260 / HTV</v>
      </c>
      <c r="W316" s="21" t="s">
        <v>1917</v>
      </c>
      <c r="X316" s="21" t="s">
        <v>1713</v>
      </c>
      <c r="Y316" s="21" t="s">
        <v>2057</v>
      </c>
      <c r="Z316" s="21">
        <v>2</v>
      </c>
      <c r="AA316" s="21" t="s">
        <v>1826</v>
      </c>
      <c r="AB316" s="21" t="s">
        <v>1804</v>
      </c>
      <c r="AC316" s="25">
        <v>2500</v>
      </c>
      <c r="AD316" s="25">
        <v>500</v>
      </c>
      <c r="AE316" s="21" t="s">
        <v>2964</v>
      </c>
      <c r="AF316" s="21" t="s">
        <v>2963</v>
      </c>
      <c r="AG316" s="35">
        <v>46281.38958333333</v>
      </c>
      <c r="AH316" s="21" t="s">
        <v>1934</v>
      </c>
      <c r="AI316" s="25">
        <v>500</v>
      </c>
      <c r="AJ316" s="21" t="s">
        <v>2164</v>
      </c>
      <c r="AK316" s="21" t="s">
        <v>1922</v>
      </c>
      <c r="AL316" s="21" t="str">
        <f>IF(AD316-AI316&gt;0,(AD316-AI316)&amp;" bags - damaged in transit","None")</f>
        <v>None</v>
      </c>
      <c r="AM316" s="21" t="s">
        <v>844</v>
      </c>
      <c r="AN316" s="21" t="s">
        <v>848</v>
      </c>
      <c r="AO316" s="21" t="s">
        <v>1760</v>
      </c>
      <c r="AP316" s="21" t="str">
        <f>IF(AO316="Pending","Not yet invoiced",IF(AI316=AD316,"Matched","Invoiced on received qty ("&amp;AI316&amp;" of "&amp;AD316&amp;")"))</f>
        <v>Not yet invoiced</v>
      </c>
      <c r="AQ316" s="21" t="s">
        <v>2931</v>
      </c>
    </row>
    <row r="317" spans="1:43" x14ac:dyDescent="0.3">
      <c r="A317" s="21" t="s">
        <v>2965</v>
      </c>
      <c r="B317" s="35">
        <v>46282.625</v>
      </c>
      <c r="C317" s="21" t="s">
        <v>1909</v>
      </c>
      <c r="D317" s="21" t="s">
        <v>2954</v>
      </c>
      <c r="E317" s="21" t="s">
        <v>1945</v>
      </c>
      <c r="F317" s="21" t="s">
        <v>768</v>
      </c>
      <c r="G317" s="35">
        <v>46282.897708333338</v>
      </c>
      <c r="H317" s="21" t="s">
        <v>1912</v>
      </c>
      <c r="I317" s="21" t="s">
        <v>1913</v>
      </c>
      <c r="J317" s="21" t="s">
        <v>1914</v>
      </c>
      <c r="K317" s="21" t="s">
        <v>1800</v>
      </c>
      <c r="L317" s="21" t="s">
        <v>1073</v>
      </c>
      <c r="M317" s="21" t="s">
        <v>1801</v>
      </c>
      <c r="N317" s="21" t="s">
        <v>1928</v>
      </c>
      <c r="O317" s="21" t="s">
        <v>1929</v>
      </c>
      <c r="P317" s="21" t="s">
        <v>1930</v>
      </c>
      <c r="Q317" s="21" t="s">
        <v>1278</v>
      </c>
      <c r="R317" s="21" t="s">
        <v>1280</v>
      </c>
      <c r="S317" s="21" t="s">
        <v>1247</v>
      </c>
      <c r="T317" s="21" t="s">
        <v>1917</v>
      </c>
      <c r="U317" s="21" t="s">
        <v>1766</v>
      </c>
      <c r="V317" s="21" t="str">
        <f>_xlfn.XLOOKUP(U317,'T07'!$D$3:$D$1500,'T07'!$BI$3:$BI$1500)&amp;" / "&amp;_xlfn.XLOOKUP(U317,'T07'!$D$3:$D$1500,'T07'!$BJ$3:$BJ$1500)</f>
        <v>LHR-LTV-2019-66685 / LTV</v>
      </c>
      <c r="W317" s="21" t="s">
        <v>1917</v>
      </c>
      <c r="X317" s="21" t="s">
        <v>1768</v>
      </c>
      <c r="Y317" s="21" t="s">
        <v>2018</v>
      </c>
      <c r="Z317" s="21">
        <v>1</v>
      </c>
      <c r="AA317" s="21" t="s">
        <v>1828</v>
      </c>
      <c r="AB317" s="21" t="s">
        <v>1804</v>
      </c>
      <c r="AC317" s="25">
        <v>1950</v>
      </c>
      <c r="AD317" s="25">
        <v>200</v>
      </c>
      <c r="AE317" s="21" t="s">
        <v>2966</v>
      </c>
      <c r="AF317" s="21" t="s">
        <v>2967</v>
      </c>
      <c r="AG317" s="35">
        <v>46282.917708333334</v>
      </c>
      <c r="AH317" s="21" t="s">
        <v>1934</v>
      </c>
      <c r="AI317" s="25">
        <v>200</v>
      </c>
      <c r="AJ317" s="21" t="s">
        <v>1074</v>
      </c>
      <c r="AK317" s="21" t="s">
        <v>1922</v>
      </c>
      <c r="AL317" s="21" t="str">
        <f>IF(AD317-AI317&gt;0,(AD317-AI317)&amp;" bags - damaged in transit","None")</f>
        <v>None</v>
      </c>
      <c r="AM317" s="21" t="s">
        <v>844</v>
      </c>
      <c r="AN317" s="21" t="s">
        <v>848</v>
      </c>
      <c r="AO317" s="21" t="s">
        <v>1760</v>
      </c>
      <c r="AP317" s="21" t="str">
        <f>IF(AO317="Pending","Not yet invoiced",IF(AI317=AD317,"Matched","Invoiced on received qty ("&amp;AI317&amp;" of "&amp;AD317&amp;")"))</f>
        <v>Not yet invoiced</v>
      </c>
      <c r="AQ317" s="21" t="s">
        <v>2931</v>
      </c>
    </row>
    <row r="318" spans="1:43" x14ac:dyDescent="0.3">
      <c r="A318" s="21" t="s">
        <v>2968</v>
      </c>
      <c r="B318" s="35">
        <v>46283.541666666664</v>
      </c>
      <c r="C318" s="21" t="s">
        <v>1909</v>
      </c>
      <c r="D318" s="21" t="s">
        <v>2944</v>
      </c>
      <c r="E318" s="21" t="s">
        <v>1911</v>
      </c>
      <c r="F318" s="21" t="s">
        <v>768</v>
      </c>
      <c r="G318" s="35">
        <v>46283.661249999997</v>
      </c>
      <c r="H318" s="21" t="s">
        <v>1912</v>
      </c>
      <c r="I318" s="21" t="s">
        <v>1913</v>
      </c>
      <c r="J318" s="21" t="s">
        <v>1914</v>
      </c>
      <c r="K318" s="21" t="s">
        <v>1813</v>
      </c>
      <c r="L318" s="21" t="s">
        <v>1089</v>
      </c>
      <c r="M318" s="21" t="s">
        <v>1097</v>
      </c>
      <c r="N318" s="21" t="s">
        <v>2161</v>
      </c>
      <c r="O318" s="21" t="s">
        <v>1101</v>
      </c>
      <c r="P318" s="21" t="s">
        <v>1916</v>
      </c>
      <c r="Q318" s="21" t="s">
        <v>1278</v>
      </c>
      <c r="R318" s="21" t="s">
        <v>1302</v>
      </c>
      <c r="S318" s="21" t="s">
        <v>1127</v>
      </c>
      <c r="T318" s="21" t="s">
        <v>1917</v>
      </c>
      <c r="U318" s="21" t="s">
        <v>1739</v>
      </c>
      <c r="V318" s="21" t="str">
        <f>_xlfn.XLOOKUP(U318,'T07'!$D$3:$D$1500,'T07'!$BI$3:$BI$1500)&amp;" / "&amp;_xlfn.XLOOKUP(U318,'T07'!$D$3:$D$1500,'T07'!$BJ$3:$BJ$1500)</f>
        <v>LHR-HTV-2020-13470 / HTV</v>
      </c>
      <c r="W318" s="21" t="s">
        <v>1917</v>
      </c>
      <c r="X318" s="21" t="s">
        <v>1742</v>
      </c>
      <c r="Y318" s="21" t="s">
        <v>2086</v>
      </c>
      <c r="Z318" s="21">
        <v>1</v>
      </c>
      <c r="AA318" s="21" t="s">
        <v>1826</v>
      </c>
      <c r="AB318" s="21" t="s">
        <v>1804</v>
      </c>
      <c r="AC318" s="25">
        <v>2000</v>
      </c>
      <c r="AD318" s="25">
        <v>250</v>
      </c>
      <c r="AE318" s="21" t="s">
        <v>2969</v>
      </c>
      <c r="AF318" s="21" t="s">
        <v>2970</v>
      </c>
      <c r="AG318" s="35">
        <v>46283.681249999994</v>
      </c>
      <c r="AH318" s="21" t="s">
        <v>1934</v>
      </c>
      <c r="AI318" s="25">
        <v>250</v>
      </c>
      <c r="AJ318" s="21" t="s">
        <v>2164</v>
      </c>
      <c r="AK318" s="21" t="s">
        <v>1922</v>
      </c>
      <c r="AL318" s="21" t="str">
        <f>IF(AD318-AI318&gt;0,(AD318-AI318)&amp;" bags - damaged in transit","None")</f>
        <v>None</v>
      </c>
      <c r="AM318" s="21" t="s">
        <v>844</v>
      </c>
      <c r="AN318" s="21" t="s">
        <v>848</v>
      </c>
      <c r="AO318" s="21" t="s">
        <v>1760</v>
      </c>
      <c r="AP318" s="21" t="str">
        <f>IF(AO318="Pending","Not yet invoiced",IF(AI318=AD318,"Matched","Invoiced on received qty ("&amp;AI318&amp;" of "&amp;AD318&amp;")"))</f>
        <v>Not yet invoiced</v>
      </c>
      <c r="AQ318" s="21" t="s">
        <v>2931</v>
      </c>
    </row>
    <row r="319" spans="1:43" x14ac:dyDescent="0.3">
      <c r="A319" s="21" t="s">
        <v>2968</v>
      </c>
      <c r="B319" s="35">
        <v>46283.541666666664</v>
      </c>
      <c r="C319" s="21" t="s">
        <v>1909</v>
      </c>
      <c r="D319" s="21" t="s">
        <v>2944</v>
      </c>
      <c r="E319" s="21" t="s">
        <v>1911</v>
      </c>
      <c r="F319" s="21" t="s">
        <v>768</v>
      </c>
      <c r="G319" s="35">
        <v>46283.661249999997</v>
      </c>
      <c r="H319" s="21" t="s">
        <v>1912</v>
      </c>
      <c r="I319" s="21" t="s">
        <v>1913</v>
      </c>
      <c r="J319" s="21" t="s">
        <v>1914</v>
      </c>
      <c r="K319" s="21" t="s">
        <v>1813</v>
      </c>
      <c r="L319" s="21" t="s">
        <v>1089</v>
      </c>
      <c r="M319" s="21" t="s">
        <v>1097</v>
      </c>
      <c r="N319" s="21" t="s">
        <v>2161</v>
      </c>
      <c r="O319" s="21" t="s">
        <v>1101</v>
      </c>
      <c r="P319" s="21" t="s">
        <v>1916</v>
      </c>
      <c r="Q319" s="21" t="s">
        <v>1278</v>
      </c>
      <c r="R319" s="21" t="s">
        <v>1302</v>
      </c>
      <c r="S319" s="21" t="s">
        <v>1127</v>
      </c>
      <c r="T319" s="21" t="s">
        <v>1917</v>
      </c>
      <c r="U319" s="21" t="s">
        <v>1739</v>
      </c>
      <c r="V319" s="21" t="str">
        <f>_xlfn.XLOOKUP(U319,'T07'!$D$3:$D$1500,'T07'!$BI$3:$BI$1500)&amp;" / "&amp;_xlfn.XLOOKUP(U319,'T07'!$D$3:$D$1500,'T07'!$BJ$3:$BJ$1500)</f>
        <v>LHR-HTV-2020-13470 / HTV</v>
      </c>
      <c r="W319" s="21" t="s">
        <v>1917</v>
      </c>
      <c r="X319" s="21" t="s">
        <v>1742</v>
      </c>
      <c r="Y319" s="21" t="s">
        <v>2086</v>
      </c>
      <c r="Z319" s="21">
        <v>2</v>
      </c>
      <c r="AA319" s="21" t="s">
        <v>1808</v>
      </c>
      <c r="AB319" s="21" t="s">
        <v>1804</v>
      </c>
      <c r="AC319" s="25">
        <v>3500</v>
      </c>
      <c r="AD319" s="25">
        <v>250</v>
      </c>
      <c r="AE319" s="21" t="s">
        <v>2971</v>
      </c>
      <c r="AF319" s="21" t="s">
        <v>2970</v>
      </c>
      <c r="AG319" s="35">
        <v>46283.681249999994</v>
      </c>
      <c r="AH319" s="21" t="s">
        <v>1934</v>
      </c>
      <c r="AI319" s="25">
        <v>250</v>
      </c>
      <c r="AJ319" s="21" t="s">
        <v>2164</v>
      </c>
      <c r="AK319" s="21" t="s">
        <v>1922</v>
      </c>
      <c r="AL319" s="21" t="str">
        <f>IF(AD319-AI319&gt;0,(AD319-AI319)&amp;" bags - damaged in transit","None")</f>
        <v>None</v>
      </c>
      <c r="AM319" s="21" t="s">
        <v>844</v>
      </c>
      <c r="AN319" s="21" t="s">
        <v>848</v>
      </c>
      <c r="AO319" s="21" t="s">
        <v>1760</v>
      </c>
      <c r="AP319" s="21" t="str">
        <f>IF(AO319="Pending","Not yet invoiced",IF(AI319=AD319,"Matched","Invoiced on received qty ("&amp;AI319&amp;" of "&amp;AD319&amp;")"))</f>
        <v>Not yet invoiced</v>
      </c>
      <c r="AQ319" s="21" t="s">
        <v>2931</v>
      </c>
    </row>
    <row r="320" spans="1:43" x14ac:dyDescent="0.3">
      <c r="A320" s="21" t="s">
        <v>2972</v>
      </c>
      <c r="B320" s="35">
        <v>46283.666666666664</v>
      </c>
      <c r="C320" s="21" t="s">
        <v>1909</v>
      </c>
      <c r="D320" s="21" t="s">
        <v>2954</v>
      </c>
      <c r="E320" s="21" t="s">
        <v>1927</v>
      </c>
      <c r="F320" s="21" t="s">
        <v>768</v>
      </c>
      <c r="G320" s="35">
        <v>46283.939375000002</v>
      </c>
      <c r="H320" s="21" t="s">
        <v>1912</v>
      </c>
      <c r="I320" s="21" t="s">
        <v>1913</v>
      </c>
      <c r="J320" s="21" t="s">
        <v>1914</v>
      </c>
      <c r="K320" s="21" t="s">
        <v>1800</v>
      </c>
      <c r="L320" s="21" t="s">
        <v>1073</v>
      </c>
      <c r="M320" s="21" t="s">
        <v>1801</v>
      </c>
      <c r="N320" s="21" t="s">
        <v>1928</v>
      </c>
      <c r="O320" s="21" t="s">
        <v>1929</v>
      </c>
      <c r="P320" s="21" t="s">
        <v>1930</v>
      </c>
      <c r="Q320" s="21" t="s">
        <v>1213</v>
      </c>
      <c r="R320" s="21" t="s">
        <v>1255</v>
      </c>
      <c r="S320" s="21" t="s">
        <v>1104</v>
      </c>
      <c r="T320" s="21" t="s">
        <v>1917</v>
      </c>
      <c r="U320" s="21" t="s">
        <v>1677</v>
      </c>
      <c r="V320" s="21" t="str">
        <f>_xlfn.XLOOKUP(U320,'T07'!$D$3:$D$1500,'T07'!$BI$3:$BI$1500)&amp;" / "&amp;_xlfn.XLOOKUP(U320,'T07'!$D$3:$D$1500,'T07'!$BJ$3:$BJ$1500)</f>
        <v>LHR-HTV-2010-55907 / HTV</v>
      </c>
      <c r="W320" s="21" t="s">
        <v>1917</v>
      </c>
      <c r="X320" s="21" t="s">
        <v>1679</v>
      </c>
      <c r="Y320" s="21" t="s">
        <v>2137</v>
      </c>
      <c r="Z320" s="21">
        <v>1</v>
      </c>
      <c r="AA320" s="21" t="s">
        <v>1828</v>
      </c>
      <c r="AB320" s="21" t="s">
        <v>1804</v>
      </c>
      <c r="AC320" s="25">
        <v>1750</v>
      </c>
      <c r="AD320" s="25">
        <v>500</v>
      </c>
      <c r="AE320" s="21" t="s">
        <v>2973</v>
      </c>
      <c r="AF320" s="21" t="s">
        <v>2974</v>
      </c>
      <c r="AG320" s="35">
        <v>46283.959374999999</v>
      </c>
      <c r="AH320" s="21" t="s">
        <v>1934</v>
      </c>
      <c r="AI320" s="25">
        <v>500</v>
      </c>
      <c r="AJ320" s="21" t="s">
        <v>1074</v>
      </c>
      <c r="AK320" s="21" t="s">
        <v>1922</v>
      </c>
      <c r="AL320" s="21" t="str">
        <f>IF(AD320-AI320&gt;0,(AD320-AI320)&amp;" bags - damaged in transit","None")</f>
        <v>None</v>
      </c>
      <c r="AM320" s="21" t="s">
        <v>844</v>
      </c>
      <c r="AN320" s="21" t="s">
        <v>848</v>
      </c>
      <c r="AO320" s="21" t="s">
        <v>1760</v>
      </c>
      <c r="AP320" s="21" t="str">
        <f>IF(AO320="Pending","Not yet invoiced",IF(AI320=AD320,"Matched","Invoiced on received qty ("&amp;AI320&amp;" of "&amp;AD320&amp;")"))</f>
        <v>Not yet invoiced</v>
      </c>
      <c r="AQ320" s="21" t="s">
        <v>2931</v>
      </c>
    </row>
    <row r="321" spans="1:43" x14ac:dyDescent="0.3">
      <c r="A321" s="21" t="s">
        <v>2972</v>
      </c>
      <c r="B321" s="35">
        <v>46283.666666666664</v>
      </c>
      <c r="C321" s="21" t="s">
        <v>1909</v>
      </c>
      <c r="D321" s="21" t="s">
        <v>2954</v>
      </c>
      <c r="E321" s="21" t="s">
        <v>1927</v>
      </c>
      <c r="F321" s="21" t="s">
        <v>768</v>
      </c>
      <c r="G321" s="35">
        <v>46283.939375000002</v>
      </c>
      <c r="H321" s="21" t="s">
        <v>1912</v>
      </c>
      <c r="I321" s="21" t="s">
        <v>1913</v>
      </c>
      <c r="J321" s="21" t="s">
        <v>1914</v>
      </c>
      <c r="K321" s="21" t="s">
        <v>1800</v>
      </c>
      <c r="L321" s="21" t="s">
        <v>1073</v>
      </c>
      <c r="M321" s="21" t="s">
        <v>1801</v>
      </c>
      <c r="N321" s="21" t="s">
        <v>1928</v>
      </c>
      <c r="O321" s="21" t="s">
        <v>1929</v>
      </c>
      <c r="P321" s="21" t="s">
        <v>1930</v>
      </c>
      <c r="Q321" s="21" t="s">
        <v>1213</v>
      </c>
      <c r="R321" s="21" t="s">
        <v>1255</v>
      </c>
      <c r="S321" s="21" t="s">
        <v>1104</v>
      </c>
      <c r="T321" s="21" t="s">
        <v>1917</v>
      </c>
      <c r="U321" s="21" t="s">
        <v>1677</v>
      </c>
      <c r="V321" s="21" t="str">
        <f>_xlfn.XLOOKUP(U321,'T07'!$D$3:$D$1500,'T07'!$BI$3:$BI$1500)&amp;" / "&amp;_xlfn.XLOOKUP(U321,'T07'!$D$3:$D$1500,'T07'!$BJ$3:$BJ$1500)</f>
        <v>LHR-HTV-2010-55907 / HTV</v>
      </c>
      <c r="W321" s="21" t="s">
        <v>1917</v>
      </c>
      <c r="X321" s="21" t="s">
        <v>1679</v>
      </c>
      <c r="Y321" s="21" t="s">
        <v>2137</v>
      </c>
      <c r="Z321" s="21">
        <v>2</v>
      </c>
      <c r="AA321" s="21" t="s">
        <v>1865</v>
      </c>
      <c r="AB321" s="21" t="s">
        <v>1804</v>
      </c>
      <c r="AC321" s="25">
        <v>1450</v>
      </c>
      <c r="AD321" s="25">
        <v>500</v>
      </c>
      <c r="AE321" s="21" t="s">
        <v>2975</v>
      </c>
      <c r="AF321" s="21" t="s">
        <v>2974</v>
      </c>
      <c r="AG321" s="35">
        <v>46283.959374999999</v>
      </c>
      <c r="AH321" s="21" t="s">
        <v>1934</v>
      </c>
      <c r="AI321" s="25">
        <v>500</v>
      </c>
      <c r="AJ321" s="21" t="s">
        <v>1074</v>
      </c>
      <c r="AK321" s="21" t="s">
        <v>1922</v>
      </c>
      <c r="AL321" s="21" t="str">
        <f>IF(AD321-AI321&gt;0,(AD321-AI321)&amp;" bags - damaged in transit","None")</f>
        <v>None</v>
      </c>
      <c r="AM321" s="21" t="s">
        <v>844</v>
      </c>
      <c r="AN321" s="21" t="s">
        <v>848</v>
      </c>
      <c r="AO321" s="21" t="s">
        <v>1760</v>
      </c>
      <c r="AP321" s="21" t="str">
        <f>IF(AO321="Pending","Not yet invoiced",IF(AI321=AD321,"Matched","Invoiced on received qty ("&amp;AI321&amp;" of "&amp;AD321&amp;")"))</f>
        <v>Not yet invoiced</v>
      </c>
      <c r="AQ321" s="21" t="s">
        <v>2931</v>
      </c>
    </row>
    <row r="322" spans="1:43" x14ac:dyDescent="0.3">
      <c r="A322" s="21" t="s">
        <v>2976</v>
      </c>
      <c r="B322" s="35">
        <v>46284.375</v>
      </c>
      <c r="C322" s="21" t="s">
        <v>1909</v>
      </c>
      <c r="D322" s="21" t="s">
        <v>2944</v>
      </c>
      <c r="E322" s="21" t="s">
        <v>1911</v>
      </c>
      <c r="F322" s="21" t="s">
        <v>768</v>
      </c>
      <c r="G322" s="35">
        <v>46284.494583333333</v>
      </c>
      <c r="H322" s="21" t="s">
        <v>1912</v>
      </c>
      <c r="I322" s="21" t="s">
        <v>1913</v>
      </c>
      <c r="J322" s="21" t="s">
        <v>1914</v>
      </c>
      <c r="K322" s="21" t="s">
        <v>1813</v>
      </c>
      <c r="L322" s="21" t="s">
        <v>1089</v>
      </c>
      <c r="M322" s="21" t="s">
        <v>1097</v>
      </c>
      <c r="N322" s="21" t="s">
        <v>2161</v>
      </c>
      <c r="O322" s="21" t="s">
        <v>1101</v>
      </c>
      <c r="P322" s="21" t="s">
        <v>1916</v>
      </c>
      <c r="Q322" s="21" t="s">
        <v>1278</v>
      </c>
      <c r="R322" s="21" t="s">
        <v>1317</v>
      </c>
      <c r="S322" s="21" t="s">
        <v>1104</v>
      </c>
      <c r="T322" s="21" t="s">
        <v>1917</v>
      </c>
      <c r="U322" s="21" t="s">
        <v>1739</v>
      </c>
      <c r="V322" s="21" t="str">
        <f>_xlfn.XLOOKUP(U322,'T07'!$D$3:$D$1500,'T07'!$BI$3:$BI$1500)&amp;" / "&amp;_xlfn.XLOOKUP(U322,'T07'!$D$3:$D$1500,'T07'!$BJ$3:$BJ$1500)</f>
        <v>LHR-HTV-2020-13470 / HTV</v>
      </c>
      <c r="W322" s="21" t="s">
        <v>1917</v>
      </c>
      <c r="X322" s="21" t="s">
        <v>1742</v>
      </c>
      <c r="Y322" s="21" t="s">
        <v>1942</v>
      </c>
      <c r="Z322" s="21">
        <v>1</v>
      </c>
      <c r="AA322" s="21" t="s">
        <v>1808</v>
      </c>
      <c r="AB322" s="21" t="s">
        <v>1804</v>
      </c>
      <c r="AC322" s="25">
        <v>3250</v>
      </c>
      <c r="AD322" s="25">
        <v>1000</v>
      </c>
      <c r="AE322" s="21" t="s">
        <v>2977</v>
      </c>
      <c r="AF322" s="21" t="s">
        <v>2978</v>
      </c>
      <c r="AG322" s="35">
        <v>46284.51458333333</v>
      </c>
      <c r="AH322" s="21" t="s">
        <v>1983</v>
      </c>
      <c r="AI322" s="25">
        <v>1000</v>
      </c>
      <c r="AJ322" s="21" t="s">
        <v>2164</v>
      </c>
      <c r="AK322" s="21" t="s">
        <v>1922</v>
      </c>
      <c r="AL322" s="21" t="str">
        <f>IF(AD322-AI322&gt;0,(AD322-AI322)&amp;" bags - damaged in transit","None")</f>
        <v>None</v>
      </c>
      <c r="AM322" s="21" t="s">
        <v>844</v>
      </c>
      <c r="AN322" s="21" t="s">
        <v>848</v>
      </c>
      <c r="AO322" s="21" t="s">
        <v>1760</v>
      </c>
      <c r="AP322" s="21" t="str">
        <f>IF(AO322="Pending","Not yet invoiced",IF(AI322=AD322,"Matched","Invoiced on received qty ("&amp;AI322&amp;" of "&amp;AD322&amp;")"))</f>
        <v>Not yet invoiced</v>
      </c>
      <c r="AQ322" s="21" t="s">
        <v>2931</v>
      </c>
    </row>
    <row r="323" spans="1:43" x14ac:dyDescent="0.3">
      <c r="A323" s="21" t="s">
        <v>2979</v>
      </c>
      <c r="B323" s="35">
        <v>46284.666666666664</v>
      </c>
      <c r="C323" s="21" t="s">
        <v>1909</v>
      </c>
      <c r="D323" s="21" t="s">
        <v>2927</v>
      </c>
      <c r="E323" s="21" t="s">
        <v>1911</v>
      </c>
      <c r="F323" s="21" t="s">
        <v>768</v>
      </c>
      <c r="G323" s="35">
        <v>46284.817499999997</v>
      </c>
      <c r="H323" s="21" t="s">
        <v>1912</v>
      </c>
      <c r="I323" s="21" t="s">
        <v>1913</v>
      </c>
      <c r="J323" s="21" t="s">
        <v>1914</v>
      </c>
      <c r="K323" s="21" t="s">
        <v>1870</v>
      </c>
      <c r="L323" s="21" t="s">
        <v>1045</v>
      </c>
      <c r="M323" s="21" t="s">
        <v>1871</v>
      </c>
      <c r="N323" s="21" t="s">
        <v>2354</v>
      </c>
      <c r="O323" s="21" t="s">
        <v>2355</v>
      </c>
      <c r="P323" s="21" t="s">
        <v>1930</v>
      </c>
      <c r="Q323" s="21" t="s">
        <v>1213</v>
      </c>
      <c r="R323" s="21" t="s">
        <v>1271</v>
      </c>
      <c r="S323" s="21" t="s">
        <v>1127</v>
      </c>
      <c r="T323" s="21" t="s">
        <v>1917</v>
      </c>
      <c r="U323" s="21" t="s">
        <v>1677</v>
      </c>
      <c r="V323" s="21" t="str">
        <f>_xlfn.XLOOKUP(U323,'T07'!$D$3:$D$1500,'T07'!$BI$3:$BI$1500)&amp;" / "&amp;_xlfn.XLOOKUP(U323,'T07'!$D$3:$D$1500,'T07'!$BJ$3:$BJ$1500)</f>
        <v>LHR-HTV-2010-55907 / HTV</v>
      </c>
      <c r="W323" s="21" t="s">
        <v>1917</v>
      </c>
      <c r="X323" s="21" t="s">
        <v>1679</v>
      </c>
      <c r="Y323" s="21" t="s">
        <v>2022</v>
      </c>
      <c r="Z323" s="21">
        <v>1</v>
      </c>
      <c r="AA323" s="21" t="s">
        <v>1808</v>
      </c>
      <c r="AB323" s="21" t="s">
        <v>1804</v>
      </c>
      <c r="AC323" s="25">
        <v>1000</v>
      </c>
      <c r="AD323" s="25">
        <v>500</v>
      </c>
      <c r="AE323" s="21" t="s">
        <v>2980</v>
      </c>
      <c r="AF323" s="21" t="s">
        <v>2981</v>
      </c>
      <c r="AG323" s="35">
        <v>46284.837499999994</v>
      </c>
      <c r="AH323" s="21" t="s">
        <v>1934</v>
      </c>
      <c r="AI323" s="25">
        <v>500</v>
      </c>
      <c r="AJ323" s="21" t="s">
        <v>1046</v>
      </c>
      <c r="AK323" s="21" t="s">
        <v>1922</v>
      </c>
      <c r="AL323" s="21" t="str">
        <f>IF(AD323-AI323&gt;0,(AD323-AI323)&amp;" bags - damaged in transit","None")</f>
        <v>None</v>
      </c>
      <c r="AM323" s="21" t="s">
        <v>844</v>
      </c>
      <c r="AN323" s="21" t="s">
        <v>848</v>
      </c>
      <c r="AO323" s="21" t="s">
        <v>2930</v>
      </c>
      <c r="AP323" s="21" t="str">
        <f>IF(AO323="Pending","Not yet invoiced",IF(AI323=AD323,"Matched","Invoiced on received qty ("&amp;AI323&amp;" of "&amp;AD323&amp;")"))</f>
        <v>Matched</v>
      </c>
      <c r="AQ323" s="21" t="s">
        <v>2931</v>
      </c>
    </row>
    <row r="324" spans="1:43" x14ac:dyDescent="0.3">
      <c r="A324" s="21" t="s">
        <v>2982</v>
      </c>
      <c r="B324" s="35">
        <v>46285.416666666664</v>
      </c>
      <c r="C324" s="21" t="s">
        <v>1909</v>
      </c>
      <c r="D324" s="21" t="s">
        <v>2944</v>
      </c>
      <c r="E324" s="21" t="s">
        <v>1927</v>
      </c>
      <c r="F324" s="21" t="s">
        <v>768</v>
      </c>
      <c r="G324" s="35">
        <v>46285.536249999997</v>
      </c>
      <c r="H324" s="21" t="s">
        <v>1912</v>
      </c>
      <c r="I324" s="21" t="s">
        <v>1913</v>
      </c>
      <c r="J324" s="21" t="s">
        <v>1914</v>
      </c>
      <c r="K324" s="21" t="s">
        <v>1813</v>
      </c>
      <c r="L324" s="21" t="s">
        <v>1089</v>
      </c>
      <c r="M324" s="21" t="s">
        <v>1097</v>
      </c>
      <c r="N324" s="21" t="s">
        <v>2161</v>
      </c>
      <c r="O324" s="21" t="s">
        <v>1101</v>
      </c>
      <c r="P324" s="21" t="s">
        <v>1916</v>
      </c>
      <c r="Q324" s="21" t="s">
        <v>1278</v>
      </c>
      <c r="R324" s="21" t="s">
        <v>1287</v>
      </c>
      <c r="S324" s="21" t="s">
        <v>1104</v>
      </c>
      <c r="T324" s="21" t="s">
        <v>1917</v>
      </c>
      <c r="U324" s="21" t="s">
        <v>1677</v>
      </c>
      <c r="V324" s="21" t="str">
        <f>_xlfn.XLOOKUP(U324,'T07'!$D$3:$D$1500,'T07'!$BI$3:$BI$1500)&amp;" / "&amp;_xlfn.XLOOKUP(U324,'T07'!$D$3:$D$1500,'T07'!$BJ$3:$BJ$1500)</f>
        <v>LHR-HTV-2010-55907 / HTV</v>
      </c>
      <c r="W324" s="21" t="s">
        <v>1917</v>
      </c>
      <c r="X324" s="21" t="s">
        <v>1679</v>
      </c>
      <c r="Y324" s="21" t="s">
        <v>2130</v>
      </c>
      <c r="Z324" s="21">
        <v>1</v>
      </c>
      <c r="AA324" s="21" t="s">
        <v>1826</v>
      </c>
      <c r="AB324" s="21" t="s">
        <v>1804</v>
      </c>
      <c r="AC324" s="25">
        <v>1750</v>
      </c>
      <c r="AD324" s="25">
        <v>500</v>
      </c>
      <c r="AE324" s="21" t="s">
        <v>2983</v>
      </c>
      <c r="AF324" s="21" t="s">
        <v>2984</v>
      </c>
      <c r="AG324" s="35">
        <v>46285.556249999994</v>
      </c>
      <c r="AH324" s="21" t="s">
        <v>1934</v>
      </c>
      <c r="AI324" s="25">
        <v>500</v>
      </c>
      <c r="AJ324" s="21" t="s">
        <v>2164</v>
      </c>
      <c r="AK324" s="21" t="s">
        <v>1922</v>
      </c>
      <c r="AL324" s="21" t="str">
        <f>IF(AD324-AI324&gt;0,(AD324-AI324)&amp;" bags - damaged in transit","None")</f>
        <v>None</v>
      </c>
      <c r="AM324" s="21" t="s">
        <v>844</v>
      </c>
      <c r="AN324" s="21" t="s">
        <v>848</v>
      </c>
      <c r="AO324" s="21" t="s">
        <v>1760</v>
      </c>
      <c r="AP324" s="21" t="str">
        <f>IF(AO324="Pending","Not yet invoiced",IF(AI324=AD324,"Matched","Invoiced on received qty ("&amp;AI324&amp;" of "&amp;AD324&amp;")"))</f>
        <v>Not yet invoiced</v>
      </c>
      <c r="AQ324" s="21" t="s">
        <v>2931</v>
      </c>
    </row>
    <row r="325" spans="1:43" x14ac:dyDescent="0.3">
      <c r="A325" s="21" t="s">
        <v>2982</v>
      </c>
      <c r="B325" s="35">
        <v>46285.416666666664</v>
      </c>
      <c r="C325" s="21" t="s">
        <v>1909</v>
      </c>
      <c r="D325" s="21" t="s">
        <v>2944</v>
      </c>
      <c r="E325" s="21" t="s">
        <v>1927</v>
      </c>
      <c r="F325" s="21" t="s">
        <v>768</v>
      </c>
      <c r="G325" s="35">
        <v>46285.536249999997</v>
      </c>
      <c r="H325" s="21" t="s">
        <v>1912</v>
      </c>
      <c r="I325" s="21" t="s">
        <v>1913</v>
      </c>
      <c r="J325" s="21" t="s">
        <v>1914</v>
      </c>
      <c r="K325" s="21" t="s">
        <v>1813</v>
      </c>
      <c r="L325" s="21" t="s">
        <v>1089</v>
      </c>
      <c r="M325" s="21" t="s">
        <v>1097</v>
      </c>
      <c r="N325" s="21" t="s">
        <v>2161</v>
      </c>
      <c r="O325" s="21" t="s">
        <v>1101</v>
      </c>
      <c r="P325" s="21" t="s">
        <v>1916</v>
      </c>
      <c r="Q325" s="21" t="s">
        <v>1278</v>
      </c>
      <c r="R325" s="21" t="s">
        <v>1287</v>
      </c>
      <c r="S325" s="21" t="s">
        <v>1104</v>
      </c>
      <c r="T325" s="21" t="s">
        <v>1917</v>
      </c>
      <c r="U325" s="21" t="s">
        <v>1677</v>
      </c>
      <c r="V325" s="21" t="str">
        <f>_xlfn.XLOOKUP(U325,'T07'!$D$3:$D$1500,'T07'!$BI$3:$BI$1500)&amp;" / "&amp;_xlfn.XLOOKUP(U325,'T07'!$D$3:$D$1500,'T07'!$BJ$3:$BJ$1500)</f>
        <v>LHR-HTV-2010-55907 / HTV</v>
      </c>
      <c r="W325" s="21" t="s">
        <v>1917</v>
      </c>
      <c r="X325" s="21" t="s">
        <v>1679</v>
      </c>
      <c r="Y325" s="21" t="s">
        <v>2130</v>
      </c>
      <c r="Z325" s="21">
        <v>2</v>
      </c>
      <c r="AA325" s="21" t="s">
        <v>1808</v>
      </c>
      <c r="AB325" s="21" t="s">
        <v>1804</v>
      </c>
      <c r="AC325" s="25">
        <v>2250</v>
      </c>
      <c r="AD325" s="25">
        <v>500</v>
      </c>
      <c r="AE325" s="21" t="s">
        <v>2985</v>
      </c>
      <c r="AF325" s="21" t="s">
        <v>2984</v>
      </c>
      <c r="AG325" s="35">
        <v>46285.556249999994</v>
      </c>
      <c r="AH325" s="21" t="s">
        <v>1934</v>
      </c>
      <c r="AI325" s="25">
        <v>500</v>
      </c>
      <c r="AJ325" s="21" t="s">
        <v>2164</v>
      </c>
      <c r="AK325" s="21" t="s">
        <v>1922</v>
      </c>
      <c r="AL325" s="21" t="str">
        <f>IF(AD325-AI325&gt;0,(AD325-AI325)&amp;" bags - damaged in transit","None")</f>
        <v>None</v>
      </c>
      <c r="AM325" s="21" t="s">
        <v>844</v>
      </c>
      <c r="AN325" s="21" t="s">
        <v>848</v>
      </c>
      <c r="AO325" s="21" t="s">
        <v>1760</v>
      </c>
      <c r="AP325" s="21" t="str">
        <f>IF(AO325="Pending","Not yet invoiced",IF(AI325=AD325,"Matched","Invoiced on received qty ("&amp;AI325&amp;" of "&amp;AD325&amp;")"))</f>
        <v>Not yet invoiced</v>
      </c>
      <c r="AQ325" s="21" t="s">
        <v>2931</v>
      </c>
    </row>
    <row r="326" spans="1:43" x14ac:dyDescent="0.3">
      <c r="A326" s="21" t="s">
        <v>2986</v>
      </c>
      <c r="B326" s="35">
        <v>46285.625</v>
      </c>
      <c r="C326" s="21" t="s">
        <v>1909</v>
      </c>
      <c r="D326" s="21" t="s">
        <v>2954</v>
      </c>
      <c r="E326" s="21" t="s">
        <v>1911</v>
      </c>
      <c r="F326" s="21" t="s">
        <v>768</v>
      </c>
      <c r="G326" s="35">
        <v>46285.897708333338</v>
      </c>
      <c r="H326" s="21" t="s">
        <v>1912</v>
      </c>
      <c r="I326" s="21" t="s">
        <v>1913</v>
      </c>
      <c r="J326" s="21" t="s">
        <v>1914</v>
      </c>
      <c r="K326" s="21" t="s">
        <v>1800</v>
      </c>
      <c r="L326" s="21" t="s">
        <v>1073</v>
      </c>
      <c r="M326" s="21" t="s">
        <v>1801</v>
      </c>
      <c r="N326" s="21" t="s">
        <v>1928</v>
      </c>
      <c r="O326" s="21" t="s">
        <v>1929</v>
      </c>
      <c r="P326" s="21" t="s">
        <v>1930</v>
      </c>
      <c r="Q326" s="21" t="s">
        <v>1278</v>
      </c>
      <c r="R326" s="21" t="s">
        <v>1332</v>
      </c>
      <c r="S326" s="21" t="s">
        <v>1127</v>
      </c>
      <c r="T326" s="21" t="s">
        <v>1917</v>
      </c>
      <c r="U326" s="21" t="s">
        <v>1782</v>
      </c>
      <c r="V326" s="21" t="str">
        <f>_xlfn.XLOOKUP(U326,'T07'!$D$3:$D$1500,'T07'!$BI$3:$BI$1500)&amp;" / "&amp;_xlfn.XLOOKUP(U326,'T07'!$D$3:$D$1500,'T07'!$BJ$3:$BJ$1500)</f>
        <v>LHR-HTV-2014-51184 / HTV</v>
      </c>
      <c r="W326" s="21" t="s">
        <v>1917</v>
      </c>
      <c r="X326" s="21" t="s">
        <v>1785</v>
      </c>
      <c r="Y326" s="21" t="s">
        <v>1931</v>
      </c>
      <c r="Z326" s="21">
        <v>1</v>
      </c>
      <c r="AA326" s="21" t="s">
        <v>1826</v>
      </c>
      <c r="AB326" s="21" t="s">
        <v>1804</v>
      </c>
      <c r="AC326" s="25">
        <v>950</v>
      </c>
      <c r="AD326" s="25">
        <v>250</v>
      </c>
      <c r="AE326" s="21" t="s">
        <v>2987</v>
      </c>
      <c r="AF326" s="21" t="s">
        <v>2988</v>
      </c>
      <c r="AG326" s="35">
        <v>46285.917708333334</v>
      </c>
      <c r="AH326" s="21" t="s">
        <v>1934</v>
      </c>
      <c r="AI326" s="25">
        <v>250</v>
      </c>
      <c r="AJ326" s="21" t="s">
        <v>1074</v>
      </c>
      <c r="AK326" s="21" t="s">
        <v>1922</v>
      </c>
      <c r="AL326" s="21" t="str">
        <f>IF(AD326-AI326&gt;0,(AD326-AI326)&amp;" bags - damaged in transit","None")</f>
        <v>None</v>
      </c>
      <c r="AM326" s="21" t="s">
        <v>844</v>
      </c>
      <c r="AN326" s="21" t="s">
        <v>848</v>
      </c>
      <c r="AO326" s="21" t="s">
        <v>1760</v>
      </c>
      <c r="AP326" s="21" t="str">
        <f>IF(AO326="Pending","Not yet invoiced",IF(AI326=AD326,"Matched","Invoiced on received qty ("&amp;AI326&amp;" of "&amp;AD326&amp;")"))</f>
        <v>Not yet invoiced</v>
      </c>
      <c r="AQ326" s="21" t="s">
        <v>2931</v>
      </c>
    </row>
    <row r="327" spans="1:43" x14ac:dyDescent="0.3">
      <c r="A327" s="21" t="s">
        <v>2986</v>
      </c>
      <c r="B327" s="35">
        <v>46285.625</v>
      </c>
      <c r="C327" s="21" t="s">
        <v>1909</v>
      </c>
      <c r="D327" s="21" t="s">
        <v>2954</v>
      </c>
      <c r="E327" s="21" t="s">
        <v>1945</v>
      </c>
      <c r="F327" s="21" t="s">
        <v>768</v>
      </c>
      <c r="G327" s="35">
        <v>46285.897708333338</v>
      </c>
      <c r="H327" s="21" t="s">
        <v>1912</v>
      </c>
      <c r="I327" s="21" t="s">
        <v>1913</v>
      </c>
      <c r="J327" s="21" t="s">
        <v>1914</v>
      </c>
      <c r="K327" s="21" t="s">
        <v>1800</v>
      </c>
      <c r="L327" s="21" t="s">
        <v>1073</v>
      </c>
      <c r="M327" s="21" t="s">
        <v>1801</v>
      </c>
      <c r="N327" s="21" t="s">
        <v>1928</v>
      </c>
      <c r="O327" s="21" t="s">
        <v>1929</v>
      </c>
      <c r="P327" s="21" t="s">
        <v>1930</v>
      </c>
      <c r="Q327" s="21" t="s">
        <v>1278</v>
      </c>
      <c r="R327" s="21" t="s">
        <v>1332</v>
      </c>
      <c r="S327" s="21" t="s">
        <v>1127</v>
      </c>
      <c r="T327" s="21" t="s">
        <v>1917</v>
      </c>
      <c r="U327" s="21" t="s">
        <v>1782</v>
      </c>
      <c r="V327" s="21" t="str">
        <f>_xlfn.XLOOKUP(U327,'T07'!$D$3:$D$1500,'T07'!$BI$3:$BI$1500)&amp;" / "&amp;_xlfn.XLOOKUP(U327,'T07'!$D$3:$D$1500,'T07'!$BJ$3:$BJ$1500)</f>
        <v>LHR-HTV-2014-51184 / HTV</v>
      </c>
      <c r="W327" s="21" t="s">
        <v>1917</v>
      </c>
      <c r="X327" s="21" t="s">
        <v>1785</v>
      </c>
      <c r="Y327" s="21" t="s">
        <v>1931</v>
      </c>
      <c r="Z327" s="21">
        <v>2</v>
      </c>
      <c r="AA327" s="21" t="s">
        <v>1828</v>
      </c>
      <c r="AB327" s="21" t="s">
        <v>1804</v>
      </c>
      <c r="AC327" s="25">
        <v>1250</v>
      </c>
      <c r="AD327" s="25">
        <v>250</v>
      </c>
      <c r="AE327" s="21" t="s">
        <v>2989</v>
      </c>
      <c r="AF327" s="21" t="s">
        <v>2988</v>
      </c>
      <c r="AG327" s="35">
        <v>46285.917708333334</v>
      </c>
      <c r="AH327" s="21" t="s">
        <v>1934</v>
      </c>
      <c r="AI327" s="25">
        <v>248</v>
      </c>
      <c r="AJ327" s="21" t="s">
        <v>1074</v>
      </c>
      <c r="AK327" s="21" t="s">
        <v>1922</v>
      </c>
      <c r="AL327" s="21" t="str">
        <f>IF(AD327-AI327&gt;0,(AD327-AI327)&amp;" bags - damaged in transit","None")</f>
        <v>2 bags - damaged in transit</v>
      </c>
      <c r="AM327" s="21" t="s">
        <v>2990</v>
      </c>
      <c r="AN327" s="21" t="s">
        <v>2991</v>
      </c>
      <c r="AO327" s="21" t="s">
        <v>1760</v>
      </c>
      <c r="AP327" s="21" t="str">
        <f>IF(AO327="Pending","Not yet invoiced",IF(AI327=AD327,"Matched","Invoiced on received qty ("&amp;AI327&amp;" of "&amp;AD327&amp;")"))</f>
        <v>Not yet invoiced</v>
      </c>
      <c r="AQ327" s="21" t="s">
        <v>2931</v>
      </c>
    </row>
    <row r="328" spans="1:43" x14ac:dyDescent="0.3">
      <c r="A328" s="21" t="s">
        <v>2992</v>
      </c>
      <c r="B328" s="35">
        <v>46287.5</v>
      </c>
      <c r="C328" s="21" t="s">
        <v>1909</v>
      </c>
      <c r="D328" s="21" t="s">
        <v>2954</v>
      </c>
      <c r="E328" s="21" t="s">
        <v>1927</v>
      </c>
      <c r="F328" s="21" t="s">
        <v>768</v>
      </c>
      <c r="G328" s="35">
        <v>46287.772708333338</v>
      </c>
      <c r="H328" s="21" t="s">
        <v>1912</v>
      </c>
      <c r="I328" s="21" t="s">
        <v>1913</v>
      </c>
      <c r="J328" s="21" t="s">
        <v>1914</v>
      </c>
      <c r="K328" s="21" t="s">
        <v>1800</v>
      </c>
      <c r="L328" s="21" t="s">
        <v>1073</v>
      </c>
      <c r="M328" s="21" t="s">
        <v>1801</v>
      </c>
      <c r="N328" s="21" t="s">
        <v>1928</v>
      </c>
      <c r="O328" s="21" t="s">
        <v>1929</v>
      </c>
      <c r="P328" s="21" t="s">
        <v>1930</v>
      </c>
      <c r="Q328" s="21" t="s">
        <v>1213</v>
      </c>
      <c r="R328" s="21" t="s">
        <v>1227</v>
      </c>
      <c r="S328" s="21" t="s">
        <v>1127</v>
      </c>
      <c r="T328" s="21" t="s">
        <v>1917</v>
      </c>
      <c r="U328" s="21" t="s">
        <v>1753</v>
      </c>
      <c r="V328" s="21" t="str">
        <f>_xlfn.XLOOKUP(U328,'T07'!$D$3:$D$1500,'T07'!$BI$3:$BI$1500)&amp;" / "&amp;_xlfn.XLOOKUP(U328,'T07'!$D$3:$D$1500,'T07'!$BJ$3:$BJ$1500)</f>
        <v>LHR-HTV-2009-86678 / HTV</v>
      </c>
      <c r="W328" s="21" t="s">
        <v>1917</v>
      </c>
      <c r="X328" s="21" t="s">
        <v>1755</v>
      </c>
      <c r="Y328" s="21" t="s">
        <v>1991</v>
      </c>
      <c r="Z328" s="21">
        <v>1</v>
      </c>
      <c r="AA328" s="21" t="s">
        <v>1828</v>
      </c>
      <c r="AB328" s="21" t="s">
        <v>1804</v>
      </c>
      <c r="AC328" s="25">
        <v>1000</v>
      </c>
      <c r="AD328" s="25">
        <v>150</v>
      </c>
      <c r="AE328" s="21" t="s">
        <v>2993</v>
      </c>
      <c r="AF328" s="21" t="s">
        <v>2994</v>
      </c>
      <c r="AG328" s="35">
        <v>46287.792708333334</v>
      </c>
      <c r="AH328" s="21" t="s">
        <v>1934</v>
      </c>
      <c r="AI328" s="25">
        <v>150</v>
      </c>
      <c r="AJ328" s="21" t="s">
        <v>1074</v>
      </c>
      <c r="AK328" s="21" t="s">
        <v>1922</v>
      </c>
      <c r="AL328" s="21" t="str">
        <f>IF(AD328-AI328&gt;0,(AD328-AI328)&amp;" bags - damaged in transit","None")</f>
        <v>None</v>
      </c>
      <c r="AM328" s="21" t="s">
        <v>844</v>
      </c>
      <c r="AN328" s="21" t="s">
        <v>848</v>
      </c>
      <c r="AO328" s="21" t="s">
        <v>1760</v>
      </c>
      <c r="AP328" s="21" t="str">
        <f>IF(AO328="Pending","Not yet invoiced",IF(AI328=AD328,"Matched","Invoiced on received qty ("&amp;AI328&amp;" of "&amp;AD328&amp;")"))</f>
        <v>Not yet invoiced</v>
      </c>
      <c r="AQ328" s="21" t="s">
        <v>2931</v>
      </c>
    </row>
    <row r="329" spans="1:43" x14ac:dyDescent="0.3">
      <c r="A329" s="21" t="s">
        <v>2992</v>
      </c>
      <c r="B329" s="35">
        <v>46287.5</v>
      </c>
      <c r="C329" s="21" t="s">
        <v>1909</v>
      </c>
      <c r="D329" s="21" t="s">
        <v>2954</v>
      </c>
      <c r="E329" s="21" t="s">
        <v>1927</v>
      </c>
      <c r="F329" s="21" t="s">
        <v>768</v>
      </c>
      <c r="G329" s="35">
        <v>46287.772708333338</v>
      </c>
      <c r="H329" s="21" t="s">
        <v>1912</v>
      </c>
      <c r="I329" s="21" t="s">
        <v>1913</v>
      </c>
      <c r="J329" s="21" t="s">
        <v>1914</v>
      </c>
      <c r="K329" s="21" t="s">
        <v>1800</v>
      </c>
      <c r="L329" s="21" t="s">
        <v>1073</v>
      </c>
      <c r="M329" s="21" t="s">
        <v>1801</v>
      </c>
      <c r="N329" s="21" t="s">
        <v>1928</v>
      </c>
      <c r="O329" s="21" t="s">
        <v>1929</v>
      </c>
      <c r="P329" s="21" t="s">
        <v>1930</v>
      </c>
      <c r="Q329" s="21" t="s">
        <v>1213</v>
      </c>
      <c r="R329" s="21" t="s">
        <v>1227</v>
      </c>
      <c r="S329" s="21" t="s">
        <v>1127</v>
      </c>
      <c r="T329" s="21" t="s">
        <v>1917</v>
      </c>
      <c r="U329" s="21" t="s">
        <v>1753</v>
      </c>
      <c r="V329" s="21" t="str">
        <f>_xlfn.XLOOKUP(U329,'T07'!$D$3:$D$1500,'T07'!$BI$3:$BI$1500)&amp;" / "&amp;_xlfn.XLOOKUP(U329,'T07'!$D$3:$D$1500,'T07'!$BJ$3:$BJ$1500)</f>
        <v>LHR-HTV-2009-86678 / HTV</v>
      </c>
      <c r="W329" s="21" t="s">
        <v>1917</v>
      </c>
      <c r="X329" s="21" t="s">
        <v>1755</v>
      </c>
      <c r="Y329" s="21" t="s">
        <v>1991</v>
      </c>
      <c r="Z329" s="21">
        <v>2</v>
      </c>
      <c r="AA329" s="21" t="s">
        <v>1865</v>
      </c>
      <c r="AB329" s="21" t="s">
        <v>1804</v>
      </c>
      <c r="AC329" s="25">
        <v>950</v>
      </c>
      <c r="AD329" s="25">
        <v>150</v>
      </c>
      <c r="AE329" s="21" t="s">
        <v>2995</v>
      </c>
      <c r="AF329" s="21" t="s">
        <v>2994</v>
      </c>
      <c r="AG329" s="35">
        <v>46287.792708333334</v>
      </c>
      <c r="AH329" s="21" t="s">
        <v>1934</v>
      </c>
      <c r="AI329" s="25">
        <v>144</v>
      </c>
      <c r="AJ329" s="21" t="s">
        <v>1074</v>
      </c>
      <c r="AK329" s="21" t="s">
        <v>1922</v>
      </c>
      <c r="AL329" s="21" t="str">
        <f>IF(AD329-AI329&gt;0,(AD329-AI329)&amp;" bags - damaged in transit","None")</f>
        <v>6 bags - damaged in transit</v>
      </c>
      <c r="AM329" s="21" t="s">
        <v>2996</v>
      </c>
      <c r="AN329" s="21" t="s">
        <v>2997</v>
      </c>
      <c r="AO329" s="21" t="s">
        <v>1760</v>
      </c>
      <c r="AP329" s="21" t="str">
        <f>IF(AO329="Pending","Not yet invoiced",IF(AI329=AD329,"Matched","Invoiced on received qty ("&amp;AI329&amp;" of "&amp;AD329&amp;")"))</f>
        <v>Not yet invoiced</v>
      </c>
      <c r="AQ329" s="21" t="s">
        <v>2931</v>
      </c>
    </row>
    <row r="330" spans="1:43" x14ac:dyDescent="0.3">
      <c r="A330" s="21" t="s">
        <v>2992</v>
      </c>
      <c r="B330" s="35">
        <v>46287.5</v>
      </c>
      <c r="C330" s="21" t="s">
        <v>1909</v>
      </c>
      <c r="D330" s="21" t="s">
        <v>2954</v>
      </c>
      <c r="E330" s="21" t="s">
        <v>1927</v>
      </c>
      <c r="F330" s="21" t="s">
        <v>768</v>
      </c>
      <c r="G330" s="35">
        <v>46287.772708333338</v>
      </c>
      <c r="H330" s="21" t="s">
        <v>1912</v>
      </c>
      <c r="I330" s="21" t="s">
        <v>1913</v>
      </c>
      <c r="J330" s="21" t="s">
        <v>1914</v>
      </c>
      <c r="K330" s="21" t="s">
        <v>1800</v>
      </c>
      <c r="L330" s="21" t="s">
        <v>1073</v>
      </c>
      <c r="M330" s="21" t="s">
        <v>1801</v>
      </c>
      <c r="N330" s="21" t="s">
        <v>1928</v>
      </c>
      <c r="O330" s="21" t="s">
        <v>1929</v>
      </c>
      <c r="P330" s="21" t="s">
        <v>1930</v>
      </c>
      <c r="Q330" s="21" t="s">
        <v>1213</v>
      </c>
      <c r="R330" s="21" t="s">
        <v>1227</v>
      </c>
      <c r="S330" s="21" t="s">
        <v>1127</v>
      </c>
      <c r="T330" s="21" t="s">
        <v>1917</v>
      </c>
      <c r="U330" s="21" t="s">
        <v>1753</v>
      </c>
      <c r="V330" s="21" t="str">
        <f>_xlfn.XLOOKUP(U330,'T07'!$D$3:$D$1500,'T07'!$BI$3:$BI$1500)&amp;" / "&amp;_xlfn.XLOOKUP(U330,'T07'!$D$3:$D$1500,'T07'!$BJ$3:$BJ$1500)</f>
        <v>LHR-HTV-2009-86678 / HTV</v>
      </c>
      <c r="W330" s="21" t="s">
        <v>1917</v>
      </c>
      <c r="X330" s="21" t="s">
        <v>1755</v>
      </c>
      <c r="Y330" s="21" t="s">
        <v>1991</v>
      </c>
      <c r="Z330" s="21">
        <v>3</v>
      </c>
      <c r="AA330" s="21" t="s">
        <v>1826</v>
      </c>
      <c r="AB330" s="21" t="s">
        <v>1804</v>
      </c>
      <c r="AC330" s="25">
        <v>700</v>
      </c>
      <c r="AD330" s="25">
        <v>150</v>
      </c>
      <c r="AE330" s="21" t="s">
        <v>2998</v>
      </c>
      <c r="AF330" s="21" t="s">
        <v>2994</v>
      </c>
      <c r="AG330" s="35">
        <v>46287.792708333334</v>
      </c>
      <c r="AH330" s="21" t="s">
        <v>1934</v>
      </c>
      <c r="AI330" s="25">
        <v>150</v>
      </c>
      <c r="AJ330" s="21" t="s">
        <v>1074</v>
      </c>
      <c r="AK330" s="21" t="s">
        <v>1922</v>
      </c>
      <c r="AL330" s="21" t="str">
        <f>IF(AD330-AI330&gt;0,(AD330-AI330)&amp;" bags - damaged in transit","None")</f>
        <v>None</v>
      </c>
      <c r="AM330" s="21" t="s">
        <v>844</v>
      </c>
      <c r="AN330" s="21" t="s">
        <v>848</v>
      </c>
      <c r="AO330" s="21" t="s">
        <v>1760</v>
      </c>
      <c r="AP330" s="21" t="str">
        <f>IF(AO330="Pending","Not yet invoiced",IF(AI330=AD330,"Matched","Invoiced on received qty ("&amp;AI330&amp;" of "&amp;AD330&amp;")"))</f>
        <v>Not yet invoiced</v>
      </c>
      <c r="AQ330" s="21" t="s">
        <v>2931</v>
      </c>
    </row>
    <row r="331" spans="1:43" x14ac:dyDescent="0.3">
      <c r="A331" s="21" t="s">
        <v>2999</v>
      </c>
      <c r="B331" s="35">
        <v>46288.458333333336</v>
      </c>
      <c r="C331" s="21" t="s">
        <v>1909</v>
      </c>
      <c r="D331" s="21" t="s">
        <v>2944</v>
      </c>
      <c r="E331" s="21" t="s">
        <v>1911</v>
      </c>
      <c r="F331" s="21" t="s">
        <v>768</v>
      </c>
      <c r="G331" s="35">
        <v>46288.577916666669</v>
      </c>
      <c r="H331" s="21" t="s">
        <v>1912</v>
      </c>
      <c r="I331" s="21" t="s">
        <v>1913</v>
      </c>
      <c r="J331" s="21" t="s">
        <v>1914</v>
      </c>
      <c r="K331" s="21" t="s">
        <v>1813</v>
      </c>
      <c r="L331" s="21" t="s">
        <v>1089</v>
      </c>
      <c r="M331" s="21" t="s">
        <v>1097</v>
      </c>
      <c r="N331" s="21" t="s">
        <v>2161</v>
      </c>
      <c r="O331" s="21" t="s">
        <v>1101</v>
      </c>
      <c r="P331" s="21" t="s">
        <v>1916</v>
      </c>
      <c r="Q331" s="21" t="s">
        <v>1278</v>
      </c>
      <c r="R331" s="21" t="s">
        <v>1302</v>
      </c>
      <c r="S331" s="21" t="s">
        <v>1127</v>
      </c>
      <c r="T331" s="21" t="s">
        <v>1917</v>
      </c>
      <c r="U331" s="21" t="s">
        <v>1739</v>
      </c>
      <c r="V331" s="21" t="str">
        <f>_xlfn.XLOOKUP(U331,'T07'!$D$3:$D$1500,'T07'!$BI$3:$BI$1500)&amp;" / "&amp;_xlfn.XLOOKUP(U331,'T07'!$D$3:$D$1500,'T07'!$BJ$3:$BJ$1500)</f>
        <v>LHR-HTV-2020-13470 / HTV</v>
      </c>
      <c r="W331" s="21" t="s">
        <v>1917</v>
      </c>
      <c r="X331" s="21" t="s">
        <v>1742</v>
      </c>
      <c r="Y331" s="21" t="s">
        <v>2086</v>
      </c>
      <c r="Z331" s="21">
        <v>1</v>
      </c>
      <c r="AA331" s="21" t="s">
        <v>1808</v>
      </c>
      <c r="AB331" s="21" t="s">
        <v>1804</v>
      </c>
      <c r="AC331" s="25">
        <v>1750</v>
      </c>
      <c r="AD331" s="25">
        <v>500</v>
      </c>
      <c r="AE331" s="21" t="s">
        <v>3000</v>
      </c>
      <c r="AF331" s="21" t="s">
        <v>3001</v>
      </c>
      <c r="AG331" s="35">
        <v>46288.597916666666</v>
      </c>
      <c r="AH331" s="21" t="s">
        <v>1934</v>
      </c>
      <c r="AI331" s="25">
        <v>500</v>
      </c>
      <c r="AJ331" s="21" t="s">
        <v>2164</v>
      </c>
      <c r="AK331" s="21" t="s">
        <v>1922</v>
      </c>
      <c r="AL331" s="21" t="str">
        <f>IF(AD331-AI331&gt;0,(AD331-AI331)&amp;" bags - damaged in transit","None")</f>
        <v>None</v>
      </c>
      <c r="AM331" s="21" t="s">
        <v>844</v>
      </c>
      <c r="AN331" s="21" t="s">
        <v>848</v>
      </c>
      <c r="AO331" s="21" t="s">
        <v>1760</v>
      </c>
      <c r="AP331" s="21" t="str">
        <f>IF(AO331="Pending","Not yet invoiced",IF(AI331=AD331,"Matched","Invoiced on received qty ("&amp;AI331&amp;" of "&amp;AD331&amp;")"))</f>
        <v>Not yet invoiced</v>
      </c>
      <c r="AQ331" s="21" t="s">
        <v>2931</v>
      </c>
    </row>
    <row r="332" spans="1:43" x14ac:dyDescent="0.3">
      <c r="A332" s="21" t="s">
        <v>3002</v>
      </c>
      <c r="B332" s="35">
        <v>46288.666666666664</v>
      </c>
      <c r="C332" s="21" t="s">
        <v>1909</v>
      </c>
      <c r="D332" s="21" t="s">
        <v>2944</v>
      </c>
      <c r="E332" s="21" t="s">
        <v>1911</v>
      </c>
      <c r="F332" s="21" t="s">
        <v>768</v>
      </c>
      <c r="G332" s="35">
        <v>46288.786249999997</v>
      </c>
      <c r="H332" s="21" t="s">
        <v>1912</v>
      </c>
      <c r="I332" s="21" t="s">
        <v>1913</v>
      </c>
      <c r="J332" s="21" t="s">
        <v>1914</v>
      </c>
      <c r="K332" s="21" t="s">
        <v>1813</v>
      </c>
      <c r="L332" s="21" t="s">
        <v>1089</v>
      </c>
      <c r="M332" s="21" t="s">
        <v>1097</v>
      </c>
      <c r="N332" s="21" t="s">
        <v>2161</v>
      </c>
      <c r="O332" s="21" t="s">
        <v>1101</v>
      </c>
      <c r="P332" s="21" t="s">
        <v>1916</v>
      </c>
      <c r="Q332" s="21" t="s">
        <v>1213</v>
      </c>
      <c r="R332" s="21" t="s">
        <v>1255</v>
      </c>
      <c r="S332" s="21" t="s">
        <v>1104</v>
      </c>
      <c r="T332" s="21" t="s">
        <v>1917</v>
      </c>
      <c r="U332" s="21" t="s">
        <v>1739</v>
      </c>
      <c r="V332" s="21" t="str">
        <f>_xlfn.XLOOKUP(U332,'T07'!$D$3:$D$1500,'T07'!$BI$3:$BI$1500)&amp;" / "&amp;_xlfn.XLOOKUP(U332,'T07'!$D$3:$D$1500,'T07'!$BJ$3:$BJ$1500)</f>
        <v>LHR-HTV-2020-13470 / HTV</v>
      </c>
      <c r="W332" s="21" t="s">
        <v>1917</v>
      </c>
      <c r="X332" s="21" t="s">
        <v>1742</v>
      </c>
      <c r="Y332" s="21" t="s">
        <v>2137</v>
      </c>
      <c r="Z332" s="21">
        <v>1</v>
      </c>
      <c r="AA332" s="21" t="s">
        <v>1808</v>
      </c>
      <c r="AB332" s="21" t="s">
        <v>1804</v>
      </c>
      <c r="AC332" s="25">
        <v>1250</v>
      </c>
      <c r="AD332" s="25">
        <v>500</v>
      </c>
      <c r="AE332" s="21" t="s">
        <v>3003</v>
      </c>
      <c r="AF332" s="21" t="s">
        <v>3004</v>
      </c>
      <c r="AG332" s="35">
        <v>46288.806249999994</v>
      </c>
      <c r="AH332" s="21" t="s">
        <v>1934</v>
      </c>
      <c r="AI332" s="25">
        <v>500</v>
      </c>
      <c r="AJ332" s="21" t="s">
        <v>2164</v>
      </c>
      <c r="AK332" s="21" t="s">
        <v>1922</v>
      </c>
      <c r="AL332" s="21" t="str">
        <f>IF(AD332-AI332&gt;0,(AD332-AI332)&amp;" bags - damaged in transit","None")</f>
        <v>None</v>
      </c>
      <c r="AM332" s="21" t="s">
        <v>844</v>
      </c>
      <c r="AN332" s="21" t="s">
        <v>848</v>
      </c>
      <c r="AO332" s="21" t="s">
        <v>1760</v>
      </c>
      <c r="AP332" s="21" t="str">
        <f>IF(AO332="Pending","Not yet invoiced",IF(AI332=AD332,"Matched","Invoiced on received qty ("&amp;AI332&amp;" of "&amp;AD332&amp;")"))</f>
        <v>Not yet invoiced</v>
      </c>
      <c r="AQ332" s="21" t="s">
        <v>2931</v>
      </c>
    </row>
    <row r="333" spans="1:43" x14ac:dyDescent="0.3">
      <c r="A333" s="21" t="s">
        <v>3002</v>
      </c>
      <c r="B333" s="35">
        <v>46288.666666666664</v>
      </c>
      <c r="C333" s="21" t="s">
        <v>1909</v>
      </c>
      <c r="D333" s="21" t="s">
        <v>2944</v>
      </c>
      <c r="E333" s="21" t="s">
        <v>1911</v>
      </c>
      <c r="F333" s="21" t="s">
        <v>768</v>
      </c>
      <c r="G333" s="35">
        <v>46288.786249999997</v>
      </c>
      <c r="H333" s="21" t="s">
        <v>1912</v>
      </c>
      <c r="I333" s="21" t="s">
        <v>1913</v>
      </c>
      <c r="J333" s="21" t="s">
        <v>1914</v>
      </c>
      <c r="K333" s="21" t="s">
        <v>1813</v>
      </c>
      <c r="L333" s="21" t="s">
        <v>1089</v>
      </c>
      <c r="M333" s="21" t="s">
        <v>1097</v>
      </c>
      <c r="N333" s="21" t="s">
        <v>2161</v>
      </c>
      <c r="O333" s="21" t="s">
        <v>1101</v>
      </c>
      <c r="P333" s="21" t="s">
        <v>1916</v>
      </c>
      <c r="Q333" s="21" t="s">
        <v>1213</v>
      </c>
      <c r="R333" s="21" t="s">
        <v>1255</v>
      </c>
      <c r="S333" s="21" t="s">
        <v>1104</v>
      </c>
      <c r="T333" s="21" t="s">
        <v>1917</v>
      </c>
      <c r="U333" s="21" t="s">
        <v>1739</v>
      </c>
      <c r="V333" s="21" t="str">
        <f>_xlfn.XLOOKUP(U333,'T07'!$D$3:$D$1500,'T07'!$BI$3:$BI$1500)&amp;" / "&amp;_xlfn.XLOOKUP(U333,'T07'!$D$3:$D$1500,'T07'!$BJ$3:$BJ$1500)</f>
        <v>LHR-HTV-2020-13470 / HTV</v>
      </c>
      <c r="W333" s="21" t="s">
        <v>1917</v>
      </c>
      <c r="X333" s="21" t="s">
        <v>1742</v>
      </c>
      <c r="Y333" s="21" t="s">
        <v>2137</v>
      </c>
      <c r="Z333" s="21">
        <v>2</v>
      </c>
      <c r="AA333" s="21" t="s">
        <v>1826</v>
      </c>
      <c r="AB333" s="21" t="s">
        <v>1804</v>
      </c>
      <c r="AC333" s="25">
        <v>1250</v>
      </c>
      <c r="AD333" s="25">
        <v>500</v>
      </c>
      <c r="AE333" s="21" t="s">
        <v>3005</v>
      </c>
      <c r="AF333" s="21" t="s">
        <v>3004</v>
      </c>
      <c r="AG333" s="35">
        <v>46288.806249999994</v>
      </c>
      <c r="AH333" s="21" t="s">
        <v>1934</v>
      </c>
      <c r="AI333" s="25">
        <v>500</v>
      </c>
      <c r="AJ333" s="21" t="s">
        <v>2164</v>
      </c>
      <c r="AK333" s="21" t="s">
        <v>1922</v>
      </c>
      <c r="AL333" s="21" t="str">
        <f>IF(AD333-AI333&gt;0,(AD333-AI333)&amp;" bags - damaged in transit","None")</f>
        <v>None</v>
      </c>
      <c r="AM333" s="21" t="s">
        <v>844</v>
      </c>
      <c r="AN333" s="21" t="s">
        <v>848</v>
      </c>
      <c r="AO333" s="21" t="s">
        <v>1760</v>
      </c>
      <c r="AP333" s="21" t="str">
        <f>IF(AO333="Pending","Not yet invoiced",IF(AI333=AD333,"Matched","Invoiced on received qty ("&amp;AI333&amp;" of "&amp;AD333&amp;")"))</f>
        <v>Not yet invoiced</v>
      </c>
      <c r="AQ333" s="21" t="s">
        <v>2931</v>
      </c>
    </row>
    <row r="334" spans="1:43" x14ac:dyDescent="0.3">
      <c r="A334" s="21" t="s">
        <v>3006</v>
      </c>
      <c r="B334" s="35">
        <v>46289.333333333336</v>
      </c>
      <c r="C334" s="21" t="s">
        <v>1909</v>
      </c>
      <c r="D334" s="21" t="s">
        <v>2954</v>
      </c>
      <c r="E334" s="21" t="s">
        <v>1945</v>
      </c>
      <c r="F334" s="21" t="s">
        <v>768</v>
      </c>
      <c r="G334" s="35">
        <v>46289.606041666673</v>
      </c>
      <c r="H334" s="21" t="s">
        <v>1912</v>
      </c>
      <c r="I334" s="21" t="s">
        <v>1913</v>
      </c>
      <c r="J334" s="21" t="s">
        <v>1914</v>
      </c>
      <c r="K334" s="21" t="s">
        <v>1800</v>
      </c>
      <c r="L334" s="21" t="s">
        <v>1073</v>
      </c>
      <c r="M334" s="21" t="s">
        <v>1801</v>
      </c>
      <c r="N334" s="21" t="s">
        <v>1928</v>
      </c>
      <c r="O334" s="21" t="s">
        <v>1929</v>
      </c>
      <c r="P334" s="21" t="s">
        <v>1930</v>
      </c>
      <c r="Q334" s="21" t="s">
        <v>1278</v>
      </c>
      <c r="R334" s="21" t="s">
        <v>1294</v>
      </c>
      <c r="S334" s="21" t="s">
        <v>1127</v>
      </c>
      <c r="T334" s="21" t="s">
        <v>1917</v>
      </c>
      <c r="U334" s="21" t="s">
        <v>1711</v>
      </c>
      <c r="V334" s="21" t="str">
        <f>_xlfn.XLOOKUP(U334,'T07'!$D$3:$D$1500,'T07'!$BI$3:$BI$1500)&amp;" / "&amp;_xlfn.XLOOKUP(U334,'T07'!$D$3:$D$1500,'T07'!$BJ$3:$BJ$1500)</f>
        <v>LHR-HTV-2008-42260 / HTV</v>
      </c>
      <c r="W334" s="21" t="s">
        <v>1917</v>
      </c>
      <c r="X334" s="21" t="s">
        <v>1713</v>
      </c>
      <c r="Y334" s="21" t="s">
        <v>1957</v>
      </c>
      <c r="Z334" s="21">
        <v>1</v>
      </c>
      <c r="AA334" s="21" t="s">
        <v>1828</v>
      </c>
      <c r="AB334" s="21" t="s">
        <v>1804</v>
      </c>
      <c r="AC334" s="25">
        <v>850</v>
      </c>
      <c r="AD334" s="25">
        <v>250</v>
      </c>
      <c r="AE334" s="21" t="s">
        <v>3007</v>
      </c>
      <c r="AF334" s="21" t="s">
        <v>3008</v>
      </c>
      <c r="AG334" s="35">
        <v>46289.62604166667</v>
      </c>
      <c r="AH334" s="21" t="s">
        <v>1934</v>
      </c>
      <c r="AI334" s="25">
        <v>250</v>
      </c>
      <c r="AJ334" s="21" t="s">
        <v>1074</v>
      </c>
      <c r="AK334" s="21" t="s">
        <v>1922</v>
      </c>
      <c r="AL334" s="21" t="str">
        <f>IF(AD334-AI334&gt;0,(AD334-AI334)&amp;" bags - damaged in transit","None")</f>
        <v>None</v>
      </c>
      <c r="AM334" s="21" t="s">
        <v>844</v>
      </c>
      <c r="AN334" s="21" t="s">
        <v>848</v>
      </c>
      <c r="AO334" s="21" t="s">
        <v>1760</v>
      </c>
      <c r="AP334" s="21" t="str">
        <f>IF(AO334="Pending","Not yet invoiced",IF(AI334=AD334,"Matched","Invoiced on received qty ("&amp;AI334&amp;" of "&amp;AD334&amp;")"))</f>
        <v>Not yet invoiced</v>
      </c>
      <c r="AQ334" s="21" t="s">
        <v>2931</v>
      </c>
    </row>
    <row r="335" spans="1:43" x14ac:dyDescent="0.3">
      <c r="A335" s="21" t="s">
        <v>3006</v>
      </c>
      <c r="B335" s="35">
        <v>46289.333333333336</v>
      </c>
      <c r="C335" s="21" t="s">
        <v>1909</v>
      </c>
      <c r="D335" s="21" t="s">
        <v>2954</v>
      </c>
      <c r="E335" s="21" t="s">
        <v>1945</v>
      </c>
      <c r="F335" s="21" t="s">
        <v>768</v>
      </c>
      <c r="G335" s="35">
        <v>46289.606041666673</v>
      </c>
      <c r="H335" s="21" t="s">
        <v>1912</v>
      </c>
      <c r="I335" s="21" t="s">
        <v>1913</v>
      </c>
      <c r="J335" s="21" t="s">
        <v>1914</v>
      </c>
      <c r="K335" s="21" t="s">
        <v>1800</v>
      </c>
      <c r="L335" s="21" t="s">
        <v>1073</v>
      </c>
      <c r="M335" s="21" t="s">
        <v>1801</v>
      </c>
      <c r="N335" s="21" t="s">
        <v>1928</v>
      </c>
      <c r="O335" s="21" t="s">
        <v>1929</v>
      </c>
      <c r="P335" s="21" t="s">
        <v>1930</v>
      </c>
      <c r="Q335" s="21" t="s">
        <v>1278</v>
      </c>
      <c r="R335" s="21" t="s">
        <v>1294</v>
      </c>
      <c r="S335" s="21" t="s">
        <v>1127</v>
      </c>
      <c r="T335" s="21" t="s">
        <v>1917</v>
      </c>
      <c r="U335" s="21" t="s">
        <v>1711</v>
      </c>
      <c r="V335" s="21" t="str">
        <f>_xlfn.XLOOKUP(U335,'T07'!$D$3:$D$1500,'T07'!$BI$3:$BI$1500)&amp;" / "&amp;_xlfn.XLOOKUP(U335,'T07'!$D$3:$D$1500,'T07'!$BJ$3:$BJ$1500)</f>
        <v>LHR-HTV-2008-42260 / HTV</v>
      </c>
      <c r="W335" s="21" t="s">
        <v>1917</v>
      </c>
      <c r="X335" s="21" t="s">
        <v>1713</v>
      </c>
      <c r="Y335" s="21" t="s">
        <v>1957</v>
      </c>
      <c r="Z335" s="21">
        <v>2</v>
      </c>
      <c r="AA335" s="21" t="s">
        <v>1865</v>
      </c>
      <c r="AB335" s="21" t="s">
        <v>1804</v>
      </c>
      <c r="AC335" s="25">
        <v>800</v>
      </c>
      <c r="AD335" s="25">
        <v>250</v>
      </c>
      <c r="AE335" s="21" t="s">
        <v>3009</v>
      </c>
      <c r="AF335" s="21" t="s">
        <v>3008</v>
      </c>
      <c r="AG335" s="35">
        <v>46289.62604166667</v>
      </c>
      <c r="AH335" s="21" t="s">
        <v>1934</v>
      </c>
      <c r="AI335" s="25">
        <v>250</v>
      </c>
      <c r="AJ335" s="21" t="s">
        <v>1074</v>
      </c>
      <c r="AK335" s="21" t="s">
        <v>1922</v>
      </c>
      <c r="AL335" s="21" t="str">
        <f>IF(AD335-AI335&gt;0,(AD335-AI335)&amp;" bags - damaged in transit","None")</f>
        <v>None</v>
      </c>
      <c r="AM335" s="21" t="s">
        <v>844</v>
      </c>
      <c r="AN335" s="21" t="s">
        <v>848</v>
      </c>
      <c r="AO335" s="21" t="s">
        <v>1760</v>
      </c>
      <c r="AP335" s="21" t="str">
        <f>IF(AO335="Pending","Not yet invoiced",IF(AI335=AD335,"Matched","Invoiced on received qty ("&amp;AI335&amp;" of "&amp;AD335&amp;")"))</f>
        <v>Not yet invoiced</v>
      </c>
      <c r="AQ335" s="21" t="s">
        <v>2931</v>
      </c>
    </row>
    <row r="336" spans="1:43" x14ac:dyDescent="0.3">
      <c r="A336" s="21" t="s">
        <v>3010</v>
      </c>
      <c r="B336" s="35">
        <v>46290.458333333336</v>
      </c>
      <c r="C336" s="21" t="s">
        <v>1909</v>
      </c>
      <c r="D336" s="21" t="s">
        <v>2954</v>
      </c>
      <c r="E336" s="21" t="s">
        <v>1927</v>
      </c>
      <c r="F336" s="21" t="s">
        <v>768</v>
      </c>
      <c r="G336" s="35">
        <v>46290.731041666673</v>
      </c>
      <c r="H336" s="21" t="s">
        <v>1912</v>
      </c>
      <c r="I336" s="21" t="s">
        <v>1913</v>
      </c>
      <c r="J336" s="21" t="s">
        <v>1914</v>
      </c>
      <c r="K336" s="21" t="s">
        <v>1800</v>
      </c>
      <c r="L336" s="21" t="s">
        <v>1073</v>
      </c>
      <c r="M336" s="21" t="s">
        <v>1801</v>
      </c>
      <c r="N336" s="21" t="s">
        <v>1928</v>
      </c>
      <c r="O336" s="21" t="s">
        <v>1929</v>
      </c>
      <c r="P336" s="21" t="s">
        <v>1930</v>
      </c>
      <c r="Q336" s="21" t="s">
        <v>1278</v>
      </c>
      <c r="R336" s="21" t="s">
        <v>1302</v>
      </c>
      <c r="S336" s="21" t="s">
        <v>1127</v>
      </c>
      <c r="T336" s="21" t="s">
        <v>1917</v>
      </c>
      <c r="U336" s="21" t="s">
        <v>1711</v>
      </c>
      <c r="V336" s="21" t="str">
        <f>_xlfn.XLOOKUP(U336,'T07'!$D$3:$D$1500,'T07'!$BI$3:$BI$1500)&amp;" / "&amp;_xlfn.XLOOKUP(U336,'T07'!$D$3:$D$1500,'T07'!$BJ$3:$BJ$1500)</f>
        <v>LHR-HTV-2008-42260 / HTV</v>
      </c>
      <c r="W336" s="21" t="s">
        <v>1917</v>
      </c>
      <c r="X336" s="21" t="s">
        <v>1713</v>
      </c>
      <c r="Y336" s="21" t="s">
        <v>2086</v>
      </c>
      <c r="Z336" s="21">
        <v>1</v>
      </c>
      <c r="AA336" s="21" t="s">
        <v>1865</v>
      </c>
      <c r="AB336" s="21" t="s">
        <v>1804</v>
      </c>
      <c r="AC336" s="25">
        <v>550</v>
      </c>
      <c r="AD336" s="25">
        <v>250</v>
      </c>
      <c r="AE336" s="21" t="s">
        <v>3011</v>
      </c>
      <c r="AF336" s="21" t="s">
        <v>3012</v>
      </c>
      <c r="AG336" s="35">
        <v>46290.75104166667</v>
      </c>
      <c r="AH336" s="21" t="s">
        <v>1934</v>
      </c>
      <c r="AI336" s="25">
        <v>250</v>
      </c>
      <c r="AJ336" s="21" t="s">
        <v>1074</v>
      </c>
      <c r="AK336" s="21" t="s">
        <v>1922</v>
      </c>
      <c r="AL336" s="21" t="str">
        <f>IF(AD336-AI336&gt;0,(AD336-AI336)&amp;" bags - damaged in transit","None")</f>
        <v>None</v>
      </c>
      <c r="AM336" s="21" t="s">
        <v>844</v>
      </c>
      <c r="AN336" s="21" t="s">
        <v>848</v>
      </c>
      <c r="AO336" s="21" t="s">
        <v>1760</v>
      </c>
      <c r="AP336" s="21" t="str">
        <f>IF(AO336="Pending","Not yet invoiced",IF(AI336=AD336,"Matched","Invoiced on received qty ("&amp;AI336&amp;" of "&amp;AD336&amp;")"))</f>
        <v>Not yet invoiced</v>
      </c>
      <c r="AQ336" s="21" t="s">
        <v>2931</v>
      </c>
    </row>
    <row r="337" spans="1:43" x14ac:dyDescent="0.3">
      <c r="A337" s="21" t="s">
        <v>3010</v>
      </c>
      <c r="B337" s="35">
        <v>46290.458333333336</v>
      </c>
      <c r="C337" s="21" t="s">
        <v>1909</v>
      </c>
      <c r="D337" s="21" t="s">
        <v>2954</v>
      </c>
      <c r="E337" s="21" t="s">
        <v>1927</v>
      </c>
      <c r="F337" s="21" t="s">
        <v>768</v>
      </c>
      <c r="G337" s="35">
        <v>46290.731041666673</v>
      </c>
      <c r="H337" s="21" t="s">
        <v>1912</v>
      </c>
      <c r="I337" s="21" t="s">
        <v>1913</v>
      </c>
      <c r="J337" s="21" t="s">
        <v>1914</v>
      </c>
      <c r="K337" s="21" t="s">
        <v>1800</v>
      </c>
      <c r="L337" s="21" t="s">
        <v>1073</v>
      </c>
      <c r="M337" s="21" t="s">
        <v>1801</v>
      </c>
      <c r="N337" s="21" t="s">
        <v>1928</v>
      </c>
      <c r="O337" s="21" t="s">
        <v>1929</v>
      </c>
      <c r="P337" s="21" t="s">
        <v>1930</v>
      </c>
      <c r="Q337" s="21" t="s">
        <v>1278</v>
      </c>
      <c r="R337" s="21" t="s">
        <v>1302</v>
      </c>
      <c r="S337" s="21" t="s">
        <v>1127</v>
      </c>
      <c r="T337" s="21" t="s">
        <v>1917</v>
      </c>
      <c r="U337" s="21" t="s">
        <v>1711</v>
      </c>
      <c r="V337" s="21" t="str">
        <f>_xlfn.XLOOKUP(U337,'T07'!$D$3:$D$1500,'T07'!$BI$3:$BI$1500)&amp;" / "&amp;_xlfn.XLOOKUP(U337,'T07'!$D$3:$D$1500,'T07'!$BJ$3:$BJ$1500)</f>
        <v>LHR-HTV-2008-42260 / HTV</v>
      </c>
      <c r="W337" s="21" t="s">
        <v>1917</v>
      </c>
      <c r="X337" s="21" t="s">
        <v>1713</v>
      </c>
      <c r="Y337" s="21" t="s">
        <v>2086</v>
      </c>
      <c r="Z337" s="21">
        <v>2</v>
      </c>
      <c r="AA337" s="21" t="s">
        <v>1826</v>
      </c>
      <c r="AB337" s="21" t="s">
        <v>1804</v>
      </c>
      <c r="AC337" s="25">
        <v>550</v>
      </c>
      <c r="AD337" s="25">
        <v>250</v>
      </c>
      <c r="AE337" s="21" t="s">
        <v>3013</v>
      </c>
      <c r="AF337" s="21" t="s">
        <v>3012</v>
      </c>
      <c r="AG337" s="35">
        <v>46290.75104166667</v>
      </c>
      <c r="AH337" s="21" t="s">
        <v>1934</v>
      </c>
      <c r="AI337" s="25">
        <v>250</v>
      </c>
      <c r="AJ337" s="21" t="s">
        <v>1074</v>
      </c>
      <c r="AK337" s="21" t="s">
        <v>1922</v>
      </c>
      <c r="AL337" s="21" t="str">
        <f>IF(AD337-AI337&gt;0,(AD337-AI337)&amp;" bags - damaged in transit","None")</f>
        <v>None</v>
      </c>
      <c r="AM337" s="21" t="s">
        <v>844</v>
      </c>
      <c r="AN337" s="21" t="s">
        <v>848</v>
      </c>
      <c r="AO337" s="21" t="s">
        <v>1760</v>
      </c>
      <c r="AP337" s="21" t="str">
        <f>IF(AO337="Pending","Not yet invoiced",IF(AI337=AD337,"Matched","Invoiced on received qty ("&amp;AI337&amp;" of "&amp;AD337&amp;")"))</f>
        <v>Not yet invoiced</v>
      </c>
      <c r="AQ337" s="21" t="s">
        <v>2931</v>
      </c>
    </row>
    <row r="338" spans="1:43" x14ac:dyDescent="0.3">
      <c r="A338" s="21" t="s">
        <v>3014</v>
      </c>
      <c r="B338" s="35">
        <v>46291.416666666664</v>
      </c>
      <c r="C338" s="21" t="s">
        <v>1909</v>
      </c>
      <c r="D338" s="21" t="s">
        <v>2944</v>
      </c>
      <c r="E338" s="21" t="s">
        <v>1927</v>
      </c>
      <c r="F338" s="21" t="s">
        <v>768</v>
      </c>
      <c r="G338" s="35">
        <v>46291.536249999997</v>
      </c>
      <c r="H338" s="21" t="s">
        <v>1912</v>
      </c>
      <c r="I338" s="21" t="s">
        <v>1913</v>
      </c>
      <c r="J338" s="21" t="s">
        <v>3015</v>
      </c>
      <c r="K338" s="21" t="s">
        <v>1813</v>
      </c>
      <c r="L338" s="21" t="s">
        <v>1089</v>
      </c>
      <c r="M338" s="21" t="s">
        <v>1097</v>
      </c>
      <c r="N338" s="21" t="s">
        <v>2161</v>
      </c>
      <c r="O338" s="21" t="s">
        <v>1101</v>
      </c>
      <c r="P338" s="21" t="s">
        <v>1916</v>
      </c>
      <c r="Q338" s="21" t="s">
        <v>1278</v>
      </c>
      <c r="R338" s="21" t="s">
        <v>1310</v>
      </c>
      <c r="S338" s="21" t="s">
        <v>1247</v>
      </c>
      <c r="T338" s="21" t="s">
        <v>1917</v>
      </c>
      <c r="U338" s="21" t="s">
        <v>1766</v>
      </c>
      <c r="V338" s="21" t="str">
        <f>_xlfn.XLOOKUP(U338,'T07'!$D$3:$D$1500,'T07'!$BI$3:$BI$1500)&amp;" / "&amp;_xlfn.XLOOKUP(U338,'T07'!$D$3:$D$1500,'T07'!$BJ$3:$BJ$1500)</f>
        <v>LHR-LTV-2019-66685 / LTV</v>
      </c>
      <c r="W338" s="21" t="s">
        <v>1917</v>
      </c>
      <c r="X338" s="21" t="s">
        <v>1768</v>
      </c>
      <c r="Y338" s="21" t="s">
        <v>1948</v>
      </c>
      <c r="Z338" s="21">
        <v>1</v>
      </c>
      <c r="AA338" s="21" t="s">
        <v>1826</v>
      </c>
      <c r="AB338" s="21" t="s">
        <v>1804</v>
      </c>
      <c r="AC338" s="25">
        <v>750</v>
      </c>
      <c r="AD338" s="25">
        <v>100</v>
      </c>
      <c r="AE338" s="21" t="s">
        <v>3016</v>
      </c>
      <c r="AF338" s="21" t="s">
        <v>3017</v>
      </c>
      <c r="AG338" s="35" t="s">
        <v>1760</v>
      </c>
      <c r="AH338" s="21" t="s">
        <v>1760</v>
      </c>
      <c r="AI338" s="25"/>
      <c r="AJ338" s="21" t="s">
        <v>1760</v>
      </c>
      <c r="AK338" s="21" t="s">
        <v>1760</v>
      </c>
      <c r="AL338" s="21" t="s">
        <v>1760</v>
      </c>
      <c r="AM338" s="21" t="s">
        <v>844</v>
      </c>
      <c r="AN338" s="21" t="s">
        <v>848</v>
      </c>
      <c r="AO338" s="21" t="s">
        <v>1760</v>
      </c>
      <c r="AP338" s="21" t="s">
        <v>3018</v>
      </c>
      <c r="AQ338" s="21" t="s">
        <v>2931</v>
      </c>
    </row>
    <row r="339" spans="1:43" x14ac:dyDescent="0.3">
      <c r="A339" s="21" t="s">
        <v>3014</v>
      </c>
      <c r="B339" s="35">
        <v>46291.416666666664</v>
      </c>
      <c r="C339" s="21" t="s">
        <v>1909</v>
      </c>
      <c r="D339" s="21" t="s">
        <v>2944</v>
      </c>
      <c r="E339" s="21" t="s">
        <v>1927</v>
      </c>
      <c r="F339" s="21" t="s">
        <v>768</v>
      </c>
      <c r="G339" s="35">
        <v>46291.536249999997</v>
      </c>
      <c r="H339" s="21" t="s">
        <v>1912</v>
      </c>
      <c r="I339" s="21" t="s">
        <v>1913</v>
      </c>
      <c r="J339" s="21" t="s">
        <v>3015</v>
      </c>
      <c r="K339" s="21" t="s">
        <v>1813</v>
      </c>
      <c r="L339" s="21" t="s">
        <v>1089</v>
      </c>
      <c r="M339" s="21" t="s">
        <v>1097</v>
      </c>
      <c r="N339" s="21" t="s">
        <v>2161</v>
      </c>
      <c r="O339" s="21" t="s">
        <v>1101</v>
      </c>
      <c r="P339" s="21" t="s">
        <v>1916</v>
      </c>
      <c r="Q339" s="21" t="s">
        <v>1278</v>
      </c>
      <c r="R339" s="21" t="s">
        <v>1310</v>
      </c>
      <c r="S339" s="21" t="s">
        <v>1247</v>
      </c>
      <c r="T339" s="21" t="s">
        <v>1917</v>
      </c>
      <c r="U339" s="21" t="s">
        <v>1766</v>
      </c>
      <c r="V339" s="21" t="str">
        <f>_xlfn.XLOOKUP(U339,'T07'!$D$3:$D$1500,'T07'!$BI$3:$BI$1500)&amp;" / "&amp;_xlfn.XLOOKUP(U339,'T07'!$D$3:$D$1500,'T07'!$BJ$3:$BJ$1500)</f>
        <v>LHR-LTV-2019-66685 / LTV</v>
      </c>
      <c r="W339" s="21" t="s">
        <v>1917</v>
      </c>
      <c r="X339" s="21" t="s">
        <v>1768</v>
      </c>
      <c r="Y339" s="21" t="s">
        <v>1948</v>
      </c>
      <c r="Z339" s="21">
        <v>2</v>
      </c>
      <c r="AA339" s="21" t="s">
        <v>1808</v>
      </c>
      <c r="AB339" s="21" t="s">
        <v>1804</v>
      </c>
      <c r="AC339" s="25">
        <v>750</v>
      </c>
      <c r="AD339" s="25">
        <v>100</v>
      </c>
      <c r="AE339" s="21" t="s">
        <v>3019</v>
      </c>
      <c r="AF339" s="21" t="s">
        <v>3017</v>
      </c>
      <c r="AG339" s="35" t="s">
        <v>1760</v>
      </c>
      <c r="AH339" s="21" t="s">
        <v>1760</v>
      </c>
      <c r="AI339" s="25"/>
      <c r="AJ339" s="21" t="s">
        <v>1760</v>
      </c>
      <c r="AK339" s="21" t="s">
        <v>1760</v>
      </c>
      <c r="AL339" s="21" t="s">
        <v>1760</v>
      </c>
      <c r="AM339" s="21" t="s">
        <v>844</v>
      </c>
      <c r="AN339" s="21" t="s">
        <v>848</v>
      </c>
      <c r="AO339" s="21" t="s">
        <v>1760</v>
      </c>
      <c r="AP339" s="21" t="s">
        <v>3018</v>
      </c>
      <c r="AQ339" s="21" t="s">
        <v>2931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B3C3-7765-4E57-8048-B31755FD351F}">
  <dimension ref="A1:BS62"/>
  <sheetViews>
    <sheetView tabSelected="1" workbookViewId="0">
      <pane ySplit="2" topLeftCell="A3" activePane="bottomLeft" state="frozen"/>
      <selection activeCell="B16" sqref="B16"/>
      <selection pane="bottomLeft" activeCell="J13" sqref="J13"/>
    </sheetView>
  </sheetViews>
  <sheetFormatPr defaultRowHeight="16.5" x14ac:dyDescent="0.3"/>
  <cols>
    <col min="1" max="71" width="18.375" customWidth="1"/>
  </cols>
  <sheetData>
    <row r="1" spans="1:71" s="12" customFormat="1" ht="30" customHeight="1" x14ac:dyDescent="0.3">
      <c r="A1" s="15" t="s">
        <v>741</v>
      </c>
      <c r="B1" s="14" t="s">
        <v>60</v>
      </c>
      <c r="C1" s="14" t="s">
        <v>60</v>
      </c>
      <c r="D1" s="14" t="s">
        <v>60</v>
      </c>
      <c r="E1" s="14" t="s">
        <v>60</v>
      </c>
      <c r="F1" s="14" t="s">
        <v>60</v>
      </c>
      <c r="G1" s="14" t="s">
        <v>60</v>
      </c>
      <c r="H1" s="14" t="s">
        <v>60</v>
      </c>
      <c r="I1" s="14" t="s">
        <v>60</v>
      </c>
      <c r="J1" s="14" t="s">
        <v>60</v>
      </c>
      <c r="K1" s="14" t="s">
        <v>740</v>
      </c>
      <c r="L1" s="14" t="s">
        <v>60</v>
      </c>
      <c r="M1" s="14" t="s">
        <v>60</v>
      </c>
      <c r="N1" s="14" t="s">
        <v>60</v>
      </c>
      <c r="O1" s="14" t="s">
        <v>60</v>
      </c>
      <c r="P1" s="14" t="s">
        <v>60</v>
      </c>
      <c r="Q1" s="14" t="s">
        <v>60</v>
      </c>
      <c r="R1" s="14" t="s">
        <v>60</v>
      </c>
      <c r="S1" s="14" t="s">
        <v>60</v>
      </c>
      <c r="T1" s="14" t="s">
        <v>739</v>
      </c>
      <c r="U1" s="14" t="s">
        <v>60</v>
      </c>
      <c r="V1" s="14" t="s">
        <v>60</v>
      </c>
      <c r="W1" s="14" t="s">
        <v>60</v>
      </c>
      <c r="X1" s="14" t="s">
        <v>60</v>
      </c>
      <c r="Y1" s="14" t="s">
        <v>60</v>
      </c>
      <c r="Z1" s="14" t="s">
        <v>60</v>
      </c>
      <c r="AA1" s="14" t="s">
        <v>60</v>
      </c>
      <c r="AB1" s="14" t="s">
        <v>60</v>
      </c>
      <c r="AC1" s="14" t="s">
        <v>60</v>
      </c>
      <c r="AD1" s="14" t="s">
        <v>60</v>
      </c>
      <c r="AE1" s="14" t="s">
        <v>60</v>
      </c>
      <c r="AF1" s="14" t="s">
        <v>60</v>
      </c>
      <c r="AG1" s="14" t="s">
        <v>60</v>
      </c>
      <c r="AH1" s="14" t="s">
        <v>60</v>
      </c>
      <c r="AI1" s="14" t="s">
        <v>60</v>
      </c>
      <c r="AJ1" s="14" t="s">
        <v>60</v>
      </c>
      <c r="AK1" s="14" t="s">
        <v>60</v>
      </c>
      <c r="AL1" s="14" t="s">
        <v>60</v>
      </c>
      <c r="AM1" s="14" t="s">
        <v>60</v>
      </c>
      <c r="AN1" s="14" t="s">
        <v>60</v>
      </c>
      <c r="AO1" s="14" t="s">
        <v>60</v>
      </c>
      <c r="AP1" s="14" t="s">
        <v>60</v>
      </c>
      <c r="AQ1" s="14" t="s">
        <v>60</v>
      </c>
      <c r="AR1" s="14" t="s">
        <v>60</v>
      </c>
      <c r="AS1" s="14" t="s">
        <v>60</v>
      </c>
      <c r="AT1" s="14" t="s">
        <v>60</v>
      </c>
      <c r="AU1" s="14" t="s">
        <v>60</v>
      </c>
      <c r="AV1" s="14" t="s">
        <v>60</v>
      </c>
      <c r="AW1" s="14" t="s">
        <v>60</v>
      </c>
      <c r="AX1" s="14" t="s">
        <v>738</v>
      </c>
      <c r="AY1" s="14" t="s">
        <v>60</v>
      </c>
      <c r="AZ1" s="14" t="s">
        <v>60</v>
      </c>
      <c r="BA1" s="14" t="s">
        <v>60</v>
      </c>
      <c r="BB1" s="14" t="s">
        <v>60</v>
      </c>
      <c r="BC1" s="14" t="s">
        <v>60</v>
      </c>
      <c r="BD1" s="14" t="s">
        <v>60</v>
      </c>
      <c r="BE1" s="14" t="s">
        <v>60</v>
      </c>
      <c r="BF1" s="14" t="s">
        <v>60</v>
      </c>
      <c r="BG1" s="14" t="s">
        <v>737</v>
      </c>
      <c r="BH1" s="14" t="s">
        <v>60</v>
      </c>
      <c r="BI1" s="14" t="s">
        <v>60</v>
      </c>
      <c r="BJ1" s="14" t="s">
        <v>60</v>
      </c>
      <c r="BK1" s="14" t="s">
        <v>60</v>
      </c>
      <c r="BL1" s="14" t="s">
        <v>60</v>
      </c>
      <c r="BM1" s="14" t="s">
        <v>60</v>
      </c>
      <c r="BN1" s="14" t="s">
        <v>736</v>
      </c>
      <c r="BO1" s="14" t="s">
        <v>60</v>
      </c>
      <c r="BP1" s="14" t="s">
        <v>60</v>
      </c>
      <c r="BQ1" s="14" t="s">
        <v>60</v>
      </c>
      <c r="BR1" s="14" t="s">
        <v>60</v>
      </c>
      <c r="BS1" s="13" t="s">
        <v>60</v>
      </c>
    </row>
    <row r="2" spans="1:71" ht="45" customHeight="1" x14ac:dyDescent="0.3">
      <c r="A2" s="11" t="s">
        <v>735</v>
      </c>
      <c r="B2" s="10" t="s">
        <v>734</v>
      </c>
      <c r="C2" s="10" t="s">
        <v>733</v>
      </c>
      <c r="D2" s="10" t="s">
        <v>732</v>
      </c>
      <c r="E2" s="10" t="s">
        <v>731</v>
      </c>
      <c r="F2" s="10" t="s">
        <v>730</v>
      </c>
      <c r="G2" s="10" t="s">
        <v>729</v>
      </c>
      <c r="H2" s="10" t="s">
        <v>728</v>
      </c>
      <c r="I2" s="10" t="s">
        <v>727</v>
      </c>
      <c r="J2" s="10" t="s">
        <v>726</v>
      </c>
      <c r="K2" s="10" t="s">
        <v>725</v>
      </c>
      <c r="L2" s="10" t="s">
        <v>724</v>
      </c>
      <c r="M2" s="10" t="s">
        <v>723</v>
      </c>
      <c r="N2" s="10" t="s">
        <v>722</v>
      </c>
      <c r="O2" s="10" t="s">
        <v>721</v>
      </c>
      <c r="P2" s="10" t="s">
        <v>720</v>
      </c>
      <c r="Q2" s="10" t="s">
        <v>719</v>
      </c>
      <c r="R2" s="10" t="s">
        <v>718</v>
      </c>
      <c r="S2" s="10" t="s">
        <v>717</v>
      </c>
      <c r="T2" s="10" t="s">
        <v>716</v>
      </c>
      <c r="U2" s="10" t="s">
        <v>715</v>
      </c>
      <c r="V2" s="10" t="s">
        <v>714</v>
      </c>
      <c r="W2" s="10" t="s">
        <v>713</v>
      </c>
      <c r="X2" s="10" t="s">
        <v>712</v>
      </c>
      <c r="Y2" s="10" t="s">
        <v>711</v>
      </c>
      <c r="Z2" s="10" t="s">
        <v>710</v>
      </c>
      <c r="AA2" s="10" t="s">
        <v>709</v>
      </c>
      <c r="AB2" s="10" t="s">
        <v>708</v>
      </c>
      <c r="AC2" s="10" t="s">
        <v>707</v>
      </c>
      <c r="AD2" s="10" t="s">
        <v>706</v>
      </c>
      <c r="AE2" s="10" t="s">
        <v>705</v>
      </c>
      <c r="AF2" s="10" t="s">
        <v>704</v>
      </c>
      <c r="AG2" s="10" t="s">
        <v>703</v>
      </c>
      <c r="AH2" s="10" t="s">
        <v>702</v>
      </c>
      <c r="AI2" s="10" t="s">
        <v>701</v>
      </c>
      <c r="AJ2" s="10" t="s">
        <v>700</v>
      </c>
      <c r="AK2" s="10" t="s">
        <v>699</v>
      </c>
      <c r="AL2" s="10" t="s">
        <v>698</v>
      </c>
      <c r="AM2" s="10" t="s">
        <v>697</v>
      </c>
      <c r="AN2" s="10" t="s">
        <v>696</v>
      </c>
      <c r="AO2" s="10" t="s">
        <v>695</v>
      </c>
      <c r="AP2" s="10" t="s">
        <v>694</v>
      </c>
      <c r="AQ2" s="10" t="s">
        <v>693</v>
      </c>
      <c r="AR2" s="10" t="s">
        <v>692</v>
      </c>
      <c r="AS2" s="10" t="s">
        <v>691</v>
      </c>
      <c r="AT2" s="10" t="s">
        <v>690</v>
      </c>
      <c r="AU2" s="10" t="s">
        <v>689</v>
      </c>
      <c r="AV2" s="10" t="s">
        <v>688</v>
      </c>
      <c r="AW2" s="10" t="s">
        <v>687</v>
      </c>
      <c r="AX2" s="10" t="s">
        <v>322</v>
      </c>
      <c r="AY2" s="10" t="s">
        <v>686</v>
      </c>
      <c r="AZ2" s="10" t="s">
        <v>685</v>
      </c>
      <c r="BA2" s="10" t="s">
        <v>684</v>
      </c>
      <c r="BB2" s="10" t="s">
        <v>683</v>
      </c>
      <c r="BC2" s="10" t="s">
        <v>682</v>
      </c>
      <c r="BD2" s="10" t="s">
        <v>681</v>
      </c>
      <c r="BE2" s="10" t="s">
        <v>680</v>
      </c>
      <c r="BF2" s="10" t="s">
        <v>679</v>
      </c>
      <c r="BG2" s="10" t="s">
        <v>678</v>
      </c>
      <c r="BH2" s="10" t="s">
        <v>677</v>
      </c>
      <c r="BI2" s="10" t="s">
        <v>676</v>
      </c>
      <c r="BJ2" s="10" t="s">
        <v>675</v>
      </c>
      <c r="BK2" s="10" t="s">
        <v>674</v>
      </c>
      <c r="BL2" s="10" t="s">
        <v>673</v>
      </c>
      <c r="BM2" s="10" t="s">
        <v>672</v>
      </c>
      <c r="BN2" s="10" t="s">
        <v>671</v>
      </c>
      <c r="BO2" s="10" t="s">
        <v>670</v>
      </c>
      <c r="BP2" s="10" t="s">
        <v>669</v>
      </c>
      <c r="BQ2" s="10" t="s">
        <v>668</v>
      </c>
      <c r="BR2" s="10" t="s">
        <v>667</v>
      </c>
      <c r="BS2" s="9" t="s">
        <v>666</v>
      </c>
    </row>
    <row r="3" spans="1:71" x14ac:dyDescent="0.3">
      <c r="A3" s="21" t="s">
        <v>3078</v>
      </c>
      <c r="B3" s="29">
        <v>45606</v>
      </c>
      <c r="C3" s="21" t="s">
        <v>3079</v>
      </c>
      <c r="D3" s="21" t="s">
        <v>743</v>
      </c>
      <c r="E3" s="37">
        <f>BC3</f>
        <v>3100000</v>
      </c>
      <c r="F3" s="21" t="str">
        <f>"PKR "&amp;TEXT(E3,"#,##0")&amp;" only"</f>
        <v>PKR 3,100,000 only</v>
      </c>
      <c r="G3" s="21" t="s">
        <v>3080</v>
      </c>
      <c r="H3" s="21" t="s">
        <v>3092</v>
      </c>
      <c r="I3" s="29" t="s">
        <v>844</v>
      </c>
      <c r="J3" s="21" t="s">
        <v>3081</v>
      </c>
      <c r="K3" s="21" t="s">
        <v>3093</v>
      </c>
      <c r="L3" s="21" t="s">
        <v>1813</v>
      </c>
      <c r="M3" s="21" t="s">
        <v>1089</v>
      </c>
      <c r="N3" s="21" t="s">
        <v>1088</v>
      </c>
      <c r="O3" s="21" t="s">
        <v>844</v>
      </c>
      <c r="P3" s="37" cm="1">
        <f t="array" ref="P3">SUMPRODUCT(('T11'!$G$3:$G$1500=L3)*('T11'!$B$3:$B$1500&lt;=B3)*('T11'!$W$3:$W$1500*(1+'T11'!$X$3:$X$1500)+'T11'!$Y$3:$Y$1500))-SUMPRODUCT(($L$3:$L$1499=L3)*($B$3:$B$1499&lt;B3)*($BC$3:$BC$1499+$BD$3:$BD$1499+$BE$3:$BE$1499))</f>
        <v>7252659</v>
      </c>
      <c r="Q3" s="37" cm="1">
        <f t="array" ref="Q3">MAX(0,SUMPRODUCT(('T11'!$G$3:$G$1500=L3)*('T11'!$AG$3:$AG$1500&lt;B3)*('T11'!$W$3:$W$1500*(1+'T11'!$X$3:$X$1500)+'T11'!$Y$3:$Y$1500))-SUMPRODUCT(($L$3:$L$1499=L3)*($B$3:$B$1499&lt;B3)*($BC$3:$BC$1499+$BD$3:$BD$1499+$BE$3:$BE$1499)))</f>
        <v>0</v>
      </c>
      <c r="R3" s="21" t="s">
        <v>3094</v>
      </c>
      <c r="S3" s="21" t="s">
        <v>1105</v>
      </c>
      <c r="T3" s="21">
        <v>1</v>
      </c>
      <c r="U3" s="21">
        <v>1</v>
      </c>
      <c r="V3" s="21" t="s">
        <v>3095</v>
      </c>
      <c r="W3" s="37">
        <f>E3</f>
        <v>3100000</v>
      </c>
      <c r="X3" s="21" t="s">
        <v>3085</v>
      </c>
      <c r="Y3" s="21" t="str">
        <f>IF(V3="Cash",IF(AE3="Deposited","Realised","Pending deposit"),IF(V3="Cheque",IF(LEFT(AN3,7)="Cleared","Realised","Pending clearance"),IF(AT3="Identified","Realised","Unidentified")))</f>
        <v>Realised</v>
      </c>
      <c r="Z3" s="21" t="s">
        <v>844</v>
      </c>
      <c r="AA3" s="21" t="s">
        <v>844</v>
      </c>
      <c r="AB3" s="21" t="s">
        <v>844</v>
      </c>
      <c r="AC3" s="21" t="s">
        <v>844</v>
      </c>
      <c r="AD3" s="29" t="s">
        <v>844</v>
      </c>
      <c r="AE3" s="21" t="s">
        <v>844</v>
      </c>
      <c r="AF3" s="21" t="s">
        <v>844</v>
      </c>
      <c r="AG3" s="29" t="s">
        <v>844</v>
      </c>
      <c r="AH3" s="37" t="s">
        <v>844</v>
      </c>
      <c r="AI3" s="21" t="s">
        <v>844</v>
      </c>
      <c r="AJ3" s="21" t="s">
        <v>844</v>
      </c>
      <c r="AK3" s="29" t="s">
        <v>844</v>
      </c>
      <c r="AL3" s="21" t="s">
        <v>844</v>
      </c>
      <c r="AM3" s="29" t="s">
        <v>844</v>
      </c>
      <c r="AN3" s="21" t="s">
        <v>844</v>
      </c>
      <c r="AO3" s="21" t="s">
        <v>844</v>
      </c>
      <c r="AP3" s="21" t="s">
        <v>3096</v>
      </c>
      <c r="AQ3" s="21" t="s">
        <v>3097</v>
      </c>
      <c r="AR3" s="35">
        <v>45606.708333333336</v>
      </c>
      <c r="AS3" s="37">
        <f>W3</f>
        <v>3100000</v>
      </c>
      <c r="AT3" s="21" t="s">
        <v>3098</v>
      </c>
      <c r="AU3" s="21" t="str">
        <f>IF(AW3=0,"Complete","Incomplete")</f>
        <v>Complete</v>
      </c>
      <c r="AV3" s="37">
        <f>W3</f>
        <v>3100000</v>
      </c>
      <c r="AW3" s="37">
        <f>AV3-E3</f>
        <v>0</v>
      </c>
      <c r="AX3" s="21">
        <v>1</v>
      </c>
      <c r="AY3" s="21" t="s">
        <v>1923</v>
      </c>
      <c r="AZ3" s="37">
        <f>_xlfn.XLOOKUP(AY3,'T11'!$A$3:$A$1500,'T11'!$AD$3:$AD$1500)</f>
        <v>7252659</v>
      </c>
      <c r="BA3" s="37">
        <v>0</v>
      </c>
      <c r="BB3" s="37">
        <f>AZ3-BA3</f>
        <v>7252659</v>
      </c>
      <c r="BC3" s="37">
        <v>3100000</v>
      </c>
      <c r="BD3" s="37">
        <f>ROUND(BC3*BH3/(1-BH3),0)</f>
        <v>163158</v>
      </c>
      <c r="BE3" s="37">
        <v>0</v>
      </c>
      <c r="BF3" s="37">
        <f>BB3-BC3-BD3-BE3</f>
        <v>3989501</v>
      </c>
      <c r="BG3" s="21" t="s">
        <v>3088</v>
      </c>
      <c r="BH3" s="23">
        <v>0.05</v>
      </c>
      <c r="BI3" s="37">
        <f>BD3</f>
        <v>163158</v>
      </c>
      <c r="BJ3" s="21" t="s">
        <v>3099</v>
      </c>
      <c r="BK3" s="21" t="s">
        <v>753</v>
      </c>
      <c r="BL3" s="21" t="s">
        <v>753</v>
      </c>
      <c r="BM3" s="21" t="s">
        <v>848</v>
      </c>
      <c r="BN3" s="21" t="str">
        <f>Y3</f>
        <v>Realised</v>
      </c>
      <c r="BO3" s="29">
        <v>45606</v>
      </c>
      <c r="BP3" s="21" t="s">
        <v>848</v>
      </c>
      <c r="BQ3" s="37">
        <f>P3-BC3-BD3-BE3</f>
        <v>3989501</v>
      </c>
      <c r="BR3" s="21" t="s">
        <v>3089</v>
      </c>
      <c r="BS3" s="21" t="s">
        <v>3090</v>
      </c>
    </row>
    <row r="4" spans="1:71" x14ac:dyDescent="0.3">
      <c r="A4" s="21" t="s">
        <v>3091</v>
      </c>
      <c r="B4" s="29">
        <v>45623</v>
      </c>
      <c r="C4" s="21" t="s">
        <v>3101</v>
      </c>
      <c r="D4" s="21" t="s">
        <v>743</v>
      </c>
      <c r="E4" s="37">
        <f>BC4</f>
        <v>3790026</v>
      </c>
      <c r="F4" s="21" t="str">
        <f>"PKR "&amp;TEXT(E4,"#,##0")&amp;" only"</f>
        <v>PKR 3,790,026 only</v>
      </c>
      <c r="G4" s="21" t="s">
        <v>3080</v>
      </c>
      <c r="H4" s="21" t="s">
        <v>3092</v>
      </c>
      <c r="I4" s="29" t="s">
        <v>844</v>
      </c>
      <c r="J4" s="21" t="s">
        <v>3081</v>
      </c>
      <c r="K4" s="21" t="s">
        <v>3093</v>
      </c>
      <c r="L4" s="21" t="s">
        <v>1813</v>
      </c>
      <c r="M4" s="21" t="s">
        <v>1089</v>
      </c>
      <c r="N4" s="21" t="s">
        <v>1088</v>
      </c>
      <c r="O4" s="21" t="s">
        <v>844</v>
      </c>
      <c r="P4" s="37" cm="1">
        <f t="array" ref="P4">SUMPRODUCT(('T11'!$G$3:$G$1500=L4)*('T11'!$B$3:$B$1500&lt;=B4)*('T11'!$W$3:$W$1500*(1+'T11'!$X$3:$X$1500)+'T11'!$Y$3:$Y$1500))-SUMPRODUCT(($L$3:$L$1499=L4)*($B$3:$B$1499&lt;B4)*($BC$3:$BC$1499+$BD$3:$BD$1499+$BE$3:$BE$1499))</f>
        <v>3989501</v>
      </c>
      <c r="Q4" s="37" cm="1">
        <f t="array" ref="Q4">MAX(0,SUMPRODUCT(('T11'!$G$3:$G$1500=L4)*('T11'!$AG$3:$AG$1500&lt;B4)*('T11'!$W$3:$W$1500*(1+'T11'!$X$3:$X$1500)+'T11'!$Y$3:$Y$1500))-SUMPRODUCT(($L$3:$L$1499=L4)*($B$3:$B$1499&lt;B4)*($BC$3:$BC$1499+$BD$3:$BD$1499+$BE$3:$BE$1499)))</f>
        <v>3989501</v>
      </c>
      <c r="R4" s="21" t="s">
        <v>3094</v>
      </c>
      <c r="S4" s="21" t="s">
        <v>1105</v>
      </c>
      <c r="T4" s="21">
        <v>1</v>
      </c>
      <c r="U4" s="21">
        <v>1</v>
      </c>
      <c r="V4" s="21" t="s">
        <v>3095</v>
      </c>
      <c r="W4" s="37">
        <f>E4</f>
        <v>3790026</v>
      </c>
      <c r="X4" s="21" t="s">
        <v>3085</v>
      </c>
      <c r="Y4" s="21" t="str">
        <f>IF(V4="Cash",IF(AE4="Deposited","Realised","Pending deposit"),IF(V4="Cheque",IF(LEFT(AN4,7)="Cleared","Realised","Pending clearance"),IF(AT4="Identified","Realised","Unidentified")))</f>
        <v>Realised</v>
      </c>
      <c r="Z4" s="21" t="s">
        <v>844</v>
      </c>
      <c r="AA4" s="21" t="s">
        <v>844</v>
      </c>
      <c r="AB4" s="21" t="s">
        <v>844</v>
      </c>
      <c r="AC4" s="21" t="s">
        <v>844</v>
      </c>
      <c r="AD4" s="29" t="s">
        <v>844</v>
      </c>
      <c r="AE4" s="21" t="s">
        <v>844</v>
      </c>
      <c r="AF4" s="21" t="s">
        <v>844</v>
      </c>
      <c r="AG4" s="29" t="s">
        <v>844</v>
      </c>
      <c r="AH4" s="37" t="s">
        <v>844</v>
      </c>
      <c r="AI4" s="21" t="s">
        <v>844</v>
      </c>
      <c r="AJ4" s="21" t="s">
        <v>844</v>
      </c>
      <c r="AK4" s="29" t="s">
        <v>844</v>
      </c>
      <c r="AL4" s="21" t="s">
        <v>844</v>
      </c>
      <c r="AM4" s="29" t="s">
        <v>844</v>
      </c>
      <c r="AN4" s="21" t="s">
        <v>844</v>
      </c>
      <c r="AO4" s="21" t="s">
        <v>844</v>
      </c>
      <c r="AP4" s="21" t="s">
        <v>3096</v>
      </c>
      <c r="AQ4" s="21" t="s">
        <v>3102</v>
      </c>
      <c r="AR4" s="35">
        <v>45623.625</v>
      </c>
      <c r="AS4" s="37">
        <f>W4</f>
        <v>3790026</v>
      </c>
      <c r="AT4" s="21" t="s">
        <v>3098</v>
      </c>
      <c r="AU4" s="21" t="str">
        <f>IF(AW4=0,"Complete","Incomplete")</f>
        <v>Complete</v>
      </c>
      <c r="AV4" s="37">
        <f>W4</f>
        <v>3790026</v>
      </c>
      <c r="AW4" s="37">
        <f>AV4-E4</f>
        <v>0</v>
      </c>
      <c r="AX4" s="21">
        <v>1</v>
      </c>
      <c r="AY4" s="21" t="s">
        <v>1923</v>
      </c>
      <c r="AZ4" s="37">
        <f>_xlfn.XLOOKUP(AY4,'T11'!$A$3:$A$1500,'T11'!$AD$3:$AD$1500)</f>
        <v>7252659</v>
      </c>
      <c r="BA4" s="37">
        <f>BC3+BD3+BE3</f>
        <v>3263158</v>
      </c>
      <c r="BB4" s="37">
        <f>AZ4-BA4</f>
        <v>3989501</v>
      </c>
      <c r="BC4" s="37">
        <f>ROUND(BB4*(1-BH4),0)</f>
        <v>3790026</v>
      </c>
      <c r="BD4" s="37">
        <f>BB4-BC4-BE4</f>
        <v>199475</v>
      </c>
      <c r="BE4" s="37">
        <v>0</v>
      </c>
      <c r="BF4" s="37">
        <f>BB4-BC4-BD4-BE4</f>
        <v>0</v>
      </c>
      <c r="BG4" s="21" t="s">
        <v>3088</v>
      </c>
      <c r="BH4" s="23">
        <v>0.05</v>
      </c>
      <c r="BI4" s="37">
        <f>BD4</f>
        <v>199475</v>
      </c>
      <c r="BJ4" s="21" t="s">
        <v>3103</v>
      </c>
      <c r="BK4" s="21" t="s">
        <v>753</v>
      </c>
      <c r="BL4" s="21" t="s">
        <v>753</v>
      </c>
      <c r="BM4" s="21" t="s">
        <v>848</v>
      </c>
      <c r="BN4" s="21" t="str">
        <f>Y4</f>
        <v>Realised</v>
      </c>
      <c r="BO4" s="29">
        <v>45623</v>
      </c>
      <c r="BP4" s="21" t="s">
        <v>848</v>
      </c>
      <c r="BQ4" s="37">
        <f>P4-BC4-BD4-BE4</f>
        <v>0</v>
      </c>
      <c r="BR4" s="21" t="s">
        <v>3288</v>
      </c>
      <c r="BS4" s="21" t="s">
        <v>3090</v>
      </c>
    </row>
    <row r="5" spans="1:71" x14ac:dyDescent="0.3">
      <c r="A5" s="21" t="s">
        <v>3100</v>
      </c>
      <c r="B5" s="29">
        <v>45623</v>
      </c>
      <c r="C5" s="21" t="s">
        <v>3101</v>
      </c>
      <c r="D5" s="21" t="s">
        <v>743</v>
      </c>
      <c r="E5" s="37">
        <f>BC5</f>
        <v>5659614</v>
      </c>
      <c r="F5" s="21" t="str">
        <f>"PKR "&amp;TEXT(E5,"#,##0")&amp;" only"</f>
        <v>PKR 5,659,614 only</v>
      </c>
      <c r="G5" s="21" t="s">
        <v>3080</v>
      </c>
      <c r="H5" s="21" t="s">
        <v>1796</v>
      </c>
      <c r="I5" s="29" t="s">
        <v>844</v>
      </c>
      <c r="J5" s="21" t="s">
        <v>3081</v>
      </c>
      <c r="K5" s="21" t="s">
        <v>3082</v>
      </c>
      <c r="L5" s="21" t="s">
        <v>1800</v>
      </c>
      <c r="M5" s="21" t="s">
        <v>1073</v>
      </c>
      <c r="N5" s="21" t="s">
        <v>1072</v>
      </c>
      <c r="O5" s="21" t="s">
        <v>844</v>
      </c>
      <c r="P5" s="37" cm="1">
        <f t="array" ref="P5">SUMPRODUCT(('T11'!$G$3:$G$1500=L5)*('T11'!$B$3:$B$1500&lt;=B5)*('T11'!$W$3:$W$1500*(1+'T11'!$X$3:$X$1500)+'T11'!$Y$3:$Y$1500))-SUMPRODUCT(($L$3:$L$1499=L5)*($B$3:$B$1499&lt;B5)*($BC$3:$BC$1499+$BD$3:$BD$1499+$BE$3:$BE$1499))</f>
        <v>5957488.5</v>
      </c>
      <c r="Q5" s="37" cm="1">
        <f t="array" ref="Q5">MAX(0,SUMPRODUCT(('T11'!$G$3:$G$1500=L5)*('T11'!$AG$3:$AG$1500&lt;B5)*('T11'!$W$3:$W$1500*(1+'T11'!$X$3:$X$1500)+'T11'!$Y$3:$Y$1500))-SUMPRODUCT(($L$3:$L$1499=L5)*($B$3:$B$1499&lt;B5)*($BC$3:$BC$1499+$BD$3:$BD$1499+$BE$3:$BE$1499)))</f>
        <v>5957488.5</v>
      </c>
      <c r="R5" s="21" t="s">
        <v>3083</v>
      </c>
      <c r="S5" s="21" t="s">
        <v>1801</v>
      </c>
      <c r="T5" s="21">
        <v>1</v>
      </c>
      <c r="U5" s="21">
        <v>1</v>
      </c>
      <c r="V5" s="21" t="s">
        <v>3084</v>
      </c>
      <c r="W5" s="37">
        <f>E5</f>
        <v>5659614</v>
      </c>
      <c r="X5" s="21" t="s">
        <v>3085</v>
      </c>
      <c r="Y5" s="21" t="str">
        <f>IF(V5="Cash",IF(AE5="Deposited","Realised","Pending deposit"),IF(V5="Cheque",IF(LEFT(AN5,7)="Cleared","Realised","Pending clearance"),IF(AT5="Identified","Realised","Unidentified")))</f>
        <v>Realised</v>
      </c>
      <c r="Z5" s="21" t="s">
        <v>844</v>
      </c>
      <c r="AA5" s="21" t="s">
        <v>844</v>
      </c>
      <c r="AB5" s="21" t="s">
        <v>844</v>
      </c>
      <c r="AC5" s="21" t="s">
        <v>844</v>
      </c>
      <c r="AD5" s="29" t="s">
        <v>844</v>
      </c>
      <c r="AE5" s="21" t="s">
        <v>844</v>
      </c>
      <c r="AF5" s="21">
        <v>13891481</v>
      </c>
      <c r="AG5" s="29">
        <v>45623</v>
      </c>
      <c r="AH5" s="37">
        <f>W5</f>
        <v>5659614</v>
      </c>
      <c r="AI5" s="21" t="s">
        <v>3086</v>
      </c>
      <c r="AJ5" s="21" t="s">
        <v>846</v>
      </c>
      <c r="AK5" s="29">
        <f>AG5</f>
        <v>45623</v>
      </c>
      <c r="AL5" s="21" t="s">
        <v>3087</v>
      </c>
      <c r="AM5" s="29">
        <v>45623</v>
      </c>
      <c r="AN5" s="21" t="s">
        <v>3106</v>
      </c>
      <c r="AO5" s="21" t="s">
        <v>848</v>
      </c>
      <c r="AP5" s="21" t="s">
        <v>844</v>
      </c>
      <c r="AQ5" s="21" t="s">
        <v>844</v>
      </c>
      <c r="AR5" s="35" t="s">
        <v>844</v>
      </c>
      <c r="AS5" s="37" t="s">
        <v>844</v>
      </c>
      <c r="AT5" s="21" t="s">
        <v>844</v>
      </c>
      <c r="AU5" s="21" t="str">
        <f>IF(AW5=0,"Complete","Incomplete")</f>
        <v>Complete</v>
      </c>
      <c r="AV5" s="37">
        <f>W5</f>
        <v>5659614</v>
      </c>
      <c r="AW5" s="37">
        <f>AV5-E5</f>
        <v>0</v>
      </c>
      <c r="AX5" s="21">
        <v>1</v>
      </c>
      <c r="AY5" s="21" t="s">
        <v>1935</v>
      </c>
      <c r="AZ5" s="37">
        <f>_xlfn.XLOOKUP(AY5,'T11'!$A$3:$A$1500,'T11'!$AD$3:$AD$1500)</f>
        <v>5957488.5</v>
      </c>
      <c r="BA5" s="37">
        <v>0</v>
      </c>
      <c r="BB5" s="37">
        <f>AZ5-BA5</f>
        <v>5957488.5</v>
      </c>
      <c r="BC5" s="37">
        <f>ROUND(BB5*(1-BH5),0)</f>
        <v>5659614</v>
      </c>
      <c r="BD5" s="37">
        <f>BB5-BC5-BE5</f>
        <v>297874.5</v>
      </c>
      <c r="BE5" s="37">
        <v>0</v>
      </c>
      <c r="BF5" s="37">
        <f>BB5-BC5-BD5-BE5</f>
        <v>0</v>
      </c>
      <c r="BG5" s="21" t="s">
        <v>3088</v>
      </c>
      <c r="BH5" s="23">
        <v>0.05</v>
      </c>
      <c r="BI5" s="37">
        <f>BD5</f>
        <v>297874.5</v>
      </c>
      <c r="BJ5" s="21" t="s">
        <v>3107</v>
      </c>
      <c r="BK5" s="21" t="s">
        <v>753</v>
      </c>
      <c r="BL5" s="21" t="s">
        <v>753</v>
      </c>
      <c r="BM5" s="21" t="s">
        <v>848</v>
      </c>
      <c r="BN5" s="21" t="str">
        <f>Y5</f>
        <v>Realised</v>
      </c>
      <c r="BO5" s="29">
        <v>45625</v>
      </c>
      <c r="BP5" s="21" t="s">
        <v>848</v>
      </c>
      <c r="BQ5" s="37">
        <f>P5-BC5-BD5-BE5</f>
        <v>0</v>
      </c>
      <c r="BR5" s="21" t="s">
        <v>3104</v>
      </c>
      <c r="BS5" s="21" t="s">
        <v>3090</v>
      </c>
    </row>
    <row r="6" spans="1:71" x14ac:dyDescent="0.3">
      <c r="A6" s="21" t="s">
        <v>3105</v>
      </c>
      <c r="B6" s="29">
        <v>45625</v>
      </c>
      <c r="C6" s="21" t="s">
        <v>3079</v>
      </c>
      <c r="D6" s="21" t="s">
        <v>743</v>
      </c>
      <c r="E6" s="37">
        <f>BC6</f>
        <v>1700000</v>
      </c>
      <c r="F6" s="21" t="str">
        <f>"PKR "&amp;TEXT(E6,"#,##0")&amp;" only"</f>
        <v>PKR 1,700,000 only</v>
      </c>
      <c r="G6" s="21" t="s">
        <v>3080</v>
      </c>
      <c r="H6" s="21" t="s">
        <v>3092</v>
      </c>
      <c r="I6" s="29" t="s">
        <v>844</v>
      </c>
      <c r="J6" s="21" t="s">
        <v>3081</v>
      </c>
      <c r="K6" s="21" t="s">
        <v>3082</v>
      </c>
      <c r="L6" s="21" t="s">
        <v>1823</v>
      </c>
      <c r="M6" s="21" t="s">
        <v>1080</v>
      </c>
      <c r="N6" s="21" t="s">
        <v>1079</v>
      </c>
      <c r="O6" s="21" t="s">
        <v>844</v>
      </c>
      <c r="P6" s="37" cm="1">
        <f t="array" ref="P6">SUMPRODUCT(('T11'!$G$3:$G$1500=L6)*('T11'!$B$3:$B$1500&lt;=B6)*('T11'!$W$3:$W$1500*(1+'T11'!$X$3:$X$1500)+'T11'!$Y$3:$Y$1500))-SUMPRODUCT(($L$3:$L$1499=L6)*($B$3:$B$1499&lt;B6)*($BC$3:$BC$1499+$BD$3:$BD$1499+$BE$3:$BE$1499))</f>
        <v>3855250</v>
      </c>
      <c r="Q6" s="37" cm="1">
        <f t="array" ref="Q6">MAX(0,SUMPRODUCT(('T11'!$G$3:$G$1500=L6)*('T11'!$AG$3:$AG$1500&lt;B6)*('T11'!$W$3:$W$1500*(1+'T11'!$X$3:$X$1500)+'T11'!$Y$3:$Y$1500))-SUMPRODUCT(($L$3:$L$1499=L6)*($B$3:$B$1499&lt;B6)*($BC$3:$BC$1499+$BD$3:$BD$1499+$BE$3:$BE$1499)))</f>
        <v>0</v>
      </c>
      <c r="R6" s="21" t="s">
        <v>3109</v>
      </c>
      <c r="S6" s="21" t="s">
        <v>1824</v>
      </c>
      <c r="T6" s="21">
        <v>1</v>
      </c>
      <c r="U6" s="21">
        <v>1</v>
      </c>
      <c r="V6" s="21" t="s">
        <v>3095</v>
      </c>
      <c r="W6" s="37">
        <f>E6</f>
        <v>1700000</v>
      </c>
      <c r="X6" s="21" t="s">
        <v>3085</v>
      </c>
      <c r="Y6" s="21" t="str">
        <f>IF(V6="Cash",IF(AE6="Deposited","Realised","Pending deposit"),IF(V6="Cheque",IF(LEFT(AN6,7)="Cleared","Realised","Pending clearance"),IF(AT6="Identified","Realised","Unidentified")))</f>
        <v>Realised</v>
      </c>
      <c r="Z6" s="21" t="s">
        <v>844</v>
      </c>
      <c r="AA6" s="21" t="s">
        <v>844</v>
      </c>
      <c r="AB6" s="21" t="s">
        <v>844</v>
      </c>
      <c r="AC6" s="21" t="s">
        <v>844</v>
      </c>
      <c r="AD6" s="29" t="s">
        <v>844</v>
      </c>
      <c r="AE6" s="21" t="s">
        <v>844</v>
      </c>
      <c r="AF6" s="21" t="s">
        <v>844</v>
      </c>
      <c r="AG6" s="29" t="s">
        <v>844</v>
      </c>
      <c r="AH6" s="37" t="s">
        <v>844</v>
      </c>
      <c r="AI6" s="21" t="s">
        <v>844</v>
      </c>
      <c r="AJ6" s="21" t="s">
        <v>844</v>
      </c>
      <c r="AK6" s="29" t="s">
        <v>844</v>
      </c>
      <c r="AL6" s="21" t="s">
        <v>844</v>
      </c>
      <c r="AM6" s="29" t="s">
        <v>844</v>
      </c>
      <c r="AN6" s="21" t="s">
        <v>844</v>
      </c>
      <c r="AO6" s="21" t="s">
        <v>844</v>
      </c>
      <c r="AP6" s="21" t="s">
        <v>3110</v>
      </c>
      <c r="AQ6" s="21" t="s">
        <v>3111</v>
      </c>
      <c r="AR6" s="35">
        <v>45625.625</v>
      </c>
      <c r="AS6" s="37">
        <f>W6</f>
        <v>1700000</v>
      </c>
      <c r="AT6" s="21" t="s">
        <v>3098</v>
      </c>
      <c r="AU6" s="21" t="str">
        <f>IF(AW6=0,"Complete","Incomplete")</f>
        <v>Complete</v>
      </c>
      <c r="AV6" s="37">
        <f>W6</f>
        <v>1700000</v>
      </c>
      <c r="AW6" s="37">
        <f>AV6-E6</f>
        <v>0</v>
      </c>
      <c r="AX6" s="21">
        <v>1</v>
      </c>
      <c r="AY6" s="21" t="s">
        <v>1994</v>
      </c>
      <c r="AZ6" s="37">
        <f>_xlfn.XLOOKUP(AY6,'T11'!$A$3:$A$1500,'T11'!$AD$3:$AD$1500)</f>
        <v>3855250</v>
      </c>
      <c r="BA6" s="37">
        <v>0</v>
      </c>
      <c r="BB6" s="37">
        <f>AZ6-BA6</f>
        <v>3855250</v>
      </c>
      <c r="BC6" s="37">
        <v>1700000</v>
      </c>
      <c r="BD6" s="37">
        <f>ROUND(BC6*BH6/(1-BH6),0)</f>
        <v>0</v>
      </c>
      <c r="BE6" s="37">
        <v>0</v>
      </c>
      <c r="BF6" s="37">
        <f>BB6-BC6-BD6-BE6</f>
        <v>2155250</v>
      </c>
      <c r="BG6" s="21" t="s">
        <v>3112</v>
      </c>
      <c r="BH6" s="23">
        <v>0</v>
      </c>
      <c r="BI6" s="37">
        <f>BD6</f>
        <v>0</v>
      </c>
      <c r="BJ6" s="21" t="s">
        <v>844</v>
      </c>
      <c r="BK6" s="21" t="s">
        <v>844</v>
      </c>
      <c r="BL6" s="21" t="s">
        <v>844</v>
      </c>
      <c r="BM6" s="21" t="s">
        <v>848</v>
      </c>
      <c r="BN6" s="21" t="str">
        <f>Y6</f>
        <v>Realised</v>
      </c>
      <c r="BO6" s="29">
        <v>45625</v>
      </c>
      <c r="BP6" s="21" t="s">
        <v>848</v>
      </c>
      <c r="BQ6" s="37">
        <f>P6-BC6-BD6-BE6</f>
        <v>2155250</v>
      </c>
      <c r="BR6" s="21" t="s">
        <v>3289</v>
      </c>
      <c r="BS6" s="21" t="s">
        <v>3090</v>
      </c>
    </row>
    <row r="7" spans="1:71" x14ac:dyDescent="0.3">
      <c r="A7" s="21" t="s">
        <v>3108</v>
      </c>
      <c r="B7" s="29">
        <v>45631</v>
      </c>
      <c r="C7" s="21" t="s">
        <v>3101</v>
      </c>
      <c r="D7" s="21" t="s">
        <v>743</v>
      </c>
      <c r="E7" s="37">
        <f>BC7</f>
        <v>2155250</v>
      </c>
      <c r="F7" s="21" t="str">
        <f>"PKR "&amp;TEXT(E7,"#,##0")&amp;" only"</f>
        <v>PKR 2,155,250 only</v>
      </c>
      <c r="G7" s="21" t="s">
        <v>3080</v>
      </c>
      <c r="H7" s="21" t="s">
        <v>3092</v>
      </c>
      <c r="I7" s="29" t="s">
        <v>844</v>
      </c>
      <c r="J7" s="21" t="s">
        <v>3081</v>
      </c>
      <c r="K7" s="21" t="s">
        <v>3082</v>
      </c>
      <c r="L7" s="21" t="s">
        <v>1823</v>
      </c>
      <c r="M7" s="21" t="s">
        <v>1080</v>
      </c>
      <c r="N7" s="21" t="s">
        <v>1079</v>
      </c>
      <c r="O7" s="21" t="s">
        <v>844</v>
      </c>
      <c r="P7" s="37" cm="1">
        <f t="array" ref="P7">SUMPRODUCT(('T11'!$G$3:$G$1500=L7)*('T11'!$B$3:$B$1500&lt;=B7)*('T11'!$W$3:$W$1500*(1+'T11'!$X$3:$X$1500)+'T11'!$Y$3:$Y$1500))-SUMPRODUCT(($L$3:$L$1499=L7)*($B$3:$B$1499&lt;B7)*($BC$3:$BC$1499+$BD$3:$BD$1499+$BE$3:$BE$1499))</f>
        <v>2155250</v>
      </c>
      <c r="Q7" s="37" cm="1">
        <f t="array" ref="Q7">MAX(0,SUMPRODUCT(('T11'!$G$3:$G$1500=L7)*('T11'!$AG$3:$AG$1500&lt;B7)*('T11'!$W$3:$W$1500*(1+'T11'!$X$3:$X$1500)+'T11'!$Y$3:$Y$1500))-SUMPRODUCT(($L$3:$L$1499=L7)*($B$3:$B$1499&lt;B7)*($BC$3:$BC$1499+$BD$3:$BD$1499+$BE$3:$BE$1499)))</f>
        <v>2155250</v>
      </c>
      <c r="R7" s="21" t="s">
        <v>3109</v>
      </c>
      <c r="S7" s="21" t="s">
        <v>1824</v>
      </c>
      <c r="T7" s="21">
        <v>1</v>
      </c>
      <c r="U7" s="21">
        <v>1</v>
      </c>
      <c r="V7" s="21" t="s">
        <v>3095</v>
      </c>
      <c r="W7" s="37">
        <f>E7</f>
        <v>2155250</v>
      </c>
      <c r="X7" s="21" t="s">
        <v>3085</v>
      </c>
      <c r="Y7" s="21" t="str">
        <f>IF(V7="Cash",IF(AE7="Deposited","Realised","Pending deposit"),IF(V7="Cheque",IF(LEFT(AN7,7)="Cleared","Realised","Pending clearance"),IF(AT7="Identified","Realised","Unidentified")))</f>
        <v>Realised</v>
      </c>
      <c r="Z7" s="21" t="s">
        <v>844</v>
      </c>
      <c r="AA7" s="21" t="s">
        <v>844</v>
      </c>
      <c r="AB7" s="21" t="s">
        <v>844</v>
      </c>
      <c r="AC7" s="21" t="s">
        <v>844</v>
      </c>
      <c r="AD7" s="29" t="s">
        <v>844</v>
      </c>
      <c r="AE7" s="21" t="s">
        <v>844</v>
      </c>
      <c r="AF7" s="21" t="s">
        <v>844</v>
      </c>
      <c r="AG7" s="29" t="s">
        <v>844</v>
      </c>
      <c r="AH7" s="37" t="s">
        <v>844</v>
      </c>
      <c r="AI7" s="21" t="s">
        <v>844</v>
      </c>
      <c r="AJ7" s="21" t="s">
        <v>844</v>
      </c>
      <c r="AK7" s="29" t="s">
        <v>844</v>
      </c>
      <c r="AL7" s="21" t="s">
        <v>844</v>
      </c>
      <c r="AM7" s="29" t="s">
        <v>844</v>
      </c>
      <c r="AN7" s="21" t="s">
        <v>844</v>
      </c>
      <c r="AO7" s="21" t="s">
        <v>844</v>
      </c>
      <c r="AP7" s="21" t="s">
        <v>3110</v>
      </c>
      <c r="AQ7" s="21" t="s">
        <v>3114</v>
      </c>
      <c r="AR7" s="35">
        <v>45631.458333333336</v>
      </c>
      <c r="AS7" s="37">
        <f>W7</f>
        <v>2155250</v>
      </c>
      <c r="AT7" s="21" t="s">
        <v>3098</v>
      </c>
      <c r="AU7" s="21" t="str">
        <f>IF(AW7=0,"Complete","Incomplete")</f>
        <v>Complete</v>
      </c>
      <c r="AV7" s="37">
        <f>W7</f>
        <v>2155250</v>
      </c>
      <c r="AW7" s="37">
        <f>AV7-E7</f>
        <v>0</v>
      </c>
      <c r="AX7" s="21">
        <v>1</v>
      </c>
      <c r="AY7" s="21" t="s">
        <v>1994</v>
      </c>
      <c r="AZ7" s="37">
        <f>_xlfn.XLOOKUP(AY7,'T11'!$A$3:$A$1500,'T11'!$AD$3:$AD$1500)</f>
        <v>3855250</v>
      </c>
      <c r="BA7" s="37">
        <f>BC6+BD6+BE6</f>
        <v>1700000</v>
      </c>
      <c r="BB7" s="37">
        <f>AZ7-BA7</f>
        <v>2155250</v>
      </c>
      <c r="BC7" s="37">
        <f>ROUND(BB7*(1-BH7),0)</f>
        <v>2155250</v>
      </c>
      <c r="BD7" s="37">
        <f>BB7-BC7-BE7</f>
        <v>0</v>
      </c>
      <c r="BE7" s="37">
        <v>0</v>
      </c>
      <c r="BF7" s="37">
        <f>BB7-BC7-BD7-BE7</f>
        <v>0</v>
      </c>
      <c r="BG7" s="21" t="s">
        <v>3112</v>
      </c>
      <c r="BH7" s="23">
        <v>0</v>
      </c>
      <c r="BI7" s="37">
        <f>BD7</f>
        <v>0</v>
      </c>
      <c r="BJ7" s="21" t="s">
        <v>844</v>
      </c>
      <c r="BK7" s="21" t="s">
        <v>844</v>
      </c>
      <c r="BL7" s="21" t="s">
        <v>844</v>
      </c>
      <c r="BM7" s="21" t="s">
        <v>848</v>
      </c>
      <c r="BN7" s="21" t="str">
        <f>Y7</f>
        <v>Realised</v>
      </c>
      <c r="BO7" s="29">
        <v>45631</v>
      </c>
      <c r="BP7" s="21" t="s">
        <v>848</v>
      </c>
      <c r="BQ7" s="37">
        <f>P7-BC7-BD7-BE7</f>
        <v>0</v>
      </c>
      <c r="BR7" s="21" t="s">
        <v>3290</v>
      </c>
      <c r="BS7" s="21" t="s">
        <v>3090</v>
      </c>
    </row>
    <row r="8" spans="1:71" x14ac:dyDescent="0.3">
      <c r="A8" s="21" t="s">
        <v>3113</v>
      </c>
      <c r="B8" s="29">
        <v>45649</v>
      </c>
      <c r="C8" s="21" t="s">
        <v>3101</v>
      </c>
      <c r="D8" s="21" t="s">
        <v>743</v>
      </c>
      <c r="E8" s="37">
        <f>BC8</f>
        <v>7048734</v>
      </c>
      <c r="F8" s="21" t="str">
        <f>"PKR "&amp;TEXT(E8,"#,##0")&amp;" only"</f>
        <v>PKR 7,048,734 only</v>
      </c>
      <c r="G8" s="21" t="s">
        <v>3080</v>
      </c>
      <c r="H8" s="21" t="s">
        <v>1811</v>
      </c>
      <c r="I8" s="29" t="s">
        <v>844</v>
      </c>
      <c r="J8" s="21" t="s">
        <v>3081</v>
      </c>
      <c r="K8" s="21" t="s">
        <v>3093</v>
      </c>
      <c r="L8" s="21" t="s">
        <v>1819</v>
      </c>
      <c r="M8" s="21" t="s">
        <v>1156</v>
      </c>
      <c r="N8" s="21" t="s">
        <v>1155</v>
      </c>
      <c r="O8" s="21" t="s">
        <v>844</v>
      </c>
      <c r="P8" s="37" cm="1">
        <f t="array" ref="P8">SUMPRODUCT(('T11'!$G$3:$G$1500=L8)*('T11'!$B$3:$B$1500&lt;=B8)*('T11'!$W$3:$W$1500*(1+'T11'!$X$3:$X$1500)+'T11'!$Y$3:$Y$1500))-SUMPRODUCT(($L$3:$L$1499=L8)*($B$3:$B$1499&lt;B8)*($BC$3:$BC$1499+$BD$3:$BD$1499+$BE$3:$BE$1499))</f>
        <v>7419720</v>
      </c>
      <c r="Q8" s="37" cm="1">
        <f t="array" ref="Q8">MAX(0,SUMPRODUCT(('T11'!$G$3:$G$1500=L8)*('T11'!$AG$3:$AG$1500&lt;B8)*('T11'!$W$3:$W$1500*(1+'T11'!$X$3:$X$1500)+'T11'!$Y$3:$Y$1500))-SUMPRODUCT(($L$3:$L$1499=L8)*($B$3:$B$1499&lt;B8)*($BC$3:$BC$1499+$BD$3:$BD$1499+$BE$3:$BE$1499)))</f>
        <v>0</v>
      </c>
      <c r="R8" s="21" t="s">
        <v>3116</v>
      </c>
      <c r="S8" s="21" t="s">
        <v>1161</v>
      </c>
      <c r="T8" s="21">
        <v>1</v>
      </c>
      <c r="U8" s="21">
        <v>1</v>
      </c>
      <c r="V8" s="21" t="s">
        <v>3084</v>
      </c>
      <c r="W8" s="37">
        <f>E8</f>
        <v>7048734</v>
      </c>
      <c r="X8" s="21" t="s">
        <v>3085</v>
      </c>
      <c r="Y8" s="21" t="str">
        <f>IF(V8="Cash",IF(AE8="Deposited","Realised","Pending deposit"),IF(V8="Cheque",IF(LEFT(AN8,7)="Cleared","Realised","Pending clearance"),IF(AT8="Identified","Realised","Unidentified")))</f>
        <v>Realised</v>
      </c>
      <c r="Z8" s="21" t="s">
        <v>844</v>
      </c>
      <c r="AA8" s="21" t="s">
        <v>844</v>
      </c>
      <c r="AB8" s="21" t="s">
        <v>844</v>
      </c>
      <c r="AC8" s="21" t="s">
        <v>844</v>
      </c>
      <c r="AD8" s="29" t="s">
        <v>844</v>
      </c>
      <c r="AE8" s="21" t="s">
        <v>844</v>
      </c>
      <c r="AF8" s="21">
        <v>18489321</v>
      </c>
      <c r="AG8" s="29">
        <v>45649</v>
      </c>
      <c r="AH8" s="37">
        <f>W8</f>
        <v>7048734</v>
      </c>
      <c r="AI8" s="21" t="s">
        <v>3117</v>
      </c>
      <c r="AJ8" s="21" t="s">
        <v>846</v>
      </c>
      <c r="AK8" s="29">
        <f>AG8</f>
        <v>45649</v>
      </c>
      <c r="AL8" s="21" t="s">
        <v>3087</v>
      </c>
      <c r="AM8" s="29">
        <v>45649</v>
      </c>
      <c r="AN8" s="21" t="s">
        <v>3118</v>
      </c>
      <c r="AO8" s="21" t="s">
        <v>848</v>
      </c>
      <c r="AP8" s="21" t="s">
        <v>844</v>
      </c>
      <c r="AQ8" s="21" t="s">
        <v>844</v>
      </c>
      <c r="AR8" s="35" t="s">
        <v>844</v>
      </c>
      <c r="AS8" s="37" t="s">
        <v>844</v>
      </c>
      <c r="AT8" s="21" t="s">
        <v>844</v>
      </c>
      <c r="AU8" s="21" t="str">
        <f>IF(AW8=0,"Complete","Incomplete")</f>
        <v>Complete</v>
      </c>
      <c r="AV8" s="37">
        <f>W8</f>
        <v>7048734</v>
      </c>
      <c r="AW8" s="37">
        <f>AV8-E8</f>
        <v>0</v>
      </c>
      <c r="AX8" s="21">
        <v>1</v>
      </c>
      <c r="AY8" s="21" t="s">
        <v>1985</v>
      </c>
      <c r="AZ8" s="37">
        <f>_xlfn.XLOOKUP(AY8,'T11'!$A$3:$A$1500,'T11'!$AD$3:$AD$1500)</f>
        <v>7419720</v>
      </c>
      <c r="BA8" s="37">
        <v>0</v>
      </c>
      <c r="BB8" s="37">
        <f>AZ8-BA8</f>
        <v>7419720</v>
      </c>
      <c r="BC8" s="37">
        <f>ROUND(BB8*(1-BH8),0)</f>
        <v>7048734</v>
      </c>
      <c r="BD8" s="37">
        <f>BB8-BC8-BE8</f>
        <v>370986</v>
      </c>
      <c r="BE8" s="37">
        <v>0</v>
      </c>
      <c r="BF8" s="37">
        <f>BB8-BC8-BD8-BE8</f>
        <v>0</v>
      </c>
      <c r="BG8" s="21" t="s">
        <v>3088</v>
      </c>
      <c r="BH8" s="23">
        <v>0.05</v>
      </c>
      <c r="BI8" s="37">
        <f>BD8</f>
        <v>370986</v>
      </c>
      <c r="BJ8" s="21" t="s">
        <v>3119</v>
      </c>
      <c r="BK8" s="21" t="s">
        <v>753</v>
      </c>
      <c r="BL8" s="21" t="s">
        <v>753</v>
      </c>
      <c r="BM8" s="21" t="s">
        <v>848</v>
      </c>
      <c r="BN8" s="21" t="str">
        <f>Y8</f>
        <v>Realised</v>
      </c>
      <c r="BO8" s="29">
        <v>45651</v>
      </c>
      <c r="BP8" s="21" t="s">
        <v>848</v>
      </c>
      <c r="BQ8" s="37">
        <f>P8-BC8-BD8-BE8</f>
        <v>0</v>
      </c>
      <c r="BR8" s="21" t="s">
        <v>3291</v>
      </c>
      <c r="BS8" s="21" t="s">
        <v>3090</v>
      </c>
    </row>
    <row r="9" spans="1:71" x14ac:dyDescent="0.3">
      <c r="A9" s="21" t="s">
        <v>3115</v>
      </c>
      <c r="B9" s="29">
        <v>45659</v>
      </c>
      <c r="C9" s="21" t="s">
        <v>3121</v>
      </c>
      <c r="D9" s="21" t="s">
        <v>743</v>
      </c>
      <c r="E9" s="37">
        <f>BC9</f>
        <v>5968418</v>
      </c>
      <c r="F9" s="21" t="str">
        <f>"PKR "&amp;TEXT(E9,"#,##0")&amp;" only"</f>
        <v>PKR 5,968,418 only</v>
      </c>
      <c r="G9" s="21" t="s">
        <v>3080</v>
      </c>
      <c r="H9" s="21" t="s">
        <v>3092</v>
      </c>
      <c r="I9" s="29" t="s">
        <v>844</v>
      </c>
      <c r="J9" s="21" t="s">
        <v>3081</v>
      </c>
      <c r="K9" s="21" t="s">
        <v>3082</v>
      </c>
      <c r="L9" s="21" t="s">
        <v>1844</v>
      </c>
      <c r="M9" s="21" t="s">
        <v>3033</v>
      </c>
      <c r="N9" s="21" t="s">
        <v>1064</v>
      </c>
      <c r="O9" s="21" t="s">
        <v>844</v>
      </c>
      <c r="P9" s="37" cm="1">
        <f t="array" ref="P9">SUMPRODUCT(('T11'!$G$3:$G$1500=L9)*('T11'!$B$3:$B$1500&lt;=B9)*('T11'!$W$3:$W$1500*(1+'T11'!$X$3:$X$1500)+'T11'!$Y$3:$Y$1500))-SUMPRODUCT(($L$3:$L$1499=L9)*($B$3:$B$1499&lt;B9)*($BC$3:$BC$1499+$BD$3:$BD$1499+$BE$3:$BE$1499))</f>
        <v>0</v>
      </c>
      <c r="Q9" s="37" cm="1">
        <f t="array" ref="Q9">MAX(0,SUMPRODUCT(('T11'!$G$3:$G$1500=L9)*('T11'!$AG$3:$AG$1500&lt;B9)*('T11'!$W$3:$W$1500*(1+'T11'!$X$3:$X$1500)+'T11'!$Y$3:$Y$1500))-SUMPRODUCT(($L$3:$L$1499=L9)*($B$3:$B$1499&lt;B9)*($BC$3:$BC$1499+$BD$3:$BD$1499+$BE$3:$BE$1499)))</f>
        <v>0</v>
      </c>
      <c r="R9" s="21" t="s">
        <v>3122</v>
      </c>
      <c r="S9" s="21" t="s">
        <v>1845</v>
      </c>
      <c r="T9" s="21">
        <v>1</v>
      </c>
      <c r="U9" s="21">
        <v>1</v>
      </c>
      <c r="V9" s="21" t="s">
        <v>3095</v>
      </c>
      <c r="W9" s="37">
        <f>E9</f>
        <v>5968418</v>
      </c>
      <c r="X9" s="21" t="s">
        <v>3085</v>
      </c>
      <c r="Y9" s="21" t="str">
        <f>IF(V9="Cash",IF(AE9="Deposited","Realised","Pending deposit"),IF(V9="Cheque",IF(LEFT(AN9,7)="Cleared","Realised","Pending clearance"),IF(AT9="Identified","Realised","Unidentified")))</f>
        <v>Realised</v>
      </c>
      <c r="Z9" s="21" t="s">
        <v>844</v>
      </c>
      <c r="AA9" s="21" t="s">
        <v>844</v>
      </c>
      <c r="AB9" s="21" t="s">
        <v>844</v>
      </c>
      <c r="AC9" s="21" t="s">
        <v>844</v>
      </c>
      <c r="AD9" s="29" t="s">
        <v>844</v>
      </c>
      <c r="AE9" s="21" t="s">
        <v>844</v>
      </c>
      <c r="AF9" s="21" t="s">
        <v>844</v>
      </c>
      <c r="AG9" s="29" t="s">
        <v>844</v>
      </c>
      <c r="AH9" s="37" t="s">
        <v>844</v>
      </c>
      <c r="AI9" s="21" t="s">
        <v>844</v>
      </c>
      <c r="AJ9" s="21" t="s">
        <v>844</v>
      </c>
      <c r="AK9" s="29" t="s">
        <v>844</v>
      </c>
      <c r="AL9" s="21" t="s">
        <v>844</v>
      </c>
      <c r="AM9" s="29" t="s">
        <v>844</v>
      </c>
      <c r="AN9" s="21" t="s">
        <v>844</v>
      </c>
      <c r="AO9" s="21" t="s">
        <v>844</v>
      </c>
      <c r="AP9" s="21" t="s">
        <v>3123</v>
      </c>
      <c r="AQ9" s="21" t="s">
        <v>3124</v>
      </c>
      <c r="AR9" s="35">
        <v>45659.375</v>
      </c>
      <c r="AS9" s="37">
        <f>W9</f>
        <v>5968418</v>
      </c>
      <c r="AT9" s="21" t="s">
        <v>3098</v>
      </c>
      <c r="AU9" s="21" t="str">
        <f>IF(AW9=0,"Complete","Incomplete")</f>
        <v>Complete</v>
      </c>
      <c r="AV9" s="37">
        <f>W9</f>
        <v>5968418</v>
      </c>
      <c r="AW9" s="37">
        <f>AV9-E9</f>
        <v>0</v>
      </c>
      <c r="AX9" s="21">
        <v>1</v>
      </c>
      <c r="AY9" s="21" t="s">
        <v>2068</v>
      </c>
      <c r="AZ9" s="37">
        <f>_xlfn.XLOOKUP(AY9,'T11'!$A$3:$A$1500,'T11'!$AD$3:$AD$1500)</f>
        <v>5968418.4000000004</v>
      </c>
      <c r="BA9" s="37">
        <v>0</v>
      </c>
      <c r="BB9" s="37">
        <f>AZ9-BA9</f>
        <v>5968418.4000000004</v>
      </c>
      <c r="BC9" s="37">
        <f>ROUND(BB9*(1-BH9),0)</f>
        <v>5968418</v>
      </c>
      <c r="BD9" s="37">
        <f>BB9-BC9-BE9</f>
        <v>0.40000000037252903</v>
      </c>
      <c r="BE9" s="37">
        <v>0</v>
      </c>
      <c r="BF9" s="37">
        <f>BB9-BC9-BD9-BE9</f>
        <v>0</v>
      </c>
      <c r="BG9" s="21" t="s">
        <v>3112</v>
      </c>
      <c r="BH9" s="23">
        <v>0</v>
      </c>
      <c r="BI9" s="37">
        <f>BD9</f>
        <v>0.40000000037252903</v>
      </c>
      <c r="BJ9" s="21" t="s">
        <v>844</v>
      </c>
      <c r="BK9" s="21" t="s">
        <v>844</v>
      </c>
      <c r="BL9" s="21" t="s">
        <v>844</v>
      </c>
      <c r="BM9" s="21" t="s">
        <v>848</v>
      </c>
      <c r="BN9" s="21" t="str">
        <f>Y9</f>
        <v>Realised</v>
      </c>
      <c r="BO9" s="29">
        <v>45659</v>
      </c>
      <c r="BP9" s="21" t="s">
        <v>848</v>
      </c>
      <c r="BQ9" s="37">
        <f>P9-BC9-BD9-BE9</f>
        <v>-5968418.4000000004</v>
      </c>
      <c r="BR9" s="21" t="s">
        <v>3292</v>
      </c>
      <c r="BS9" s="21" t="s">
        <v>3090</v>
      </c>
    </row>
    <row r="10" spans="1:71" x14ac:dyDescent="0.3">
      <c r="A10" s="21" t="s">
        <v>3120</v>
      </c>
      <c r="B10" s="29">
        <v>45668</v>
      </c>
      <c r="C10" s="21" t="s">
        <v>3079</v>
      </c>
      <c r="D10" s="21" t="s">
        <v>743</v>
      </c>
      <c r="E10" s="37">
        <f>BC10</f>
        <v>4300000</v>
      </c>
      <c r="F10" s="21" t="str">
        <f>"PKR "&amp;TEXT(E10,"#,##0")&amp;" only"</f>
        <v>PKR 4,300,000 only</v>
      </c>
      <c r="G10" s="21" t="s">
        <v>3080</v>
      </c>
      <c r="H10" s="21" t="s">
        <v>3092</v>
      </c>
      <c r="I10" s="29" t="s">
        <v>844</v>
      </c>
      <c r="J10" s="21" t="s">
        <v>3081</v>
      </c>
      <c r="K10" s="21" t="s">
        <v>3093</v>
      </c>
      <c r="L10" s="21" t="s">
        <v>1830</v>
      </c>
      <c r="M10" s="21" t="s">
        <v>1133</v>
      </c>
      <c r="N10" s="21" t="s">
        <v>1132</v>
      </c>
      <c r="O10" s="21" t="s">
        <v>844</v>
      </c>
      <c r="P10" s="37" cm="1">
        <f t="array" ref="P10">SUMPRODUCT(('T11'!$G$3:$G$1500=L10)*('T11'!$B$3:$B$1500&lt;=B10)*('T11'!$W$3:$W$1500*(1+'T11'!$X$3:$X$1500)+'T11'!$Y$3:$Y$1500))-SUMPRODUCT(($L$3:$L$1499=L10)*($B$3:$B$1499&lt;B10)*($BC$3:$BC$1499+$BD$3:$BD$1499+$BE$3:$BE$1499))</f>
        <v>8316885</v>
      </c>
      <c r="Q10" s="37" cm="1">
        <f t="array" ref="Q10">MAX(0,SUMPRODUCT(('T11'!$G$3:$G$1500=L10)*('T11'!$AG$3:$AG$1500&lt;B10)*('T11'!$W$3:$W$1500*(1+'T11'!$X$3:$X$1500)+'T11'!$Y$3:$Y$1500))-SUMPRODUCT(($L$3:$L$1499=L10)*($B$3:$B$1499&lt;B10)*($BC$3:$BC$1499+$BD$3:$BD$1499+$BE$3:$BE$1499)))</f>
        <v>0</v>
      </c>
      <c r="R10" s="21" t="s">
        <v>3126</v>
      </c>
      <c r="S10" s="21" t="s">
        <v>1139</v>
      </c>
      <c r="T10" s="21">
        <v>1</v>
      </c>
      <c r="U10" s="21">
        <v>1</v>
      </c>
      <c r="V10" s="21" t="s">
        <v>3095</v>
      </c>
      <c r="W10" s="37">
        <f>E10</f>
        <v>4300000</v>
      </c>
      <c r="X10" s="21" t="s">
        <v>3085</v>
      </c>
      <c r="Y10" s="21" t="str">
        <f>IF(V10="Cash",IF(AE10="Deposited","Realised","Pending deposit"),IF(V10="Cheque",IF(LEFT(AN10,7)="Cleared","Realised","Pending clearance"),IF(AT10="Identified","Realised","Unidentified")))</f>
        <v>Realised</v>
      </c>
      <c r="Z10" s="21" t="s">
        <v>844</v>
      </c>
      <c r="AA10" s="21" t="s">
        <v>844</v>
      </c>
      <c r="AB10" s="21" t="s">
        <v>844</v>
      </c>
      <c r="AC10" s="21" t="s">
        <v>844</v>
      </c>
      <c r="AD10" s="29" t="s">
        <v>844</v>
      </c>
      <c r="AE10" s="21" t="s">
        <v>844</v>
      </c>
      <c r="AF10" s="21" t="s">
        <v>844</v>
      </c>
      <c r="AG10" s="29" t="s">
        <v>844</v>
      </c>
      <c r="AH10" s="37" t="s">
        <v>844</v>
      </c>
      <c r="AI10" s="21" t="s">
        <v>844</v>
      </c>
      <c r="AJ10" s="21" t="s">
        <v>844</v>
      </c>
      <c r="AK10" s="29" t="s">
        <v>844</v>
      </c>
      <c r="AL10" s="21" t="s">
        <v>844</v>
      </c>
      <c r="AM10" s="29" t="s">
        <v>844</v>
      </c>
      <c r="AN10" s="21" t="s">
        <v>844</v>
      </c>
      <c r="AO10" s="21" t="s">
        <v>844</v>
      </c>
      <c r="AP10" s="21" t="s">
        <v>3127</v>
      </c>
      <c r="AQ10" s="21" t="s">
        <v>3128</v>
      </c>
      <c r="AR10" s="35">
        <v>45668.375</v>
      </c>
      <c r="AS10" s="37">
        <f>W10</f>
        <v>4300000</v>
      </c>
      <c r="AT10" s="21" t="s">
        <v>3098</v>
      </c>
      <c r="AU10" s="21" t="str">
        <f>IF(AW10=0,"Complete","Incomplete")</f>
        <v>Complete</v>
      </c>
      <c r="AV10" s="37">
        <f>W10</f>
        <v>4300000</v>
      </c>
      <c r="AW10" s="37">
        <f>AV10-E10</f>
        <v>0</v>
      </c>
      <c r="AX10" s="21">
        <v>1</v>
      </c>
      <c r="AY10" s="21" t="s">
        <v>2033</v>
      </c>
      <c r="AZ10" s="37">
        <f>_xlfn.XLOOKUP(AY10,'T11'!$A$3:$A$1500,'T11'!$AD$3:$AD$1500)</f>
        <v>8316885</v>
      </c>
      <c r="BA10" s="37">
        <v>0</v>
      </c>
      <c r="BB10" s="37">
        <f>AZ10-BA10</f>
        <v>8316885</v>
      </c>
      <c r="BC10" s="37">
        <v>4300000</v>
      </c>
      <c r="BD10" s="37">
        <f>ROUND(BC10*BH10/(1-BH10),0)</f>
        <v>226316</v>
      </c>
      <c r="BE10" s="37">
        <v>0</v>
      </c>
      <c r="BF10" s="37">
        <f>BB10-BC10-BD10-BE10</f>
        <v>3790569</v>
      </c>
      <c r="BG10" s="21" t="s">
        <v>3088</v>
      </c>
      <c r="BH10" s="23">
        <v>0.05</v>
      </c>
      <c r="BI10" s="37">
        <f>BD10</f>
        <v>226316</v>
      </c>
      <c r="BJ10" s="21" t="s">
        <v>3129</v>
      </c>
      <c r="BK10" s="21" t="s">
        <v>753</v>
      </c>
      <c r="BL10" s="21" t="s">
        <v>753</v>
      </c>
      <c r="BM10" s="21" t="s">
        <v>848</v>
      </c>
      <c r="BN10" s="21" t="str">
        <f>Y10</f>
        <v>Realised</v>
      </c>
      <c r="BO10" s="29">
        <v>45668</v>
      </c>
      <c r="BP10" s="21" t="s">
        <v>848</v>
      </c>
      <c r="BQ10" s="37">
        <f>P10-BC10-BD10-BE10</f>
        <v>3790569</v>
      </c>
      <c r="BR10" s="21" t="s">
        <v>3293</v>
      </c>
      <c r="BS10" s="21" t="s">
        <v>3090</v>
      </c>
    </row>
    <row r="11" spans="1:71" x14ac:dyDescent="0.3">
      <c r="A11" s="21" t="s">
        <v>3125</v>
      </c>
      <c r="B11" s="29">
        <v>45683</v>
      </c>
      <c r="C11" s="21" t="s">
        <v>3101</v>
      </c>
      <c r="D11" s="21" t="s">
        <v>743</v>
      </c>
      <c r="E11" s="37">
        <f>BC11</f>
        <v>3601041</v>
      </c>
      <c r="F11" s="21" t="str">
        <f>"PKR "&amp;TEXT(E11,"#,##0")&amp;" only"</f>
        <v>PKR 3,601,041 only</v>
      </c>
      <c r="G11" s="21" t="s">
        <v>3080</v>
      </c>
      <c r="H11" s="21" t="s">
        <v>1811</v>
      </c>
      <c r="I11" s="29" t="s">
        <v>844</v>
      </c>
      <c r="J11" s="21" t="s">
        <v>3081</v>
      </c>
      <c r="K11" s="21" t="s">
        <v>3093</v>
      </c>
      <c r="L11" s="21" t="s">
        <v>1830</v>
      </c>
      <c r="M11" s="21" t="s">
        <v>1133</v>
      </c>
      <c r="N11" s="21" t="s">
        <v>1132</v>
      </c>
      <c r="O11" s="21" t="s">
        <v>844</v>
      </c>
      <c r="P11" s="37" cm="1">
        <f t="array" ref="P11">SUMPRODUCT(('T11'!$G$3:$G$1500=L11)*('T11'!$B$3:$B$1500&lt;=B11)*('T11'!$W$3:$W$1500*(1+'T11'!$X$3:$X$1500)+'T11'!$Y$3:$Y$1500))-SUMPRODUCT(($L$3:$L$1499=L11)*($B$3:$B$1499&lt;B11)*($BC$3:$BC$1499+$BD$3:$BD$1499+$BE$3:$BE$1499))</f>
        <v>3790569</v>
      </c>
      <c r="Q11" s="37" cm="1">
        <f t="array" ref="Q11">MAX(0,SUMPRODUCT(('T11'!$G$3:$G$1500=L11)*('T11'!$AG$3:$AG$1500&lt;B11)*('T11'!$W$3:$W$1500*(1+'T11'!$X$3:$X$1500)+'T11'!$Y$3:$Y$1500))-SUMPRODUCT(($L$3:$L$1499=L11)*($B$3:$B$1499&lt;B11)*($BC$3:$BC$1499+$BD$3:$BD$1499+$BE$3:$BE$1499)))</f>
        <v>0</v>
      </c>
      <c r="R11" s="21" t="s">
        <v>3126</v>
      </c>
      <c r="S11" s="21" t="s">
        <v>1139</v>
      </c>
      <c r="T11" s="21">
        <v>1</v>
      </c>
      <c r="U11" s="21">
        <v>1</v>
      </c>
      <c r="V11" s="21" t="s">
        <v>3084</v>
      </c>
      <c r="W11" s="37">
        <f>E11</f>
        <v>3601041</v>
      </c>
      <c r="X11" s="21" t="s">
        <v>3085</v>
      </c>
      <c r="Y11" s="21" t="str">
        <f>IF(V11="Cash",IF(AE11="Deposited","Realised","Pending deposit"),IF(V11="Cheque",IF(LEFT(AN11,7)="Cleared","Realised","Pending clearance"),IF(AT11="Identified","Realised","Unidentified")))</f>
        <v>Realised</v>
      </c>
      <c r="Z11" s="21" t="s">
        <v>844</v>
      </c>
      <c r="AA11" s="21" t="s">
        <v>844</v>
      </c>
      <c r="AB11" s="21" t="s">
        <v>844</v>
      </c>
      <c r="AC11" s="21" t="s">
        <v>844</v>
      </c>
      <c r="AD11" s="29" t="s">
        <v>844</v>
      </c>
      <c r="AE11" s="21" t="s">
        <v>844</v>
      </c>
      <c r="AF11" s="21">
        <v>12120935</v>
      </c>
      <c r="AG11" s="29">
        <v>45690</v>
      </c>
      <c r="AH11" s="37">
        <f>W11</f>
        <v>3601041</v>
      </c>
      <c r="AI11" s="21" t="s">
        <v>3131</v>
      </c>
      <c r="AJ11" s="21" t="s">
        <v>753</v>
      </c>
      <c r="AK11" s="29">
        <f>AG11</f>
        <v>45690</v>
      </c>
      <c r="AL11" s="21" t="s">
        <v>3087</v>
      </c>
      <c r="AM11" s="29">
        <v>45690</v>
      </c>
      <c r="AN11" s="21" t="s">
        <v>3132</v>
      </c>
      <c r="AO11" s="21" t="s">
        <v>848</v>
      </c>
      <c r="AP11" s="21" t="s">
        <v>844</v>
      </c>
      <c r="AQ11" s="21" t="s">
        <v>844</v>
      </c>
      <c r="AR11" s="35" t="s">
        <v>844</v>
      </c>
      <c r="AS11" s="37" t="s">
        <v>844</v>
      </c>
      <c r="AT11" s="21" t="s">
        <v>844</v>
      </c>
      <c r="AU11" s="21" t="str">
        <f>IF(AW11=0,"Complete","Incomplete")</f>
        <v>Complete</v>
      </c>
      <c r="AV11" s="37">
        <f>W11</f>
        <v>3601041</v>
      </c>
      <c r="AW11" s="37">
        <f>AV11-E11</f>
        <v>0</v>
      </c>
      <c r="AX11" s="21">
        <v>1</v>
      </c>
      <c r="AY11" s="21" t="s">
        <v>2033</v>
      </c>
      <c r="AZ11" s="37">
        <f>_xlfn.XLOOKUP(AY11,'T11'!$A$3:$A$1500,'T11'!$AD$3:$AD$1500)</f>
        <v>8316885</v>
      </c>
      <c r="BA11" s="37">
        <f>BC10+BD10+BE10</f>
        <v>4526316</v>
      </c>
      <c r="BB11" s="37">
        <f>AZ11-BA11</f>
        <v>3790569</v>
      </c>
      <c r="BC11" s="37">
        <f>ROUND(BB11*(1-BH11),0)</f>
        <v>3601041</v>
      </c>
      <c r="BD11" s="37">
        <f>BB11-BC11-BE11</f>
        <v>189528</v>
      </c>
      <c r="BE11" s="37">
        <v>0</v>
      </c>
      <c r="BF11" s="37">
        <f>BB11-BC11-BD11-BE11</f>
        <v>0</v>
      </c>
      <c r="BG11" s="21" t="s">
        <v>3088</v>
      </c>
      <c r="BH11" s="23">
        <v>0.05</v>
      </c>
      <c r="BI11" s="37">
        <f>BD11</f>
        <v>189528</v>
      </c>
      <c r="BJ11" s="21" t="s">
        <v>3133</v>
      </c>
      <c r="BK11" s="21" t="s">
        <v>753</v>
      </c>
      <c r="BL11" s="21" t="s">
        <v>753</v>
      </c>
      <c r="BM11" s="21" t="s">
        <v>848</v>
      </c>
      <c r="BN11" s="21" t="str">
        <f>Y11</f>
        <v>Realised</v>
      </c>
      <c r="BO11" s="29">
        <v>45692</v>
      </c>
      <c r="BP11" s="21" t="s">
        <v>848</v>
      </c>
      <c r="BQ11" s="37">
        <f>P11-BC11-BD11-BE11</f>
        <v>0</v>
      </c>
      <c r="BR11" s="21" t="s">
        <v>3294</v>
      </c>
      <c r="BS11" s="21" t="s">
        <v>3090</v>
      </c>
    </row>
    <row r="12" spans="1:71" x14ac:dyDescent="0.3">
      <c r="A12" s="21" t="s">
        <v>3130</v>
      </c>
      <c r="B12" s="29">
        <v>45685</v>
      </c>
      <c r="C12" s="21" t="s">
        <v>3079</v>
      </c>
      <c r="D12" s="21" t="s">
        <v>743</v>
      </c>
      <c r="E12" s="37">
        <f>BC12</f>
        <v>2800000</v>
      </c>
      <c r="F12" s="21" t="str">
        <f>"PKR "&amp;TEXT(E12,"#,##0")&amp;" only"</f>
        <v>PKR 2,800,000 only</v>
      </c>
      <c r="G12" s="21" t="s">
        <v>3080</v>
      </c>
      <c r="H12" s="21" t="s">
        <v>3092</v>
      </c>
      <c r="I12" s="29" t="s">
        <v>844</v>
      </c>
      <c r="J12" s="21" t="s">
        <v>3081</v>
      </c>
      <c r="K12" s="21" t="s">
        <v>3082</v>
      </c>
      <c r="L12" s="21" t="s">
        <v>1823</v>
      </c>
      <c r="M12" s="21" t="s">
        <v>1080</v>
      </c>
      <c r="N12" s="21" t="s">
        <v>1079</v>
      </c>
      <c r="O12" s="21" t="s">
        <v>844</v>
      </c>
      <c r="P12" s="37" cm="1">
        <f t="array" ref="P12">SUMPRODUCT(('T11'!$G$3:$G$1500=L12)*('T11'!$B$3:$B$1500&lt;=B12)*('T11'!$W$3:$W$1500*(1+'T11'!$X$3:$X$1500)+'T11'!$Y$3:$Y$1500))-SUMPRODUCT(($L$3:$L$1499=L12)*($B$3:$B$1499&lt;B12)*($BC$3:$BC$1499+$BD$3:$BD$1499+$BE$3:$BE$1499))</f>
        <v>6118926</v>
      </c>
      <c r="Q12" s="37" cm="1">
        <f t="array" ref="Q12">MAX(0,SUMPRODUCT(('T11'!$G$3:$G$1500=L12)*('T11'!$AG$3:$AG$1500&lt;B12)*('T11'!$W$3:$W$1500*(1+'T11'!$X$3:$X$1500)+'T11'!$Y$3:$Y$1500))-SUMPRODUCT(($L$3:$L$1499=L12)*($B$3:$B$1499&lt;B12)*($BC$3:$BC$1499+$BD$3:$BD$1499+$BE$3:$BE$1499)))</f>
        <v>0</v>
      </c>
      <c r="R12" s="21" t="s">
        <v>3109</v>
      </c>
      <c r="S12" s="21" t="s">
        <v>1824</v>
      </c>
      <c r="T12" s="21">
        <v>1</v>
      </c>
      <c r="U12" s="21">
        <v>1</v>
      </c>
      <c r="V12" s="21" t="s">
        <v>3095</v>
      </c>
      <c r="W12" s="37">
        <f>E12</f>
        <v>2800000</v>
      </c>
      <c r="X12" s="21" t="s">
        <v>3085</v>
      </c>
      <c r="Y12" s="21" t="str">
        <f>IF(V12="Cash",IF(AE12="Deposited","Realised","Pending deposit"),IF(V12="Cheque",IF(LEFT(AN12,7)="Cleared","Realised","Pending clearance"),IF(AT12="Identified","Realised","Unidentified")))</f>
        <v>Realised</v>
      </c>
      <c r="Z12" s="21" t="s">
        <v>844</v>
      </c>
      <c r="AA12" s="21" t="s">
        <v>844</v>
      </c>
      <c r="AB12" s="21" t="s">
        <v>844</v>
      </c>
      <c r="AC12" s="21" t="s">
        <v>844</v>
      </c>
      <c r="AD12" s="29" t="s">
        <v>844</v>
      </c>
      <c r="AE12" s="21" t="s">
        <v>844</v>
      </c>
      <c r="AF12" s="21" t="s">
        <v>844</v>
      </c>
      <c r="AG12" s="29" t="s">
        <v>844</v>
      </c>
      <c r="AH12" s="37" t="s">
        <v>844</v>
      </c>
      <c r="AI12" s="21" t="s">
        <v>844</v>
      </c>
      <c r="AJ12" s="21" t="s">
        <v>844</v>
      </c>
      <c r="AK12" s="29" t="s">
        <v>844</v>
      </c>
      <c r="AL12" s="21" t="s">
        <v>844</v>
      </c>
      <c r="AM12" s="29" t="s">
        <v>844</v>
      </c>
      <c r="AN12" s="21" t="s">
        <v>844</v>
      </c>
      <c r="AO12" s="21" t="s">
        <v>844</v>
      </c>
      <c r="AP12" s="21" t="s">
        <v>3110</v>
      </c>
      <c r="AQ12" s="21" t="s">
        <v>3135</v>
      </c>
      <c r="AR12" s="35">
        <v>45685.375</v>
      </c>
      <c r="AS12" s="37">
        <f>W12</f>
        <v>2800000</v>
      </c>
      <c r="AT12" s="21" t="s">
        <v>3098</v>
      </c>
      <c r="AU12" s="21" t="str">
        <f>IF(AW12=0,"Complete","Incomplete")</f>
        <v>Complete</v>
      </c>
      <c r="AV12" s="37">
        <f>W12</f>
        <v>2800000</v>
      </c>
      <c r="AW12" s="37">
        <f>AV12-E12</f>
        <v>0</v>
      </c>
      <c r="AX12" s="21">
        <v>1</v>
      </c>
      <c r="AY12" s="21" t="s">
        <v>2060</v>
      </c>
      <c r="AZ12" s="37">
        <f>_xlfn.XLOOKUP(AY12,'T11'!$A$3:$A$1500,'T11'!$AD$3:$AD$1500)</f>
        <v>6118926</v>
      </c>
      <c r="BA12" s="37">
        <v>0</v>
      </c>
      <c r="BB12" s="37">
        <f>AZ12-BA12</f>
        <v>6118926</v>
      </c>
      <c r="BC12" s="37">
        <v>2800000</v>
      </c>
      <c r="BD12" s="37">
        <f>ROUND(BC12*BH12/(1-BH12),0)</f>
        <v>0</v>
      </c>
      <c r="BE12" s="37">
        <v>0</v>
      </c>
      <c r="BF12" s="37">
        <f>BB12-BC12-BD12-BE12</f>
        <v>3318926</v>
      </c>
      <c r="BG12" s="21" t="s">
        <v>3112</v>
      </c>
      <c r="BH12" s="23">
        <v>0</v>
      </c>
      <c r="BI12" s="37">
        <f>BD12</f>
        <v>0</v>
      </c>
      <c r="BJ12" s="21" t="s">
        <v>844</v>
      </c>
      <c r="BK12" s="21" t="s">
        <v>844</v>
      </c>
      <c r="BL12" s="21" t="s">
        <v>844</v>
      </c>
      <c r="BM12" s="21" t="s">
        <v>848</v>
      </c>
      <c r="BN12" s="21" t="str">
        <f>Y12</f>
        <v>Realised</v>
      </c>
      <c r="BO12" s="29">
        <v>45685</v>
      </c>
      <c r="BP12" s="21" t="s">
        <v>848</v>
      </c>
      <c r="BQ12" s="37">
        <f>P12-BC12-BD12-BE12</f>
        <v>3318926</v>
      </c>
      <c r="BR12" s="21" t="s">
        <v>3295</v>
      </c>
      <c r="BS12" s="21" t="s">
        <v>3090</v>
      </c>
    </row>
    <row r="13" spans="1:71" x14ac:dyDescent="0.3">
      <c r="A13" s="21" t="s">
        <v>3134</v>
      </c>
      <c r="B13" s="29">
        <v>45689</v>
      </c>
      <c r="C13" s="21" t="s">
        <v>3101</v>
      </c>
      <c r="D13" s="21" t="s">
        <v>743</v>
      </c>
      <c r="E13" s="37">
        <f>BC13</f>
        <v>3318926</v>
      </c>
      <c r="F13" s="21" t="str">
        <f>"PKR "&amp;TEXT(E13,"#,##0")&amp;" only"</f>
        <v>PKR 3,318,926 only</v>
      </c>
      <c r="G13" s="21" t="s">
        <v>3080</v>
      </c>
      <c r="H13" s="21" t="s">
        <v>3092</v>
      </c>
      <c r="I13" s="29" t="s">
        <v>844</v>
      </c>
      <c r="J13" s="21" t="s">
        <v>3081</v>
      </c>
      <c r="K13" s="21" t="s">
        <v>3082</v>
      </c>
      <c r="L13" s="21" t="s">
        <v>1823</v>
      </c>
      <c r="M13" s="21" t="s">
        <v>1080</v>
      </c>
      <c r="N13" s="21" t="s">
        <v>1079</v>
      </c>
      <c r="O13" s="21" t="s">
        <v>844</v>
      </c>
      <c r="P13" s="37" cm="1">
        <f t="array" ref="P13">SUMPRODUCT(('T11'!$G$3:$G$1500=L13)*('T11'!$B$3:$B$1500&lt;=B13)*('T11'!$W$3:$W$1500*(1+'T11'!$X$3:$X$1500)+'T11'!$Y$3:$Y$1500))-SUMPRODUCT(($L$3:$L$1499=L13)*($B$3:$B$1499&lt;B13)*($BC$3:$BC$1499+$BD$3:$BD$1499+$BE$3:$BE$1499))</f>
        <v>3318926</v>
      </c>
      <c r="Q13" s="37" cm="1">
        <f t="array" ref="Q13">MAX(0,SUMPRODUCT(('T11'!$G$3:$G$1500=L13)*('T11'!$AG$3:$AG$1500&lt;B13)*('T11'!$W$3:$W$1500*(1+'T11'!$X$3:$X$1500)+'T11'!$Y$3:$Y$1500))-SUMPRODUCT(($L$3:$L$1499=L13)*($B$3:$B$1499&lt;B13)*($BC$3:$BC$1499+$BD$3:$BD$1499+$BE$3:$BE$1499)))</f>
        <v>3318926</v>
      </c>
      <c r="R13" s="21" t="s">
        <v>3109</v>
      </c>
      <c r="S13" s="21" t="s">
        <v>1824</v>
      </c>
      <c r="T13" s="21">
        <v>1</v>
      </c>
      <c r="U13" s="21">
        <v>1</v>
      </c>
      <c r="V13" s="21" t="s">
        <v>3095</v>
      </c>
      <c r="W13" s="37">
        <f>E13</f>
        <v>3318926</v>
      </c>
      <c r="X13" s="21" t="s">
        <v>3085</v>
      </c>
      <c r="Y13" s="21" t="str">
        <f>IF(V13="Cash",IF(AE13="Deposited","Realised","Pending deposit"),IF(V13="Cheque",IF(LEFT(AN13,7)="Cleared","Realised","Pending clearance"),IF(AT13="Identified","Realised","Unidentified")))</f>
        <v>Realised</v>
      </c>
      <c r="Z13" s="21" t="s">
        <v>844</v>
      </c>
      <c r="AA13" s="21" t="s">
        <v>844</v>
      </c>
      <c r="AB13" s="21" t="s">
        <v>844</v>
      </c>
      <c r="AC13" s="21" t="s">
        <v>844</v>
      </c>
      <c r="AD13" s="29" t="s">
        <v>844</v>
      </c>
      <c r="AE13" s="21" t="s">
        <v>844</v>
      </c>
      <c r="AF13" s="21" t="s">
        <v>844</v>
      </c>
      <c r="AG13" s="29" t="s">
        <v>844</v>
      </c>
      <c r="AH13" s="37" t="s">
        <v>844</v>
      </c>
      <c r="AI13" s="21" t="s">
        <v>844</v>
      </c>
      <c r="AJ13" s="21" t="s">
        <v>844</v>
      </c>
      <c r="AK13" s="29" t="s">
        <v>844</v>
      </c>
      <c r="AL13" s="21" t="s">
        <v>844</v>
      </c>
      <c r="AM13" s="29" t="s">
        <v>844</v>
      </c>
      <c r="AN13" s="21" t="s">
        <v>844</v>
      </c>
      <c r="AO13" s="21" t="s">
        <v>844</v>
      </c>
      <c r="AP13" s="21" t="s">
        <v>3110</v>
      </c>
      <c r="AQ13" s="21" t="s">
        <v>3137</v>
      </c>
      <c r="AR13" s="35">
        <v>45689.625</v>
      </c>
      <c r="AS13" s="37">
        <f>W13</f>
        <v>3318926</v>
      </c>
      <c r="AT13" s="21" t="s">
        <v>3098</v>
      </c>
      <c r="AU13" s="21" t="str">
        <f>IF(AW13=0,"Complete","Incomplete")</f>
        <v>Complete</v>
      </c>
      <c r="AV13" s="37">
        <f>W13</f>
        <v>3318926</v>
      </c>
      <c r="AW13" s="37">
        <f>AV13-E13</f>
        <v>0</v>
      </c>
      <c r="AX13" s="21">
        <v>1</v>
      </c>
      <c r="AY13" s="21" t="s">
        <v>2060</v>
      </c>
      <c r="AZ13" s="37">
        <f>_xlfn.XLOOKUP(AY13,'T11'!$A$3:$A$1500,'T11'!$AD$3:$AD$1500)</f>
        <v>6118926</v>
      </c>
      <c r="BA13" s="37">
        <f>BC12+BD12+BE12</f>
        <v>2800000</v>
      </c>
      <c r="BB13" s="37">
        <f>AZ13-BA13</f>
        <v>3318926</v>
      </c>
      <c r="BC13" s="37">
        <f>ROUND(BB13*(1-BH13),0)</f>
        <v>3318926</v>
      </c>
      <c r="BD13" s="37">
        <f>BB13-BC13-BE13</f>
        <v>0</v>
      </c>
      <c r="BE13" s="37">
        <v>0</v>
      </c>
      <c r="BF13" s="37">
        <f>BB13-BC13-BD13-BE13</f>
        <v>0</v>
      </c>
      <c r="BG13" s="21" t="s">
        <v>3112</v>
      </c>
      <c r="BH13" s="23">
        <v>0</v>
      </c>
      <c r="BI13" s="37">
        <f>BD13</f>
        <v>0</v>
      </c>
      <c r="BJ13" s="21" t="s">
        <v>844</v>
      </c>
      <c r="BK13" s="21" t="s">
        <v>844</v>
      </c>
      <c r="BL13" s="21" t="s">
        <v>844</v>
      </c>
      <c r="BM13" s="21" t="s">
        <v>848</v>
      </c>
      <c r="BN13" s="21" t="str">
        <f>Y13</f>
        <v>Realised</v>
      </c>
      <c r="BO13" s="29">
        <v>45689</v>
      </c>
      <c r="BP13" s="21" t="s">
        <v>848</v>
      </c>
      <c r="BQ13" s="37">
        <f>P13-BC13-BD13-BE13</f>
        <v>0</v>
      </c>
      <c r="BR13" s="21" t="s">
        <v>3296</v>
      </c>
      <c r="BS13" s="21" t="s">
        <v>3090</v>
      </c>
    </row>
    <row r="14" spans="1:71" x14ac:dyDescent="0.3">
      <c r="A14" s="21" t="s">
        <v>3136</v>
      </c>
      <c r="B14" s="29">
        <v>45727</v>
      </c>
      <c r="C14" s="21" t="s">
        <v>3079</v>
      </c>
      <c r="D14" s="21" t="s">
        <v>743</v>
      </c>
      <c r="E14" s="37">
        <f>BC14</f>
        <v>3400000</v>
      </c>
      <c r="F14" s="21" t="str">
        <f>"PKR "&amp;TEXT(E14,"#,##0")&amp;" only"</f>
        <v>PKR 3,400,000 only</v>
      </c>
      <c r="G14" s="21" t="s">
        <v>3080</v>
      </c>
      <c r="H14" s="21" t="s">
        <v>1796</v>
      </c>
      <c r="I14" s="29" t="s">
        <v>844</v>
      </c>
      <c r="J14" s="21" t="s">
        <v>3081</v>
      </c>
      <c r="K14" s="21" t="s">
        <v>3082</v>
      </c>
      <c r="L14" s="21" t="s">
        <v>1800</v>
      </c>
      <c r="M14" s="21" t="s">
        <v>1073</v>
      </c>
      <c r="N14" s="21" t="s">
        <v>1072</v>
      </c>
      <c r="O14" s="21" t="s">
        <v>844</v>
      </c>
      <c r="P14" s="37" cm="1">
        <f t="array" ref="P14">SUMPRODUCT(('T11'!$G$3:$G$1500=L14)*('T11'!$B$3:$B$1500&lt;=B14)*('T11'!$W$3:$W$1500*(1+'T11'!$X$3:$X$1500)+'T11'!$Y$3:$Y$1500))-SUMPRODUCT(($L$3:$L$1499=L14)*($B$3:$B$1499&lt;B14)*($BC$3:$BC$1499+$BD$3:$BD$1499+$BE$3:$BE$1499))</f>
        <v>6757194.8000000007</v>
      </c>
      <c r="Q14" s="37" cm="1">
        <f t="array" ref="Q14">MAX(0,SUMPRODUCT(('T11'!$G$3:$G$1500=L14)*('T11'!$AG$3:$AG$1500&lt;B14)*('T11'!$W$3:$W$1500*(1+'T11'!$X$3:$X$1500)+'T11'!$Y$3:$Y$1500))-SUMPRODUCT(($L$3:$L$1499=L14)*($B$3:$B$1499&lt;B14)*($BC$3:$BC$1499+$BD$3:$BD$1499+$BE$3:$BE$1499)))</f>
        <v>0</v>
      </c>
      <c r="R14" s="21" t="s">
        <v>3083</v>
      </c>
      <c r="S14" s="21" t="s">
        <v>1801</v>
      </c>
      <c r="T14" s="21">
        <v>1</v>
      </c>
      <c r="U14" s="21">
        <v>1</v>
      </c>
      <c r="V14" s="21" t="s">
        <v>3084</v>
      </c>
      <c r="W14" s="37">
        <f>E14</f>
        <v>3400000</v>
      </c>
      <c r="X14" s="21" t="s">
        <v>3085</v>
      </c>
      <c r="Y14" s="21" t="str">
        <f>IF(V14="Cash",IF(AE14="Deposited","Realised","Pending deposit"),IF(V14="Cheque",IF(LEFT(AN14,7)="Cleared","Realised","Pending clearance"),IF(AT14="Identified","Realised","Unidentified")))</f>
        <v>Realised</v>
      </c>
      <c r="Z14" s="21" t="s">
        <v>844</v>
      </c>
      <c r="AA14" s="21" t="s">
        <v>844</v>
      </c>
      <c r="AB14" s="21" t="s">
        <v>844</v>
      </c>
      <c r="AC14" s="21" t="s">
        <v>844</v>
      </c>
      <c r="AD14" s="29" t="s">
        <v>844</v>
      </c>
      <c r="AE14" s="21" t="s">
        <v>844</v>
      </c>
      <c r="AF14" s="21">
        <v>10750934</v>
      </c>
      <c r="AG14" s="29">
        <v>45727</v>
      </c>
      <c r="AH14" s="37">
        <f>W14</f>
        <v>3400000</v>
      </c>
      <c r="AI14" s="21" t="s">
        <v>3086</v>
      </c>
      <c r="AJ14" s="21" t="s">
        <v>846</v>
      </c>
      <c r="AK14" s="29">
        <f>AG14</f>
        <v>45727</v>
      </c>
      <c r="AL14" s="21" t="s">
        <v>3087</v>
      </c>
      <c r="AM14" s="29">
        <v>45727</v>
      </c>
      <c r="AN14" s="21" t="s">
        <v>3139</v>
      </c>
      <c r="AO14" s="21" t="s">
        <v>848</v>
      </c>
      <c r="AP14" s="21" t="s">
        <v>844</v>
      </c>
      <c r="AQ14" s="21" t="s">
        <v>844</v>
      </c>
      <c r="AR14" s="35" t="s">
        <v>844</v>
      </c>
      <c r="AS14" s="37" t="s">
        <v>844</v>
      </c>
      <c r="AT14" s="21" t="s">
        <v>844</v>
      </c>
      <c r="AU14" s="21" t="str">
        <f>IF(AW14=0,"Complete","Incomplete")</f>
        <v>Complete</v>
      </c>
      <c r="AV14" s="37">
        <f>W14</f>
        <v>3400000</v>
      </c>
      <c r="AW14" s="37">
        <f>AV14-E14</f>
        <v>0</v>
      </c>
      <c r="AX14" s="21">
        <v>1</v>
      </c>
      <c r="AY14" s="21" t="s">
        <v>2112</v>
      </c>
      <c r="AZ14" s="37">
        <f>_xlfn.XLOOKUP(AY14,'T11'!$A$3:$A$1500,'T11'!$AD$3:$AD$1500)</f>
        <v>6757194.7999999998</v>
      </c>
      <c r="BA14" s="37">
        <v>0</v>
      </c>
      <c r="BB14" s="37">
        <f>AZ14-BA14</f>
        <v>6757194.7999999998</v>
      </c>
      <c r="BC14" s="37">
        <v>3400000</v>
      </c>
      <c r="BD14" s="37">
        <f>ROUND(BC14*BH14/(1-BH14),0)</f>
        <v>178947</v>
      </c>
      <c r="BE14" s="37">
        <v>0</v>
      </c>
      <c r="BF14" s="37">
        <f>BB14-BC14-BD14-BE14</f>
        <v>3178247.8</v>
      </c>
      <c r="BG14" s="21" t="s">
        <v>3088</v>
      </c>
      <c r="BH14" s="23">
        <v>0.05</v>
      </c>
      <c r="BI14" s="37">
        <f>BD14</f>
        <v>178947</v>
      </c>
      <c r="BJ14" s="21" t="s">
        <v>3140</v>
      </c>
      <c r="BK14" s="21" t="s">
        <v>753</v>
      </c>
      <c r="BL14" s="21" t="s">
        <v>753</v>
      </c>
      <c r="BM14" s="21" t="s">
        <v>848</v>
      </c>
      <c r="BN14" s="21" t="str">
        <f>Y14</f>
        <v>Realised</v>
      </c>
      <c r="BO14" s="29">
        <v>45729</v>
      </c>
      <c r="BP14" s="21" t="s">
        <v>848</v>
      </c>
      <c r="BQ14" s="37">
        <f>P14-BC14-BD14-BE14</f>
        <v>3178247.8000000007</v>
      </c>
      <c r="BR14" s="21" t="s">
        <v>3297</v>
      </c>
      <c r="BS14" s="21" t="s">
        <v>3090</v>
      </c>
    </row>
    <row r="15" spans="1:71" x14ac:dyDescent="0.3">
      <c r="A15" s="21" t="s">
        <v>3138</v>
      </c>
      <c r="B15" s="29">
        <v>45727</v>
      </c>
      <c r="C15" s="21" t="s">
        <v>3101</v>
      </c>
      <c r="D15" s="21" t="s">
        <v>743</v>
      </c>
      <c r="E15" s="37">
        <f>BC15</f>
        <v>5499855</v>
      </c>
      <c r="F15" s="21" t="str">
        <f>"PKR "&amp;TEXT(E15,"#,##0")&amp;" only"</f>
        <v>PKR 5,499,855 only</v>
      </c>
      <c r="G15" s="21" t="s">
        <v>3080</v>
      </c>
      <c r="H15" s="21" t="s">
        <v>1811</v>
      </c>
      <c r="I15" s="29" t="s">
        <v>844</v>
      </c>
      <c r="J15" s="21" t="s">
        <v>3081</v>
      </c>
      <c r="K15" s="21" t="s">
        <v>3093</v>
      </c>
      <c r="L15" s="21" t="s">
        <v>1849</v>
      </c>
      <c r="M15" s="21" t="s">
        <v>3033</v>
      </c>
      <c r="N15" s="21" t="s">
        <v>1180</v>
      </c>
      <c r="O15" s="21" t="s">
        <v>844</v>
      </c>
      <c r="P15" s="37" cm="1">
        <f t="array" ref="P15">SUMPRODUCT(('T11'!$G$3:$G$1500=L15)*('T11'!$B$3:$B$1500&lt;=B15)*('T11'!$W$3:$W$1500*(1+'T11'!$X$3:$X$1500)+'T11'!$Y$3:$Y$1500))-SUMPRODUCT(($L$3:$L$1499=L15)*($B$3:$B$1499&lt;B15)*($BC$3:$BC$1499+$BD$3:$BD$1499+$BE$3:$BE$1499))</f>
        <v>5499855</v>
      </c>
      <c r="Q15" s="37" cm="1">
        <f t="array" ref="Q15">MAX(0,SUMPRODUCT(('T11'!$G$3:$G$1500=L15)*('T11'!$AG$3:$AG$1500&lt;B15)*('T11'!$W$3:$W$1500*(1+'T11'!$X$3:$X$1500)+'T11'!$Y$3:$Y$1500))-SUMPRODUCT(($L$3:$L$1499=L15)*($B$3:$B$1499&lt;B15)*($BC$3:$BC$1499+$BD$3:$BD$1499+$BE$3:$BE$1499)))</f>
        <v>0</v>
      </c>
      <c r="R15" s="21" t="s">
        <v>3143</v>
      </c>
      <c r="S15" s="21" t="s">
        <v>1183</v>
      </c>
      <c r="T15" s="21">
        <v>1</v>
      </c>
      <c r="U15" s="21">
        <v>1</v>
      </c>
      <c r="V15" s="21" t="s">
        <v>3084</v>
      </c>
      <c r="W15" s="37">
        <f>E15</f>
        <v>5499855</v>
      </c>
      <c r="X15" s="21" t="s">
        <v>3085</v>
      </c>
      <c r="Y15" s="21" t="str">
        <f>IF(V15="Cash",IF(AE15="Deposited","Realised","Pending deposit"),IF(V15="Cheque",IF(LEFT(AN15,7)="Cleared","Realised","Pending clearance"),IF(AT15="Identified","Realised","Unidentified")))</f>
        <v>Realised</v>
      </c>
      <c r="Z15" s="21" t="s">
        <v>844</v>
      </c>
      <c r="AA15" s="21" t="s">
        <v>844</v>
      </c>
      <c r="AB15" s="21" t="s">
        <v>844</v>
      </c>
      <c r="AC15" s="21" t="s">
        <v>844</v>
      </c>
      <c r="AD15" s="29" t="s">
        <v>844</v>
      </c>
      <c r="AE15" s="21" t="s">
        <v>844</v>
      </c>
      <c r="AF15" s="21">
        <v>17715263</v>
      </c>
      <c r="AG15" s="29">
        <v>45727</v>
      </c>
      <c r="AH15" s="37">
        <f>W15</f>
        <v>5499855</v>
      </c>
      <c r="AI15" s="21" t="s">
        <v>3144</v>
      </c>
      <c r="AJ15" s="21" t="s">
        <v>846</v>
      </c>
      <c r="AK15" s="29">
        <f>AG15</f>
        <v>45727</v>
      </c>
      <c r="AL15" s="21" t="s">
        <v>3087</v>
      </c>
      <c r="AM15" s="29">
        <v>45727</v>
      </c>
      <c r="AN15" s="21" t="s">
        <v>3139</v>
      </c>
      <c r="AO15" s="21" t="s">
        <v>848</v>
      </c>
      <c r="AP15" s="21" t="s">
        <v>844</v>
      </c>
      <c r="AQ15" s="21" t="s">
        <v>844</v>
      </c>
      <c r="AR15" s="35" t="s">
        <v>844</v>
      </c>
      <c r="AS15" s="37" t="s">
        <v>844</v>
      </c>
      <c r="AT15" s="21" t="s">
        <v>844</v>
      </c>
      <c r="AU15" s="21" t="str">
        <f>IF(AW15=0,"Complete","Incomplete")</f>
        <v>Complete</v>
      </c>
      <c r="AV15" s="37">
        <f>W15</f>
        <v>5499855</v>
      </c>
      <c r="AW15" s="37">
        <f>AV15-E15</f>
        <v>0</v>
      </c>
      <c r="AX15" s="21">
        <v>1</v>
      </c>
      <c r="AY15" s="21" t="s">
        <v>2120</v>
      </c>
      <c r="AZ15" s="37">
        <f>_xlfn.XLOOKUP(AY15,'T11'!$A$3:$A$1500,'T11'!$AD$3:$AD$1500)</f>
        <v>5499855</v>
      </c>
      <c r="BA15" s="37">
        <v>0</v>
      </c>
      <c r="BB15" s="37">
        <f>AZ15-BA15</f>
        <v>5499855</v>
      </c>
      <c r="BC15" s="37">
        <f>ROUND(BB15*(1-BH15),0)</f>
        <v>5499855</v>
      </c>
      <c r="BD15" s="37">
        <f>BB15-BC15-BE15</f>
        <v>0</v>
      </c>
      <c r="BE15" s="37">
        <v>0</v>
      </c>
      <c r="BF15" s="37">
        <f>BB15-BC15-BD15-BE15</f>
        <v>0</v>
      </c>
      <c r="BG15" s="21" t="s">
        <v>3112</v>
      </c>
      <c r="BH15" s="23">
        <v>0</v>
      </c>
      <c r="BI15" s="37">
        <f>BD15</f>
        <v>0</v>
      </c>
      <c r="BJ15" s="21" t="s">
        <v>844</v>
      </c>
      <c r="BK15" s="21" t="s">
        <v>844</v>
      </c>
      <c r="BL15" s="21" t="s">
        <v>844</v>
      </c>
      <c r="BM15" s="21" t="s">
        <v>848</v>
      </c>
      <c r="BN15" s="21" t="str">
        <f>Y15</f>
        <v>Realised</v>
      </c>
      <c r="BO15" s="29">
        <v>45729</v>
      </c>
      <c r="BP15" s="21" t="s">
        <v>848</v>
      </c>
      <c r="BQ15" s="37">
        <f>P15-BC15-BD15-BE15</f>
        <v>0</v>
      </c>
      <c r="BR15" s="21" t="s">
        <v>3141</v>
      </c>
      <c r="BS15" s="21" t="s">
        <v>3090</v>
      </c>
    </row>
    <row r="16" spans="1:71" x14ac:dyDescent="0.3">
      <c r="A16" s="21" t="s">
        <v>3142</v>
      </c>
      <c r="B16" s="29">
        <v>45751</v>
      </c>
      <c r="C16" s="21" t="s">
        <v>3101</v>
      </c>
      <c r="D16" s="21" t="s">
        <v>743</v>
      </c>
      <c r="E16" s="37">
        <f>BC16</f>
        <v>3019335</v>
      </c>
      <c r="F16" s="21" t="str">
        <f>"PKR "&amp;TEXT(E16,"#,##0")&amp;" only"</f>
        <v>PKR 3,019,335 only</v>
      </c>
      <c r="G16" s="21" t="s">
        <v>3080</v>
      </c>
      <c r="H16" s="21" t="s">
        <v>3092</v>
      </c>
      <c r="I16" s="29" t="s">
        <v>844</v>
      </c>
      <c r="J16" s="21" t="s">
        <v>3081</v>
      </c>
      <c r="K16" s="21" t="s">
        <v>3082</v>
      </c>
      <c r="L16" s="21" t="s">
        <v>1800</v>
      </c>
      <c r="M16" s="21" t="s">
        <v>1073</v>
      </c>
      <c r="N16" s="21" t="s">
        <v>1072</v>
      </c>
      <c r="O16" s="21" t="s">
        <v>844</v>
      </c>
      <c r="P16" s="37" cm="1">
        <f t="array" ref="P16">SUMPRODUCT(('T11'!$G$3:$G$1500=L16)*('T11'!$B$3:$B$1500&lt;=B16)*('T11'!$W$3:$W$1500*(1+'T11'!$X$3:$X$1500)+'T11'!$Y$3:$Y$1500))-SUMPRODUCT(($L$3:$L$1499=L16)*($B$3:$B$1499&lt;B16)*($BC$3:$BC$1499+$BD$3:$BD$1499+$BE$3:$BE$1499))</f>
        <v>3178247.8000000007</v>
      </c>
      <c r="Q16" s="37" cm="1">
        <f t="array" ref="Q16">MAX(0,SUMPRODUCT(('T11'!$G$3:$G$1500=L16)*('T11'!$AG$3:$AG$1500&lt;B16)*('T11'!$W$3:$W$1500*(1+'T11'!$X$3:$X$1500)+'T11'!$Y$3:$Y$1500))-SUMPRODUCT(($L$3:$L$1499=L16)*($B$3:$B$1499&lt;B16)*($BC$3:$BC$1499+$BD$3:$BD$1499+$BE$3:$BE$1499)))</f>
        <v>3178247.8000000007</v>
      </c>
      <c r="R16" s="21" t="s">
        <v>3083</v>
      </c>
      <c r="S16" s="21" t="s">
        <v>1801</v>
      </c>
      <c r="T16" s="21">
        <v>1</v>
      </c>
      <c r="U16" s="21">
        <v>1</v>
      </c>
      <c r="V16" s="21" t="s">
        <v>3095</v>
      </c>
      <c r="W16" s="37">
        <f>E16</f>
        <v>3019335</v>
      </c>
      <c r="X16" s="21" t="s">
        <v>3085</v>
      </c>
      <c r="Y16" s="21" t="str">
        <f>IF(V16="Cash",IF(AE16="Deposited","Realised","Pending deposit"),IF(V16="Cheque",IF(LEFT(AN16,7)="Cleared","Realised","Pending clearance"),IF(AT16="Identified","Realised","Unidentified")))</f>
        <v>Realised</v>
      </c>
      <c r="Z16" s="21" t="s">
        <v>844</v>
      </c>
      <c r="AA16" s="21" t="s">
        <v>844</v>
      </c>
      <c r="AB16" s="21" t="s">
        <v>844</v>
      </c>
      <c r="AC16" s="21" t="s">
        <v>844</v>
      </c>
      <c r="AD16" s="29" t="s">
        <v>844</v>
      </c>
      <c r="AE16" s="21" t="s">
        <v>844</v>
      </c>
      <c r="AF16" s="21" t="s">
        <v>844</v>
      </c>
      <c r="AG16" s="29" t="s">
        <v>844</v>
      </c>
      <c r="AH16" s="37" t="s">
        <v>844</v>
      </c>
      <c r="AI16" s="21" t="s">
        <v>844</v>
      </c>
      <c r="AJ16" s="21" t="s">
        <v>844</v>
      </c>
      <c r="AK16" s="29" t="s">
        <v>844</v>
      </c>
      <c r="AL16" s="21" t="s">
        <v>844</v>
      </c>
      <c r="AM16" s="29" t="s">
        <v>844</v>
      </c>
      <c r="AN16" s="21" t="s">
        <v>844</v>
      </c>
      <c r="AO16" s="21" t="s">
        <v>844</v>
      </c>
      <c r="AP16" s="21" t="s">
        <v>3146</v>
      </c>
      <c r="AQ16" s="21" t="s">
        <v>3147</v>
      </c>
      <c r="AR16" s="35">
        <v>45751.458333333336</v>
      </c>
      <c r="AS16" s="37">
        <f>W16</f>
        <v>3019335</v>
      </c>
      <c r="AT16" s="21" t="s">
        <v>3098</v>
      </c>
      <c r="AU16" s="21" t="str">
        <f>IF(AW16=0,"Complete","Incomplete")</f>
        <v>Complete</v>
      </c>
      <c r="AV16" s="37">
        <f>W16</f>
        <v>3019335</v>
      </c>
      <c r="AW16" s="37">
        <f>AV16-E16</f>
        <v>0</v>
      </c>
      <c r="AX16" s="21">
        <v>1</v>
      </c>
      <c r="AY16" s="21" t="s">
        <v>2112</v>
      </c>
      <c r="AZ16" s="37">
        <f>_xlfn.XLOOKUP(AY16,'T11'!$A$3:$A$1500,'T11'!$AD$3:$AD$1500)</f>
        <v>6757194.7999999998</v>
      </c>
      <c r="BA16" s="37">
        <f>BC14+BD14+BE14</f>
        <v>3578947</v>
      </c>
      <c r="BB16" s="37">
        <f>AZ16-BA16</f>
        <v>3178247.8</v>
      </c>
      <c r="BC16" s="37">
        <f>ROUND(BB16*(1-BH16),0)</f>
        <v>3019335</v>
      </c>
      <c r="BD16" s="37">
        <f>BB16-BC16-BE16</f>
        <v>158912.79999999981</v>
      </c>
      <c r="BE16" s="37">
        <v>0</v>
      </c>
      <c r="BF16" s="37">
        <f>BB16-BC16-BD16-BE16</f>
        <v>0</v>
      </c>
      <c r="BG16" s="21" t="s">
        <v>3088</v>
      </c>
      <c r="BH16" s="23">
        <v>0.05</v>
      </c>
      <c r="BI16" s="37">
        <f>BD16</f>
        <v>158912.79999999981</v>
      </c>
      <c r="BJ16" s="21" t="s">
        <v>3148</v>
      </c>
      <c r="BK16" s="21" t="s">
        <v>753</v>
      </c>
      <c r="BL16" s="21" t="s">
        <v>753</v>
      </c>
      <c r="BM16" s="21" t="s">
        <v>848</v>
      </c>
      <c r="BN16" s="21" t="str">
        <f>Y16</f>
        <v>Realised</v>
      </c>
      <c r="BO16" s="29">
        <v>45751</v>
      </c>
      <c r="BP16" s="21" t="s">
        <v>848</v>
      </c>
      <c r="BQ16" s="37">
        <f>P16-BC16-BD16-BE16</f>
        <v>9.3132257461547852E-10</v>
      </c>
      <c r="BR16" s="21" t="s">
        <v>3298</v>
      </c>
      <c r="BS16" s="21" t="s">
        <v>3090</v>
      </c>
    </row>
    <row r="17" spans="1:71" x14ac:dyDescent="0.3">
      <c r="A17" s="21" t="s">
        <v>3145</v>
      </c>
      <c r="B17" s="29">
        <v>45759</v>
      </c>
      <c r="C17" s="21" t="s">
        <v>3079</v>
      </c>
      <c r="D17" s="21" t="s">
        <v>743</v>
      </c>
      <c r="E17" s="37">
        <f>BC17</f>
        <v>2600000</v>
      </c>
      <c r="F17" s="21" t="str">
        <f>"PKR "&amp;TEXT(E17,"#,##0")&amp;" only"</f>
        <v>PKR 2,600,000 only</v>
      </c>
      <c r="G17" s="21" t="s">
        <v>3080</v>
      </c>
      <c r="H17" s="21" t="s">
        <v>1811</v>
      </c>
      <c r="I17" s="29" t="s">
        <v>844</v>
      </c>
      <c r="J17" s="21" t="s">
        <v>3081</v>
      </c>
      <c r="K17" s="21" t="s">
        <v>3093</v>
      </c>
      <c r="L17" s="21" t="s">
        <v>1813</v>
      </c>
      <c r="M17" s="21" t="s">
        <v>1089</v>
      </c>
      <c r="N17" s="21" t="s">
        <v>1088</v>
      </c>
      <c r="O17" s="21" t="s">
        <v>844</v>
      </c>
      <c r="P17" s="37" cm="1">
        <f t="array" ref="P17">SUMPRODUCT(('T11'!$G$3:$G$1500=L17)*('T11'!$B$3:$B$1500&lt;=B17)*('T11'!$W$3:$W$1500*(1+'T11'!$X$3:$X$1500)+'T11'!$Y$3:$Y$1500))-SUMPRODUCT(($L$3:$L$1499=L17)*($B$3:$B$1499&lt;B17)*($BC$3:$BC$1499+$BD$3:$BD$1499+$BE$3:$BE$1499))</f>
        <v>5805773.4000000004</v>
      </c>
      <c r="Q17" s="37" cm="1">
        <f t="array" ref="Q17">MAX(0,SUMPRODUCT(('T11'!$G$3:$G$1500=L17)*('T11'!$AG$3:$AG$1500&lt;B17)*('T11'!$W$3:$W$1500*(1+'T11'!$X$3:$X$1500)+'T11'!$Y$3:$Y$1500))-SUMPRODUCT(($L$3:$L$1499=L17)*($B$3:$B$1499&lt;B17)*($BC$3:$BC$1499+$BD$3:$BD$1499+$BE$3:$BE$1499)))</f>
        <v>0</v>
      </c>
      <c r="R17" s="21" t="s">
        <v>3094</v>
      </c>
      <c r="S17" s="21" t="s">
        <v>1097</v>
      </c>
      <c r="T17" s="21">
        <v>1</v>
      </c>
      <c r="U17" s="21">
        <v>1</v>
      </c>
      <c r="V17" s="21" t="s">
        <v>3084</v>
      </c>
      <c r="W17" s="37">
        <f>E17</f>
        <v>2600000</v>
      </c>
      <c r="X17" s="21" t="s">
        <v>3085</v>
      </c>
      <c r="Y17" s="21" t="str">
        <f>IF(V17="Cash",IF(AE17="Deposited","Realised","Pending deposit"),IF(V17="Cheque",IF(LEFT(AN17,7)="Cleared","Realised","Pending clearance"),IF(AT17="Identified","Realised","Unidentified")))</f>
        <v>Realised</v>
      </c>
      <c r="Z17" s="21" t="s">
        <v>844</v>
      </c>
      <c r="AA17" s="21" t="s">
        <v>844</v>
      </c>
      <c r="AB17" s="21" t="s">
        <v>844</v>
      </c>
      <c r="AC17" s="21" t="s">
        <v>844</v>
      </c>
      <c r="AD17" s="29" t="s">
        <v>844</v>
      </c>
      <c r="AE17" s="21" t="s">
        <v>844</v>
      </c>
      <c r="AF17" s="21">
        <v>12963770</v>
      </c>
      <c r="AG17" s="29">
        <v>45759</v>
      </c>
      <c r="AH17" s="37">
        <f>W17</f>
        <v>2600000</v>
      </c>
      <c r="AI17" s="21" t="s">
        <v>3150</v>
      </c>
      <c r="AJ17" s="21" t="s">
        <v>846</v>
      </c>
      <c r="AK17" s="29">
        <f>AG17</f>
        <v>45759</v>
      </c>
      <c r="AL17" s="21" t="s">
        <v>3087</v>
      </c>
      <c r="AM17" s="29">
        <v>45759</v>
      </c>
      <c r="AN17" s="21" t="s">
        <v>3151</v>
      </c>
      <c r="AO17" s="21" t="s">
        <v>848</v>
      </c>
      <c r="AP17" s="21" t="s">
        <v>844</v>
      </c>
      <c r="AQ17" s="21" t="s">
        <v>844</v>
      </c>
      <c r="AR17" s="35" t="s">
        <v>844</v>
      </c>
      <c r="AS17" s="37" t="s">
        <v>844</v>
      </c>
      <c r="AT17" s="21" t="s">
        <v>844</v>
      </c>
      <c r="AU17" s="21" t="str">
        <f>IF(AW17=0,"Complete","Incomplete")</f>
        <v>Complete</v>
      </c>
      <c r="AV17" s="37">
        <f>W17</f>
        <v>2600000</v>
      </c>
      <c r="AW17" s="37">
        <f>AV17-E17</f>
        <v>0</v>
      </c>
      <c r="AX17" s="21">
        <v>1</v>
      </c>
      <c r="AY17" s="21" t="s">
        <v>2165</v>
      </c>
      <c r="AZ17" s="37">
        <f>_xlfn.XLOOKUP(AY17,'T11'!$A$3:$A$1500,'T11'!$AD$3:$AD$1500)</f>
        <v>5805773.4000000004</v>
      </c>
      <c r="BA17" s="37">
        <v>0</v>
      </c>
      <c r="BB17" s="37">
        <f>AZ17-BA17</f>
        <v>5805773.4000000004</v>
      </c>
      <c r="BC17" s="37">
        <v>2600000</v>
      </c>
      <c r="BD17" s="37">
        <f>ROUND(BC17*BH17/(1-BH17),0)</f>
        <v>136842</v>
      </c>
      <c r="BE17" s="37">
        <v>0</v>
      </c>
      <c r="BF17" s="37">
        <f>BB17-BC17-BD17-BE17</f>
        <v>3068931.4000000004</v>
      </c>
      <c r="BG17" s="21" t="s">
        <v>3088</v>
      </c>
      <c r="BH17" s="23">
        <v>0.05</v>
      </c>
      <c r="BI17" s="37">
        <f>BD17</f>
        <v>136842</v>
      </c>
      <c r="BJ17" s="21" t="s">
        <v>3152</v>
      </c>
      <c r="BK17" s="21" t="s">
        <v>753</v>
      </c>
      <c r="BL17" s="21" t="s">
        <v>753</v>
      </c>
      <c r="BM17" s="21" t="s">
        <v>848</v>
      </c>
      <c r="BN17" s="21" t="str">
        <f>Y17</f>
        <v>Realised</v>
      </c>
      <c r="BO17" s="29">
        <v>45761</v>
      </c>
      <c r="BP17" s="21" t="s">
        <v>848</v>
      </c>
      <c r="BQ17" s="37">
        <f>P17-BC17-BD17-BE17</f>
        <v>3068931.4000000004</v>
      </c>
      <c r="BR17" s="21" t="s">
        <v>3299</v>
      </c>
      <c r="BS17" s="21" t="s">
        <v>3090</v>
      </c>
    </row>
    <row r="18" spans="1:71" x14ac:dyDescent="0.3">
      <c r="A18" s="21" t="s">
        <v>3149</v>
      </c>
      <c r="B18" s="29">
        <v>45774</v>
      </c>
      <c r="C18" s="21" t="s">
        <v>3101</v>
      </c>
      <c r="D18" s="21" t="s">
        <v>743</v>
      </c>
      <c r="E18" s="37">
        <f>BC18</f>
        <v>2915485</v>
      </c>
      <c r="F18" s="21" t="str">
        <f>"PKR "&amp;TEXT(E18,"#,##0")&amp;" only"</f>
        <v>PKR 2,915,485 only</v>
      </c>
      <c r="G18" s="21" t="s">
        <v>3080</v>
      </c>
      <c r="H18" s="21" t="s">
        <v>3092</v>
      </c>
      <c r="I18" s="29" t="s">
        <v>844</v>
      </c>
      <c r="J18" s="21" t="s">
        <v>3081</v>
      </c>
      <c r="K18" s="21" t="s">
        <v>3093</v>
      </c>
      <c r="L18" s="21" t="s">
        <v>1813</v>
      </c>
      <c r="M18" s="21" t="s">
        <v>1089</v>
      </c>
      <c r="N18" s="21" t="s">
        <v>1088</v>
      </c>
      <c r="O18" s="21" t="s">
        <v>844</v>
      </c>
      <c r="P18" s="37" cm="1">
        <f t="array" ref="P18">SUMPRODUCT(('T11'!$G$3:$G$1500=L18)*('T11'!$B$3:$B$1500&lt;=B18)*('T11'!$W$3:$W$1500*(1+'T11'!$X$3:$X$1500)+'T11'!$Y$3:$Y$1500))-SUMPRODUCT(($L$3:$L$1499=L18)*($B$3:$B$1499&lt;B18)*($BC$3:$BC$1499+$BD$3:$BD$1499+$BE$3:$BE$1499))</f>
        <v>3068931.4000000004</v>
      </c>
      <c r="Q18" s="37" cm="1">
        <f t="array" ref="Q18">MAX(0,SUMPRODUCT(('T11'!$G$3:$G$1500=L18)*('T11'!$AG$3:$AG$1500&lt;B18)*('T11'!$W$3:$W$1500*(1+'T11'!$X$3:$X$1500)+'T11'!$Y$3:$Y$1500))-SUMPRODUCT(($L$3:$L$1499=L18)*($B$3:$B$1499&lt;B18)*($BC$3:$BC$1499+$BD$3:$BD$1499+$BE$3:$BE$1499)))</f>
        <v>0</v>
      </c>
      <c r="R18" s="21" t="s">
        <v>3094</v>
      </c>
      <c r="S18" s="21" t="s">
        <v>1097</v>
      </c>
      <c r="T18" s="21">
        <v>1</v>
      </c>
      <c r="U18" s="21">
        <v>1</v>
      </c>
      <c r="V18" s="21" t="s">
        <v>3095</v>
      </c>
      <c r="W18" s="37">
        <f>E18</f>
        <v>2915485</v>
      </c>
      <c r="X18" s="21" t="s">
        <v>3085</v>
      </c>
      <c r="Y18" s="21" t="str">
        <f>IF(V18="Cash",IF(AE18="Deposited","Realised","Pending deposit"),IF(V18="Cheque",IF(LEFT(AN18,7)="Cleared","Realised","Pending clearance"),IF(AT18="Identified","Realised","Unidentified")))</f>
        <v>Realised</v>
      </c>
      <c r="Z18" s="21" t="s">
        <v>844</v>
      </c>
      <c r="AA18" s="21" t="s">
        <v>844</v>
      </c>
      <c r="AB18" s="21" t="s">
        <v>844</v>
      </c>
      <c r="AC18" s="21" t="s">
        <v>844</v>
      </c>
      <c r="AD18" s="29" t="s">
        <v>844</v>
      </c>
      <c r="AE18" s="21" t="s">
        <v>844</v>
      </c>
      <c r="AF18" s="21" t="s">
        <v>844</v>
      </c>
      <c r="AG18" s="29" t="s">
        <v>844</v>
      </c>
      <c r="AH18" s="37" t="s">
        <v>844</v>
      </c>
      <c r="AI18" s="21" t="s">
        <v>844</v>
      </c>
      <c r="AJ18" s="21" t="s">
        <v>844</v>
      </c>
      <c r="AK18" s="29" t="s">
        <v>844</v>
      </c>
      <c r="AL18" s="21" t="s">
        <v>844</v>
      </c>
      <c r="AM18" s="29" t="s">
        <v>844</v>
      </c>
      <c r="AN18" s="21" t="s">
        <v>844</v>
      </c>
      <c r="AO18" s="21" t="s">
        <v>844</v>
      </c>
      <c r="AP18" s="21" t="s">
        <v>3096</v>
      </c>
      <c r="AQ18" s="21" t="s">
        <v>3154</v>
      </c>
      <c r="AR18" s="35">
        <v>45774.625</v>
      </c>
      <c r="AS18" s="37">
        <f>W18</f>
        <v>2915485</v>
      </c>
      <c r="AT18" s="21" t="s">
        <v>3098</v>
      </c>
      <c r="AU18" s="21" t="str">
        <f>IF(AW18=0,"Complete","Incomplete")</f>
        <v>Complete</v>
      </c>
      <c r="AV18" s="37">
        <f>W18</f>
        <v>2915485</v>
      </c>
      <c r="AW18" s="37">
        <f>AV18-E18</f>
        <v>0</v>
      </c>
      <c r="AX18" s="21">
        <v>1</v>
      </c>
      <c r="AY18" s="21" t="s">
        <v>2165</v>
      </c>
      <c r="AZ18" s="37">
        <f>_xlfn.XLOOKUP(AY18,'T11'!$A$3:$A$1500,'T11'!$AD$3:$AD$1500)</f>
        <v>5805773.4000000004</v>
      </c>
      <c r="BA18" s="37">
        <f>BC17+BD17+BE17</f>
        <v>2736842</v>
      </c>
      <c r="BB18" s="37">
        <f>AZ18-BA18</f>
        <v>3068931.4000000004</v>
      </c>
      <c r="BC18" s="37">
        <f>ROUND(BB18*(1-BH18),0)</f>
        <v>2915485</v>
      </c>
      <c r="BD18" s="37">
        <f>BB18-BC18-BE18</f>
        <v>153446.40000000037</v>
      </c>
      <c r="BE18" s="37">
        <v>0</v>
      </c>
      <c r="BF18" s="37">
        <f>BB18-BC18-BD18-BE18</f>
        <v>0</v>
      </c>
      <c r="BG18" s="21" t="s">
        <v>3088</v>
      </c>
      <c r="BH18" s="23">
        <v>0.05</v>
      </c>
      <c r="BI18" s="37">
        <f>BD18</f>
        <v>153446.40000000037</v>
      </c>
      <c r="BJ18" s="21" t="s">
        <v>3155</v>
      </c>
      <c r="BK18" s="21" t="s">
        <v>753</v>
      </c>
      <c r="BL18" s="21" t="s">
        <v>753</v>
      </c>
      <c r="BM18" s="21" t="s">
        <v>848</v>
      </c>
      <c r="BN18" s="21" t="str">
        <f>Y18</f>
        <v>Realised</v>
      </c>
      <c r="BO18" s="29">
        <v>45774</v>
      </c>
      <c r="BP18" s="21" t="s">
        <v>848</v>
      </c>
      <c r="BQ18" s="37">
        <f>P18-BC18-BD18-BE18</f>
        <v>0</v>
      </c>
      <c r="BR18" s="21" t="s">
        <v>3300</v>
      </c>
      <c r="BS18" s="21" t="s">
        <v>3090</v>
      </c>
    </row>
    <row r="19" spans="1:71" x14ac:dyDescent="0.3">
      <c r="A19" s="21" t="s">
        <v>3153</v>
      </c>
      <c r="B19" s="29">
        <v>45780</v>
      </c>
      <c r="C19" s="21" t="s">
        <v>3079</v>
      </c>
      <c r="D19" s="21" t="s">
        <v>743</v>
      </c>
      <c r="E19" s="37">
        <f>BC19</f>
        <v>1100000</v>
      </c>
      <c r="F19" s="21" t="str">
        <f>"PKR "&amp;TEXT(E19,"#,##0")&amp;" only"</f>
        <v>PKR 1,100,000 only</v>
      </c>
      <c r="G19" s="21" t="s">
        <v>3080</v>
      </c>
      <c r="H19" s="21" t="s">
        <v>3092</v>
      </c>
      <c r="I19" s="29" t="s">
        <v>844</v>
      </c>
      <c r="J19" s="21" t="s">
        <v>3081</v>
      </c>
      <c r="K19" s="21" t="s">
        <v>3082</v>
      </c>
      <c r="L19" s="21" t="s">
        <v>1835</v>
      </c>
      <c r="M19" s="21" t="s">
        <v>1055</v>
      </c>
      <c r="N19" s="21" t="s">
        <v>3157</v>
      </c>
      <c r="O19" s="21" t="s">
        <v>3158</v>
      </c>
      <c r="P19" s="37" cm="1">
        <f t="array" ref="P19">SUMPRODUCT(('T11'!$G$3:$G$1500=L19)*('T11'!$B$3:$B$1500&lt;=B19)*('T11'!$W$3:$W$1500*(1+'T11'!$X$3:$X$1500)+'T11'!$Y$3:$Y$1500))-SUMPRODUCT(($L$3:$L$1499=L19)*($B$3:$B$1499&lt;B19)*($BC$3:$BC$1499+$BD$3:$BD$1499+$BE$3:$BE$1499))</f>
        <v>2191776.4</v>
      </c>
      <c r="Q19" s="37" cm="1">
        <f t="array" ref="Q19">MAX(0,SUMPRODUCT(('T11'!$G$3:$G$1500=L19)*('T11'!$AG$3:$AG$1500&lt;B19)*('T11'!$W$3:$W$1500*(1+'T11'!$X$3:$X$1500)+'T11'!$Y$3:$Y$1500))-SUMPRODUCT(($L$3:$L$1499=L19)*($B$3:$B$1499&lt;B19)*($BC$3:$BC$1499+$BD$3:$BD$1499+$BE$3:$BE$1499)))</f>
        <v>0</v>
      </c>
      <c r="R19" s="21" t="s">
        <v>3159</v>
      </c>
      <c r="S19" s="21" t="s">
        <v>1836</v>
      </c>
      <c r="T19" s="21">
        <v>1</v>
      </c>
      <c r="U19" s="21">
        <v>1</v>
      </c>
      <c r="V19" s="21" t="s">
        <v>3095</v>
      </c>
      <c r="W19" s="37">
        <f>E19</f>
        <v>1100000</v>
      </c>
      <c r="X19" s="21" t="s">
        <v>3085</v>
      </c>
      <c r="Y19" s="21" t="str">
        <f>IF(V19="Cash",IF(AE19="Deposited","Realised","Pending deposit"),IF(V19="Cheque",IF(LEFT(AN19,7)="Cleared","Realised","Pending clearance"),IF(AT19="Identified","Realised","Unidentified")))</f>
        <v>Realised</v>
      </c>
      <c r="Z19" s="21" t="s">
        <v>844</v>
      </c>
      <c r="AA19" s="21" t="s">
        <v>844</v>
      </c>
      <c r="AB19" s="21" t="s">
        <v>844</v>
      </c>
      <c r="AC19" s="21" t="s">
        <v>844</v>
      </c>
      <c r="AD19" s="29" t="s">
        <v>844</v>
      </c>
      <c r="AE19" s="21" t="s">
        <v>844</v>
      </c>
      <c r="AF19" s="21" t="s">
        <v>844</v>
      </c>
      <c r="AG19" s="29" t="s">
        <v>844</v>
      </c>
      <c r="AH19" s="37" t="s">
        <v>844</v>
      </c>
      <c r="AI19" s="21" t="s">
        <v>844</v>
      </c>
      <c r="AJ19" s="21" t="s">
        <v>844</v>
      </c>
      <c r="AK19" s="29" t="s">
        <v>844</v>
      </c>
      <c r="AL19" s="21" t="s">
        <v>844</v>
      </c>
      <c r="AM19" s="29" t="s">
        <v>844</v>
      </c>
      <c r="AN19" s="21" t="s">
        <v>844</v>
      </c>
      <c r="AO19" s="21" t="s">
        <v>844</v>
      </c>
      <c r="AP19" s="21" t="s">
        <v>3160</v>
      </c>
      <c r="AQ19" s="21" t="s">
        <v>3161</v>
      </c>
      <c r="AR19" s="35">
        <v>45780.416666666664</v>
      </c>
      <c r="AS19" s="37">
        <f>W19</f>
        <v>1100000</v>
      </c>
      <c r="AT19" s="21" t="s">
        <v>3098</v>
      </c>
      <c r="AU19" s="21" t="str">
        <f>IF(AW19=0,"Complete","Incomplete")</f>
        <v>Complete</v>
      </c>
      <c r="AV19" s="37">
        <f>W19</f>
        <v>1100000</v>
      </c>
      <c r="AW19" s="37">
        <f>AV19-E19</f>
        <v>0</v>
      </c>
      <c r="AX19" s="21">
        <v>1</v>
      </c>
      <c r="AY19" s="21" t="s">
        <v>2208</v>
      </c>
      <c r="AZ19" s="37">
        <f>_xlfn.XLOOKUP(AY19,'T11'!$A$3:$A$1500,'T11'!$AD$3:$AD$1500)</f>
        <v>2191776.4</v>
      </c>
      <c r="BA19" s="37">
        <v>0</v>
      </c>
      <c r="BB19" s="37">
        <f>AZ19-BA19</f>
        <v>2191776.4</v>
      </c>
      <c r="BC19" s="37">
        <v>1100000</v>
      </c>
      <c r="BD19" s="37">
        <f>ROUND(BC19*BH19/(1-BH19),0)</f>
        <v>0</v>
      </c>
      <c r="BE19" s="37">
        <v>0</v>
      </c>
      <c r="BF19" s="37">
        <f>BB19-BC19-BD19-BE19</f>
        <v>1091776.3999999999</v>
      </c>
      <c r="BG19" s="21" t="s">
        <v>3112</v>
      </c>
      <c r="BH19" s="23">
        <v>0</v>
      </c>
      <c r="BI19" s="37">
        <f>BD19</f>
        <v>0</v>
      </c>
      <c r="BJ19" s="21" t="s">
        <v>844</v>
      </c>
      <c r="BK19" s="21" t="s">
        <v>844</v>
      </c>
      <c r="BL19" s="21" t="s">
        <v>844</v>
      </c>
      <c r="BM19" s="21" t="s">
        <v>848</v>
      </c>
      <c r="BN19" s="21" t="str">
        <f>Y19</f>
        <v>Realised</v>
      </c>
      <c r="BO19" s="29">
        <v>45780</v>
      </c>
      <c r="BP19" s="21" t="s">
        <v>848</v>
      </c>
      <c r="BQ19" s="37">
        <f>P19-BC19-BD19-BE19</f>
        <v>1091776.3999999999</v>
      </c>
      <c r="BR19" s="21" t="s">
        <v>3301</v>
      </c>
      <c r="BS19" s="21" t="s">
        <v>3090</v>
      </c>
    </row>
    <row r="20" spans="1:71" x14ac:dyDescent="0.3">
      <c r="A20" s="21" t="s">
        <v>3156</v>
      </c>
      <c r="B20" s="29">
        <v>45781</v>
      </c>
      <c r="C20" s="21" t="s">
        <v>3079</v>
      </c>
      <c r="D20" s="21" t="s">
        <v>743</v>
      </c>
      <c r="E20" s="37">
        <f>BC20</f>
        <v>1000000</v>
      </c>
      <c r="F20" s="21" t="str">
        <f>"PKR "&amp;TEXT(E20,"#,##0")&amp;" only"</f>
        <v>PKR 1,000,000 only</v>
      </c>
      <c r="G20" s="21" t="s">
        <v>3080</v>
      </c>
      <c r="H20" s="21" t="s">
        <v>1811</v>
      </c>
      <c r="I20" s="29" t="s">
        <v>844</v>
      </c>
      <c r="J20" s="21" t="s">
        <v>3081</v>
      </c>
      <c r="K20" s="21" t="s">
        <v>3093</v>
      </c>
      <c r="L20" s="21" t="s">
        <v>1857</v>
      </c>
      <c r="M20" s="21" t="s">
        <v>1115</v>
      </c>
      <c r="N20" s="21" t="s">
        <v>1114</v>
      </c>
      <c r="O20" s="21" t="s">
        <v>844</v>
      </c>
      <c r="P20" s="37" cm="1">
        <f t="array" ref="P20">SUMPRODUCT(('T11'!$G$3:$G$1500=L20)*('T11'!$B$3:$B$1500&lt;=B20)*('T11'!$W$3:$W$1500*(1+'T11'!$X$3:$X$1500)+'T11'!$Y$3:$Y$1500))-SUMPRODUCT(($L$3:$L$1499=L20)*($B$3:$B$1499&lt;B20)*($BC$3:$BC$1499+$BD$3:$BD$1499+$BE$3:$BE$1499))</f>
        <v>2238731.7000000002</v>
      </c>
      <c r="Q20" s="37" cm="1">
        <f t="array" ref="Q20">MAX(0,SUMPRODUCT(('T11'!$G$3:$G$1500=L20)*('T11'!$AG$3:$AG$1500&lt;B20)*('T11'!$W$3:$W$1500*(1+'T11'!$X$3:$X$1500)+'T11'!$Y$3:$Y$1500))-SUMPRODUCT(($L$3:$L$1499=L20)*($B$3:$B$1499&lt;B20)*($BC$3:$BC$1499+$BD$3:$BD$1499+$BE$3:$BE$1499)))</f>
        <v>0</v>
      </c>
      <c r="R20" s="21" t="s">
        <v>3163</v>
      </c>
      <c r="S20" s="21" t="s">
        <v>1121</v>
      </c>
      <c r="T20" s="21">
        <v>1</v>
      </c>
      <c r="U20" s="21">
        <v>1</v>
      </c>
      <c r="V20" s="21" t="s">
        <v>3084</v>
      </c>
      <c r="W20" s="37">
        <f>E20</f>
        <v>1000000</v>
      </c>
      <c r="X20" s="21" t="s">
        <v>3085</v>
      </c>
      <c r="Y20" s="21" t="str">
        <f>IF(V20="Cash",IF(AE20="Deposited","Realised","Pending deposit"),IF(V20="Cheque",IF(LEFT(AN20,7)="Cleared","Realised","Pending clearance"),IF(AT20="Identified","Realised","Unidentified")))</f>
        <v>Realised</v>
      </c>
      <c r="Z20" s="21" t="s">
        <v>844</v>
      </c>
      <c r="AA20" s="21" t="s">
        <v>844</v>
      </c>
      <c r="AB20" s="21" t="s">
        <v>844</v>
      </c>
      <c r="AC20" s="21" t="s">
        <v>844</v>
      </c>
      <c r="AD20" s="29" t="s">
        <v>844</v>
      </c>
      <c r="AE20" s="21" t="s">
        <v>844</v>
      </c>
      <c r="AF20" s="21">
        <v>14057599</v>
      </c>
      <c r="AG20" s="29">
        <v>45781</v>
      </c>
      <c r="AH20" s="37">
        <f>W20</f>
        <v>1000000</v>
      </c>
      <c r="AI20" s="21" t="s">
        <v>3164</v>
      </c>
      <c r="AJ20" s="21" t="s">
        <v>846</v>
      </c>
      <c r="AK20" s="29">
        <f>AG20</f>
        <v>45781</v>
      </c>
      <c r="AL20" s="21" t="s">
        <v>3087</v>
      </c>
      <c r="AM20" s="29">
        <v>45781</v>
      </c>
      <c r="AN20" s="21" t="s">
        <v>3165</v>
      </c>
      <c r="AO20" s="21" t="s">
        <v>848</v>
      </c>
      <c r="AP20" s="21" t="s">
        <v>844</v>
      </c>
      <c r="AQ20" s="21" t="s">
        <v>844</v>
      </c>
      <c r="AR20" s="35" t="s">
        <v>844</v>
      </c>
      <c r="AS20" s="37" t="s">
        <v>844</v>
      </c>
      <c r="AT20" s="21" t="s">
        <v>844</v>
      </c>
      <c r="AU20" s="21" t="str">
        <f>IF(AW20=0,"Complete","Incomplete")</f>
        <v>Complete</v>
      </c>
      <c r="AV20" s="37">
        <f>W20</f>
        <v>1000000</v>
      </c>
      <c r="AW20" s="37">
        <f>AV20-E20</f>
        <v>0</v>
      </c>
      <c r="AX20" s="21">
        <v>1</v>
      </c>
      <c r="AY20" s="21" t="s">
        <v>2199</v>
      </c>
      <c r="AZ20" s="37">
        <f>_xlfn.XLOOKUP(AY20,'T11'!$A$3:$A$1500,'T11'!$AD$3:$AD$1500)</f>
        <v>2238731.7000000002</v>
      </c>
      <c r="BA20" s="37">
        <v>0</v>
      </c>
      <c r="BB20" s="37">
        <f>AZ20-BA20</f>
        <v>2238731.7000000002</v>
      </c>
      <c r="BC20" s="37">
        <v>1000000</v>
      </c>
      <c r="BD20" s="37">
        <f>ROUND(BC20*BH20/(1-BH20),0)</f>
        <v>0</v>
      </c>
      <c r="BE20" s="37">
        <v>0</v>
      </c>
      <c r="BF20" s="37">
        <f>BB20-BC20-BD20-BE20</f>
        <v>1238731.7000000002</v>
      </c>
      <c r="BG20" s="21" t="s">
        <v>3112</v>
      </c>
      <c r="BH20" s="23">
        <v>0</v>
      </c>
      <c r="BI20" s="37">
        <f>BD20</f>
        <v>0</v>
      </c>
      <c r="BJ20" s="21" t="s">
        <v>844</v>
      </c>
      <c r="BK20" s="21" t="s">
        <v>844</v>
      </c>
      <c r="BL20" s="21" t="s">
        <v>844</v>
      </c>
      <c r="BM20" s="21" t="s">
        <v>848</v>
      </c>
      <c r="BN20" s="21" t="str">
        <f>Y20</f>
        <v>Realised</v>
      </c>
      <c r="BO20" s="29">
        <v>45783</v>
      </c>
      <c r="BP20" s="21" t="s">
        <v>848</v>
      </c>
      <c r="BQ20" s="37">
        <f>P20-BC20-BD20-BE20</f>
        <v>1238731.7000000002</v>
      </c>
      <c r="BR20" s="21" t="s">
        <v>3302</v>
      </c>
      <c r="BS20" s="21" t="s">
        <v>3090</v>
      </c>
    </row>
    <row r="21" spans="1:71" x14ac:dyDescent="0.3">
      <c r="A21" s="21" t="s">
        <v>3162</v>
      </c>
      <c r="B21" s="29">
        <v>45793</v>
      </c>
      <c r="C21" s="21" t="s">
        <v>3101</v>
      </c>
      <c r="D21" s="21" t="s">
        <v>743</v>
      </c>
      <c r="E21" s="37">
        <f>BC21</f>
        <v>1091776</v>
      </c>
      <c r="F21" s="21" t="str">
        <f>"PKR "&amp;TEXT(E21,"#,##0")&amp;" only"</f>
        <v>PKR 1,091,776 only</v>
      </c>
      <c r="G21" s="21" t="s">
        <v>3080</v>
      </c>
      <c r="H21" s="21" t="s">
        <v>3092</v>
      </c>
      <c r="I21" s="29" t="s">
        <v>844</v>
      </c>
      <c r="J21" s="21" t="s">
        <v>3081</v>
      </c>
      <c r="K21" s="21" t="s">
        <v>3082</v>
      </c>
      <c r="L21" s="21" t="s">
        <v>1835</v>
      </c>
      <c r="M21" s="21" t="s">
        <v>1055</v>
      </c>
      <c r="N21" s="21" t="s">
        <v>1053</v>
      </c>
      <c r="O21" s="21" t="s">
        <v>844</v>
      </c>
      <c r="P21" s="37" cm="1">
        <f t="array" ref="P21">SUMPRODUCT(('T11'!$G$3:$G$1500=L21)*('T11'!$B$3:$B$1500&lt;=B21)*('T11'!$W$3:$W$1500*(1+'T11'!$X$3:$X$1500)+'T11'!$Y$3:$Y$1500))-SUMPRODUCT(($L$3:$L$1499=L21)*($B$3:$B$1499&lt;B21)*($BC$3:$BC$1499+$BD$3:$BD$1499+$BE$3:$BE$1499))</f>
        <v>1091776.3999999999</v>
      </c>
      <c r="Q21" s="37" cm="1">
        <f t="array" ref="Q21">MAX(0,SUMPRODUCT(('T11'!$G$3:$G$1500=L21)*('T11'!$AG$3:$AG$1500&lt;B21)*('T11'!$W$3:$W$1500*(1+'T11'!$X$3:$X$1500)+'T11'!$Y$3:$Y$1500))-SUMPRODUCT(($L$3:$L$1499=L21)*($B$3:$B$1499&lt;B21)*($BC$3:$BC$1499+$BD$3:$BD$1499+$BE$3:$BE$1499)))</f>
        <v>1091776.3999999999</v>
      </c>
      <c r="R21" s="21" t="s">
        <v>3159</v>
      </c>
      <c r="S21" s="21" t="s">
        <v>1836</v>
      </c>
      <c r="T21" s="21">
        <v>1</v>
      </c>
      <c r="U21" s="21">
        <v>1</v>
      </c>
      <c r="V21" s="21" t="s">
        <v>3095</v>
      </c>
      <c r="W21" s="37">
        <f>E21</f>
        <v>1091776</v>
      </c>
      <c r="X21" s="21" t="s">
        <v>3085</v>
      </c>
      <c r="Y21" s="21" t="str">
        <f>IF(V21="Cash",IF(AE21="Deposited","Realised","Pending deposit"),IF(V21="Cheque",IF(LEFT(AN21,7)="Cleared","Realised","Pending clearance"),IF(AT21="Identified","Realised","Unidentified")))</f>
        <v>Realised</v>
      </c>
      <c r="Z21" s="21" t="s">
        <v>844</v>
      </c>
      <c r="AA21" s="21" t="s">
        <v>844</v>
      </c>
      <c r="AB21" s="21" t="s">
        <v>844</v>
      </c>
      <c r="AC21" s="21" t="s">
        <v>844</v>
      </c>
      <c r="AD21" s="29" t="s">
        <v>844</v>
      </c>
      <c r="AE21" s="21" t="s">
        <v>844</v>
      </c>
      <c r="AF21" s="21" t="s">
        <v>844</v>
      </c>
      <c r="AG21" s="29" t="s">
        <v>844</v>
      </c>
      <c r="AH21" s="37" t="s">
        <v>844</v>
      </c>
      <c r="AI21" s="21" t="s">
        <v>844</v>
      </c>
      <c r="AJ21" s="21" t="s">
        <v>844</v>
      </c>
      <c r="AK21" s="29" t="s">
        <v>844</v>
      </c>
      <c r="AL21" s="21" t="s">
        <v>844</v>
      </c>
      <c r="AM21" s="29" t="s">
        <v>844</v>
      </c>
      <c r="AN21" s="21" t="s">
        <v>844</v>
      </c>
      <c r="AO21" s="21" t="s">
        <v>844</v>
      </c>
      <c r="AP21" s="21" t="s">
        <v>3160</v>
      </c>
      <c r="AQ21" s="21" t="s">
        <v>3167</v>
      </c>
      <c r="AR21" s="35">
        <v>45793.541666666664</v>
      </c>
      <c r="AS21" s="37">
        <f>W21</f>
        <v>1091776</v>
      </c>
      <c r="AT21" s="21" t="s">
        <v>3098</v>
      </c>
      <c r="AU21" s="21" t="str">
        <f>IF(AW21=0,"Complete","Incomplete")</f>
        <v>Complete</v>
      </c>
      <c r="AV21" s="37">
        <f>W21</f>
        <v>1091776</v>
      </c>
      <c r="AW21" s="37">
        <f>AV21-E21</f>
        <v>0</v>
      </c>
      <c r="AX21" s="21">
        <v>1</v>
      </c>
      <c r="AY21" s="21" t="s">
        <v>2208</v>
      </c>
      <c r="AZ21" s="37">
        <f>_xlfn.XLOOKUP(AY21,'T11'!$A$3:$A$1500,'T11'!$AD$3:$AD$1500)</f>
        <v>2191776.4</v>
      </c>
      <c r="BA21" s="37">
        <f>BC19+BD19+BE19</f>
        <v>1100000</v>
      </c>
      <c r="BB21" s="37">
        <f>AZ21-BA21</f>
        <v>1091776.3999999999</v>
      </c>
      <c r="BC21" s="37">
        <f>ROUND(BB21*(1-BH21),0)</f>
        <v>1091776</v>
      </c>
      <c r="BD21" s="37">
        <f>BB21-BC21-BE21</f>
        <v>0.39999999990686774</v>
      </c>
      <c r="BE21" s="37">
        <v>0</v>
      </c>
      <c r="BF21" s="37">
        <f>BB21-BC21-BD21-BE21</f>
        <v>0</v>
      </c>
      <c r="BG21" s="21" t="s">
        <v>3112</v>
      </c>
      <c r="BH21" s="23">
        <v>0</v>
      </c>
      <c r="BI21" s="37">
        <f>BD21</f>
        <v>0.39999999990686774</v>
      </c>
      <c r="BJ21" s="21" t="s">
        <v>844</v>
      </c>
      <c r="BK21" s="21" t="s">
        <v>844</v>
      </c>
      <c r="BL21" s="21" t="s">
        <v>844</v>
      </c>
      <c r="BM21" s="21" t="s">
        <v>848</v>
      </c>
      <c r="BN21" s="21" t="str">
        <f>Y21</f>
        <v>Realised</v>
      </c>
      <c r="BO21" s="29">
        <v>45793</v>
      </c>
      <c r="BP21" s="21" t="s">
        <v>848</v>
      </c>
      <c r="BQ21" s="37">
        <f>P21-BC21-BD21-BE21</f>
        <v>0</v>
      </c>
      <c r="BR21" s="21" t="s">
        <v>3303</v>
      </c>
      <c r="BS21" s="21" t="s">
        <v>3090</v>
      </c>
    </row>
    <row r="22" spans="1:71" x14ac:dyDescent="0.3">
      <c r="A22" s="21" t="s">
        <v>3166</v>
      </c>
      <c r="B22" s="29">
        <v>45793</v>
      </c>
      <c r="C22" s="21" t="s">
        <v>3101</v>
      </c>
      <c r="D22" s="21" t="s">
        <v>743</v>
      </c>
      <c r="E22" s="37">
        <f>BC22</f>
        <v>1238732</v>
      </c>
      <c r="F22" s="21" t="str">
        <f>"PKR "&amp;TEXT(E22,"#,##0")&amp;" only"</f>
        <v>PKR 1,238,732 only</v>
      </c>
      <c r="G22" s="21" t="s">
        <v>3080</v>
      </c>
      <c r="H22" s="21" t="s">
        <v>3092</v>
      </c>
      <c r="I22" s="29" t="s">
        <v>844</v>
      </c>
      <c r="J22" s="21" t="s">
        <v>3081</v>
      </c>
      <c r="K22" s="21" t="s">
        <v>3093</v>
      </c>
      <c r="L22" s="21" t="s">
        <v>1857</v>
      </c>
      <c r="M22" s="21" t="s">
        <v>1115</v>
      </c>
      <c r="N22" s="21" t="s">
        <v>1114</v>
      </c>
      <c r="O22" s="21" t="s">
        <v>844</v>
      </c>
      <c r="P22" s="37" cm="1">
        <f t="array" ref="P22">SUMPRODUCT(('T11'!$G$3:$G$1500=L22)*('T11'!$B$3:$B$1500&lt;=B22)*('T11'!$W$3:$W$1500*(1+'T11'!$X$3:$X$1500)+'T11'!$Y$3:$Y$1500))-SUMPRODUCT(($L$3:$L$1499=L22)*($B$3:$B$1499&lt;B22)*($BC$3:$BC$1499+$BD$3:$BD$1499+$BE$3:$BE$1499))</f>
        <v>1238731.7000000002</v>
      </c>
      <c r="Q22" s="37" cm="1">
        <f t="array" ref="Q22">MAX(0,SUMPRODUCT(('T11'!$G$3:$G$1500=L22)*('T11'!$AG$3:$AG$1500&lt;B22)*('T11'!$W$3:$W$1500*(1+'T11'!$X$3:$X$1500)+'T11'!$Y$3:$Y$1500))-SUMPRODUCT(($L$3:$L$1499=L22)*($B$3:$B$1499&lt;B22)*($BC$3:$BC$1499+$BD$3:$BD$1499+$BE$3:$BE$1499)))</f>
        <v>1238731.7000000002</v>
      </c>
      <c r="R22" s="21" t="s">
        <v>3163</v>
      </c>
      <c r="S22" s="21" t="s">
        <v>1121</v>
      </c>
      <c r="T22" s="21">
        <v>1</v>
      </c>
      <c r="U22" s="21">
        <v>1</v>
      </c>
      <c r="V22" s="21" t="s">
        <v>3095</v>
      </c>
      <c r="W22" s="37">
        <f>E22</f>
        <v>1238732</v>
      </c>
      <c r="X22" s="21" t="s">
        <v>3085</v>
      </c>
      <c r="Y22" s="21" t="str">
        <f>IF(V22="Cash",IF(AE22="Deposited","Realised","Pending deposit"),IF(V22="Cheque",IF(LEFT(AN22,7)="Cleared","Realised","Pending clearance"),IF(AT22="Identified","Realised","Unidentified")))</f>
        <v>Realised</v>
      </c>
      <c r="Z22" s="21" t="s">
        <v>844</v>
      </c>
      <c r="AA22" s="21" t="s">
        <v>844</v>
      </c>
      <c r="AB22" s="21" t="s">
        <v>844</v>
      </c>
      <c r="AC22" s="21" t="s">
        <v>844</v>
      </c>
      <c r="AD22" s="29" t="s">
        <v>844</v>
      </c>
      <c r="AE22" s="21" t="s">
        <v>844</v>
      </c>
      <c r="AF22" s="21" t="s">
        <v>844</v>
      </c>
      <c r="AG22" s="29" t="s">
        <v>844</v>
      </c>
      <c r="AH22" s="37" t="s">
        <v>844</v>
      </c>
      <c r="AI22" s="21" t="s">
        <v>844</v>
      </c>
      <c r="AJ22" s="21" t="s">
        <v>844</v>
      </c>
      <c r="AK22" s="29" t="s">
        <v>844</v>
      </c>
      <c r="AL22" s="21" t="s">
        <v>844</v>
      </c>
      <c r="AM22" s="29" t="s">
        <v>844</v>
      </c>
      <c r="AN22" s="21" t="s">
        <v>844</v>
      </c>
      <c r="AO22" s="21" t="s">
        <v>844</v>
      </c>
      <c r="AP22" s="21" t="s">
        <v>3170</v>
      </c>
      <c r="AQ22" s="21" t="s">
        <v>3171</v>
      </c>
      <c r="AR22" s="35">
        <v>45793.416666666664</v>
      </c>
      <c r="AS22" s="37">
        <f>W22</f>
        <v>1238732</v>
      </c>
      <c r="AT22" s="21" t="s">
        <v>3098</v>
      </c>
      <c r="AU22" s="21" t="str">
        <f>IF(AW22=0,"Complete","Incomplete")</f>
        <v>Complete</v>
      </c>
      <c r="AV22" s="37">
        <f>W22</f>
        <v>1238732</v>
      </c>
      <c r="AW22" s="37">
        <f>AV22-E22</f>
        <v>0</v>
      </c>
      <c r="AX22" s="21">
        <v>1</v>
      </c>
      <c r="AY22" s="21" t="s">
        <v>2199</v>
      </c>
      <c r="AZ22" s="37">
        <f>_xlfn.XLOOKUP(AY22,'T11'!$A$3:$A$1500,'T11'!$AD$3:$AD$1500)</f>
        <v>2238731.7000000002</v>
      </c>
      <c r="BA22" s="37">
        <f>BC20+BD20+BE20</f>
        <v>1000000</v>
      </c>
      <c r="BB22" s="37">
        <f>AZ22-BA22</f>
        <v>1238731.7000000002</v>
      </c>
      <c r="BC22" s="37">
        <f>ROUND(BB22*(1-BH22),0)</f>
        <v>1238732</v>
      </c>
      <c r="BD22" s="37">
        <f>BB22-BC22-BE22</f>
        <v>-0.29999999981373549</v>
      </c>
      <c r="BE22" s="37">
        <v>0</v>
      </c>
      <c r="BF22" s="37">
        <f>BB22-BC22-BD22-BE22</f>
        <v>0</v>
      </c>
      <c r="BG22" s="21" t="s">
        <v>3112</v>
      </c>
      <c r="BH22" s="23">
        <v>0</v>
      </c>
      <c r="BI22" s="37">
        <f>BD22</f>
        <v>-0.29999999981373549</v>
      </c>
      <c r="BJ22" s="21" t="s">
        <v>844</v>
      </c>
      <c r="BK22" s="21" t="s">
        <v>844</v>
      </c>
      <c r="BL22" s="21" t="s">
        <v>844</v>
      </c>
      <c r="BM22" s="21" t="s">
        <v>848</v>
      </c>
      <c r="BN22" s="21" t="str">
        <f>Y22</f>
        <v>Realised</v>
      </c>
      <c r="BO22" s="29">
        <v>45793</v>
      </c>
      <c r="BP22" s="21" t="s">
        <v>848</v>
      </c>
      <c r="BQ22" s="37">
        <f>P22-BC22-BD22-BE22</f>
        <v>0</v>
      </c>
      <c r="BR22" s="21" t="s">
        <v>3168</v>
      </c>
      <c r="BS22" s="21" t="s">
        <v>3090</v>
      </c>
    </row>
    <row r="23" spans="1:71" x14ac:dyDescent="0.3">
      <c r="A23" s="21" t="s">
        <v>3169</v>
      </c>
      <c r="B23" s="29">
        <v>45812</v>
      </c>
      <c r="C23" s="21" t="s">
        <v>3079</v>
      </c>
      <c r="D23" s="21" t="s">
        <v>743</v>
      </c>
      <c r="E23" s="37">
        <f>BC23</f>
        <v>3200000</v>
      </c>
      <c r="F23" s="21" t="str">
        <f>"PKR "&amp;TEXT(E23,"#,##0")&amp;" only"</f>
        <v>PKR 3,200,000 only</v>
      </c>
      <c r="G23" s="21" t="s">
        <v>3080</v>
      </c>
      <c r="H23" s="21" t="s">
        <v>1811</v>
      </c>
      <c r="I23" s="29" t="s">
        <v>844</v>
      </c>
      <c r="J23" s="21" t="s">
        <v>3081</v>
      </c>
      <c r="K23" s="21" t="s">
        <v>3093</v>
      </c>
      <c r="L23" s="21" t="s">
        <v>1857</v>
      </c>
      <c r="M23" s="21" t="s">
        <v>1115</v>
      </c>
      <c r="N23" s="21" t="s">
        <v>1114</v>
      </c>
      <c r="O23" s="21" t="s">
        <v>844</v>
      </c>
      <c r="P23" s="37" cm="1">
        <f t="array" ref="P23">SUMPRODUCT(('T11'!$G$3:$G$1500=L23)*('T11'!$B$3:$B$1500&lt;=B23)*('T11'!$W$3:$W$1500*(1+'T11'!$X$3:$X$1500)+'T11'!$Y$3:$Y$1500))-SUMPRODUCT(($L$3:$L$1499=L23)*($B$3:$B$1499&lt;B23)*($BC$3:$BC$1499+$BD$3:$BD$1499+$BE$3:$BE$1499))</f>
        <v>6507547.9999999991</v>
      </c>
      <c r="Q23" s="37" cm="1">
        <f t="array" ref="Q23">MAX(0,SUMPRODUCT(('T11'!$G$3:$G$1500=L23)*('T11'!$AG$3:$AG$1500&lt;B23)*('T11'!$W$3:$W$1500*(1+'T11'!$X$3:$X$1500)+'T11'!$Y$3:$Y$1500))-SUMPRODUCT(($L$3:$L$1499=L23)*($B$3:$B$1499&lt;B23)*($BC$3:$BC$1499+$BD$3:$BD$1499+$BE$3:$BE$1499)))</f>
        <v>0</v>
      </c>
      <c r="R23" s="21" t="s">
        <v>3163</v>
      </c>
      <c r="S23" s="21" t="s">
        <v>1121</v>
      </c>
      <c r="T23" s="21">
        <v>1</v>
      </c>
      <c r="U23" s="21">
        <v>1</v>
      </c>
      <c r="V23" s="21" t="s">
        <v>3084</v>
      </c>
      <c r="W23" s="37">
        <f>E23</f>
        <v>3200000</v>
      </c>
      <c r="X23" s="21" t="s">
        <v>3085</v>
      </c>
      <c r="Y23" s="21" t="str">
        <f>IF(V23="Cash",IF(AE23="Deposited","Realised","Pending deposit"),IF(V23="Cheque",IF(LEFT(AN23,7)="Cleared","Realised","Pending clearance"),IF(AT23="Identified","Realised","Unidentified")))</f>
        <v>Realised</v>
      </c>
      <c r="Z23" s="21" t="s">
        <v>844</v>
      </c>
      <c r="AA23" s="21" t="s">
        <v>844</v>
      </c>
      <c r="AB23" s="21" t="s">
        <v>844</v>
      </c>
      <c r="AC23" s="21" t="s">
        <v>844</v>
      </c>
      <c r="AD23" s="29" t="s">
        <v>844</v>
      </c>
      <c r="AE23" s="21" t="s">
        <v>844</v>
      </c>
      <c r="AF23" s="21">
        <v>12188736</v>
      </c>
      <c r="AG23" s="29">
        <v>45812</v>
      </c>
      <c r="AH23" s="37">
        <f>W23</f>
        <v>3200000</v>
      </c>
      <c r="AI23" s="21" t="s">
        <v>3164</v>
      </c>
      <c r="AJ23" s="21" t="s">
        <v>846</v>
      </c>
      <c r="AK23" s="29">
        <f>AG23</f>
        <v>45812</v>
      </c>
      <c r="AL23" s="21" t="s">
        <v>3087</v>
      </c>
      <c r="AM23" s="29">
        <v>45812</v>
      </c>
      <c r="AN23" s="21" t="s">
        <v>3173</v>
      </c>
      <c r="AO23" s="21" t="s">
        <v>848</v>
      </c>
      <c r="AP23" s="21" t="s">
        <v>844</v>
      </c>
      <c r="AQ23" s="21" t="s">
        <v>844</v>
      </c>
      <c r="AR23" s="35" t="s">
        <v>844</v>
      </c>
      <c r="AS23" s="37" t="s">
        <v>844</v>
      </c>
      <c r="AT23" s="21" t="s">
        <v>844</v>
      </c>
      <c r="AU23" s="21" t="str">
        <f>IF(AW23=0,"Complete","Incomplete")</f>
        <v>Complete</v>
      </c>
      <c r="AV23" s="37">
        <f>W23</f>
        <v>3200000</v>
      </c>
      <c r="AW23" s="37">
        <f>AV23-E23</f>
        <v>0</v>
      </c>
      <c r="AX23" s="21">
        <v>1</v>
      </c>
      <c r="AY23" s="21" t="s">
        <v>2276</v>
      </c>
      <c r="AZ23" s="37">
        <f>_xlfn.XLOOKUP(AY23,'T11'!$A$3:$A$1500,'T11'!$AD$3:$AD$1500)</f>
        <v>6507548</v>
      </c>
      <c r="BA23" s="37">
        <v>0</v>
      </c>
      <c r="BB23" s="37">
        <f>AZ23-BA23</f>
        <v>6507548</v>
      </c>
      <c r="BC23" s="37">
        <v>3200000</v>
      </c>
      <c r="BD23" s="37">
        <f>ROUND(BC23*BH23/(1-BH23),0)</f>
        <v>0</v>
      </c>
      <c r="BE23" s="37">
        <v>0</v>
      </c>
      <c r="BF23" s="37">
        <f>BB23-BC23-BD23-BE23</f>
        <v>3307548</v>
      </c>
      <c r="BG23" s="21" t="s">
        <v>3112</v>
      </c>
      <c r="BH23" s="23">
        <v>0</v>
      </c>
      <c r="BI23" s="37">
        <f>BD23</f>
        <v>0</v>
      </c>
      <c r="BJ23" s="21" t="s">
        <v>844</v>
      </c>
      <c r="BK23" s="21" t="s">
        <v>844</v>
      </c>
      <c r="BL23" s="21" t="s">
        <v>844</v>
      </c>
      <c r="BM23" s="21" t="s">
        <v>848</v>
      </c>
      <c r="BN23" s="21" t="str">
        <f>Y23</f>
        <v>Realised</v>
      </c>
      <c r="BO23" s="29">
        <v>45814</v>
      </c>
      <c r="BP23" s="21" t="s">
        <v>848</v>
      </c>
      <c r="BQ23" s="37">
        <f>P23-BC23-BD23-BE23</f>
        <v>3307547.9999999991</v>
      </c>
      <c r="BR23" s="21" t="s">
        <v>3304</v>
      </c>
      <c r="BS23" s="21" t="s">
        <v>3090</v>
      </c>
    </row>
    <row r="24" spans="1:71" x14ac:dyDescent="0.3">
      <c r="A24" s="21" t="s">
        <v>3172</v>
      </c>
      <c r="B24" s="29">
        <v>45819</v>
      </c>
      <c r="C24" s="21" t="s">
        <v>3101</v>
      </c>
      <c r="D24" s="21" t="s">
        <v>743</v>
      </c>
      <c r="E24" s="37">
        <f>BC24</f>
        <v>3307548</v>
      </c>
      <c r="F24" s="21" t="str">
        <f>"PKR "&amp;TEXT(E24,"#,##0")&amp;" only"</f>
        <v>PKR 3,307,548 only</v>
      </c>
      <c r="G24" s="21" t="s">
        <v>3080</v>
      </c>
      <c r="H24" s="21" t="s">
        <v>3092</v>
      </c>
      <c r="I24" s="29" t="s">
        <v>844</v>
      </c>
      <c r="J24" s="21" t="s">
        <v>3081</v>
      </c>
      <c r="K24" s="21" t="s">
        <v>3093</v>
      </c>
      <c r="L24" s="21" t="s">
        <v>1857</v>
      </c>
      <c r="M24" s="21" t="s">
        <v>1115</v>
      </c>
      <c r="N24" s="21" t="s">
        <v>1114</v>
      </c>
      <c r="O24" s="21" t="s">
        <v>844</v>
      </c>
      <c r="P24" s="37" cm="1">
        <f t="array" ref="P24">SUMPRODUCT(('T11'!$G$3:$G$1500=L24)*('T11'!$B$3:$B$1500&lt;=B24)*('T11'!$W$3:$W$1500*(1+'T11'!$X$3:$X$1500)+'T11'!$Y$3:$Y$1500))-SUMPRODUCT(($L$3:$L$1499=L24)*($B$3:$B$1499&lt;B24)*($BC$3:$BC$1499+$BD$3:$BD$1499+$BE$3:$BE$1499))</f>
        <v>3307547.9999999991</v>
      </c>
      <c r="Q24" s="37" cm="1">
        <f t="array" ref="Q24">MAX(0,SUMPRODUCT(('T11'!$G$3:$G$1500=L24)*('T11'!$AG$3:$AG$1500&lt;B24)*('T11'!$W$3:$W$1500*(1+'T11'!$X$3:$X$1500)+'T11'!$Y$3:$Y$1500))-SUMPRODUCT(($L$3:$L$1499=L24)*($B$3:$B$1499&lt;B24)*($BC$3:$BC$1499+$BD$3:$BD$1499+$BE$3:$BE$1499)))</f>
        <v>0</v>
      </c>
      <c r="R24" s="21" t="s">
        <v>3163</v>
      </c>
      <c r="S24" s="21" t="s">
        <v>1121</v>
      </c>
      <c r="T24" s="21">
        <v>1</v>
      </c>
      <c r="U24" s="21">
        <v>1</v>
      </c>
      <c r="V24" s="21" t="s">
        <v>3095</v>
      </c>
      <c r="W24" s="37">
        <f>E24</f>
        <v>3307548</v>
      </c>
      <c r="X24" s="21" t="s">
        <v>3085</v>
      </c>
      <c r="Y24" s="21" t="str">
        <f>IF(V24="Cash",IF(AE24="Deposited","Realised","Pending deposit"),IF(V24="Cheque",IF(LEFT(AN24,7)="Cleared","Realised","Pending clearance"),IF(AT24="Identified","Realised","Unidentified")))</f>
        <v>Realised</v>
      </c>
      <c r="Z24" s="21" t="s">
        <v>844</v>
      </c>
      <c r="AA24" s="21" t="s">
        <v>844</v>
      </c>
      <c r="AB24" s="21" t="s">
        <v>844</v>
      </c>
      <c r="AC24" s="21" t="s">
        <v>844</v>
      </c>
      <c r="AD24" s="29" t="s">
        <v>844</v>
      </c>
      <c r="AE24" s="21" t="s">
        <v>844</v>
      </c>
      <c r="AF24" s="21" t="s">
        <v>844</v>
      </c>
      <c r="AG24" s="29" t="s">
        <v>844</v>
      </c>
      <c r="AH24" s="37" t="s">
        <v>844</v>
      </c>
      <c r="AI24" s="21" t="s">
        <v>844</v>
      </c>
      <c r="AJ24" s="21" t="s">
        <v>844</v>
      </c>
      <c r="AK24" s="29" t="s">
        <v>844</v>
      </c>
      <c r="AL24" s="21" t="s">
        <v>844</v>
      </c>
      <c r="AM24" s="29" t="s">
        <v>844</v>
      </c>
      <c r="AN24" s="21" t="s">
        <v>844</v>
      </c>
      <c r="AO24" s="21" t="s">
        <v>844</v>
      </c>
      <c r="AP24" s="21" t="s">
        <v>3170</v>
      </c>
      <c r="AQ24" s="21" t="s">
        <v>3175</v>
      </c>
      <c r="AR24" s="35">
        <v>45819.541666666664</v>
      </c>
      <c r="AS24" s="37">
        <f>W24</f>
        <v>3307548</v>
      </c>
      <c r="AT24" s="21" t="s">
        <v>3098</v>
      </c>
      <c r="AU24" s="21" t="str">
        <f>IF(AW24=0,"Complete","Incomplete")</f>
        <v>Complete</v>
      </c>
      <c r="AV24" s="37">
        <f>W24</f>
        <v>3307548</v>
      </c>
      <c r="AW24" s="37">
        <f>AV24-E24</f>
        <v>0</v>
      </c>
      <c r="AX24" s="21">
        <v>1</v>
      </c>
      <c r="AY24" s="21" t="s">
        <v>2276</v>
      </c>
      <c r="AZ24" s="37">
        <f>_xlfn.XLOOKUP(AY24,'T11'!$A$3:$A$1500,'T11'!$AD$3:$AD$1500)</f>
        <v>6507548</v>
      </c>
      <c r="BA24" s="37">
        <f>BC23+BD23+BE23</f>
        <v>3200000</v>
      </c>
      <c r="BB24" s="37">
        <f>AZ24-BA24</f>
        <v>3307548</v>
      </c>
      <c r="BC24" s="37">
        <f>ROUND(BB24*(1-BH24),0)</f>
        <v>3307548</v>
      </c>
      <c r="BD24" s="37">
        <f>BB24-BC24-BE24</f>
        <v>0</v>
      </c>
      <c r="BE24" s="37">
        <v>0</v>
      </c>
      <c r="BF24" s="37">
        <f>BB24-BC24-BD24-BE24</f>
        <v>0</v>
      </c>
      <c r="BG24" s="21" t="s">
        <v>3112</v>
      </c>
      <c r="BH24" s="23">
        <v>0</v>
      </c>
      <c r="BI24" s="37">
        <f>BD24</f>
        <v>0</v>
      </c>
      <c r="BJ24" s="21" t="s">
        <v>844</v>
      </c>
      <c r="BK24" s="21" t="s">
        <v>844</v>
      </c>
      <c r="BL24" s="21" t="s">
        <v>844</v>
      </c>
      <c r="BM24" s="21" t="s">
        <v>848</v>
      </c>
      <c r="BN24" s="21" t="str">
        <f>Y24</f>
        <v>Realised</v>
      </c>
      <c r="BO24" s="29">
        <v>45819</v>
      </c>
      <c r="BP24" s="21" t="s">
        <v>848</v>
      </c>
      <c r="BQ24" s="37">
        <f>P24-BC24-BD24-BE24</f>
        <v>-9.3132257461547852E-10</v>
      </c>
      <c r="BR24" s="21" t="s">
        <v>3305</v>
      </c>
      <c r="BS24" s="21" t="s">
        <v>3090</v>
      </c>
    </row>
    <row r="25" spans="1:71" x14ac:dyDescent="0.3">
      <c r="A25" s="21" t="s">
        <v>3174</v>
      </c>
      <c r="B25" s="29">
        <v>45829</v>
      </c>
      <c r="C25" s="21" t="s">
        <v>3101</v>
      </c>
      <c r="D25" s="21" t="s">
        <v>743</v>
      </c>
      <c r="E25" s="37">
        <f>BC25</f>
        <v>8209674</v>
      </c>
      <c r="F25" s="21" t="str">
        <f>"PKR "&amp;TEXT(E25,"#,##0")&amp;" only"</f>
        <v>PKR 8,209,674 only</v>
      </c>
      <c r="G25" s="21" t="s">
        <v>3080</v>
      </c>
      <c r="H25" s="21" t="s">
        <v>3092</v>
      </c>
      <c r="I25" s="29" t="s">
        <v>844</v>
      </c>
      <c r="J25" s="21" t="s">
        <v>3081</v>
      </c>
      <c r="K25" s="21" t="s">
        <v>3093</v>
      </c>
      <c r="L25" s="21" t="s">
        <v>1813</v>
      </c>
      <c r="M25" s="21" t="s">
        <v>1089</v>
      </c>
      <c r="N25" s="21" t="s">
        <v>1088</v>
      </c>
      <c r="O25" s="21" t="s">
        <v>844</v>
      </c>
      <c r="P25" s="37" cm="1">
        <f t="array" ref="P25">SUMPRODUCT(('T11'!$G$3:$G$1500=L25)*('T11'!$B$3:$B$1500&lt;=B25)*('T11'!$W$3:$W$1500*(1+'T11'!$X$3:$X$1500)+'T11'!$Y$3:$Y$1500))-SUMPRODUCT(($L$3:$L$1499=L25)*($B$3:$B$1499&lt;B25)*($BC$3:$BC$1499+$BD$3:$BD$1499+$BE$3:$BE$1499))</f>
        <v>8641761.9999999981</v>
      </c>
      <c r="Q25" s="37" cm="1">
        <f t="array" ref="Q25">MAX(0,SUMPRODUCT(('T11'!$G$3:$G$1500=L25)*('T11'!$AG$3:$AG$1500&lt;B25)*('T11'!$W$3:$W$1500*(1+'T11'!$X$3:$X$1500)+'T11'!$Y$3:$Y$1500))-SUMPRODUCT(($L$3:$L$1499=L25)*($B$3:$B$1499&lt;B25)*($BC$3:$BC$1499+$BD$3:$BD$1499+$BE$3:$BE$1499)))</f>
        <v>0</v>
      </c>
      <c r="R25" s="21" t="s">
        <v>3094</v>
      </c>
      <c r="S25" s="21" t="s">
        <v>1105</v>
      </c>
      <c r="T25" s="21">
        <v>1</v>
      </c>
      <c r="U25" s="21">
        <v>1</v>
      </c>
      <c r="V25" s="21" t="s">
        <v>3095</v>
      </c>
      <c r="W25" s="37">
        <f>E25</f>
        <v>8209674</v>
      </c>
      <c r="X25" s="21" t="s">
        <v>3085</v>
      </c>
      <c r="Y25" s="21" t="str">
        <f>IF(V25="Cash",IF(AE25="Deposited","Realised","Pending deposit"),IF(V25="Cheque",IF(LEFT(AN25,7)="Cleared","Realised","Pending clearance"),IF(AT25="Identified","Realised","Unidentified")))</f>
        <v>Realised</v>
      </c>
      <c r="Z25" s="21" t="s">
        <v>844</v>
      </c>
      <c r="AA25" s="21" t="s">
        <v>844</v>
      </c>
      <c r="AB25" s="21" t="s">
        <v>844</v>
      </c>
      <c r="AC25" s="21" t="s">
        <v>844</v>
      </c>
      <c r="AD25" s="29" t="s">
        <v>844</v>
      </c>
      <c r="AE25" s="21" t="s">
        <v>844</v>
      </c>
      <c r="AF25" s="21" t="s">
        <v>844</v>
      </c>
      <c r="AG25" s="29" t="s">
        <v>844</v>
      </c>
      <c r="AH25" s="37" t="s">
        <v>844</v>
      </c>
      <c r="AI25" s="21" t="s">
        <v>844</v>
      </c>
      <c r="AJ25" s="21" t="s">
        <v>844</v>
      </c>
      <c r="AK25" s="29" t="s">
        <v>844</v>
      </c>
      <c r="AL25" s="21" t="s">
        <v>844</v>
      </c>
      <c r="AM25" s="29" t="s">
        <v>844</v>
      </c>
      <c r="AN25" s="21" t="s">
        <v>844</v>
      </c>
      <c r="AO25" s="21" t="s">
        <v>844</v>
      </c>
      <c r="AP25" s="21" t="s">
        <v>3096</v>
      </c>
      <c r="AQ25" s="21" t="s">
        <v>3177</v>
      </c>
      <c r="AR25" s="35">
        <v>45829.583333333336</v>
      </c>
      <c r="AS25" s="37">
        <f>W25</f>
        <v>8209674</v>
      </c>
      <c r="AT25" s="21" t="s">
        <v>3098</v>
      </c>
      <c r="AU25" s="21" t="str">
        <f>IF(AW25=0,"Complete","Incomplete")</f>
        <v>Complete</v>
      </c>
      <c r="AV25" s="37">
        <f>W25</f>
        <v>8209674</v>
      </c>
      <c r="AW25" s="37">
        <f>AV25-E25</f>
        <v>0</v>
      </c>
      <c r="AX25" s="21">
        <v>1</v>
      </c>
      <c r="AY25" s="21" t="s">
        <v>2269</v>
      </c>
      <c r="AZ25" s="37">
        <f>_xlfn.XLOOKUP(AY25,'T11'!$A$3:$A$1500,'T11'!$AD$3:$AD$1500)</f>
        <v>8641762</v>
      </c>
      <c r="BA25" s="37">
        <v>0</v>
      </c>
      <c r="BB25" s="37">
        <f>AZ25-BA25</f>
        <v>8641762</v>
      </c>
      <c r="BC25" s="37">
        <f>ROUND(BB25*(1-BH25),0)</f>
        <v>8209674</v>
      </c>
      <c r="BD25" s="37">
        <f>BB25-BC25-BE25</f>
        <v>432088</v>
      </c>
      <c r="BE25" s="37">
        <v>0</v>
      </c>
      <c r="BF25" s="37">
        <f>BB25-BC25-BD25-BE25</f>
        <v>0</v>
      </c>
      <c r="BG25" s="21" t="s">
        <v>3088</v>
      </c>
      <c r="BH25" s="23">
        <v>0.05</v>
      </c>
      <c r="BI25" s="37">
        <f>BD25</f>
        <v>432088</v>
      </c>
      <c r="BJ25" s="21" t="s">
        <v>3178</v>
      </c>
      <c r="BK25" s="21" t="s">
        <v>753</v>
      </c>
      <c r="BL25" s="21" t="s">
        <v>753</v>
      </c>
      <c r="BM25" s="21" t="s">
        <v>848</v>
      </c>
      <c r="BN25" s="21" t="str">
        <f>Y25</f>
        <v>Realised</v>
      </c>
      <c r="BO25" s="29">
        <v>45829</v>
      </c>
      <c r="BP25" s="21" t="s">
        <v>848</v>
      </c>
      <c r="BQ25" s="37">
        <f>P25-BC25-BD25-BE25</f>
        <v>-1.862645149230957E-9</v>
      </c>
      <c r="BR25" s="21" t="s">
        <v>3306</v>
      </c>
      <c r="BS25" s="21" t="s">
        <v>3090</v>
      </c>
    </row>
    <row r="26" spans="1:71" x14ac:dyDescent="0.3">
      <c r="A26" s="21" t="s">
        <v>3176</v>
      </c>
      <c r="B26" s="29">
        <v>45837</v>
      </c>
      <c r="C26" s="21" t="s">
        <v>3079</v>
      </c>
      <c r="D26" s="21" t="s">
        <v>743</v>
      </c>
      <c r="E26" s="37">
        <f>BC26</f>
        <v>4800000</v>
      </c>
      <c r="F26" s="21" t="str">
        <f>"PKR "&amp;TEXT(E26,"#,##0")&amp;" only"</f>
        <v>PKR 4,800,000 only</v>
      </c>
      <c r="G26" s="21" t="s">
        <v>3080</v>
      </c>
      <c r="H26" s="21" t="s">
        <v>1796</v>
      </c>
      <c r="I26" s="29" t="s">
        <v>844</v>
      </c>
      <c r="J26" s="21" t="s">
        <v>3081</v>
      </c>
      <c r="K26" s="21" t="s">
        <v>3082</v>
      </c>
      <c r="L26" s="21" t="s">
        <v>1823</v>
      </c>
      <c r="M26" s="21" t="s">
        <v>1080</v>
      </c>
      <c r="N26" s="21" t="s">
        <v>1079</v>
      </c>
      <c r="O26" s="21" t="s">
        <v>844</v>
      </c>
      <c r="P26" s="37" cm="1">
        <f t="array" ref="P26">SUMPRODUCT(('T11'!$G$3:$G$1500=L26)*('T11'!$B$3:$B$1500&lt;=B26)*('T11'!$W$3:$W$1500*(1+'T11'!$X$3:$X$1500)+'T11'!$Y$3:$Y$1500))-SUMPRODUCT(($L$3:$L$1499=L26)*($B$3:$B$1499&lt;B26)*($BC$3:$BC$1499+$BD$3:$BD$1499+$BE$3:$BE$1499))</f>
        <v>9366356.5</v>
      </c>
      <c r="Q26" s="37" cm="1">
        <f t="array" ref="Q26">MAX(0,SUMPRODUCT(('T11'!$G$3:$G$1500=L26)*('T11'!$AG$3:$AG$1500&lt;B26)*('T11'!$W$3:$W$1500*(1+'T11'!$X$3:$X$1500)+'T11'!$Y$3:$Y$1500))-SUMPRODUCT(($L$3:$L$1499=L26)*($B$3:$B$1499&lt;B26)*($BC$3:$BC$1499+$BD$3:$BD$1499+$BE$3:$BE$1499)))</f>
        <v>0</v>
      </c>
      <c r="R26" s="21" t="s">
        <v>3109</v>
      </c>
      <c r="S26" s="21" t="s">
        <v>1824</v>
      </c>
      <c r="T26" s="21">
        <v>1</v>
      </c>
      <c r="U26" s="21">
        <v>1</v>
      </c>
      <c r="V26" s="21" t="s">
        <v>3084</v>
      </c>
      <c r="W26" s="37">
        <f>E26</f>
        <v>4800000</v>
      </c>
      <c r="X26" s="21" t="s">
        <v>3085</v>
      </c>
      <c r="Y26" s="21" t="str">
        <f>IF(V26="Cash",IF(AE26="Deposited","Realised","Pending deposit"),IF(V26="Cheque",IF(LEFT(AN26,7)="Cleared","Realised","Pending clearance"),IF(AT26="Identified","Realised","Unidentified")))</f>
        <v>Realised</v>
      </c>
      <c r="Z26" s="21" t="s">
        <v>844</v>
      </c>
      <c r="AA26" s="21" t="s">
        <v>844</v>
      </c>
      <c r="AB26" s="21" t="s">
        <v>844</v>
      </c>
      <c r="AC26" s="21" t="s">
        <v>844</v>
      </c>
      <c r="AD26" s="29" t="s">
        <v>844</v>
      </c>
      <c r="AE26" s="21" t="s">
        <v>844</v>
      </c>
      <c r="AF26" s="21">
        <v>10109063</v>
      </c>
      <c r="AG26" s="29">
        <v>45837</v>
      </c>
      <c r="AH26" s="37">
        <f>W26</f>
        <v>4800000</v>
      </c>
      <c r="AI26" s="21" t="s">
        <v>3180</v>
      </c>
      <c r="AJ26" s="21" t="s">
        <v>846</v>
      </c>
      <c r="AK26" s="29">
        <f>AG26</f>
        <v>45837</v>
      </c>
      <c r="AL26" s="21" t="s">
        <v>3087</v>
      </c>
      <c r="AM26" s="29">
        <v>45837</v>
      </c>
      <c r="AN26" s="21" t="s">
        <v>3181</v>
      </c>
      <c r="AO26" s="21" t="s">
        <v>848</v>
      </c>
      <c r="AP26" s="21" t="s">
        <v>844</v>
      </c>
      <c r="AQ26" s="21" t="s">
        <v>844</v>
      </c>
      <c r="AR26" s="35" t="s">
        <v>844</v>
      </c>
      <c r="AS26" s="37" t="s">
        <v>844</v>
      </c>
      <c r="AT26" s="21" t="s">
        <v>844</v>
      </c>
      <c r="AU26" s="21" t="str">
        <f>IF(AW26=0,"Complete","Incomplete")</f>
        <v>Complete</v>
      </c>
      <c r="AV26" s="37">
        <f>W26</f>
        <v>4800000</v>
      </c>
      <c r="AW26" s="37">
        <f>AV26-E26</f>
        <v>0</v>
      </c>
      <c r="AX26" s="21">
        <v>1</v>
      </c>
      <c r="AY26" s="21" t="s">
        <v>2327</v>
      </c>
      <c r="AZ26" s="37">
        <f>_xlfn.XLOOKUP(AY26,'T11'!$A$3:$A$1500,'T11'!$AD$3:$AD$1500)</f>
        <v>9366356.5</v>
      </c>
      <c r="BA26" s="37">
        <v>0</v>
      </c>
      <c r="BB26" s="37">
        <f>AZ26-BA26</f>
        <v>9366356.5</v>
      </c>
      <c r="BC26" s="37">
        <v>4800000</v>
      </c>
      <c r="BD26" s="37">
        <f>ROUND(BC26*BH26/(1-BH26),0)</f>
        <v>0</v>
      </c>
      <c r="BE26" s="37">
        <v>0</v>
      </c>
      <c r="BF26" s="37">
        <f>BB26-BC26-BD26-BE26</f>
        <v>4566356.5</v>
      </c>
      <c r="BG26" s="21" t="s">
        <v>3112</v>
      </c>
      <c r="BH26" s="23">
        <v>0</v>
      </c>
      <c r="BI26" s="37">
        <f>BD26</f>
        <v>0</v>
      </c>
      <c r="BJ26" s="21" t="s">
        <v>844</v>
      </c>
      <c r="BK26" s="21" t="s">
        <v>844</v>
      </c>
      <c r="BL26" s="21" t="s">
        <v>844</v>
      </c>
      <c r="BM26" s="21" t="s">
        <v>848</v>
      </c>
      <c r="BN26" s="21" t="str">
        <f>Y26</f>
        <v>Realised</v>
      </c>
      <c r="BO26" s="29">
        <v>45839</v>
      </c>
      <c r="BP26" s="21" t="s">
        <v>848</v>
      </c>
      <c r="BQ26" s="37">
        <f>P26-BC26-BD26-BE26</f>
        <v>4566356.5</v>
      </c>
      <c r="BR26" s="21" t="s">
        <v>3307</v>
      </c>
      <c r="BS26" s="21" t="s">
        <v>3090</v>
      </c>
    </row>
    <row r="27" spans="1:71" x14ac:dyDescent="0.3">
      <c r="A27" s="21" t="s">
        <v>3179</v>
      </c>
      <c r="B27" s="29">
        <v>45848</v>
      </c>
      <c r="C27" s="21" t="s">
        <v>3101</v>
      </c>
      <c r="D27" s="21" t="s">
        <v>743</v>
      </c>
      <c r="E27" s="37">
        <f>BC27</f>
        <v>4566357</v>
      </c>
      <c r="F27" s="21" t="str">
        <f>"PKR "&amp;TEXT(E27,"#,##0")&amp;" only"</f>
        <v>PKR 4,566,357 only</v>
      </c>
      <c r="G27" s="21" t="s">
        <v>3080</v>
      </c>
      <c r="H27" s="21" t="s">
        <v>3092</v>
      </c>
      <c r="I27" s="29" t="s">
        <v>844</v>
      </c>
      <c r="J27" s="21" t="s">
        <v>3081</v>
      </c>
      <c r="K27" s="21" t="s">
        <v>3082</v>
      </c>
      <c r="L27" s="21" t="s">
        <v>1823</v>
      </c>
      <c r="M27" s="21" t="s">
        <v>1080</v>
      </c>
      <c r="N27" s="21" t="s">
        <v>1079</v>
      </c>
      <c r="O27" s="21" t="s">
        <v>844</v>
      </c>
      <c r="P27" s="37" cm="1">
        <f t="array" ref="P27">SUMPRODUCT(('T11'!$G$3:$G$1500=L27)*('T11'!$B$3:$B$1500&lt;=B27)*('T11'!$W$3:$W$1500*(1+'T11'!$X$3:$X$1500)+'T11'!$Y$3:$Y$1500))-SUMPRODUCT(($L$3:$L$1499=L27)*($B$3:$B$1499&lt;B27)*($BC$3:$BC$1499+$BD$3:$BD$1499+$BE$3:$BE$1499))</f>
        <v>4566356.5</v>
      </c>
      <c r="Q27" s="37" cm="1">
        <f t="array" ref="Q27">MAX(0,SUMPRODUCT(('T11'!$G$3:$G$1500=L27)*('T11'!$AG$3:$AG$1500&lt;B27)*('T11'!$W$3:$W$1500*(1+'T11'!$X$3:$X$1500)+'T11'!$Y$3:$Y$1500))-SUMPRODUCT(($L$3:$L$1499=L27)*($B$3:$B$1499&lt;B27)*($BC$3:$BC$1499+$BD$3:$BD$1499+$BE$3:$BE$1499)))</f>
        <v>4566356.5</v>
      </c>
      <c r="R27" s="21" t="s">
        <v>3109</v>
      </c>
      <c r="S27" s="21" t="s">
        <v>1824</v>
      </c>
      <c r="T27" s="21">
        <v>1</v>
      </c>
      <c r="U27" s="21">
        <v>1</v>
      </c>
      <c r="V27" s="21" t="s">
        <v>3095</v>
      </c>
      <c r="W27" s="37">
        <f>E27</f>
        <v>4566357</v>
      </c>
      <c r="X27" s="21" t="s">
        <v>3085</v>
      </c>
      <c r="Y27" s="21" t="str">
        <f>IF(V27="Cash",IF(AE27="Deposited","Realised","Pending deposit"),IF(V27="Cheque",IF(LEFT(AN27,7)="Cleared","Realised","Pending clearance"),IF(AT27="Identified","Realised","Unidentified")))</f>
        <v>Realised</v>
      </c>
      <c r="Z27" s="21" t="s">
        <v>844</v>
      </c>
      <c r="AA27" s="21" t="s">
        <v>844</v>
      </c>
      <c r="AB27" s="21" t="s">
        <v>844</v>
      </c>
      <c r="AC27" s="21" t="s">
        <v>844</v>
      </c>
      <c r="AD27" s="29" t="s">
        <v>844</v>
      </c>
      <c r="AE27" s="21" t="s">
        <v>844</v>
      </c>
      <c r="AF27" s="21" t="s">
        <v>844</v>
      </c>
      <c r="AG27" s="29" t="s">
        <v>844</v>
      </c>
      <c r="AH27" s="37" t="s">
        <v>844</v>
      </c>
      <c r="AI27" s="21" t="s">
        <v>844</v>
      </c>
      <c r="AJ27" s="21" t="s">
        <v>844</v>
      </c>
      <c r="AK27" s="29" t="s">
        <v>844</v>
      </c>
      <c r="AL27" s="21" t="s">
        <v>844</v>
      </c>
      <c r="AM27" s="29" t="s">
        <v>844</v>
      </c>
      <c r="AN27" s="21" t="s">
        <v>844</v>
      </c>
      <c r="AO27" s="21" t="s">
        <v>844</v>
      </c>
      <c r="AP27" s="21" t="s">
        <v>3110</v>
      </c>
      <c r="AQ27" s="21" t="s">
        <v>3183</v>
      </c>
      <c r="AR27" s="35">
        <v>45848.416666666664</v>
      </c>
      <c r="AS27" s="37">
        <f>W27</f>
        <v>4566357</v>
      </c>
      <c r="AT27" s="21" t="s">
        <v>3098</v>
      </c>
      <c r="AU27" s="21" t="str">
        <f>IF(AW27=0,"Complete","Incomplete")</f>
        <v>Complete</v>
      </c>
      <c r="AV27" s="37">
        <f>W27</f>
        <v>4566357</v>
      </c>
      <c r="AW27" s="37">
        <f>AV27-E27</f>
        <v>0</v>
      </c>
      <c r="AX27" s="21">
        <v>1</v>
      </c>
      <c r="AY27" s="21" t="s">
        <v>2327</v>
      </c>
      <c r="AZ27" s="37">
        <f>_xlfn.XLOOKUP(AY27,'T11'!$A$3:$A$1500,'T11'!$AD$3:$AD$1500)</f>
        <v>9366356.5</v>
      </c>
      <c r="BA27" s="37">
        <f>BC26+BD26+BE26</f>
        <v>4800000</v>
      </c>
      <c r="BB27" s="37">
        <f>AZ27-BA27</f>
        <v>4566356.5</v>
      </c>
      <c r="BC27" s="37">
        <f>ROUND(BB27*(1-BH27),0)</f>
        <v>4566357</v>
      </c>
      <c r="BD27" s="37">
        <f>BB27-BC27-BE27</f>
        <v>-0.5</v>
      </c>
      <c r="BE27" s="37">
        <v>0</v>
      </c>
      <c r="BF27" s="37">
        <f>BB27-BC27-BD27-BE27</f>
        <v>0</v>
      </c>
      <c r="BG27" s="21" t="s">
        <v>3112</v>
      </c>
      <c r="BH27" s="23">
        <v>0</v>
      </c>
      <c r="BI27" s="37">
        <f>BD27</f>
        <v>-0.5</v>
      </c>
      <c r="BJ27" s="21" t="s">
        <v>844</v>
      </c>
      <c r="BK27" s="21" t="s">
        <v>844</v>
      </c>
      <c r="BL27" s="21" t="s">
        <v>844</v>
      </c>
      <c r="BM27" s="21" t="s">
        <v>848</v>
      </c>
      <c r="BN27" s="21" t="str">
        <f>Y27</f>
        <v>Realised</v>
      </c>
      <c r="BO27" s="29">
        <v>45848</v>
      </c>
      <c r="BP27" s="21" t="s">
        <v>848</v>
      </c>
      <c r="BQ27" s="37">
        <f>P27-BC27-BD27-BE27</f>
        <v>0</v>
      </c>
      <c r="BR27" s="21" t="s">
        <v>3308</v>
      </c>
      <c r="BS27" s="21" t="s">
        <v>3090</v>
      </c>
    </row>
    <row r="28" spans="1:71" x14ac:dyDescent="0.3">
      <c r="A28" s="21" t="s">
        <v>3182</v>
      </c>
      <c r="B28" s="29">
        <v>45870</v>
      </c>
      <c r="C28" s="21" t="s">
        <v>3079</v>
      </c>
      <c r="D28" s="21" t="s">
        <v>743</v>
      </c>
      <c r="E28" s="37">
        <f>BC28</f>
        <v>1300000</v>
      </c>
      <c r="F28" s="21" t="str">
        <f>"PKR "&amp;TEXT(E28,"#,##0")&amp;" only"</f>
        <v>PKR 1,300,000 only</v>
      </c>
      <c r="G28" s="21" t="s">
        <v>3080</v>
      </c>
      <c r="H28" s="21" t="s">
        <v>3092</v>
      </c>
      <c r="I28" s="29" t="s">
        <v>844</v>
      </c>
      <c r="J28" s="21" t="s">
        <v>3081</v>
      </c>
      <c r="K28" s="21" t="s">
        <v>3082</v>
      </c>
      <c r="L28" s="21" t="s">
        <v>1835</v>
      </c>
      <c r="M28" s="21" t="s">
        <v>1055</v>
      </c>
      <c r="N28" s="21" t="s">
        <v>1053</v>
      </c>
      <c r="O28" s="21" t="s">
        <v>844</v>
      </c>
      <c r="P28" s="37" cm="1">
        <f t="array" ref="P28">SUMPRODUCT(('T11'!$G$3:$G$1500=L28)*('T11'!$B$3:$B$1500&lt;=B28)*('T11'!$W$3:$W$1500*(1+'T11'!$X$3:$X$1500)+'T11'!$Y$3:$Y$1500))-SUMPRODUCT(($L$3:$L$1499=L28)*($B$3:$B$1499&lt;B28)*($BC$3:$BC$1499+$BD$3:$BD$1499+$BE$3:$BE$1499))</f>
        <v>2843579.0000000005</v>
      </c>
      <c r="Q28" s="37" cm="1">
        <f t="array" ref="Q28">MAX(0,SUMPRODUCT(('T11'!$G$3:$G$1500=L28)*('T11'!$AG$3:$AG$1500&lt;B28)*('T11'!$W$3:$W$1500*(1+'T11'!$X$3:$X$1500)+'T11'!$Y$3:$Y$1500))-SUMPRODUCT(($L$3:$L$1499=L28)*($B$3:$B$1499&lt;B28)*($BC$3:$BC$1499+$BD$3:$BD$1499+$BE$3:$BE$1499)))</f>
        <v>0</v>
      </c>
      <c r="R28" s="21" t="s">
        <v>3159</v>
      </c>
      <c r="S28" s="21" t="s">
        <v>1836</v>
      </c>
      <c r="T28" s="21">
        <v>1</v>
      </c>
      <c r="U28" s="21">
        <v>1</v>
      </c>
      <c r="V28" s="21" t="s">
        <v>3095</v>
      </c>
      <c r="W28" s="37">
        <f>E28</f>
        <v>1300000</v>
      </c>
      <c r="X28" s="21" t="s">
        <v>3085</v>
      </c>
      <c r="Y28" s="21" t="str">
        <f>IF(V28="Cash",IF(AE28="Deposited","Realised","Pending deposit"),IF(V28="Cheque",IF(LEFT(AN28,7)="Cleared","Realised","Pending clearance"),IF(AT28="Identified","Realised","Unidentified")))</f>
        <v>Realised</v>
      </c>
      <c r="Z28" s="21" t="s">
        <v>844</v>
      </c>
      <c r="AA28" s="21" t="s">
        <v>844</v>
      </c>
      <c r="AB28" s="21" t="s">
        <v>844</v>
      </c>
      <c r="AC28" s="21" t="s">
        <v>844</v>
      </c>
      <c r="AD28" s="29" t="s">
        <v>844</v>
      </c>
      <c r="AE28" s="21" t="s">
        <v>844</v>
      </c>
      <c r="AF28" s="21" t="s">
        <v>844</v>
      </c>
      <c r="AG28" s="29" t="s">
        <v>844</v>
      </c>
      <c r="AH28" s="37" t="s">
        <v>844</v>
      </c>
      <c r="AI28" s="21" t="s">
        <v>844</v>
      </c>
      <c r="AJ28" s="21" t="s">
        <v>844</v>
      </c>
      <c r="AK28" s="29" t="s">
        <v>844</v>
      </c>
      <c r="AL28" s="21" t="s">
        <v>844</v>
      </c>
      <c r="AM28" s="29" t="s">
        <v>844</v>
      </c>
      <c r="AN28" s="21" t="s">
        <v>844</v>
      </c>
      <c r="AO28" s="21" t="s">
        <v>844</v>
      </c>
      <c r="AP28" s="21" t="s">
        <v>3160</v>
      </c>
      <c r="AQ28" s="21" t="s">
        <v>3185</v>
      </c>
      <c r="AR28" s="35">
        <v>45870.708333333336</v>
      </c>
      <c r="AS28" s="37">
        <f>W28</f>
        <v>1300000</v>
      </c>
      <c r="AT28" s="21" t="s">
        <v>3098</v>
      </c>
      <c r="AU28" s="21" t="str">
        <f>IF(AW28=0,"Complete","Incomplete")</f>
        <v>Complete</v>
      </c>
      <c r="AV28" s="37">
        <f>W28</f>
        <v>1300000</v>
      </c>
      <c r="AW28" s="37">
        <f>AV28-E28</f>
        <v>0</v>
      </c>
      <c r="AX28" s="21">
        <v>1</v>
      </c>
      <c r="AY28" s="21" t="s">
        <v>2350</v>
      </c>
      <c r="AZ28" s="37">
        <f>_xlfn.XLOOKUP(AY28,'T11'!$A$3:$A$1500,'T11'!$AD$3:$AD$1500)</f>
        <v>2843579</v>
      </c>
      <c r="BA28" s="37">
        <v>0</v>
      </c>
      <c r="BB28" s="37">
        <f>AZ28-BA28</f>
        <v>2843579</v>
      </c>
      <c r="BC28" s="37">
        <v>1300000</v>
      </c>
      <c r="BD28" s="37">
        <f>ROUND(BC28*BH28/(1-BH28),0)</f>
        <v>0</v>
      </c>
      <c r="BE28" s="37">
        <v>0</v>
      </c>
      <c r="BF28" s="37">
        <f>BB28-BC28-BD28-BE28</f>
        <v>1543579</v>
      </c>
      <c r="BG28" s="21" t="s">
        <v>3112</v>
      </c>
      <c r="BH28" s="23">
        <v>0</v>
      </c>
      <c r="BI28" s="37">
        <f>BD28</f>
        <v>0</v>
      </c>
      <c r="BJ28" s="21" t="s">
        <v>844</v>
      </c>
      <c r="BK28" s="21" t="s">
        <v>844</v>
      </c>
      <c r="BL28" s="21" t="s">
        <v>844</v>
      </c>
      <c r="BM28" s="21" t="s">
        <v>848</v>
      </c>
      <c r="BN28" s="21" t="str">
        <f>Y28</f>
        <v>Realised</v>
      </c>
      <c r="BO28" s="29">
        <v>45870</v>
      </c>
      <c r="BP28" s="21" t="s">
        <v>848</v>
      </c>
      <c r="BQ28" s="37">
        <f>P28-BC28-BD28-BE28</f>
        <v>1543579.0000000005</v>
      </c>
      <c r="BR28" s="21" t="s">
        <v>3309</v>
      </c>
      <c r="BS28" s="21" t="s">
        <v>3090</v>
      </c>
    </row>
    <row r="29" spans="1:71" x14ac:dyDescent="0.3">
      <c r="A29" s="21" t="s">
        <v>3184</v>
      </c>
      <c r="B29" s="29">
        <v>45883</v>
      </c>
      <c r="C29" s="21" t="s">
        <v>3101</v>
      </c>
      <c r="D29" s="21" t="s">
        <v>743</v>
      </c>
      <c r="E29" s="37">
        <f>BC29</f>
        <v>1543579</v>
      </c>
      <c r="F29" s="21" t="str">
        <f>"PKR "&amp;TEXT(E29,"#,##0")&amp;" only"</f>
        <v>PKR 1,543,579 only</v>
      </c>
      <c r="G29" s="21" t="s">
        <v>3080</v>
      </c>
      <c r="H29" s="21" t="s">
        <v>1796</v>
      </c>
      <c r="I29" s="29" t="s">
        <v>844</v>
      </c>
      <c r="J29" s="21" t="s">
        <v>3081</v>
      </c>
      <c r="K29" s="21" t="s">
        <v>3082</v>
      </c>
      <c r="L29" s="21" t="s">
        <v>1835</v>
      </c>
      <c r="M29" s="21" t="s">
        <v>1055</v>
      </c>
      <c r="N29" s="21" t="s">
        <v>1053</v>
      </c>
      <c r="O29" s="21" t="s">
        <v>844</v>
      </c>
      <c r="P29" s="37" cm="1">
        <f t="array" ref="P29">SUMPRODUCT(('T11'!$G$3:$G$1500=L29)*('T11'!$B$3:$B$1500&lt;=B29)*('T11'!$W$3:$W$1500*(1+'T11'!$X$3:$X$1500)+'T11'!$Y$3:$Y$1500))-SUMPRODUCT(($L$3:$L$1499=L29)*($B$3:$B$1499&lt;B29)*($BC$3:$BC$1499+$BD$3:$BD$1499+$BE$3:$BE$1499))</f>
        <v>1543579.0000000005</v>
      </c>
      <c r="Q29" s="37" cm="1">
        <f t="array" ref="Q29">MAX(0,SUMPRODUCT(('T11'!$G$3:$G$1500=L29)*('T11'!$AG$3:$AG$1500&lt;B29)*('T11'!$W$3:$W$1500*(1+'T11'!$X$3:$X$1500)+'T11'!$Y$3:$Y$1500))-SUMPRODUCT(($L$3:$L$1499=L29)*($B$3:$B$1499&lt;B29)*($BC$3:$BC$1499+$BD$3:$BD$1499+$BE$3:$BE$1499)))</f>
        <v>1543579.0000000005</v>
      </c>
      <c r="R29" s="21" t="s">
        <v>3159</v>
      </c>
      <c r="S29" s="21" t="s">
        <v>1836</v>
      </c>
      <c r="T29" s="21">
        <v>1</v>
      </c>
      <c r="U29" s="21">
        <v>1</v>
      </c>
      <c r="V29" s="21" t="s">
        <v>3084</v>
      </c>
      <c r="W29" s="37">
        <f>E29</f>
        <v>1543579</v>
      </c>
      <c r="X29" s="21" t="s">
        <v>3085</v>
      </c>
      <c r="Y29" s="21" t="str">
        <f>IF(V29="Cash",IF(AE29="Deposited","Realised","Pending deposit"),IF(V29="Cheque",IF(LEFT(AN29,7)="Cleared","Realised","Pending clearance"),IF(AT29="Identified","Realised","Unidentified")))</f>
        <v>Realised</v>
      </c>
      <c r="Z29" s="21" t="s">
        <v>844</v>
      </c>
      <c r="AA29" s="21" t="s">
        <v>844</v>
      </c>
      <c r="AB29" s="21" t="s">
        <v>844</v>
      </c>
      <c r="AC29" s="21" t="s">
        <v>844</v>
      </c>
      <c r="AD29" s="29" t="s">
        <v>844</v>
      </c>
      <c r="AE29" s="21" t="s">
        <v>844</v>
      </c>
      <c r="AF29" s="21">
        <v>15189602</v>
      </c>
      <c r="AG29" s="29">
        <v>45883</v>
      </c>
      <c r="AH29" s="37">
        <f>W29</f>
        <v>1543579</v>
      </c>
      <c r="AI29" s="21" t="s">
        <v>3187</v>
      </c>
      <c r="AJ29" s="21" t="s">
        <v>846</v>
      </c>
      <c r="AK29" s="29">
        <f>AG29</f>
        <v>45883</v>
      </c>
      <c r="AL29" s="21" t="s">
        <v>3087</v>
      </c>
      <c r="AM29" s="29">
        <v>45883</v>
      </c>
      <c r="AN29" s="21" t="s">
        <v>3188</v>
      </c>
      <c r="AO29" s="21" t="s">
        <v>848</v>
      </c>
      <c r="AP29" s="21" t="s">
        <v>844</v>
      </c>
      <c r="AQ29" s="21" t="s">
        <v>844</v>
      </c>
      <c r="AR29" s="35" t="s">
        <v>844</v>
      </c>
      <c r="AS29" s="37" t="s">
        <v>844</v>
      </c>
      <c r="AT29" s="21" t="s">
        <v>844</v>
      </c>
      <c r="AU29" s="21" t="str">
        <f>IF(AW29=0,"Complete","Incomplete")</f>
        <v>Complete</v>
      </c>
      <c r="AV29" s="37">
        <f>W29</f>
        <v>1543579</v>
      </c>
      <c r="AW29" s="37">
        <f>AV29-E29</f>
        <v>0</v>
      </c>
      <c r="AX29" s="21">
        <v>1</v>
      </c>
      <c r="AY29" s="21" t="s">
        <v>2350</v>
      </c>
      <c r="AZ29" s="37">
        <f>_xlfn.XLOOKUP(AY29,'T11'!$A$3:$A$1500,'T11'!$AD$3:$AD$1500)</f>
        <v>2843579</v>
      </c>
      <c r="BA29" s="37">
        <f>BC28+BD28+BE28</f>
        <v>1300000</v>
      </c>
      <c r="BB29" s="37">
        <f>AZ29-BA29</f>
        <v>1543579</v>
      </c>
      <c r="BC29" s="37">
        <f>ROUND(BB29*(1-BH29),0)</f>
        <v>1543579</v>
      </c>
      <c r="BD29" s="37">
        <f>BB29-BC29-BE29</f>
        <v>0</v>
      </c>
      <c r="BE29" s="37">
        <v>0</v>
      </c>
      <c r="BF29" s="37">
        <f>BB29-BC29-BD29-BE29</f>
        <v>0</v>
      </c>
      <c r="BG29" s="21" t="s">
        <v>3112</v>
      </c>
      <c r="BH29" s="23">
        <v>0</v>
      </c>
      <c r="BI29" s="37">
        <f>BD29</f>
        <v>0</v>
      </c>
      <c r="BJ29" s="21" t="s">
        <v>844</v>
      </c>
      <c r="BK29" s="21" t="s">
        <v>844</v>
      </c>
      <c r="BL29" s="21" t="s">
        <v>844</v>
      </c>
      <c r="BM29" s="21" t="s">
        <v>848</v>
      </c>
      <c r="BN29" s="21" t="str">
        <f>Y29</f>
        <v>Realised</v>
      </c>
      <c r="BO29" s="29">
        <v>45885</v>
      </c>
      <c r="BP29" s="21" t="s">
        <v>848</v>
      </c>
      <c r="BQ29" s="37">
        <f>P29-BC29-BD29-BE29</f>
        <v>4.6566128730773926E-10</v>
      </c>
      <c r="BR29" s="21" t="s">
        <v>3310</v>
      </c>
      <c r="BS29" s="21" t="s">
        <v>3090</v>
      </c>
    </row>
    <row r="30" spans="1:71" x14ac:dyDescent="0.3">
      <c r="A30" s="21" t="s">
        <v>3186</v>
      </c>
      <c r="B30" s="29">
        <v>45900</v>
      </c>
      <c r="C30" s="21" t="s">
        <v>3101</v>
      </c>
      <c r="D30" s="21" t="s">
        <v>743</v>
      </c>
      <c r="E30" s="37">
        <f>BC30</f>
        <v>1852462</v>
      </c>
      <c r="F30" s="21" t="str">
        <f>"PKR "&amp;TEXT(E30,"#,##0")&amp;" only"</f>
        <v>PKR 1,852,462 only</v>
      </c>
      <c r="G30" s="21" t="s">
        <v>3080</v>
      </c>
      <c r="H30" s="21" t="s">
        <v>1796</v>
      </c>
      <c r="I30" s="29">
        <f>B30+1</f>
        <v>45901</v>
      </c>
      <c r="J30" s="21" t="s">
        <v>3081</v>
      </c>
      <c r="K30" s="21" t="s">
        <v>3082</v>
      </c>
      <c r="L30" s="21" t="s">
        <v>1870</v>
      </c>
      <c r="M30" s="21" t="s">
        <v>3033</v>
      </c>
      <c r="N30" s="21" t="s">
        <v>1043</v>
      </c>
      <c r="O30" s="21" t="s">
        <v>844</v>
      </c>
      <c r="P30" s="37" cm="1">
        <f t="array" ref="P30">SUMPRODUCT(('T11'!$G$3:$G$1500=L30)*('T11'!$B$3:$B$1500&lt;=B30)*('T11'!$W$3:$W$1500*(1+'T11'!$X$3:$X$1500)+'T11'!$Y$3:$Y$1500))-SUMPRODUCT(($L$3:$L$1499=L30)*($B$3:$B$1499&lt;B30)*($BC$3:$BC$1499+$BD$3:$BD$1499+$BE$3:$BE$1499))</f>
        <v>1852461.6</v>
      </c>
      <c r="Q30" s="37" cm="1">
        <f t="array" ref="Q30">MAX(0,SUMPRODUCT(('T11'!$G$3:$G$1500=L30)*('T11'!$AG$3:$AG$1500&lt;B30)*('T11'!$W$3:$W$1500*(1+'T11'!$X$3:$X$1500)+'T11'!$Y$3:$Y$1500))-SUMPRODUCT(($L$3:$L$1499=L30)*($B$3:$B$1499&lt;B30)*($BC$3:$BC$1499+$BD$3:$BD$1499+$BE$3:$BE$1499)))</f>
        <v>1852461.6</v>
      </c>
      <c r="R30" s="21" t="s">
        <v>3190</v>
      </c>
      <c r="S30" s="21" t="s">
        <v>1871</v>
      </c>
      <c r="T30" s="21">
        <v>1</v>
      </c>
      <c r="U30" s="21">
        <v>1</v>
      </c>
      <c r="V30" s="21" t="s">
        <v>3191</v>
      </c>
      <c r="W30" s="37">
        <f>E30</f>
        <v>1852462</v>
      </c>
      <c r="X30" s="21" t="s">
        <v>3192</v>
      </c>
      <c r="Y30" s="21" t="str">
        <f>IF(V30="Cash",IF(AE30="Deposited","Realised","Pending deposit"),IF(V30="Cheque",IF(LEFT(AN30,7)="Cleared","Realised","Pending clearance"),IF(AT30="Identified","Realised","Unidentified")))</f>
        <v>Realised</v>
      </c>
      <c r="Z30" s="21" t="s">
        <v>1796</v>
      </c>
      <c r="AA30" s="21" t="s">
        <v>3193</v>
      </c>
      <c r="AB30" s="21" t="s">
        <v>3194</v>
      </c>
      <c r="AC30" s="21" t="s">
        <v>3195</v>
      </c>
      <c r="AD30" s="29">
        <f>B30+1</f>
        <v>45901</v>
      </c>
      <c r="AE30" s="21" t="str">
        <f>IF(ISNUMBER(SEARCH("DS-",AC30)),"Deposited","Pending")</f>
        <v>Deposited</v>
      </c>
      <c r="AF30" s="21" t="s">
        <v>844</v>
      </c>
      <c r="AG30" s="29" t="s">
        <v>844</v>
      </c>
      <c r="AH30" s="37" t="s">
        <v>844</v>
      </c>
      <c r="AI30" s="21" t="s">
        <v>844</v>
      </c>
      <c r="AJ30" s="21" t="s">
        <v>844</v>
      </c>
      <c r="AK30" s="29" t="s">
        <v>844</v>
      </c>
      <c r="AL30" s="21" t="s">
        <v>844</v>
      </c>
      <c r="AM30" s="29" t="s">
        <v>844</v>
      </c>
      <c r="AN30" s="21" t="s">
        <v>844</v>
      </c>
      <c r="AO30" s="21" t="s">
        <v>844</v>
      </c>
      <c r="AP30" s="21" t="s">
        <v>844</v>
      </c>
      <c r="AQ30" s="21" t="s">
        <v>844</v>
      </c>
      <c r="AR30" s="35" t="s">
        <v>844</v>
      </c>
      <c r="AS30" s="37" t="s">
        <v>844</v>
      </c>
      <c r="AT30" s="21" t="s">
        <v>844</v>
      </c>
      <c r="AU30" s="21" t="str">
        <f>IF(AW30=0,"Complete","Incomplete")</f>
        <v>Complete</v>
      </c>
      <c r="AV30" s="37">
        <f>W30</f>
        <v>1852462</v>
      </c>
      <c r="AW30" s="37">
        <f>AV30-E30</f>
        <v>0</v>
      </c>
      <c r="AX30" s="21">
        <v>1</v>
      </c>
      <c r="AY30" s="21" t="s">
        <v>2360</v>
      </c>
      <c r="AZ30" s="37">
        <f>_xlfn.XLOOKUP(AY30,'T11'!$A$3:$A$1500,'T11'!$AD$3:$AD$1500)</f>
        <v>1852461.6</v>
      </c>
      <c r="BA30" s="37">
        <v>0</v>
      </c>
      <c r="BB30" s="37">
        <f>AZ30-BA30</f>
        <v>1852461.6</v>
      </c>
      <c r="BC30" s="37">
        <f>ROUND(BB30*(1-BH30),0)</f>
        <v>1852462</v>
      </c>
      <c r="BD30" s="37">
        <f>BB30-BC30-BE30</f>
        <v>-0.39999999990686774</v>
      </c>
      <c r="BE30" s="37">
        <v>0</v>
      </c>
      <c r="BF30" s="37">
        <f>BB30-BC30-BD30-BE30</f>
        <v>0</v>
      </c>
      <c r="BG30" s="21" t="s">
        <v>3112</v>
      </c>
      <c r="BH30" s="23">
        <v>0</v>
      </c>
      <c r="BI30" s="37">
        <f>BD30</f>
        <v>-0.39999999990686774</v>
      </c>
      <c r="BJ30" s="21" t="s">
        <v>844</v>
      </c>
      <c r="BK30" s="21" t="s">
        <v>844</v>
      </c>
      <c r="BL30" s="21" t="s">
        <v>844</v>
      </c>
      <c r="BM30" s="21" t="s">
        <v>848</v>
      </c>
      <c r="BN30" s="21" t="str">
        <f>Y30</f>
        <v>Realised</v>
      </c>
      <c r="BO30" s="29">
        <v>45901</v>
      </c>
      <c r="BP30" s="21" t="s">
        <v>848</v>
      </c>
      <c r="BQ30" s="37">
        <f>P30-BC30-BD30-BE30</f>
        <v>0</v>
      </c>
      <c r="BR30" s="21" t="s">
        <v>3311</v>
      </c>
      <c r="BS30" s="21" t="s">
        <v>3090</v>
      </c>
    </row>
    <row r="31" spans="1:71" x14ac:dyDescent="0.3">
      <c r="A31" s="21" t="s">
        <v>3189</v>
      </c>
      <c r="B31" s="29">
        <v>45902</v>
      </c>
      <c r="C31" s="21" t="s">
        <v>3121</v>
      </c>
      <c r="D31" s="21" t="s">
        <v>743</v>
      </c>
      <c r="E31" s="37">
        <f>BC31</f>
        <v>7743425</v>
      </c>
      <c r="F31" s="21" t="str">
        <f>"PKR "&amp;TEXT(E31,"#,##0")&amp;" only"</f>
        <v>PKR 7,743,425 only</v>
      </c>
      <c r="G31" s="21" t="s">
        <v>3080</v>
      </c>
      <c r="H31" s="21" t="s">
        <v>3092</v>
      </c>
      <c r="I31" s="29" t="s">
        <v>844</v>
      </c>
      <c r="J31" s="21" t="s">
        <v>3081</v>
      </c>
      <c r="K31" s="21" t="s">
        <v>3082</v>
      </c>
      <c r="L31" s="21" t="s">
        <v>1844</v>
      </c>
      <c r="M31" s="21" t="s">
        <v>3033</v>
      </c>
      <c r="N31" s="21" t="s">
        <v>1064</v>
      </c>
      <c r="O31" s="21" t="s">
        <v>844</v>
      </c>
      <c r="P31" s="37" cm="1">
        <f t="array" ref="P31">SUMPRODUCT(('T11'!$G$3:$G$1500=L31)*('T11'!$B$3:$B$1500&lt;=B31)*('T11'!$W$3:$W$1500*(1+'T11'!$X$3:$X$1500)+'T11'!$Y$3:$Y$1500))-SUMPRODUCT(($L$3:$L$1499=L31)*($B$3:$B$1499&lt;B31)*($BC$3:$BC$1499+$BD$3:$BD$1499+$BE$3:$BE$1499))</f>
        <v>0</v>
      </c>
      <c r="Q31" s="37" cm="1">
        <f t="array" ref="Q31">MAX(0,SUMPRODUCT(('T11'!$G$3:$G$1500=L31)*('T11'!$AG$3:$AG$1500&lt;B31)*('T11'!$W$3:$W$1500*(1+'T11'!$X$3:$X$1500)+'T11'!$Y$3:$Y$1500))-SUMPRODUCT(($L$3:$L$1499=L31)*($B$3:$B$1499&lt;B31)*($BC$3:$BC$1499+$BD$3:$BD$1499+$BE$3:$BE$1499)))</f>
        <v>0</v>
      </c>
      <c r="R31" s="21" t="s">
        <v>3122</v>
      </c>
      <c r="S31" s="21" t="s">
        <v>1845</v>
      </c>
      <c r="T31" s="21">
        <v>1</v>
      </c>
      <c r="U31" s="21">
        <v>1</v>
      </c>
      <c r="V31" s="21" t="s">
        <v>3095</v>
      </c>
      <c r="W31" s="37">
        <f>E31</f>
        <v>7743425</v>
      </c>
      <c r="X31" s="21" t="s">
        <v>3085</v>
      </c>
      <c r="Y31" s="21" t="str">
        <f>IF(V31="Cash",IF(AE31="Deposited","Realised","Pending deposit"),IF(V31="Cheque",IF(LEFT(AN31,7)="Cleared","Realised","Pending clearance"),IF(AT31="Identified","Realised","Unidentified")))</f>
        <v>Realised</v>
      </c>
      <c r="Z31" s="21" t="s">
        <v>844</v>
      </c>
      <c r="AA31" s="21" t="s">
        <v>844</v>
      </c>
      <c r="AB31" s="21" t="s">
        <v>844</v>
      </c>
      <c r="AC31" s="21" t="s">
        <v>844</v>
      </c>
      <c r="AD31" s="29" t="s">
        <v>844</v>
      </c>
      <c r="AE31" s="21" t="s">
        <v>844</v>
      </c>
      <c r="AF31" s="21" t="s">
        <v>844</v>
      </c>
      <c r="AG31" s="29" t="s">
        <v>844</v>
      </c>
      <c r="AH31" s="37" t="s">
        <v>844</v>
      </c>
      <c r="AI31" s="21" t="s">
        <v>844</v>
      </c>
      <c r="AJ31" s="21" t="s">
        <v>844</v>
      </c>
      <c r="AK31" s="29" t="s">
        <v>844</v>
      </c>
      <c r="AL31" s="21" t="s">
        <v>844</v>
      </c>
      <c r="AM31" s="29" t="s">
        <v>844</v>
      </c>
      <c r="AN31" s="21" t="s">
        <v>844</v>
      </c>
      <c r="AO31" s="21" t="s">
        <v>844</v>
      </c>
      <c r="AP31" s="21" t="s">
        <v>3123</v>
      </c>
      <c r="AQ31" s="21" t="s">
        <v>3197</v>
      </c>
      <c r="AR31" s="35">
        <v>45902.458333333336</v>
      </c>
      <c r="AS31" s="37">
        <f>W31</f>
        <v>7743425</v>
      </c>
      <c r="AT31" s="21" t="s">
        <v>3098</v>
      </c>
      <c r="AU31" s="21" t="str">
        <f>IF(AW31=0,"Complete","Incomplete")</f>
        <v>Complete</v>
      </c>
      <c r="AV31" s="37">
        <f>W31</f>
        <v>7743425</v>
      </c>
      <c r="AW31" s="37">
        <f>AV31-E31</f>
        <v>0</v>
      </c>
      <c r="AX31" s="21">
        <v>1</v>
      </c>
      <c r="AY31" s="21" t="s">
        <v>2451</v>
      </c>
      <c r="AZ31" s="37">
        <f>_xlfn.XLOOKUP(AY31,'T11'!$A$3:$A$1500,'T11'!$AD$3:$AD$1500)</f>
        <v>7743425</v>
      </c>
      <c r="BA31" s="37">
        <v>0</v>
      </c>
      <c r="BB31" s="37">
        <f>AZ31-BA31</f>
        <v>7743425</v>
      </c>
      <c r="BC31" s="37">
        <f>ROUND(BB31*(1-BH31),0)</f>
        <v>7743425</v>
      </c>
      <c r="BD31" s="37">
        <f>BB31-BC31-BE31</f>
        <v>0</v>
      </c>
      <c r="BE31" s="37">
        <v>0</v>
      </c>
      <c r="BF31" s="37">
        <f>BB31-BC31-BD31-BE31</f>
        <v>0</v>
      </c>
      <c r="BG31" s="21" t="s">
        <v>3112</v>
      </c>
      <c r="BH31" s="23">
        <v>0</v>
      </c>
      <c r="BI31" s="37">
        <f>BD31</f>
        <v>0</v>
      </c>
      <c r="BJ31" s="21" t="s">
        <v>844</v>
      </c>
      <c r="BK31" s="21" t="s">
        <v>844</v>
      </c>
      <c r="BL31" s="21" t="s">
        <v>844</v>
      </c>
      <c r="BM31" s="21" t="s">
        <v>848</v>
      </c>
      <c r="BN31" s="21" t="str">
        <f>Y31</f>
        <v>Realised</v>
      </c>
      <c r="BO31" s="29">
        <v>45902</v>
      </c>
      <c r="BP31" s="21" t="s">
        <v>848</v>
      </c>
      <c r="BQ31" s="37">
        <f>P31-BC31-BD31-BE31</f>
        <v>-7743425</v>
      </c>
      <c r="BR31" s="21" t="s">
        <v>3312</v>
      </c>
      <c r="BS31" s="21" t="s">
        <v>3090</v>
      </c>
    </row>
    <row r="32" spans="1:71" x14ac:dyDescent="0.3">
      <c r="A32" s="21" t="s">
        <v>3196</v>
      </c>
      <c r="B32" s="29">
        <v>45903</v>
      </c>
      <c r="C32" s="21" t="s">
        <v>3079</v>
      </c>
      <c r="D32" s="21" t="s">
        <v>743</v>
      </c>
      <c r="E32" s="37">
        <f>BC32</f>
        <v>3800000</v>
      </c>
      <c r="F32" s="21" t="str">
        <f>"PKR "&amp;TEXT(E32,"#,##0")&amp;" only"</f>
        <v>PKR 3,800,000 only</v>
      </c>
      <c r="G32" s="21" t="s">
        <v>3080</v>
      </c>
      <c r="H32" s="21" t="s">
        <v>1811</v>
      </c>
      <c r="I32" s="29">
        <f>B32+1</f>
        <v>45904</v>
      </c>
      <c r="J32" s="21" t="s">
        <v>3081</v>
      </c>
      <c r="K32" s="21" t="s">
        <v>3093</v>
      </c>
      <c r="L32" s="21" t="s">
        <v>1849</v>
      </c>
      <c r="M32" s="21" t="s">
        <v>3033</v>
      </c>
      <c r="N32" s="21" t="s">
        <v>1180</v>
      </c>
      <c r="O32" s="21" t="s">
        <v>844</v>
      </c>
      <c r="P32" s="37" cm="1">
        <f t="array" ref="P32">SUMPRODUCT(('T11'!$G$3:$G$1500=L32)*('T11'!$B$3:$B$1500&lt;=B32)*('T11'!$W$3:$W$1500*(1+'T11'!$X$3:$X$1500)+'T11'!$Y$3:$Y$1500))-SUMPRODUCT(($L$3:$L$1499=L32)*($B$3:$B$1499&lt;B32)*($BC$3:$BC$1499+$BD$3:$BD$1499+$BE$3:$BE$1499))</f>
        <v>8020854.3999999985</v>
      </c>
      <c r="Q32" s="37" cm="1">
        <f t="array" ref="Q32">MAX(0,SUMPRODUCT(('T11'!$G$3:$G$1500=L32)*('T11'!$AG$3:$AG$1500&lt;B32)*('T11'!$W$3:$W$1500*(1+'T11'!$X$3:$X$1500)+'T11'!$Y$3:$Y$1500))-SUMPRODUCT(($L$3:$L$1499=L32)*($B$3:$B$1499&lt;B32)*($BC$3:$BC$1499+$BD$3:$BD$1499+$BE$3:$BE$1499)))</f>
        <v>0</v>
      </c>
      <c r="R32" s="21" t="s">
        <v>3143</v>
      </c>
      <c r="S32" s="21" t="s">
        <v>1183</v>
      </c>
      <c r="T32" s="21">
        <v>1</v>
      </c>
      <c r="U32" s="21">
        <v>1</v>
      </c>
      <c r="V32" s="21" t="s">
        <v>3191</v>
      </c>
      <c r="W32" s="37">
        <f>E32</f>
        <v>3800000</v>
      </c>
      <c r="X32" s="21" t="s">
        <v>3192</v>
      </c>
      <c r="Y32" s="21" t="str">
        <f>IF(V32="Cash",IF(AE32="Deposited","Realised","Pending deposit"),IF(V32="Cheque",IF(LEFT(AN32,7)="Cleared","Realised","Pending clearance"),IF(AT32="Identified","Realised","Unidentified")))</f>
        <v>Realised</v>
      </c>
      <c r="Z32" s="21" t="s">
        <v>1811</v>
      </c>
      <c r="AA32" s="21" t="s">
        <v>3199</v>
      </c>
      <c r="AB32" s="21" t="s">
        <v>3200</v>
      </c>
      <c r="AC32" s="21" t="s">
        <v>3201</v>
      </c>
      <c r="AD32" s="29">
        <f>B32+1</f>
        <v>45904</v>
      </c>
      <c r="AE32" s="21" t="str">
        <f>IF(ISNUMBER(SEARCH("DS-",AC32)),"Deposited","Pending")</f>
        <v>Deposited</v>
      </c>
      <c r="AF32" s="21" t="s">
        <v>844</v>
      </c>
      <c r="AG32" s="29" t="s">
        <v>844</v>
      </c>
      <c r="AH32" s="37" t="s">
        <v>844</v>
      </c>
      <c r="AI32" s="21" t="s">
        <v>844</v>
      </c>
      <c r="AJ32" s="21" t="s">
        <v>844</v>
      </c>
      <c r="AK32" s="29" t="s">
        <v>844</v>
      </c>
      <c r="AL32" s="21" t="s">
        <v>844</v>
      </c>
      <c r="AM32" s="29" t="s">
        <v>844</v>
      </c>
      <c r="AN32" s="21" t="s">
        <v>844</v>
      </c>
      <c r="AO32" s="21" t="s">
        <v>844</v>
      </c>
      <c r="AP32" s="21" t="s">
        <v>844</v>
      </c>
      <c r="AQ32" s="21" t="s">
        <v>844</v>
      </c>
      <c r="AR32" s="35" t="s">
        <v>844</v>
      </c>
      <c r="AS32" s="37" t="s">
        <v>844</v>
      </c>
      <c r="AT32" s="21" t="s">
        <v>844</v>
      </c>
      <c r="AU32" s="21" t="str">
        <f>IF(AW32=0,"Complete","Incomplete")</f>
        <v>Complete</v>
      </c>
      <c r="AV32" s="37">
        <f>W32</f>
        <v>3800000</v>
      </c>
      <c r="AW32" s="37">
        <f>AV32-E32</f>
        <v>0</v>
      </c>
      <c r="AX32" s="21">
        <v>1</v>
      </c>
      <c r="AY32" s="21" t="s">
        <v>2405</v>
      </c>
      <c r="AZ32" s="37">
        <f>_xlfn.XLOOKUP(AY32,'T11'!$A$3:$A$1500,'T11'!$AD$3:$AD$1500)</f>
        <v>8020854.4000000004</v>
      </c>
      <c r="BA32" s="37">
        <v>0</v>
      </c>
      <c r="BB32" s="37">
        <f>AZ32-BA32</f>
        <v>8020854.4000000004</v>
      </c>
      <c r="BC32" s="37">
        <v>3800000</v>
      </c>
      <c r="BD32" s="37">
        <f>ROUND(BC32*BH32/(1-BH32),0)</f>
        <v>0</v>
      </c>
      <c r="BE32" s="37">
        <v>0</v>
      </c>
      <c r="BF32" s="37">
        <f>BB32-BC32-BD32-BE32</f>
        <v>4220854.4000000004</v>
      </c>
      <c r="BG32" s="21" t="s">
        <v>3112</v>
      </c>
      <c r="BH32" s="23">
        <v>0</v>
      </c>
      <c r="BI32" s="37">
        <f>BD32</f>
        <v>0</v>
      </c>
      <c r="BJ32" s="21" t="s">
        <v>844</v>
      </c>
      <c r="BK32" s="21" t="s">
        <v>844</v>
      </c>
      <c r="BL32" s="21" t="s">
        <v>844</v>
      </c>
      <c r="BM32" s="21" t="s">
        <v>848</v>
      </c>
      <c r="BN32" s="21" t="str">
        <f>Y32</f>
        <v>Realised</v>
      </c>
      <c r="BO32" s="29">
        <v>45904</v>
      </c>
      <c r="BP32" s="21" t="s">
        <v>848</v>
      </c>
      <c r="BQ32" s="37">
        <f>P32-BC32-BD32-BE32</f>
        <v>4220854.3999999985</v>
      </c>
      <c r="BR32" s="21" t="s">
        <v>3313</v>
      </c>
      <c r="BS32" s="21" t="s">
        <v>3090</v>
      </c>
    </row>
    <row r="33" spans="1:71" x14ac:dyDescent="0.3">
      <c r="A33" s="21" t="s">
        <v>3198</v>
      </c>
      <c r="B33" s="29">
        <v>45908</v>
      </c>
      <c r="C33" s="21" t="s">
        <v>3079</v>
      </c>
      <c r="D33" s="21" t="s">
        <v>743</v>
      </c>
      <c r="E33" s="37">
        <f>BC33</f>
        <v>1800000</v>
      </c>
      <c r="F33" s="21" t="str">
        <f>"PKR "&amp;TEXT(E33,"#,##0")&amp;" only"</f>
        <v>PKR 1,800,000 only</v>
      </c>
      <c r="G33" s="21" t="s">
        <v>3080</v>
      </c>
      <c r="H33" s="21" t="s">
        <v>3092</v>
      </c>
      <c r="I33" s="29" t="s">
        <v>844</v>
      </c>
      <c r="J33" s="21" t="s">
        <v>3081</v>
      </c>
      <c r="K33" s="21" t="s">
        <v>3093</v>
      </c>
      <c r="L33" s="21" t="s">
        <v>1819</v>
      </c>
      <c r="M33" s="21" t="s">
        <v>1156</v>
      </c>
      <c r="N33" s="21" t="s">
        <v>1155</v>
      </c>
      <c r="O33" s="21" t="s">
        <v>844</v>
      </c>
      <c r="P33" s="37" cm="1">
        <f t="array" ref="P33">SUMPRODUCT(('T11'!$G$3:$G$1500=L33)*('T11'!$B$3:$B$1500&lt;=B33)*('T11'!$W$3:$W$1500*(1+'T11'!$X$3:$X$1500)+'T11'!$Y$3:$Y$1500))-SUMPRODUCT(($L$3:$L$1499=L33)*($B$3:$B$1499&lt;B33)*($BC$3:$BC$1499+$BD$3:$BD$1499+$BE$3:$BE$1499))</f>
        <v>3697676</v>
      </c>
      <c r="Q33" s="37" cm="1">
        <f t="array" ref="Q33">MAX(0,SUMPRODUCT(('T11'!$G$3:$G$1500=L33)*('T11'!$AG$3:$AG$1500&lt;B33)*('T11'!$W$3:$W$1500*(1+'T11'!$X$3:$X$1500)+'T11'!$Y$3:$Y$1500))-SUMPRODUCT(($L$3:$L$1499=L33)*($B$3:$B$1499&lt;B33)*($BC$3:$BC$1499+$BD$3:$BD$1499+$BE$3:$BE$1499)))</f>
        <v>0</v>
      </c>
      <c r="R33" s="21" t="s">
        <v>3116</v>
      </c>
      <c r="S33" s="21" t="s">
        <v>1161</v>
      </c>
      <c r="T33" s="21">
        <v>1</v>
      </c>
      <c r="U33" s="21">
        <v>1</v>
      </c>
      <c r="V33" s="21" t="s">
        <v>3095</v>
      </c>
      <c r="W33" s="37">
        <f>E33</f>
        <v>1800000</v>
      </c>
      <c r="X33" s="21" t="s">
        <v>3085</v>
      </c>
      <c r="Y33" s="21" t="str">
        <f>IF(V33="Cash",IF(AE33="Deposited","Realised","Pending deposit"),IF(V33="Cheque",IF(LEFT(AN33,7)="Cleared","Realised","Pending clearance"),IF(AT33="Identified","Realised","Unidentified")))</f>
        <v>Realised</v>
      </c>
      <c r="Z33" s="21" t="s">
        <v>844</v>
      </c>
      <c r="AA33" s="21" t="s">
        <v>844</v>
      </c>
      <c r="AB33" s="21" t="s">
        <v>844</v>
      </c>
      <c r="AC33" s="21" t="s">
        <v>844</v>
      </c>
      <c r="AD33" s="29" t="s">
        <v>844</v>
      </c>
      <c r="AE33" s="21" t="s">
        <v>844</v>
      </c>
      <c r="AF33" s="21" t="s">
        <v>844</v>
      </c>
      <c r="AG33" s="29" t="s">
        <v>844</v>
      </c>
      <c r="AH33" s="37" t="s">
        <v>844</v>
      </c>
      <c r="AI33" s="21" t="s">
        <v>844</v>
      </c>
      <c r="AJ33" s="21" t="s">
        <v>844</v>
      </c>
      <c r="AK33" s="29" t="s">
        <v>844</v>
      </c>
      <c r="AL33" s="21" t="s">
        <v>844</v>
      </c>
      <c r="AM33" s="29" t="s">
        <v>844</v>
      </c>
      <c r="AN33" s="21" t="s">
        <v>844</v>
      </c>
      <c r="AO33" s="21" t="s">
        <v>844</v>
      </c>
      <c r="AP33" s="21" t="s">
        <v>3203</v>
      </c>
      <c r="AQ33" s="21" t="s">
        <v>3204</v>
      </c>
      <c r="AR33" s="35">
        <v>45908.5</v>
      </c>
      <c r="AS33" s="37">
        <f>W33</f>
        <v>1800000</v>
      </c>
      <c r="AT33" s="21" t="s">
        <v>3098</v>
      </c>
      <c r="AU33" s="21" t="str">
        <f>IF(AW33=0,"Complete","Incomplete")</f>
        <v>Complete</v>
      </c>
      <c r="AV33" s="37">
        <f>W33</f>
        <v>1800000</v>
      </c>
      <c r="AW33" s="37">
        <f>AV33-E33</f>
        <v>0</v>
      </c>
      <c r="AX33" s="21">
        <v>1</v>
      </c>
      <c r="AY33" s="21" t="s">
        <v>2411</v>
      </c>
      <c r="AZ33" s="37">
        <f>_xlfn.XLOOKUP(AY33,'T11'!$A$3:$A$1500,'T11'!$AD$3:$AD$1500)</f>
        <v>3697676</v>
      </c>
      <c r="BA33" s="37">
        <v>0</v>
      </c>
      <c r="BB33" s="37">
        <f>AZ33-BA33</f>
        <v>3697676</v>
      </c>
      <c r="BC33" s="37">
        <v>1800000</v>
      </c>
      <c r="BD33" s="37">
        <f>ROUND(BC33*BH33/(1-BH33),0)</f>
        <v>94737</v>
      </c>
      <c r="BE33" s="37">
        <v>0</v>
      </c>
      <c r="BF33" s="37">
        <f>BB33-BC33-BD33-BE33</f>
        <v>1802939</v>
      </c>
      <c r="BG33" s="21" t="s">
        <v>3088</v>
      </c>
      <c r="BH33" s="23">
        <v>0.05</v>
      </c>
      <c r="BI33" s="37">
        <f>BD33</f>
        <v>94737</v>
      </c>
      <c r="BJ33" s="21" t="s">
        <v>3205</v>
      </c>
      <c r="BK33" s="21" t="s">
        <v>753</v>
      </c>
      <c r="BL33" s="21" t="s">
        <v>753</v>
      </c>
      <c r="BM33" s="21" t="s">
        <v>848</v>
      </c>
      <c r="BN33" s="21" t="str">
        <f>Y33</f>
        <v>Realised</v>
      </c>
      <c r="BO33" s="29">
        <v>45908</v>
      </c>
      <c r="BP33" s="21" t="s">
        <v>848</v>
      </c>
      <c r="BQ33" s="37">
        <f>P33-BC33-BD33-BE33</f>
        <v>1802939</v>
      </c>
      <c r="BR33" s="21" t="s">
        <v>3314</v>
      </c>
      <c r="BS33" s="21" t="s">
        <v>3090</v>
      </c>
    </row>
    <row r="34" spans="1:71" x14ac:dyDescent="0.3">
      <c r="A34" s="21" t="s">
        <v>3202</v>
      </c>
      <c r="B34" s="29">
        <v>45918</v>
      </c>
      <c r="C34" s="21" t="s">
        <v>3101</v>
      </c>
      <c r="D34" s="21" t="s">
        <v>743</v>
      </c>
      <c r="E34" s="37">
        <f>BC34</f>
        <v>4220854</v>
      </c>
      <c r="F34" s="21" t="str">
        <f>"PKR "&amp;TEXT(E34,"#,##0")&amp;" only"</f>
        <v>PKR 4,220,854 only</v>
      </c>
      <c r="G34" s="21" t="s">
        <v>3080</v>
      </c>
      <c r="H34" s="21" t="s">
        <v>1811</v>
      </c>
      <c r="I34" s="29">
        <f>B34+1</f>
        <v>45919</v>
      </c>
      <c r="J34" s="21" t="s">
        <v>3081</v>
      </c>
      <c r="K34" s="21" t="s">
        <v>3093</v>
      </c>
      <c r="L34" s="21" t="s">
        <v>1849</v>
      </c>
      <c r="M34" s="21" t="s">
        <v>3033</v>
      </c>
      <c r="N34" s="21" t="s">
        <v>1180</v>
      </c>
      <c r="O34" s="21" t="s">
        <v>844</v>
      </c>
      <c r="P34" s="37" cm="1">
        <f t="array" ref="P34">SUMPRODUCT(('T11'!$G$3:$G$1500=L34)*('T11'!$B$3:$B$1500&lt;=B34)*('T11'!$W$3:$W$1500*(1+'T11'!$X$3:$X$1500)+'T11'!$Y$3:$Y$1500))-SUMPRODUCT(($L$3:$L$1499=L34)*($B$3:$B$1499&lt;B34)*($BC$3:$BC$1499+$BD$3:$BD$1499+$BE$3:$BE$1499))</f>
        <v>4220854.3999999985</v>
      </c>
      <c r="Q34" s="37" cm="1">
        <f t="array" ref="Q34">MAX(0,SUMPRODUCT(('T11'!$G$3:$G$1500=L34)*('T11'!$AG$3:$AG$1500&lt;B34)*('T11'!$W$3:$W$1500*(1+'T11'!$X$3:$X$1500)+'T11'!$Y$3:$Y$1500))-SUMPRODUCT(($L$3:$L$1499=L34)*($B$3:$B$1499&lt;B34)*($BC$3:$BC$1499+$BD$3:$BD$1499+$BE$3:$BE$1499)))</f>
        <v>4220854.3999999985</v>
      </c>
      <c r="R34" s="21" t="s">
        <v>3143</v>
      </c>
      <c r="S34" s="21" t="s">
        <v>1183</v>
      </c>
      <c r="T34" s="21">
        <v>1</v>
      </c>
      <c r="U34" s="21">
        <v>1</v>
      </c>
      <c r="V34" s="21" t="s">
        <v>3191</v>
      </c>
      <c r="W34" s="37">
        <f>E34</f>
        <v>4220854</v>
      </c>
      <c r="X34" s="21" t="s">
        <v>3192</v>
      </c>
      <c r="Y34" s="21" t="str">
        <f>IF(V34="Cash",IF(AE34="Deposited","Realised","Pending deposit"),IF(V34="Cheque",IF(LEFT(AN34,7)="Cleared","Realised","Pending clearance"),IF(AT34="Identified","Realised","Unidentified")))</f>
        <v>Realised</v>
      </c>
      <c r="Z34" s="21" t="s">
        <v>1811</v>
      </c>
      <c r="AA34" s="21" t="s">
        <v>3199</v>
      </c>
      <c r="AB34" s="21" t="s">
        <v>3207</v>
      </c>
      <c r="AC34" s="21" t="s">
        <v>3208</v>
      </c>
      <c r="AD34" s="29">
        <f>B34+1</f>
        <v>45919</v>
      </c>
      <c r="AE34" s="21" t="str">
        <f>IF(ISNUMBER(SEARCH("DS-",AC34)),"Deposited","Pending")</f>
        <v>Deposited</v>
      </c>
      <c r="AF34" s="21" t="s">
        <v>844</v>
      </c>
      <c r="AG34" s="29" t="s">
        <v>844</v>
      </c>
      <c r="AH34" s="37" t="s">
        <v>844</v>
      </c>
      <c r="AI34" s="21" t="s">
        <v>844</v>
      </c>
      <c r="AJ34" s="21" t="s">
        <v>844</v>
      </c>
      <c r="AK34" s="29" t="s">
        <v>844</v>
      </c>
      <c r="AL34" s="21" t="s">
        <v>844</v>
      </c>
      <c r="AM34" s="29" t="s">
        <v>844</v>
      </c>
      <c r="AN34" s="21" t="s">
        <v>844</v>
      </c>
      <c r="AO34" s="21" t="s">
        <v>844</v>
      </c>
      <c r="AP34" s="21" t="s">
        <v>844</v>
      </c>
      <c r="AQ34" s="21" t="s">
        <v>844</v>
      </c>
      <c r="AR34" s="35" t="s">
        <v>844</v>
      </c>
      <c r="AS34" s="37" t="s">
        <v>844</v>
      </c>
      <c r="AT34" s="21" t="s">
        <v>844</v>
      </c>
      <c r="AU34" s="21" t="str">
        <f>IF(AW34=0,"Complete","Incomplete")</f>
        <v>Complete</v>
      </c>
      <c r="AV34" s="37">
        <f>W34</f>
        <v>4220854</v>
      </c>
      <c r="AW34" s="37">
        <f>AV34-E34</f>
        <v>0</v>
      </c>
      <c r="AX34" s="21">
        <v>1</v>
      </c>
      <c r="AY34" s="21" t="s">
        <v>2405</v>
      </c>
      <c r="AZ34" s="37">
        <f>_xlfn.XLOOKUP(AY34,'T11'!$A$3:$A$1500,'T11'!$AD$3:$AD$1500)</f>
        <v>8020854.4000000004</v>
      </c>
      <c r="BA34" s="37">
        <f>BC32+BD32+BE32</f>
        <v>3800000</v>
      </c>
      <c r="BB34" s="37">
        <f>AZ34-BA34</f>
        <v>4220854.4000000004</v>
      </c>
      <c r="BC34" s="37">
        <f>ROUND(BB34*(1-BH34),0)</f>
        <v>4220854</v>
      </c>
      <c r="BD34" s="37">
        <f>BB34-BC34-BE34</f>
        <v>0.40000000037252903</v>
      </c>
      <c r="BE34" s="37">
        <v>0</v>
      </c>
      <c r="BF34" s="37">
        <f>BB34-BC34-BD34-BE34</f>
        <v>0</v>
      </c>
      <c r="BG34" s="21" t="s">
        <v>3112</v>
      </c>
      <c r="BH34" s="23">
        <v>0</v>
      </c>
      <c r="BI34" s="37">
        <f>BD34</f>
        <v>0.40000000037252903</v>
      </c>
      <c r="BJ34" s="21" t="s">
        <v>844</v>
      </c>
      <c r="BK34" s="21" t="s">
        <v>844</v>
      </c>
      <c r="BL34" s="21" t="s">
        <v>844</v>
      </c>
      <c r="BM34" s="21" t="s">
        <v>848</v>
      </c>
      <c r="BN34" s="21" t="str">
        <f>Y34</f>
        <v>Realised</v>
      </c>
      <c r="BO34" s="29">
        <v>45919</v>
      </c>
      <c r="BP34" s="21" t="s">
        <v>848</v>
      </c>
      <c r="BQ34" s="37">
        <f>P34-BC34-BD34-BE34</f>
        <v>-1.862645149230957E-9</v>
      </c>
      <c r="BR34" s="21" t="s">
        <v>3315</v>
      </c>
      <c r="BS34" s="21" t="s">
        <v>3090</v>
      </c>
    </row>
    <row r="35" spans="1:71" x14ac:dyDescent="0.3">
      <c r="A35" s="21" t="s">
        <v>3206</v>
      </c>
      <c r="B35" s="29">
        <v>45924</v>
      </c>
      <c r="C35" s="21" t="s">
        <v>3101</v>
      </c>
      <c r="D35" s="21" t="s">
        <v>743</v>
      </c>
      <c r="E35" s="37">
        <f>BC35</f>
        <v>1712792</v>
      </c>
      <c r="F35" s="21" t="str">
        <f>"PKR "&amp;TEXT(E35,"#,##0")&amp;" only"</f>
        <v>PKR 1,712,792 only</v>
      </c>
      <c r="G35" s="21" t="s">
        <v>3080</v>
      </c>
      <c r="H35" s="21" t="s">
        <v>1811</v>
      </c>
      <c r="I35" s="29" t="s">
        <v>844</v>
      </c>
      <c r="J35" s="21" t="s">
        <v>3081</v>
      </c>
      <c r="K35" s="21" t="s">
        <v>3093</v>
      </c>
      <c r="L35" s="21" t="s">
        <v>1819</v>
      </c>
      <c r="M35" s="21" t="s">
        <v>1156</v>
      </c>
      <c r="N35" s="21" t="s">
        <v>1155</v>
      </c>
      <c r="O35" s="21" t="s">
        <v>844</v>
      </c>
      <c r="P35" s="37" cm="1">
        <f t="array" ref="P35">SUMPRODUCT(('T11'!$G$3:$G$1500=L35)*('T11'!$B$3:$B$1500&lt;=B35)*('T11'!$W$3:$W$1500*(1+'T11'!$X$3:$X$1500)+'T11'!$Y$3:$Y$1500))-SUMPRODUCT(($L$3:$L$1499=L35)*($B$3:$B$1499&lt;B35)*($BC$3:$BC$1499+$BD$3:$BD$1499+$BE$3:$BE$1499))</f>
        <v>1802939</v>
      </c>
      <c r="Q35" s="37" cm="1">
        <f t="array" ref="Q35">MAX(0,SUMPRODUCT(('T11'!$G$3:$G$1500=L35)*('T11'!$AG$3:$AG$1500&lt;B35)*('T11'!$W$3:$W$1500*(1+'T11'!$X$3:$X$1500)+'T11'!$Y$3:$Y$1500))-SUMPRODUCT(($L$3:$L$1499=L35)*($B$3:$B$1499&lt;B35)*($BC$3:$BC$1499+$BD$3:$BD$1499+$BE$3:$BE$1499)))</f>
        <v>1802939</v>
      </c>
      <c r="R35" s="21" t="s">
        <v>3116</v>
      </c>
      <c r="S35" s="21" t="s">
        <v>1161</v>
      </c>
      <c r="T35" s="21">
        <v>1</v>
      </c>
      <c r="U35" s="21">
        <v>1</v>
      </c>
      <c r="V35" s="21" t="s">
        <v>3084</v>
      </c>
      <c r="W35" s="37">
        <f>E35</f>
        <v>1712792</v>
      </c>
      <c r="X35" s="21" t="s">
        <v>3085</v>
      </c>
      <c r="Y35" s="21" t="str">
        <f>IF(V35="Cash",IF(AE35="Deposited","Realised","Pending deposit"),IF(V35="Cheque",IF(LEFT(AN35,7)="Cleared","Realised","Pending clearance"),IF(AT35="Identified","Realised","Unidentified")))</f>
        <v>Realised</v>
      </c>
      <c r="Z35" s="21" t="s">
        <v>844</v>
      </c>
      <c r="AA35" s="21" t="s">
        <v>844</v>
      </c>
      <c r="AB35" s="21" t="s">
        <v>844</v>
      </c>
      <c r="AC35" s="21" t="s">
        <v>844</v>
      </c>
      <c r="AD35" s="29" t="s">
        <v>844</v>
      </c>
      <c r="AE35" s="21" t="s">
        <v>844</v>
      </c>
      <c r="AF35" s="21">
        <v>11871082</v>
      </c>
      <c r="AG35" s="29">
        <v>45924</v>
      </c>
      <c r="AH35" s="37">
        <f>W35</f>
        <v>1712792</v>
      </c>
      <c r="AI35" s="21" t="s">
        <v>3117</v>
      </c>
      <c r="AJ35" s="21" t="s">
        <v>846</v>
      </c>
      <c r="AK35" s="29">
        <f>AG35</f>
        <v>45924</v>
      </c>
      <c r="AL35" s="21" t="s">
        <v>3087</v>
      </c>
      <c r="AM35" s="29">
        <v>45924</v>
      </c>
      <c r="AN35" s="21" t="s">
        <v>3210</v>
      </c>
      <c r="AO35" s="21" t="s">
        <v>848</v>
      </c>
      <c r="AP35" s="21" t="s">
        <v>844</v>
      </c>
      <c r="AQ35" s="21" t="s">
        <v>844</v>
      </c>
      <c r="AR35" s="35" t="s">
        <v>844</v>
      </c>
      <c r="AS35" s="37" t="s">
        <v>844</v>
      </c>
      <c r="AT35" s="21" t="s">
        <v>844</v>
      </c>
      <c r="AU35" s="21" t="str">
        <f>IF(AW35=0,"Complete","Incomplete")</f>
        <v>Complete</v>
      </c>
      <c r="AV35" s="37">
        <f>W35</f>
        <v>1712792</v>
      </c>
      <c r="AW35" s="37">
        <f>AV35-E35</f>
        <v>0</v>
      </c>
      <c r="AX35" s="21">
        <v>1</v>
      </c>
      <c r="AY35" s="21" t="s">
        <v>2411</v>
      </c>
      <c r="AZ35" s="37">
        <f>_xlfn.XLOOKUP(AY35,'T11'!$A$3:$A$1500,'T11'!$AD$3:$AD$1500)</f>
        <v>3697676</v>
      </c>
      <c r="BA35" s="37">
        <f>BC33+BD33+BE33</f>
        <v>1894737</v>
      </c>
      <c r="BB35" s="37">
        <f>AZ35-BA35</f>
        <v>1802939</v>
      </c>
      <c r="BC35" s="37">
        <f>ROUND(BB35*(1-BH35),0)</f>
        <v>1712792</v>
      </c>
      <c r="BD35" s="37">
        <f>BB35-BC35-BE35</f>
        <v>90147</v>
      </c>
      <c r="BE35" s="37">
        <v>0</v>
      </c>
      <c r="BF35" s="37">
        <f>BB35-BC35-BD35-BE35</f>
        <v>0</v>
      </c>
      <c r="BG35" s="21" t="s">
        <v>3088</v>
      </c>
      <c r="BH35" s="23">
        <v>0.05</v>
      </c>
      <c r="BI35" s="37">
        <f>BD35</f>
        <v>90147</v>
      </c>
      <c r="BJ35" s="21" t="s">
        <v>3211</v>
      </c>
      <c r="BK35" s="21" t="s">
        <v>753</v>
      </c>
      <c r="BL35" s="21" t="s">
        <v>753</v>
      </c>
      <c r="BM35" s="21" t="s">
        <v>848</v>
      </c>
      <c r="BN35" s="21" t="str">
        <f>Y35</f>
        <v>Realised</v>
      </c>
      <c r="BO35" s="29">
        <v>45926</v>
      </c>
      <c r="BP35" s="21" t="s">
        <v>848</v>
      </c>
      <c r="BQ35" s="37">
        <f>P35-BC35-BD35-BE35</f>
        <v>0</v>
      </c>
      <c r="BR35" s="21" t="s">
        <v>3316</v>
      </c>
      <c r="BS35" s="21" t="s">
        <v>3090</v>
      </c>
    </row>
    <row r="36" spans="1:71" x14ac:dyDescent="0.3">
      <c r="A36" s="21" t="s">
        <v>3209</v>
      </c>
      <c r="B36" s="29">
        <v>45969</v>
      </c>
      <c r="C36" s="21" t="s">
        <v>3079</v>
      </c>
      <c r="D36" s="21" t="s">
        <v>743</v>
      </c>
      <c r="E36" s="37">
        <f>BC36</f>
        <v>4100000</v>
      </c>
      <c r="F36" s="21" t="str">
        <f>"PKR "&amp;TEXT(E36,"#,##0")&amp;" only"</f>
        <v>PKR 4,100,000 only</v>
      </c>
      <c r="G36" s="21" t="s">
        <v>3080</v>
      </c>
      <c r="H36" s="21" t="s">
        <v>3092</v>
      </c>
      <c r="I36" s="29" t="s">
        <v>844</v>
      </c>
      <c r="J36" s="21" t="s">
        <v>3081</v>
      </c>
      <c r="K36" s="21" t="s">
        <v>3093</v>
      </c>
      <c r="L36" s="21" t="s">
        <v>1830</v>
      </c>
      <c r="M36" s="21" t="s">
        <v>1133</v>
      </c>
      <c r="N36" s="21" t="s">
        <v>1132</v>
      </c>
      <c r="O36" s="21" t="s">
        <v>844</v>
      </c>
      <c r="P36" s="37" cm="1">
        <f t="array" ref="P36">SUMPRODUCT(('T11'!$G$3:$G$1500=L36)*('T11'!$B$3:$B$1500&lt;=B36)*('T11'!$W$3:$W$1500*(1+'T11'!$X$3:$X$1500)+'T11'!$Y$3:$Y$1500))-SUMPRODUCT(($L$3:$L$1499=L36)*($B$3:$B$1499&lt;B36)*($BC$3:$BC$1499+$BD$3:$BD$1499+$BE$3:$BE$1499))</f>
        <v>8745070</v>
      </c>
      <c r="Q36" s="37" cm="1">
        <f t="array" ref="Q36">MAX(0,SUMPRODUCT(('T11'!$G$3:$G$1500=L36)*('T11'!$AG$3:$AG$1500&lt;B36)*('T11'!$W$3:$W$1500*(1+'T11'!$X$3:$X$1500)+'T11'!$Y$3:$Y$1500))-SUMPRODUCT(($L$3:$L$1499=L36)*($B$3:$B$1499&lt;B36)*($BC$3:$BC$1499+$BD$3:$BD$1499+$BE$3:$BE$1499)))</f>
        <v>0</v>
      </c>
      <c r="R36" s="21" t="s">
        <v>3126</v>
      </c>
      <c r="S36" s="21" t="s">
        <v>1139</v>
      </c>
      <c r="T36" s="21">
        <v>1</v>
      </c>
      <c r="U36" s="21">
        <v>1</v>
      </c>
      <c r="V36" s="21" t="s">
        <v>3095</v>
      </c>
      <c r="W36" s="37">
        <f>E36</f>
        <v>4100000</v>
      </c>
      <c r="X36" s="21" t="s">
        <v>3085</v>
      </c>
      <c r="Y36" s="21" t="str">
        <f>IF(V36="Cash",IF(AE36="Deposited","Realised","Pending deposit"),IF(V36="Cheque",IF(LEFT(AN36,7)="Cleared","Realised","Pending clearance"),IF(AT36="Identified","Realised","Unidentified")))</f>
        <v>Realised</v>
      </c>
      <c r="Z36" s="21" t="s">
        <v>844</v>
      </c>
      <c r="AA36" s="21" t="s">
        <v>844</v>
      </c>
      <c r="AB36" s="21" t="s">
        <v>844</v>
      </c>
      <c r="AC36" s="21" t="s">
        <v>844</v>
      </c>
      <c r="AD36" s="29" t="s">
        <v>844</v>
      </c>
      <c r="AE36" s="21" t="s">
        <v>844</v>
      </c>
      <c r="AF36" s="21" t="s">
        <v>844</v>
      </c>
      <c r="AG36" s="29" t="s">
        <v>844</v>
      </c>
      <c r="AH36" s="37" t="s">
        <v>844</v>
      </c>
      <c r="AI36" s="21" t="s">
        <v>844</v>
      </c>
      <c r="AJ36" s="21" t="s">
        <v>844</v>
      </c>
      <c r="AK36" s="29" t="s">
        <v>844</v>
      </c>
      <c r="AL36" s="21" t="s">
        <v>844</v>
      </c>
      <c r="AM36" s="29" t="s">
        <v>844</v>
      </c>
      <c r="AN36" s="21" t="s">
        <v>844</v>
      </c>
      <c r="AO36" s="21" t="s">
        <v>844</v>
      </c>
      <c r="AP36" s="21" t="s">
        <v>3127</v>
      </c>
      <c r="AQ36" s="21" t="s">
        <v>3213</v>
      </c>
      <c r="AR36" s="35">
        <v>45969.708333333336</v>
      </c>
      <c r="AS36" s="37">
        <f>W36</f>
        <v>4100000</v>
      </c>
      <c r="AT36" s="21" t="s">
        <v>3098</v>
      </c>
      <c r="AU36" s="21" t="str">
        <f>IF(AW36=0,"Complete","Incomplete")</f>
        <v>Complete</v>
      </c>
      <c r="AV36" s="37">
        <f>W36</f>
        <v>4100000</v>
      </c>
      <c r="AW36" s="37">
        <f>AV36-E36</f>
        <v>0</v>
      </c>
      <c r="AX36" s="21">
        <v>1</v>
      </c>
      <c r="AY36" s="21" t="s">
        <v>2481</v>
      </c>
      <c r="AZ36" s="37">
        <f>_xlfn.XLOOKUP(AY36,'T11'!$A$3:$A$1500,'T11'!$AD$3:$AD$1500)</f>
        <v>8745070</v>
      </c>
      <c r="BA36" s="37">
        <v>0</v>
      </c>
      <c r="BB36" s="37">
        <f>AZ36-BA36</f>
        <v>8745070</v>
      </c>
      <c r="BC36" s="37">
        <v>4100000</v>
      </c>
      <c r="BD36" s="37">
        <f>ROUND(BC36*BH36/(1-BH36),0)</f>
        <v>41414</v>
      </c>
      <c r="BE36" s="37">
        <v>0</v>
      </c>
      <c r="BF36" s="37">
        <f>BB36-BC36-BD36-BE36</f>
        <v>4603656</v>
      </c>
      <c r="BG36" s="21" t="s">
        <v>3088</v>
      </c>
      <c r="BH36" s="23">
        <v>0.01</v>
      </c>
      <c r="BI36" s="37">
        <f>BD36</f>
        <v>41414</v>
      </c>
      <c r="BJ36" s="21" t="s">
        <v>3214</v>
      </c>
      <c r="BK36" s="21" t="s">
        <v>753</v>
      </c>
      <c r="BL36" s="21" t="s">
        <v>753</v>
      </c>
      <c r="BM36" s="21" t="s">
        <v>848</v>
      </c>
      <c r="BN36" s="21" t="str">
        <f>Y36</f>
        <v>Realised</v>
      </c>
      <c r="BO36" s="29">
        <v>45969</v>
      </c>
      <c r="BP36" s="21" t="s">
        <v>848</v>
      </c>
      <c r="BQ36" s="37">
        <f>P36-BC36-BD36-BE36</f>
        <v>4603656</v>
      </c>
      <c r="BR36" s="21" t="s">
        <v>3317</v>
      </c>
      <c r="BS36" s="21" t="s">
        <v>3090</v>
      </c>
    </row>
    <row r="37" spans="1:71" x14ac:dyDescent="0.3">
      <c r="A37" s="21" t="s">
        <v>3212</v>
      </c>
      <c r="B37" s="29">
        <v>45986</v>
      </c>
      <c r="C37" s="21" t="s">
        <v>3101</v>
      </c>
      <c r="D37" s="21" t="s">
        <v>743</v>
      </c>
      <c r="E37" s="37">
        <f>BC37</f>
        <v>5824650</v>
      </c>
      <c r="F37" s="21" t="str">
        <f>"PKR "&amp;TEXT(E37,"#,##0")&amp;" only"</f>
        <v>PKR 5,824,650 only</v>
      </c>
      <c r="G37" s="21" t="s">
        <v>3080</v>
      </c>
      <c r="H37" s="21" t="s">
        <v>1796</v>
      </c>
      <c r="I37" s="29" t="s">
        <v>844</v>
      </c>
      <c r="J37" s="21" t="s">
        <v>3081</v>
      </c>
      <c r="K37" s="21" t="s">
        <v>3082</v>
      </c>
      <c r="L37" s="21" t="s">
        <v>1870</v>
      </c>
      <c r="M37" s="21" t="s">
        <v>3033</v>
      </c>
      <c r="N37" s="21" t="s">
        <v>1043</v>
      </c>
      <c r="O37" s="21" t="s">
        <v>844</v>
      </c>
      <c r="P37" s="37" cm="1">
        <f t="array" ref="P37">SUMPRODUCT(('T11'!$G$3:$G$1500=L37)*('T11'!$B$3:$B$1500&lt;=B37)*('T11'!$W$3:$W$1500*(1+'T11'!$X$3:$X$1500)+'T11'!$Y$3:$Y$1500))-SUMPRODUCT(($L$3:$L$1499=L37)*($B$3:$B$1499&lt;B37)*($BC$3:$BC$1499+$BD$3:$BD$1499+$BE$3:$BE$1499))</f>
        <v>11480890.6</v>
      </c>
      <c r="Q37" s="37" cm="1">
        <f t="array" ref="Q37">MAX(0,SUMPRODUCT(('T11'!$G$3:$G$1500=L37)*('T11'!$AG$3:$AG$1500&lt;B37)*('T11'!$W$3:$W$1500*(1+'T11'!$X$3:$X$1500)+'T11'!$Y$3:$Y$1500))-SUMPRODUCT(($L$3:$L$1499=L37)*($B$3:$B$1499&lt;B37)*($BC$3:$BC$1499+$BD$3:$BD$1499+$BE$3:$BE$1499)))</f>
        <v>0</v>
      </c>
      <c r="R37" s="21" t="s">
        <v>3190</v>
      </c>
      <c r="S37" s="21" t="s">
        <v>1871</v>
      </c>
      <c r="T37" s="21">
        <v>1</v>
      </c>
      <c r="U37" s="21">
        <v>1</v>
      </c>
      <c r="V37" s="21" t="s">
        <v>3084</v>
      </c>
      <c r="W37" s="37">
        <f>E37</f>
        <v>5824650</v>
      </c>
      <c r="X37" s="21" t="s">
        <v>3085</v>
      </c>
      <c r="Y37" s="21" t="str">
        <f>IF(V37="Cash",IF(AE37="Deposited","Realised","Pending deposit"),IF(V37="Cheque",IF(LEFT(AN37,7)="Cleared","Realised","Pending clearance"),IF(AT37="Identified","Realised","Unidentified")))</f>
        <v>Realised</v>
      </c>
      <c r="Z37" s="21" t="s">
        <v>844</v>
      </c>
      <c r="AA37" s="21" t="s">
        <v>844</v>
      </c>
      <c r="AB37" s="21" t="s">
        <v>844</v>
      </c>
      <c r="AC37" s="21" t="s">
        <v>844</v>
      </c>
      <c r="AD37" s="29" t="s">
        <v>844</v>
      </c>
      <c r="AE37" s="21" t="s">
        <v>844</v>
      </c>
      <c r="AF37" s="21">
        <v>17668803</v>
      </c>
      <c r="AG37" s="29">
        <v>45986</v>
      </c>
      <c r="AH37" s="37">
        <f>W37</f>
        <v>5824650</v>
      </c>
      <c r="AI37" s="21" t="s">
        <v>3216</v>
      </c>
      <c r="AJ37" s="21" t="s">
        <v>846</v>
      </c>
      <c r="AK37" s="29">
        <f>AG37</f>
        <v>45986</v>
      </c>
      <c r="AL37" s="21" t="s">
        <v>3087</v>
      </c>
      <c r="AM37" s="29">
        <v>45986</v>
      </c>
      <c r="AN37" s="21" t="s">
        <v>3217</v>
      </c>
      <c r="AO37" s="21" t="s">
        <v>848</v>
      </c>
      <c r="AP37" s="21" t="s">
        <v>844</v>
      </c>
      <c r="AQ37" s="21" t="s">
        <v>844</v>
      </c>
      <c r="AR37" s="35" t="s">
        <v>844</v>
      </c>
      <c r="AS37" s="37" t="s">
        <v>844</v>
      </c>
      <c r="AT37" s="21" t="s">
        <v>844</v>
      </c>
      <c r="AU37" s="21" t="str">
        <f>IF(AW37=0,"Complete","Incomplete")</f>
        <v>Complete</v>
      </c>
      <c r="AV37" s="37">
        <f>W37</f>
        <v>5824650</v>
      </c>
      <c r="AW37" s="37">
        <f>AV37-E37</f>
        <v>0</v>
      </c>
      <c r="AX37" s="21">
        <v>1</v>
      </c>
      <c r="AY37" s="21" t="s">
        <v>2475</v>
      </c>
      <c r="AZ37" s="37">
        <f>_xlfn.XLOOKUP(AY37,'T11'!$A$3:$A$1500,'T11'!$AD$3:$AD$1500)</f>
        <v>5824650</v>
      </c>
      <c r="BA37" s="37">
        <v>0</v>
      </c>
      <c r="BB37" s="37">
        <f>AZ37-BA37</f>
        <v>5824650</v>
      </c>
      <c r="BC37" s="37">
        <f>ROUND(BB37*(1-BH37),0)</f>
        <v>5824650</v>
      </c>
      <c r="BD37" s="37">
        <f>BB37-BC37-BE37</f>
        <v>0</v>
      </c>
      <c r="BE37" s="37">
        <v>0</v>
      </c>
      <c r="BF37" s="37">
        <f>BB37-BC37-BD37-BE37</f>
        <v>0</v>
      </c>
      <c r="BG37" s="21" t="s">
        <v>3112</v>
      </c>
      <c r="BH37" s="23">
        <v>0</v>
      </c>
      <c r="BI37" s="37">
        <f>BD37</f>
        <v>0</v>
      </c>
      <c r="BJ37" s="21" t="s">
        <v>844</v>
      </c>
      <c r="BK37" s="21" t="s">
        <v>844</v>
      </c>
      <c r="BL37" s="21" t="s">
        <v>844</v>
      </c>
      <c r="BM37" s="21" t="s">
        <v>848</v>
      </c>
      <c r="BN37" s="21" t="str">
        <f>Y37</f>
        <v>Realised</v>
      </c>
      <c r="BO37" s="29">
        <v>45988</v>
      </c>
      <c r="BP37" s="21" t="s">
        <v>848</v>
      </c>
      <c r="BQ37" s="37">
        <f>P37-BC37-BD37-BE37</f>
        <v>5656240.5999999996</v>
      </c>
      <c r="BR37" s="21" t="s">
        <v>3318</v>
      </c>
      <c r="BS37" s="21" t="s">
        <v>3090</v>
      </c>
    </row>
    <row r="38" spans="1:71" x14ac:dyDescent="0.3">
      <c r="A38" s="21" t="s">
        <v>3215</v>
      </c>
      <c r="B38" s="29">
        <v>45987</v>
      </c>
      <c r="C38" s="21" t="s">
        <v>3101</v>
      </c>
      <c r="D38" s="21" t="s">
        <v>743</v>
      </c>
      <c r="E38" s="37">
        <f>BC38</f>
        <v>4557619</v>
      </c>
      <c r="F38" s="21" t="str">
        <f>"PKR "&amp;TEXT(E38,"#,##0")&amp;" only"</f>
        <v>PKR 4,557,619 only</v>
      </c>
      <c r="G38" s="21" t="s">
        <v>3080</v>
      </c>
      <c r="H38" s="21" t="s">
        <v>1811</v>
      </c>
      <c r="I38" s="29" t="s">
        <v>844</v>
      </c>
      <c r="J38" s="21" t="s">
        <v>3081</v>
      </c>
      <c r="K38" s="21" t="s">
        <v>3093</v>
      </c>
      <c r="L38" s="21" t="s">
        <v>1830</v>
      </c>
      <c r="M38" s="21" t="s">
        <v>1133</v>
      </c>
      <c r="N38" s="21" t="s">
        <v>1132</v>
      </c>
      <c r="O38" s="21" t="s">
        <v>844</v>
      </c>
      <c r="P38" s="37" cm="1">
        <f t="array" ref="P38">SUMPRODUCT(('T11'!$G$3:$G$1500=L38)*('T11'!$B$3:$B$1500&lt;=B38)*('T11'!$W$3:$W$1500*(1+'T11'!$X$3:$X$1500)+'T11'!$Y$3:$Y$1500))-SUMPRODUCT(($L$3:$L$1499=L38)*($B$3:$B$1499&lt;B38)*($BC$3:$BC$1499+$BD$3:$BD$1499+$BE$3:$BE$1499))</f>
        <v>11393322</v>
      </c>
      <c r="Q38" s="37" cm="1">
        <f t="array" ref="Q38">MAX(0,SUMPRODUCT(('T11'!$G$3:$G$1500=L38)*('T11'!$AG$3:$AG$1500&lt;B38)*('T11'!$W$3:$W$1500*(1+'T11'!$X$3:$X$1500)+'T11'!$Y$3:$Y$1500))-SUMPRODUCT(($L$3:$L$1499=L38)*($B$3:$B$1499&lt;B38)*($BC$3:$BC$1499+$BD$3:$BD$1499+$BE$3:$BE$1499)))</f>
        <v>4603656</v>
      </c>
      <c r="R38" s="21" t="s">
        <v>3126</v>
      </c>
      <c r="S38" s="21" t="s">
        <v>1139</v>
      </c>
      <c r="T38" s="21">
        <v>1</v>
      </c>
      <c r="U38" s="21">
        <v>1</v>
      </c>
      <c r="V38" s="21" t="s">
        <v>3084</v>
      </c>
      <c r="W38" s="37">
        <f>E38</f>
        <v>4557619</v>
      </c>
      <c r="X38" s="21" t="s">
        <v>3085</v>
      </c>
      <c r="Y38" s="21" t="str">
        <f>IF(V38="Cash",IF(AE38="Deposited","Realised","Pending deposit"),IF(V38="Cheque",IF(LEFT(AN38,7)="Cleared","Realised","Pending clearance"),IF(AT38="Identified","Realised","Unidentified")))</f>
        <v>Realised</v>
      </c>
      <c r="Z38" s="21" t="s">
        <v>844</v>
      </c>
      <c r="AA38" s="21" t="s">
        <v>844</v>
      </c>
      <c r="AB38" s="21" t="s">
        <v>844</v>
      </c>
      <c r="AC38" s="21" t="s">
        <v>844</v>
      </c>
      <c r="AD38" s="29" t="s">
        <v>844</v>
      </c>
      <c r="AE38" s="21" t="s">
        <v>844</v>
      </c>
      <c r="AF38" s="21">
        <v>10585297</v>
      </c>
      <c r="AG38" s="29">
        <v>45987</v>
      </c>
      <c r="AH38" s="37">
        <f>W38</f>
        <v>4557619</v>
      </c>
      <c r="AI38" s="21" t="s">
        <v>3131</v>
      </c>
      <c r="AJ38" s="21" t="s">
        <v>846</v>
      </c>
      <c r="AK38" s="29">
        <f>AG38</f>
        <v>45987</v>
      </c>
      <c r="AL38" s="21" t="s">
        <v>3087</v>
      </c>
      <c r="AM38" s="29">
        <v>45987</v>
      </c>
      <c r="AN38" s="21" t="s">
        <v>3219</v>
      </c>
      <c r="AO38" s="21" t="s">
        <v>848</v>
      </c>
      <c r="AP38" s="21" t="s">
        <v>844</v>
      </c>
      <c r="AQ38" s="21" t="s">
        <v>844</v>
      </c>
      <c r="AR38" s="35" t="s">
        <v>844</v>
      </c>
      <c r="AS38" s="37" t="s">
        <v>844</v>
      </c>
      <c r="AT38" s="21" t="s">
        <v>844</v>
      </c>
      <c r="AU38" s="21" t="str">
        <f>IF(AW38=0,"Complete","Incomplete")</f>
        <v>Complete</v>
      </c>
      <c r="AV38" s="37">
        <f>W38</f>
        <v>4557619</v>
      </c>
      <c r="AW38" s="37">
        <f>AV38-E38</f>
        <v>0</v>
      </c>
      <c r="AX38" s="21">
        <v>1</v>
      </c>
      <c r="AY38" s="21" t="s">
        <v>2481</v>
      </c>
      <c r="AZ38" s="37">
        <f>_xlfn.XLOOKUP(AY38,'T11'!$A$3:$A$1500,'T11'!$AD$3:$AD$1500)</f>
        <v>8745070</v>
      </c>
      <c r="BA38" s="37">
        <f>BC36+BD36+BE36</f>
        <v>4141414</v>
      </c>
      <c r="BB38" s="37">
        <f>AZ38-BA38</f>
        <v>4603656</v>
      </c>
      <c r="BC38" s="37">
        <f>ROUND(BB38*(1-BH38),0)</f>
        <v>4557619</v>
      </c>
      <c r="BD38" s="37">
        <f>BB38-BC38-BE38</f>
        <v>46037</v>
      </c>
      <c r="BE38" s="37">
        <v>0</v>
      </c>
      <c r="BF38" s="37">
        <f>BB38-BC38-BD38-BE38</f>
        <v>0</v>
      </c>
      <c r="BG38" s="21" t="s">
        <v>3088</v>
      </c>
      <c r="BH38" s="23">
        <v>0.01</v>
      </c>
      <c r="BI38" s="37">
        <f>BD38</f>
        <v>46037</v>
      </c>
      <c r="BJ38" s="21" t="s">
        <v>3220</v>
      </c>
      <c r="BK38" s="21" t="s">
        <v>753</v>
      </c>
      <c r="BL38" s="21" t="s">
        <v>753</v>
      </c>
      <c r="BM38" s="21" t="s">
        <v>848</v>
      </c>
      <c r="BN38" s="21" t="str">
        <f>Y38</f>
        <v>Realised</v>
      </c>
      <c r="BO38" s="29">
        <v>45989</v>
      </c>
      <c r="BP38" s="21" t="s">
        <v>848</v>
      </c>
      <c r="BQ38" s="37">
        <f>P38-BC38-BD38-BE38</f>
        <v>6789666</v>
      </c>
      <c r="BR38" s="21" t="s">
        <v>3319</v>
      </c>
      <c r="BS38" s="21" t="s">
        <v>3090</v>
      </c>
    </row>
    <row r="39" spans="1:71" x14ac:dyDescent="0.3">
      <c r="A39" s="21" t="s">
        <v>3218</v>
      </c>
      <c r="B39" s="29">
        <v>45998</v>
      </c>
      <c r="C39" s="21" t="s">
        <v>3079</v>
      </c>
      <c r="D39" s="21" t="s">
        <v>743</v>
      </c>
      <c r="E39" s="37">
        <f>BC39</f>
        <v>3300000</v>
      </c>
      <c r="F39" s="21" t="str">
        <f>"PKR "&amp;TEXT(E39,"#,##0")&amp;" only"</f>
        <v>PKR 3,300,000 only</v>
      </c>
      <c r="G39" s="21" t="s">
        <v>3080</v>
      </c>
      <c r="H39" s="21" t="s">
        <v>3092</v>
      </c>
      <c r="I39" s="29" t="s">
        <v>844</v>
      </c>
      <c r="J39" s="21" t="s">
        <v>3081</v>
      </c>
      <c r="K39" s="21" t="s">
        <v>3093</v>
      </c>
      <c r="L39" s="21" t="s">
        <v>1830</v>
      </c>
      <c r="M39" s="21" t="s">
        <v>1133</v>
      </c>
      <c r="N39" s="21" t="s">
        <v>1132</v>
      </c>
      <c r="O39" s="21" t="s">
        <v>844</v>
      </c>
      <c r="P39" s="37" cm="1">
        <f t="array" ref="P39">SUMPRODUCT(('T11'!$G$3:$G$1500=L39)*('T11'!$B$3:$B$1500&lt;=B39)*('T11'!$W$3:$W$1500*(1+'T11'!$X$3:$X$1500)+'T11'!$Y$3:$Y$1500))-SUMPRODUCT(($L$3:$L$1499=L39)*($B$3:$B$1499&lt;B39)*($BC$3:$BC$1499+$BD$3:$BD$1499+$BE$3:$BE$1499))</f>
        <v>6789666</v>
      </c>
      <c r="Q39" s="37" cm="1">
        <f t="array" ref="Q39">MAX(0,SUMPRODUCT(('T11'!$G$3:$G$1500=L39)*('T11'!$AG$3:$AG$1500&lt;B39)*('T11'!$W$3:$W$1500*(1+'T11'!$X$3:$X$1500)+'T11'!$Y$3:$Y$1500))-SUMPRODUCT(($L$3:$L$1499=L39)*($B$3:$B$1499&lt;B39)*($BC$3:$BC$1499+$BD$3:$BD$1499+$BE$3:$BE$1499)))</f>
        <v>0</v>
      </c>
      <c r="R39" s="21" t="s">
        <v>3126</v>
      </c>
      <c r="S39" s="21" t="s">
        <v>1139</v>
      </c>
      <c r="T39" s="21">
        <v>1</v>
      </c>
      <c r="U39" s="21">
        <v>1</v>
      </c>
      <c r="V39" s="21" t="s">
        <v>3095</v>
      </c>
      <c r="W39" s="37">
        <f>E39</f>
        <v>3300000</v>
      </c>
      <c r="X39" s="21" t="s">
        <v>3085</v>
      </c>
      <c r="Y39" s="21" t="str">
        <f>IF(V39="Cash",IF(AE39="Deposited","Realised","Pending deposit"),IF(V39="Cheque",IF(LEFT(AN39,7)="Cleared","Realised","Pending clearance"),IF(AT39="Identified","Realised","Unidentified")))</f>
        <v>Realised</v>
      </c>
      <c r="Z39" s="21" t="s">
        <v>844</v>
      </c>
      <c r="AA39" s="21" t="s">
        <v>844</v>
      </c>
      <c r="AB39" s="21" t="s">
        <v>844</v>
      </c>
      <c r="AC39" s="21" t="s">
        <v>844</v>
      </c>
      <c r="AD39" s="29" t="s">
        <v>844</v>
      </c>
      <c r="AE39" s="21" t="s">
        <v>844</v>
      </c>
      <c r="AF39" s="21" t="s">
        <v>844</v>
      </c>
      <c r="AG39" s="29" t="s">
        <v>844</v>
      </c>
      <c r="AH39" s="37" t="s">
        <v>844</v>
      </c>
      <c r="AI39" s="21" t="s">
        <v>844</v>
      </c>
      <c r="AJ39" s="21" t="s">
        <v>844</v>
      </c>
      <c r="AK39" s="29" t="s">
        <v>844</v>
      </c>
      <c r="AL39" s="21" t="s">
        <v>844</v>
      </c>
      <c r="AM39" s="29" t="s">
        <v>844</v>
      </c>
      <c r="AN39" s="21" t="s">
        <v>844</v>
      </c>
      <c r="AO39" s="21" t="s">
        <v>844</v>
      </c>
      <c r="AP39" s="21" t="s">
        <v>3127</v>
      </c>
      <c r="AQ39" s="21" t="s">
        <v>3222</v>
      </c>
      <c r="AR39" s="35">
        <v>45998.708333333336</v>
      </c>
      <c r="AS39" s="37">
        <f>W39</f>
        <v>3300000</v>
      </c>
      <c r="AT39" s="21" t="s">
        <v>3098</v>
      </c>
      <c r="AU39" s="21" t="str">
        <f>IF(AW39=0,"Complete","Incomplete")</f>
        <v>Complete</v>
      </c>
      <c r="AV39" s="37">
        <f>W39</f>
        <v>3300000</v>
      </c>
      <c r="AW39" s="37">
        <f>AV39-E39</f>
        <v>0</v>
      </c>
      <c r="AX39" s="21">
        <v>1</v>
      </c>
      <c r="AY39" s="21" t="s">
        <v>2521</v>
      </c>
      <c r="AZ39" s="37">
        <f>_xlfn.XLOOKUP(AY39,'T11'!$A$3:$A$1500,'T11'!$AD$3:$AD$1500)</f>
        <v>6789666</v>
      </c>
      <c r="BA39" s="37">
        <v>0</v>
      </c>
      <c r="BB39" s="37">
        <f>AZ39-BA39</f>
        <v>6789666</v>
      </c>
      <c r="BC39" s="37">
        <v>3300000</v>
      </c>
      <c r="BD39" s="37">
        <f>ROUND(BC39*BH39/(1-BH39),0)</f>
        <v>33333</v>
      </c>
      <c r="BE39" s="37">
        <v>0</v>
      </c>
      <c r="BF39" s="37">
        <f>BB39-BC39-BD39-BE39</f>
        <v>3456333</v>
      </c>
      <c r="BG39" s="21" t="s">
        <v>3088</v>
      </c>
      <c r="BH39" s="23">
        <v>0.01</v>
      </c>
      <c r="BI39" s="37">
        <f>BD39</f>
        <v>33333</v>
      </c>
      <c r="BJ39" s="21" t="s">
        <v>3223</v>
      </c>
      <c r="BK39" s="21" t="s">
        <v>753</v>
      </c>
      <c r="BL39" s="21" t="s">
        <v>753</v>
      </c>
      <c r="BM39" s="21" t="s">
        <v>848</v>
      </c>
      <c r="BN39" s="21" t="str">
        <f>Y39</f>
        <v>Realised</v>
      </c>
      <c r="BO39" s="29">
        <v>45998</v>
      </c>
      <c r="BP39" s="21" t="s">
        <v>848</v>
      </c>
      <c r="BQ39" s="37">
        <f>P39-BC39-BD39-BE39</f>
        <v>3456333</v>
      </c>
      <c r="BR39" s="21" t="s">
        <v>3320</v>
      </c>
      <c r="BS39" s="21" t="s">
        <v>3090</v>
      </c>
    </row>
    <row r="40" spans="1:71" x14ac:dyDescent="0.3">
      <c r="A40" s="21" t="s">
        <v>3221</v>
      </c>
      <c r="B40" s="29">
        <v>46000</v>
      </c>
      <c r="C40" s="21" t="s">
        <v>3079</v>
      </c>
      <c r="D40" s="21" t="s">
        <v>743</v>
      </c>
      <c r="E40" s="37">
        <f>BC40</f>
        <v>3000000</v>
      </c>
      <c r="F40" s="21" t="str">
        <f>"PKR "&amp;TEXT(E40,"#,##0")&amp;" only"</f>
        <v>PKR 3,000,000 only</v>
      </c>
      <c r="G40" s="21" t="s">
        <v>3080</v>
      </c>
      <c r="H40" s="21" t="s">
        <v>1796</v>
      </c>
      <c r="I40" s="29">
        <f>B40+1</f>
        <v>46001</v>
      </c>
      <c r="J40" s="21" t="s">
        <v>3081</v>
      </c>
      <c r="K40" s="21" t="s">
        <v>3082</v>
      </c>
      <c r="L40" s="21" t="s">
        <v>1870</v>
      </c>
      <c r="M40" s="21" t="s">
        <v>3033</v>
      </c>
      <c r="N40" s="21" t="s">
        <v>1043</v>
      </c>
      <c r="O40" s="21" t="s">
        <v>844</v>
      </c>
      <c r="P40" s="37" cm="1">
        <f t="array" ref="P40">SUMPRODUCT(('T11'!$G$3:$G$1500=L40)*('T11'!$B$3:$B$1500&lt;=B40)*('T11'!$W$3:$W$1500*(1+'T11'!$X$3:$X$1500)+'T11'!$Y$3:$Y$1500))-SUMPRODUCT(($L$3:$L$1499=L40)*($B$3:$B$1499&lt;B40)*($BC$3:$BC$1499+$BD$3:$BD$1499+$BE$3:$BE$1499))</f>
        <v>5656240.5999999996</v>
      </c>
      <c r="Q40" s="37" cm="1">
        <f t="array" ref="Q40">MAX(0,SUMPRODUCT(('T11'!$G$3:$G$1500=L40)*('T11'!$AG$3:$AG$1500&lt;B40)*('T11'!$W$3:$W$1500*(1+'T11'!$X$3:$X$1500)+'T11'!$Y$3:$Y$1500))-SUMPRODUCT(($L$3:$L$1499=L40)*($B$3:$B$1499&lt;B40)*($BC$3:$BC$1499+$BD$3:$BD$1499+$BE$3:$BE$1499)))</f>
        <v>0</v>
      </c>
      <c r="R40" s="21" t="s">
        <v>3190</v>
      </c>
      <c r="S40" s="21" t="s">
        <v>1871</v>
      </c>
      <c r="T40" s="21">
        <v>1</v>
      </c>
      <c r="U40" s="21">
        <v>1</v>
      </c>
      <c r="V40" s="21" t="s">
        <v>3191</v>
      </c>
      <c r="W40" s="37">
        <f>E40</f>
        <v>3000000</v>
      </c>
      <c r="X40" s="21" t="s">
        <v>3192</v>
      </c>
      <c r="Y40" s="21" t="str">
        <f>IF(V40="Cash",IF(AE40="Deposited","Realised","Pending deposit"),IF(V40="Cheque",IF(LEFT(AN40,7)="Cleared","Realised","Pending clearance"),IF(AT40="Identified","Realised","Unidentified")))</f>
        <v>Realised</v>
      </c>
      <c r="Z40" s="21" t="s">
        <v>1796</v>
      </c>
      <c r="AA40" s="21" t="s">
        <v>3193</v>
      </c>
      <c r="AB40" s="21" t="s">
        <v>3225</v>
      </c>
      <c r="AC40" s="21" t="s">
        <v>3226</v>
      </c>
      <c r="AD40" s="29">
        <f>B40+1</f>
        <v>46001</v>
      </c>
      <c r="AE40" s="21" t="str">
        <f>IF(ISNUMBER(SEARCH("DS-",AC40)),"Deposited","Pending")</f>
        <v>Deposited</v>
      </c>
      <c r="AF40" s="21" t="s">
        <v>844</v>
      </c>
      <c r="AG40" s="29" t="s">
        <v>844</v>
      </c>
      <c r="AH40" s="37" t="s">
        <v>844</v>
      </c>
      <c r="AI40" s="21" t="s">
        <v>844</v>
      </c>
      <c r="AJ40" s="21" t="s">
        <v>844</v>
      </c>
      <c r="AK40" s="29" t="s">
        <v>844</v>
      </c>
      <c r="AL40" s="21" t="s">
        <v>844</v>
      </c>
      <c r="AM40" s="29" t="s">
        <v>844</v>
      </c>
      <c r="AN40" s="21" t="s">
        <v>844</v>
      </c>
      <c r="AO40" s="21" t="s">
        <v>844</v>
      </c>
      <c r="AP40" s="21" t="s">
        <v>844</v>
      </c>
      <c r="AQ40" s="21" t="s">
        <v>844</v>
      </c>
      <c r="AR40" s="35" t="s">
        <v>844</v>
      </c>
      <c r="AS40" s="37" t="s">
        <v>844</v>
      </c>
      <c r="AT40" s="21" t="s">
        <v>844</v>
      </c>
      <c r="AU40" s="21" t="str">
        <f>IF(AW40=0,"Complete","Incomplete")</f>
        <v>Complete</v>
      </c>
      <c r="AV40" s="37">
        <f>W40</f>
        <v>3000000</v>
      </c>
      <c r="AW40" s="37">
        <f>AV40-E40</f>
        <v>0</v>
      </c>
      <c r="AX40" s="21">
        <v>1</v>
      </c>
      <c r="AY40" s="21" t="s">
        <v>2527</v>
      </c>
      <c r="AZ40" s="37">
        <f>_xlfn.XLOOKUP(AY40,'T11'!$A$3:$A$1500,'T11'!$AD$3:$AD$1500)</f>
        <v>5656240.5999999996</v>
      </c>
      <c r="BA40" s="37">
        <v>0</v>
      </c>
      <c r="BB40" s="37">
        <f>AZ40-BA40</f>
        <v>5656240.5999999996</v>
      </c>
      <c r="BC40" s="37">
        <v>3000000</v>
      </c>
      <c r="BD40" s="37">
        <f>ROUND(BC40*BH40/(1-BH40),0)</f>
        <v>0</v>
      </c>
      <c r="BE40" s="37">
        <v>0</v>
      </c>
      <c r="BF40" s="37">
        <f>BB40-BC40-BD40-BE40</f>
        <v>2656240.5999999996</v>
      </c>
      <c r="BG40" s="21" t="s">
        <v>3112</v>
      </c>
      <c r="BH40" s="23">
        <v>0</v>
      </c>
      <c r="BI40" s="37">
        <f>BD40</f>
        <v>0</v>
      </c>
      <c r="BJ40" s="21" t="s">
        <v>844</v>
      </c>
      <c r="BK40" s="21" t="s">
        <v>844</v>
      </c>
      <c r="BL40" s="21" t="s">
        <v>844</v>
      </c>
      <c r="BM40" s="21" t="s">
        <v>848</v>
      </c>
      <c r="BN40" s="21" t="str">
        <f>Y40</f>
        <v>Realised</v>
      </c>
      <c r="BO40" s="29">
        <v>46001</v>
      </c>
      <c r="BP40" s="21" t="s">
        <v>848</v>
      </c>
      <c r="BQ40" s="37">
        <f>P40-BC40-BD40-BE40</f>
        <v>2656240.5999999996</v>
      </c>
      <c r="BR40" s="21" t="s">
        <v>3321</v>
      </c>
      <c r="BS40" s="21" t="s">
        <v>3090</v>
      </c>
    </row>
    <row r="41" spans="1:71" x14ac:dyDescent="0.3">
      <c r="A41" s="21" t="s">
        <v>3224</v>
      </c>
      <c r="B41" s="29">
        <v>46014</v>
      </c>
      <c r="C41" s="21" t="s">
        <v>3101</v>
      </c>
      <c r="D41" s="21" t="s">
        <v>743</v>
      </c>
      <c r="E41" s="37">
        <f>BC41</f>
        <v>3421770</v>
      </c>
      <c r="F41" s="21" t="str">
        <f>"PKR "&amp;TEXT(E41,"#,##0")&amp;" only"</f>
        <v>PKR 3,421,770 only</v>
      </c>
      <c r="G41" s="21" t="s">
        <v>3080</v>
      </c>
      <c r="H41" s="21" t="s">
        <v>1811</v>
      </c>
      <c r="I41" s="29" t="s">
        <v>844</v>
      </c>
      <c r="J41" s="21" t="s">
        <v>3081</v>
      </c>
      <c r="K41" s="21" t="s">
        <v>3093</v>
      </c>
      <c r="L41" s="21" t="s">
        <v>1830</v>
      </c>
      <c r="M41" s="21" t="s">
        <v>1133</v>
      </c>
      <c r="N41" s="21" t="s">
        <v>1132</v>
      </c>
      <c r="O41" s="21" t="s">
        <v>844</v>
      </c>
      <c r="P41" s="37" cm="1">
        <f t="array" ref="P41">SUMPRODUCT(('T11'!$G$3:$G$1500=L41)*('T11'!$B$3:$B$1500&lt;=B41)*('T11'!$W$3:$W$1500*(1+'T11'!$X$3:$X$1500)+'T11'!$Y$3:$Y$1500))-SUMPRODUCT(($L$3:$L$1499=L41)*($B$3:$B$1499&lt;B41)*($BC$3:$BC$1499+$BD$3:$BD$1499+$BE$3:$BE$1499))</f>
        <v>3456333</v>
      </c>
      <c r="Q41" s="37" cm="1">
        <f t="array" ref="Q41">MAX(0,SUMPRODUCT(('T11'!$G$3:$G$1500=L41)*('T11'!$AG$3:$AG$1500&lt;B41)*('T11'!$W$3:$W$1500*(1+'T11'!$X$3:$X$1500)+'T11'!$Y$3:$Y$1500))-SUMPRODUCT(($L$3:$L$1499=L41)*($B$3:$B$1499&lt;B41)*($BC$3:$BC$1499+$BD$3:$BD$1499+$BE$3:$BE$1499)))</f>
        <v>3456333</v>
      </c>
      <c r="R41" s="21" t="s">
        <v>3126</v>
      </c>
      <c r="S41" s="21" t="s">
        <v>1139</v>
      </c>
      <c r="T41" s="21">
        <v>1</v>
      </c>
      <c r="U41" s="21">
        <v>1</v>
      </c>
      <c r="V41" s="21" t="s">
        <v>3084</v>
      </c>
      <c r="W41" s="37">
        <f>E41</f>
        <v>3421770</v>
      </c>
      <c r="X41" s="21" t="s">
        <v>3085</v>
      </c>
      <c r="Y41" s="21" t="str">
        <f>IF(V41="Cash",IF(AE41="Deposited","Realised","Pending deposit"),IF(V41="Cheque",IF(LEFT(AN41,7)="Cleared","Realised","Pending clearance"),IF(AT41="Identified","Realised","Unidentified")))</f>
        <v>Realised</v>
      </c>
      <c r="Z41" s="21" t="s">
        <v>844</v>
      </c>
      <c r="AA41" s="21" t="s">
        <v>844</v>
      </c>
      <c r="AB41" s="21" t="s">
        <v>844</v>
      </c>
      <c r="AC41" s="21" t="s">
        <v>844</v>
      </c>
      <c r="AD41" s="29" t="s">
        <v>844</v>
      </c>
      <c r="AE41" s="21" t="s">
        <v>844</v>
      </c>
      <c r="AF41" s="21">
        <v>12797543</v>
      </c>
      <c r="AG41" s="29">
        <v>46014</v>
      </c>
      <c r="AH41" s="37">
        <f>W41</f>
        <v>3421770</v>
      </c>
      <c r="AI41" s="21" t="s">
        <v>3131</v>
      </c>
      <c r="AJ41" s="21" t="s">
        <v>846</v>
      </c>
      <c r="AK41" s="29">
        <f>AG41</f>
        <v>46014</v>
      </c>
      <c r="AL41" s="21" t="s">
        <v>3087</v>
      </c>
      <c r="AM41" s="29">
        <v>46014</v>
      </c>
      <c r="AN41" s="21" t="s">
        <v>3228</v>
      </c>
      <c r="AO41" s="21" t="s">
        <v>848</v>
      </c>
      <c r="AP41" s="21" t="s">
        <v>844</v>
      </c>
      <c r="AQ41" s="21" t="s">
        <v>844</v>
      </c>
      <c r="AR41" s="35" t="s">
        <v>844</v>
      </c>
      <c r="AS41" s="37" t="s">
        <v>844</v>
      </c>
      <c r="AT41" s="21" t="s">
        <v>844</v>
      </c>
      <c r="AU41" s="21" t="str">
        <f>IF(AW41=0,"Complete","Incomplete")</f>
        <v>Complete</v>
      </c>
      <c r="AV41" s="37">
        <f>W41</f>
        <v>3421770</v>
      </c>
      <c r="AW41" s="37">
        <f>AV41-E41</f>
        <v>0</v>
      </c>
      <c r="AX41" s="21">
        <v>1</v>
      </c>
      <c r="AY41" s="21" t="s">
        <v>2521</v>
      </c>
      <c r="AZ41" s="37">
        <f>_xlfn.XLOOKUP(AY41,'T11'!$A$3:$A$1500,'T11'!$AD$3:$AD$1500)</f>
        <v>6789666</v>
      </c>
      <c r="BA41" s="37">
        <f>BC39+BD39+BE39</f>
        <v>3333333</v>
      </c>
      <c r="BB41" s="37">
        <f>AZ41-BA41</f>
        <v>3456333</v>
      </c>
      <c r="BC41" s="37">
        <f>ROUND(BB41*(1-BH41),0)</f>
        <v>3421770</v>
      </c>
      <c r="BD41" s="37">
        <f>BB41-BC41-BE41</f>
        <v>34563</v>
      </c>
      <c r="BE41" s="37">
        <v>0</v>
      </c>
      <c r="BF41" s="37">
        <f>BB41-BC41-BD41-BE41</f>
        <v>0</v>
      </c>
      <c r="BG41" s="21" t="s">
        <v>3088</v>
      </c>
      <c r="BH41" s="23">
        <v>0.01</v>
      </c>
      <c r="BI41" s="37">
        <f>BD41</f>
        <v>34563</v>
      </c>
      <c r="BJ41" s="21" t="s">
        <v>3229</v>
      </c>
      <c r="BK41" s="21" t="s">
        <v>753</v>
      </c>
      <c r="BL41" s="21" t="s">
        <v>753</v>
      </c>
      <c r="BM41" s="21" t="s">
        <v>848</v>
      </c>
      <c r="BN41" s="21" t="str">
        <f>Y41</f>
        <v>Realised</v>
      </c>
      <c r="BO41" s="29">
        <v>46016</v>
      </c>
      <c r="BP41" s="21" t="s">
        <v>848</v>
      </c>
      <c r="BQ41" s="37">
        <f>P41-BC41-BD41-BE41</f>
        <v>0</v>
      </c>
      <c r="BR41" s="21" t="s">
        <v>3322</v>
      </c>
      <c r="BS41" s="21" t="s">
        <v>3090</v>
      </c>
    </row>
    <row r="42" spans="1:71" x14ac:dyDescent="0.3">
      <c r="A42" s="21" t="s">
        <v>3227</v>
      </c>
      <c r="B42" s="29">
        <v>46016</v>
      </c>
      <c r="C42" s="21" t="s">
        <v>3101</v>
      </c>
      <c r="D42" s="21" t="s">
        <v>743</v>
      </c>
      <c r="E42" s="37">
        <f>BC42</f>
        <v>2656241</v>
      </c>
      <c r="F42" s="21" t="str">
        <f>"PKR "&amp;TEXT(E42,"#,##0")&amp;" only"</f>
        <v>PKR 2,656,241 only</v>
      </c>
      <c r="G42" s="21" t="s">
        <v>3080</v>
      </c>
      <c r="H42" s="21" t="s">
        <v>1796</v>
      </c>
      <c r="I42" s="29">
        <f>B42+1</f>
        <v>46017</v>
      </c>
      <c r="J42" s="21" t="s">
        <v>3081</v>
      </c>
      <c r="K42" s="21" t="s">
        <v>3082</v>
      </c>
      <c r="L42" s="21" t="s">
        <v>1870</v>
      </c>
      <c r="M42" s="21" t="s">
        <v>3033</v>
      </c>
      <c r="N42" s="21" t="s">
        <v>1043</v>
      </c>
      <c r="O42" s="21" t="s">
        <v>844</v>
      </c>
      <c r="P42" s="37" cm="1">
        <f t="array" ref="P42">SUMPRODUCT(('T11'!$G$3:$G$1500=L42)*('T11'!$B$3:$B$1500&lt;=B42)*('T11'!$W$3:$W$1500*(1+'T11'!$X$3:$X$1500)+'T11'!$Y$3:$Y$1500))-SUMPRODUCT(($L$3:$L$1499=L42)*($B$3:$B$1499&lt;B42)*($BC$3:$BC$1499+$BD$3:$BD$1499+$BE$3:$BE$1499))</f>
        <v>2656240.5999999996</v>
      </c>
      <c r="Q42" s="37" cm="1">
        <f t="array" ref="Q42">MAX(0,SUMPRODUCT(('T11'!$G$3:$G$1500=L42)*('T11'!$AG$3:$AG$1500&lt;B42)*('T11'!$W$3:$W$1500*(1+'T11'!$X$3:$X$1500)+'T11'!$Y$3:$Y$1500))-SUMPRODUCT(($L$3:$L$1499=L42)*($B$3:$B$1499&lt;B42)*($BC$3:$BC$1499+$BD$3:$BD$1499+$BE$3:$BE$1499)))</f>
        <v>2656240.5999999996</v>
      </c>
      <c r="R42" s="21" t="s">
        <v>3190</v>
      </c>
      <c r="S42" s="21" t="s">
        <v>1871</v>
      </c>
      <c r="T42" s="21">
        <v>1</v>
      </c>
      <c r="U42" s="21">
        <v>1</v>
      </c>
      <c r="V42" s="21" t="s">
        <v>3191</v>
      </c>
      <c r="W42" s="37">
        <f>E42</f>
        <v>2656241</v>
      </c>
      <c r="X42" s="21" t="s">
        <v>3192</v>
      </c>
      <c r="Y42" s="21" t="str">
        <f>IF(V42="Cash",IF(AE42="Deposited","Realised","Pending deposit"),IF(V42="Cheque",IF(LEFT(AN42,7)="Cleared","Realised","Pending clearance"),IF(AT42="Identified","Realised","Unidentified")))</f>
        <v>Realised</v>
      </c>
      <c r="Z42" s="21" t="s">
        <v>1796</v>
      </c>
      <c r="AA42" s="21" t="s">
        <v>3193</v>
      </c>
      <c r="AB42" s="21" t="s">
        <v>3231</v>
      </c>
      <c r="AC42" s="21" t="s">
        <v>3232</v>
      </c>
      <c r="AD42" s="29">
        <f>B42+1</f>
        <v>46017</v>
      </c>
      <c r="AE42" s="21" t="str">
        <f>IF(ISNUMBER(SEARCH("DS-",AC42)),"Deposited","Pending")</f>
        <v>Deposited</v>
      </c>
      <c r="AF42" s="21" t="s">
        <v>844</v>
      </c>
      <c r="AG42" s="29" t="s">
        <v>844</v>
      </c>
      <c r="AH42" s="37" t="s">
        <v>844</v>
      </c>
      <c r="AI42" s="21" t="s">
        <v>844</v>
      </c>
      <c r="AJ42" s="21" t="s">
        <v>844</v>
      </c>
      <c r="AK42" s="29" t="s">
        <v>844</v>
      </c>
      <c r="AL42" s="21" t="s">
        <v>844</v>
      </c>
      <c r="AM42" s="29" t="s">
        <v>844</v>
      </c>
      <c r="AN42" s="21" t="s">
        <v>844</v>
      </c>
      <c r="AO42" s="21" t="s">
        <v>844</v>
      </c>
      <c r="AP42" s="21" t="s">
        <v>844</v>
      </c>
      <c r="AQ42" s="21" t="s">
        <v>844</v>
      </c>
      <c r="AR42" s="35" t="s">
        <v>844</v>
      </c>
      <c r="AS42" s="37" t="s">
        <v>844</v>
      </c>
      <c r="AT42" s="21" t="s">
        <v>844</v>
      </c>
      <c r="AU42" s="21" t="str">
        <f>IF(AW42=0,"Complete","Incomplete")</f>
        <v>Complete</v>
      </c>
      <c r="AV42" s="37">
        <f>W42</f>
        <v>2656241</v>
      </c>
      <c r="AW42" s="37">
        <f>AV42-E42</f>
        <v>0</v>
      </c>
      <c r="AX42" s="21">
        <v>1</v>
      </c>
      <c r="AY42" s="21" t="s">
        <v>2527</v>
      </c>
      <c r="AZ42" s="37">
        <f>_xlfn.XLOOKUP(AY42,'T11'!$A$3:$A$1500,'T11'!$AD$3:$AD$1500)</f>
        <v>5656240.5999999996</v>
      </c>
      <c r="BA42" s="37">
        <f>BC40+BD40+BE40</f>
        <v>3000000</v>
      </c>
      <c r="BB42" s="37">
        <f>AZ42-BA42</f>
        <v>2656240.5999999996</v>
      </c>
      <c r="BC42" s="37">
        <f>ROUND(BB42*(1-BH42),0)</f>
        <v>2656241</v>
      </c>
      <c r="BD42" s="37">
        <f>BB42-BC42-BE42</f>
        <v>-0.40000000037252903</v>
      </c>
      <c r="BE42" s="37">
        <v>0</v>
      </c>
      <c r="BF42" s="37">
        <f>BB42-BC42-BD42-BE42</f>
        <v>0</v>
      </c>
      <c r="BG42" s="21" t="s">
        <v>3112</v>
      </c>
      <c r="BH42" s="23">
        <v>0</v>
      </c>
      <c r="BI42" s="37">
        <f>BD42</f>
        <v>-0.40000000037252903</v>
      </c>
      <c r="BJ42" s="21" t="s">
        <v>844</v>
      </c>
      <c r="BK42" s="21" t="s">
        <v>844</v>
      </c>
      <c r="BL42" s="21" t="s">
        <v>844</v>
      </c>
      <c r="BM42" s="21" t="s">
        <v>848</v>
      </c>
      <c r="BN42" s="21" t="str">
        <f>Y42</f>
        <v>Realised</v>
      </c>
      <c r="BO42" s="29">
        <v>46017</v>
      </c>
      <c r="BP42" s="21" t="s">
        <v>848</v>
      </c>
      <c r="BQ42" s="37">
        <f>P42-BC42-BD42-BE42</f>
        <v>0</v>
      </c>
      <c r="BR42" s="21" t="s">
        <v>3323</v>
      </c>
      <c r="BS42" s="21" t="s">
        <v>3090</v>
      </c>
    </row>
    <row r="43" spans="1:71" x14ac:dyDescent="0.3">
      <c r="A43" s="21" t="s">
        <v>3230</v>
      </c>
      <c r="B43" s="29">
        <v>46030</v>
      </c>
      <c r="C43" s="21" t="s">
        <v>3079</v>
      </c>
      <c r="D43" s="21" t="s">
        <v>743</v>
      </c>
      <c r="E43" s="37">
        <f>BC43</f>
        <v>3100000</v>
      </c>
      <c r="F43" s="21" t="str">
        <f>"PKR "&amp;TEXT(E43,"#,##0")&amp;" only"</f>
        <v>PKR 3,100,000 only</v>
      </c>
      <c r="G43" s="21" t="s">
        <v>3080</v>
      </c>
      <c r="H43" s="21" t="s">
        <v>3092</v>
      </c>
      <c r="I43" s="29" t="s">
        <v>844</v>
      </c>
      <c r="J43" s="21" t="s">
        <v>3081</v>
      </c>
      <c r="K43" s="21" t="s">
        <v>3093</v>
      </c>
      <c r="L43" s="21" t="s">
        <v>1819</v>
      </c>
      <c r="M43" s="21" t="s">
        <v>1156</v>
      </c>
      <c r="N43" s="21" t="s">
        <v>1155</v>
      </c>
      <c r="O43" s="21" t="s">
        <v>844</v>
      </c>
      <c r="P43" s="37" cm="1">
        <f t="array" ref="P43">SUMPRODUCT(('T11'!$G$3:$G$1500=L43)*('T11'!$B$3:$B$1500&lt;=B43)*('T11'!$W$3:$W$1500*(1+'T11'!$X$3:$X$1500)+'T11'!$Y$3:$Y$1500))-SUMPRODUCT(($L$3:$L$1499=L43)*($B$3:$B$1499&lt;B43)*($BC$3:$BC$1499+$BD$3:$BD$1499+$BE$3:$BE$1499))</f>
        <v>6872624</v>
      </c>
      <c r="Q43" s="37" cm="1">
        <f t="array" ref="Q43">MAX(0,SUMPRODUCT(('T11'!$G$3:$G$1500=L43)*('T11'!$AG$3:$AG$1500&lt;B43)*('T11'!$W$3:$W$1500*(1+'T11'!$X$3:$X$1500)+'T11'!$Y$3:$Y$1500))-SUMPRODUCT(($L$3:$L$1499=L43)*($B$3:$B$1499&lt;B43)*($BC$3:$BC$1499+$BD$3:$BD$1499+$BE$3:$BE$1499)))</f>
        <v>0</v>
      </c>
      <c r="R43" s="21" t="s">
        <v>3116</v>
      </c>
      <c r="S43" s="21" t="s">
        <v>1167</v>
      </c>
      <c r="T43" s="21">
        <v>1</v>
      </c>
      <c r="U43" s="21">
        <v>1</v>
      </c>
      <c r="V43" s="21" t="s">
        <v>3095</v>
      </c>
      <c r="W43" s="37">
        <f>E43</f>
        <v>3100000</v>
      </c>
      <c r="X43" s="21" t="s">
        <v>3085</v>
      </c>
      <c r="Y43" s="21" t="str">
        <f>IF(V43="Cash",IF(AE43="Deposited","Realised","Pending deposit"),IF(V43="Cheque",IF(LEFT(AN43,7)="Cleared","Realised","Pending clearance"),IF(AT43="Identified","Realised","Unidentified")))</f>
        <v>Realised</v>
      </c>
      <c r="Z43" s="21" t="s">
        <v>844</v>
      </c>
      <c r="AA43" s="21" t="s">
        <v>844</v>
      </c>
      <c r="AB43" s="21" t="s">
        <v>844</v>
      </c>
      <c r="AC43" s="21" t="s">
        <v>844</v>
      </c>
      <c r="AD43" s="29" t="s">
        <v>844</v>
      </c>
      <c r="AE43" s="21" t="s">
        <v>844</v>
      </c>
      <c r="AF43" s="21" t="s">
        <v>844</v>
      </c>
      <c r="AG43" s="29" t="s">
        <v>844</v>
      </c>
      <c r="AH43" s="37" t="s">
        <v>844</v>
      </c>
      <c r="AI43" s="21" t="s">
        <v>844</v>
      </c>
      <c r="AJ43" s="21" t="s">
        <v>844</v>
      </c>
      <c r="AK43" s="29" t="s">
        <v>844</v>
      </c>
      <c r="AL43" s="21" t="s">
        <v>844</v>
      </c>
      <c r="AM43" s="29" t="s">
        <v>844</v>
      </c>
      <c r="AN43" s="21" t="s">
        <v>844</v>
      </c>
      <c r="AO43" s="21" t="s">
        <v>844</v>
      </c>
      <c r="AP43" s="21" t="s">
        <v>3203</v>
      </c>
      <c r="AQ43" s="21" t="s">
        <v>3234</v>
      </c>
      <c r="AR43" s="35">
        <v>46030.666666666664</v>
      </c>
      <c r="AS43" s="37">
        <f>W43</f>
        <v>3100000</v>
      </c>
      <c r="AT43" s="21" t="s">
        <v>3098</v>
      </c>
      <c r="AU43" s="21" t="str">
        <f>IF(AW43=0,"Complete","Incomplete")</f>
        <v>Complete</v>
      </c>
      <c r="AV43" s="37">
        <f>W43</f>
        <v>3100000</v>
      </c>
      <c r="AW43" s="37">
        <f>AV43-E43</f>
        <v>0</v>
      </c>
      <c r="AX43" s="21">
        <v>1</v>
      </c>
      <c r="AY43" s="21" t="s">
        <v>2570</v>
      </c>
      <c r="AZ43" s="37">
        <f>_xlfn.XLOOKUP(AY43,'T11'!$A$3:$A$1500,'T11'!$AD$3:$AD$1500)</f>
        <v>6872624</v>
      </c>
      <c r="BA43" s="37">
        <v>0</v>
      </c>
      <c r="BB43" s="37">
        <f>AZ43-BA43</f>
        <v>6872624</v>
      </c>
      <c r="BC43" s="37">
        <v>3100000</v>
      </c>
      <c r="BD43" s="37">
        <f>ROUND(BC43*BH43/(1-BH43),0)</f>
        <v>163158</v>
      </c>
      <c r="BE43" s="37">
        <v>0</v>
      </c>
      <c r="BF43" s="37">
        <f>BB43-BC43-BD43-BE43</f>
        <v>3609466</v>
      </c>
      <c r="BG43" s="21" t="s">
        <v>3088</v>
      </c>
      <c r="BH43" s="23">
        <v>0.05</v>
      </c>
      <c r="BI43" s="37">
        <f>BD43</f>
        <v>163158</v>
      </c>
      <c r="BJ43" s="21" t="s">
        <v>3235</v>
      </c>
      <c r="BK43" s="21" t="s">
        <v>753</v>
      </c>
      <c r="BL43" s="21" t="s">
        <v>753</v>
      </c>
      <c r="BM43" s="21" t="s">
        <v>848</v>
      </c>
      <c r="BN43" s="21" t="str">
        <f>Y43</f>
        <v>Realised</v>
      </c>
      <c r="BO43" s="29">
        <v>46030</v>
      </c>
      <c r="BP43" s="21" t="s">
        <v>848</v>
      </c>
      <c r="BQ43" s="37">
        <f>P43-BC43-BD43-BE43</f>
        <v>3609466</v>
      </c>
      <c r="BR43" s="21" t="s">
        <v>3324</v>
      </c>
      <c r="BS43" s="21" t="s">
        <v>3090</v>
      </c>
    </row>
    <row r="44" spans="1:71" x14ac:dyDescent="0.3">
      <c r="A44" s="21" t="s">
        <v>3233</v>
      </c>
      <c r="B44" s="29">
        <v>46048</v>
      </c>
      <c r="C44" s="21" t="s">
        <v>3101</v>
      </c>
      <c r="D44" s="21" t="s">
        <v>743</v>
      </c>
      <c r="E44" s="37">
        <f>BC44</f>
        <v>3428993</v>
      </c>
      <c r="F44" s="21" t="str">
        <f>"PKR "&amp;TEXT(E44,"#,##0")&amp;" only"</f>
        <v>PKR 3,428,993 only</v>
      </c>
      <c r="G44" s="21" t="s">
        <v>3080</v>
      </c>
      <c r="H44" s="21" t="s">
        <v>1811</v>
      </c>
      <c r="I44" s="29" t="s">
        <v>844</v>
      </c>
      <c r="J44" s="21" t="s">
        <v>3081</v>
      </c>
      <c r="K44" s="21" t="s">
        <v>3093</v>
      </c>
      <c r="L44" s="21" t="s">
        <v>1819</v>
      </c>
      <c r="M44" s="21" t="s">
        <v>1156</v>
      </c>
      <c r="N44" s="21" t="s">
        <v>1155</v>
      </c>
      <c r="O44" s="21" t="s">
        <v>844</v>
      </c>
      <c r="P44" s="37" cm="1">
        <f t="array" ref="P44">SUMPRODUCT(('T11'!$G$3:$G$1500=L44)*('T11'!$B$3:$B$1500&lt;=B44)*('T11'!$W$3:$W$1500*(1+'T11'!$X$3:$X$1500)+'T11'!$Y$3:$Y$1500))-SUMPRODUCT(($L$3:$L$1499=L44)*($B$3:$B$1499&lt;B44)*($BC$3:$BC$1499+$BD$3:$BD$1499+$BE$3:$BE$1499))</f>
        <v>3609466</v>
      </c>
      <c r="Q44" s="37" cm="1">
        <f t="array" ref="Q44">MAX(0,SUMPRODUCT(('T11'!$G$3:$G$1500=L44)*('T11'!$AG$3:$AG$1500&lt;B44)*('T11'!$W$3:$W$1500*(1+'T11'!$X$3:$X$1500)+'T11'!$Y$3:$Y$1500))-SUMPRODUCT(($L$3:$L$1499=L44)*($B$3:$B$1499&lt;B44)*($BC$3:$BC$1499+$BD$3:$BD$1499+$BE$3:$BE$1499)))</f>
        <v>3609466</v>
      </c>
      <c r="R44" s="21" t="s">
        <v>3116</v>
      </c>
      <c r="S44" s="21" t="s">
        <v>1167</v>
      </c>
      <c r="T44" s="21">
        <v>1</v>
      </c>
      <c r="U44" s="21">
        <v>1</v>
      </c>
      <c r="V44" s="21" t="s">
        <v>3084</v>
      </c>
      <c r="W44" s="37">
        <f>E44</f>
        <v>3428993</v>
      </c>
      <c r="X44" s="21" t="s">
        <v>3085</v>
      </c>
      <c r="Y44" s="21" t="str">
        <f>IF(V44="Cash",IF(AE44="Deposited","Realised","Pending deposit"),IF(V44="Cheque",IF(LEFT(AN44,7)="Cleared","Realised","Pending clearance"),IF(AT44="Identified","Realised","Unidentified")))</f>
        <v>Realised</v>
      </c>
      <c r="Z44" s="21" t="s">
        <v>844</v>
      </c>
      <c r="AA44" s="21" t="s">
        <v>844</v>
      </c>
      <c r="AB44" s="21" t="s">
        <v>844</v>
      </c>
      <c r="AC44" s="21" t="s">
        <v>844</v>
      </c>
      <c r="AD44" s="29" t="s">
        <v>844</v>
      </c>
      <c r="AE44" s="21" t="s">
        <v>844</v>
      </c>
      <c r="AF44" s="21">
        <v>13751842</v>
      </c>
      <c r="AG44" s="29">
        <v>46048</v>
      </c>
      <c r="AH44" s="37">
        <f>W44</f>
        <v>3428993</v>
      </c>
      <c r="AI44" s="21" t="s">
        <v>3117</v>
      </c>
      <c r="AJ44" s="21" t="s">
        <v>846</v>
      </c>
      <c r="AK44" s="29">
        <f>AG44</f>
        <v>46048</v>
      </c>
      <c r="AL44" s="21" t="s">
        <v>3087</v>
      </c>
      <c r="AM44" s="29">
        <v>46048</v>
      </c>
      <c r="AN44" s="21" t="s">
        <v>3237</v>
      </c>
      <c r="AO44" s="21" t="s">
        <v>848</v>
      </c>
      <c r="AP44" s="21" t="s">
        <v>844</v>
      </c>
      <c r="AQ44" s="21" t="s">
        <v>844</v>
      </c>
      <c r="AR44" s="35" t="s">
        <v>844</v>
      </c>
      <c r="AS44" s="37" t="s">
        <v>844</v>
      </c>
      <c r="AT44" s="21" t="s">
        <v>844</v>
      </c>
      <c r="AU44" s="21" t="str">
        <f>IF(AW44=0,"Complete","Incomplete")</f>
        <v>Complete</v>
      </c>
      <c r="AV44" s="37">
        <f>W44</f>
        <v>3428993</v>
      </c>
      <c r="AW44" s="37">
        <f>AV44-E44</f>
        <v>0</v>
      </c>
      <c r="AX44" s="21">
        <v>1</v>
      </c>
      <c r="AY44" s="21" t="s">
        <v>2570</v>
      </c>
      <c r="AZ44" s="37">
        <f>_xlfn.XLOOKUP(AY44,'T11'!$A$3:$A$1500,'T11'!$AD$3:$AD$1500)</f>
        <v>6872624</v>
      </c>
      <c r="BA44" s="37">
        <f>BC43+BD43+BE43</f>
        <v>3263158</v>
      </c>
      <c r="BB44" s="37">
        <f>AZ44-BA44</f>
        <v>3609466</v>
      </c>
      <c r="BC44" s="37">
        <f>ROUND(BB44*(1-BH44),0)</f>
        <v>3428993</v>
      </c>
      <c r="BD44" s="37">
        <f>BB44-BC44-BE44</f>
        <v>180473</v>
      </c>
      <c r="BE44" s="37">
        <v>0</v>
      </c>
      <c r="BF44" s="37">
        <f>BB44-BC44-BD44-BE44</f>
        <v>0</v>
      </c>
      <c r="BG44" s="21" t="s">
        <v>3088</v>
      </c>
      <c r="BH44" s="23">
        <v>0.05</v>
      </c>
      <c r="BI44" s="37">
        <f>BD44</f>
        <v>180473</v>
      </c>
      <c r="BJ44" s="21" t="s">
        <v>3238</v>
      </c>
      <c r="BK44" s="21" t="s">
        <v>753</v>
      </c>
      <c r="BL44" s="21" t="s">
        <v>753</v>
      </c>
      <c r="BM44" s="21" t="s">
        <v>848</v>
      </c>
      <c r="BN44" s="21" t="str">
        <f>Y44</f>
        <v>Realised</v>
      </c>
      <c r="BO44" s="29">
        <v>46050</v>
      </c>
      <c r="BP44" s="21" t="s">
        <v>848</v>
      </c>
      <c r="BQ44" s="37">
        <f>P44-BC44-BD44-BE44</f>
        <v>0</v>
      </c>
      <c r="BR44" s="21" t="s">
        <v>3325</v>
      </c>
      <c r="BS44" s="21" t="s">
        <v>3090</v>
      </c>
    </row>
    <row r="45" spans="1:71" x14ac:dyDescent="0.3">
      <c r="A45" s="21" t="s">
        <v>3236</v>
      </c>
      <c r="B45" s="29">
        <v>46065</v>
      </c>
      <c r="C45" s="21" t="s">
        <v>3079</v>
      </c>
      <c r="D45" s="21" t="s">
        <v>743</v>
      </c>
      <c r="E45" s="37">
        <f>BC45</f>
        <v>4500000</v>
      </c>
      <c r="F45" s="21" t="str">
        <f>"PKR "&amp;TEXT(E45,"#,##0")&amp;" only"</f>
        <v>PKR 4,500,000 only</v>
      </c>
      <c r="G45" s="21" t="s">
        <v>3080</v>
      </c>
      <c r="H45" s="21" t="s">
        <v>3092</v>
      </c>
      <c r="I45" s="29" t="s">
        <v>844</v>
      </c>
      <c r="J45" s="21" t="s">
        <v>3081</v>
      </c>
      <c r="K45" s="21" t="s">
        <v>3082</v>
      </c>
      <c r="L45" s="21" t="s">
        <v>1800</v>
      </c>
      <c r="M45" s="21" t="s">
        <v>1073</v>
      </c>
      <c r="N45" s="21" t="s">
        <v>1072</v>
      </c>
      <c r="O45" s="21" t="s">
        <v>844</v>
      </c>
      <c r="P45" s="37" cm="1">
        <f t="array" ref="P45">SUMPRODUCT(('T11'!$G$3:$G$1500=L45)*('T11'!$B$3:$B$1500&lt;=B45)*('T11'!$W$3:$W$1500*(1+'T11'!$X$3:$X$1500)+'T11'!$Y$3:$Y$1500))-SUMPRODUCT(($L$3:$L$1499=L45)*($B$3:$B$1499&lt;B45)*($BC$3:$BC$1499+$BD$3:$BD$1499+$BE$3:$BE$1499))</f>
        <v>8643832.799999997</v>
      </c>
      <c r="Q45" s="37" cm="1">
        <f t="array" ref="Q45">MAX(0,SUMPRODUCT(('T11'!$G$3:$G$1500=L45)*('T11'!$AG$3:$AG$1500&lt;B45)*('T11'!$W$3:$W$1500*(1+'T11'!$X$3:$X$1500)+'T11'!$Y$3:$Y$1500))-SUMPRODUCT(($L$3:$L$1499=L45)*($B$3:$B$1499&lt;B45)*($BC$3:$BC$1499+$BD$3:$BD$1499+$BE$3:$BE$1499)))</f>
        <v>0</v>
      </c>
      <c r="R45" s="21" t="s">
        <v>3083</v>
      </c>
      <c r="S45" s="21" t="s">
        <v>1801</v>
      </c>
      <c r="T45" s="21">
        <v>1</v>
      </c>
      <c r="U45" s="21">
        <v>1</v>
      </c>
      <c r="V45" s="21" t="s">
        <v>3095</v>
      </c>
      <c r="W45" s="37">
        <f>E45</f>
        <v>4500000</v>
      </c>
      <c r="X45" s="21" t="s">
        <v>3085</v>
      </c>
      <c r="Y45" s="21" t="str">
        <f>IF(V45="Cash",IF(AE45="Deposited","Realised","Pending deposit"),IF(V45="Cheque",IF(LEFT(AN45,7)="Cleared","Realised","Pending clearance"),IF(AT45="Identified","Realised","Unidentified")))</f>
        <v>Realised</v>
      </c>
      <c r="Z45" s="21" t="s">
        <v>844</v>
      </c>
      <c r="AA45" s="21" t="s">
        <v>844</v>
      </c>
      <c r="AB45" s="21" t="s">
        <v>844</v>
      </c>
      <c r="AC45" s="21" t="s">
        <v>844</v>
      </c>
      <c r="AD45" s="29" t="s">
        <v>844</v>
      </c>
      <c r="AE45" s="21" t="s">
        <v>844</v>
      </c>
      <c r="AF45" s="21" t="s">
        <v>844</v>
      </c>
      <c r="AG45" s="29" t="s">
        <v>844</v>
      </c>
      <c r="AH45" s="37" t="s">
        <v>844</v>
      </c>
      <c r="AI45" s="21" t="s">
        <v>844</v>
      </c>
      <c r="AJ45" s="21" t="s">
        <v>844</v>
      </c>
      <c r="AK45" s="29" t="s">
        <v>844</v>
      </c>
      <c r="AL45" s="21" t="s">
        <v>844</v>
      </c>
      <c r="AM45" s="29" t="s">
        <v>844</v>
      </c>
      <c r="AN45" s="21" t="s">
        <v>844</v>
      </c>
      <c r="AO45" s="21" t="s">
        <v>844</v>
      </c>
      <c r="AP45" s="21" t="s">
        <v>3146</v>
      </c>
      <c r="AQ45" s="21" t="s">
        <v>3240</v>
      </c>
      <c r="AR45" s="35">
        <v>46065.5</v>
      </c>
      <c r="AS45" s="37">
        <f>W45</f>
        <v>4500000</v>
      </c>
      <c r="AT45" s="21" t="s">
        <v>3098</v>
      </c>
      <c r="AU45" s="21" t="str">
        <f>IF(AW45=0,"Complete","Incomplete")</f>
        <v>Complete</v>
      </c>
      <c r="AV45" s="37">
        <f>W45</f>
        <v>4500000</v>
      </c>
      <c r="AW45" s="37">
        <f>AV45-E45</f>
        <v>0</v>
      </c>
      <c r="AX45" s="21">
        <v>1</v>
      </c>
      <c r="AY45" s="21" t="s">
        <v>2597</v>
      </c>
      <c r="AZ45" s="37">
        <f>_xlfn.XLOOKUP(AY45,'T11'!$A$3:$A$1500,'T11'!$AD$3:$AD$1500)</f>
        <v>8643832.8000000007</v>
      </c>
      <c r="BA45" s="37">
        <v>0</v>
      </c>
      <c r="BB45" s="37">
        <f>AZ45-BA45</f>
        <v>8643832.8000000007</v>
      </c>
      <c r="BC45" s="37">
        <v>4500000</v>
      </c>
      <c r="BD45" s="37">
        <f>ROUND(BC45*BH45/(1-BH45),0)</f>
        <v>236842</v>
      </c>
      <c r="BE45" s="37">
        <v>0</v>
      </c>
      <c r="BF45" s="37">
        <f>BB45-BC45-BD45-BE45</f>
        <v>3906990.8000000007</v>
      </c>
      <c r="BG45" s="21" t="s">
        <v>3088</v>
      </c>
      <c r="BH45" s="23">
        <v>0.05</v>
      </c>
      <c r="BI45" s="37">
        <f>BD45</f>
        <v>236842</v>
      </c>
      <c r="BJ45" s="21" t="s">
        <v>3241</v>
      </c>
      <c r="BK45" s="21" t="s">
        <v>753</v>
      </c>
      <c r="BL45" s="21" t="s">
        <v>753</v>
      </c>
      <c r="BM45" s="21" t="s">
        <v>848</v>
      </c>
      <c r="BN45" s="21" t="str">
        <f>Y45</f>
        <v>Realised</v>
      </c>
      <c r="BO45" s="29">
        <v>46065</v>
      </c>
      <c r="BP45" s="21" t="s">
        <v>848</v>
      </c>
      <c r="BQ45" s="37">
        <f>P45-BC45-BD45-BE45</f>
        <v>3906990.799999997</v>
      </c>
      <c r="BR45" s="21" t="s">
        <v>3326</v>
      </c>
      <c r="BS45" s="21" t="s">
        <v>3090</v>
      </c>
    </row>
    <row r="46" spans="1:71" x14ac:dyDescent="0.3">
      <c r="A46" s="21" t="s">
        <v>3239</v>
      </c>
      <c r="B46" s="29">
        <v>46079</v>
      </c>
      <c r="C46" s="21" t="s">
        <v>3101</v>
      </c>
      <c r="D46" s="21" t="s">
        <v>743</v>
      </c>
      <c r="E46" s="37">
        <f>BC46</f>
        <v>7900116</v>
      </c>
      <c r="F46" s="21" t="str">
        <f>"PKR "&amp;TEXT(E46,"#,##0")&amp;" only"</f>
        <v>PKR 7,900,116 only</v>
      </c>
      <c r="G46" s="21" t="s">
        <v>3080</v>
      </c>
      <c r="H46" s="21" t="s">
        <v>3092</v>
      </c>
      <c r="I46" s="29" t="s">
        <v>844</v>
      </c>
      <c r="J46" s="21" t="s">
        <v>3081</v>
      </c>
      <c r="K46" s="21" t="s">
        <v>3093</v>
      </c>
      <c r="L46" s="21" t="s">
        <v>1819</v>
      </c>
      <c r="M46" s="21" t="s">
        <v>1156</v>
      </c>
      <c r="N46" s="21" t="s">
        <v>1155</v>
      </c>
      <c r="O46" s="21" t="s">
        <v>844</v>
      </c>
      <c r="P46" s="37" cm="1">
        <f t="array" ref="P46">SUMPRODUCT(('T11'!$G$3:$G$1500=L46)*('T11'!$B$3:$B$1500&lt;=B46)*('T11'!$W$3:$W$1500*(1+'T11'!$X$3:$X$1500)+'T11'!$Y$3:$Y$1500))-SUMPRODUCT(($L$3:$L$1499=L46)*($B$3:$B$1499&lt;B46)*($BC$3:$BC$1499+$BD$3:$BD$1499+$BE$3:$BE$1499))</f>
        <v>8315912</v>
      </c>
      <c r="Q46" s="37" cm="1">
        <f t="array" ref="Q46">MAX(0,SUMPRODUCT(('T11'!$G$3:$G$1500=L46)*('T11'!$AG$3:$AG$1500&lt;B46)*('T11'!$W$3:$W$1500*(1+'T11'!$X$3:$X$1500)+'T11'!$Y$3:$Y$1500))-SUMPRODUCT(($L$3:$L$1499=L46)*($B$3:$B$1499&lt;B46)*($BC$3:$BC$1499+$BD$3:$BD$1499+$BE$3:$BE$1499)))</f>
        <v>0</v>
      </c>
      <c r="R46" s="21" t="s">
        <v>3116</v>
      </c>
      <c r="S46" s="21" t="s">
        <v>1167</v>
      </c>
      <c r="T46" s="21">
        <v>1</v>
      </c>
      <c r="U46" s="21">
        <v>1</v>
      </c>
      <c r="V46" s="21" t="s">
        <v>3095</v>
      </c>
      <c r="W46" s="37">
        <f>E46</f>
        <v>7900116</v>
      </c>
      <c r="X46" s="21" t="s">
        <v>3085</v>
      </c>
      <c r="Y46" s="21" t="str">
        <f>IF(V46="Cash",IF(AE46="Deposited","Realised","Pending deposit"),IF(V46="Cheque",IF(LEFT(AN46,7)="Cleared","Realised","Pending clearance"),IF(AT46="Identified","Realised","Unidentified")))</f>
        <v>Realised</v>
      </c>
      <c r="Z46" s="21" t="s">
        <v>844</v>
      </c>
      <c r="AA46" s="21" t="s">
        <v>844</v>
      </c>
      <c r="AB46" s="21" t="s">
        <v>844</v>
      </c>
      <c r="AC46" s="21" t="s">
        <v>844</v>
      </c>
      <c r="AD46" s="29" t="s">
        <v>844</v>
      </c>
      <c r="AE46" s="21" t="s">
        <v>844</v>
      </c>
      <c r="AF46" s="21" t="s">
        <v>844</v>
      </c>
      <c r="AG46" s="29" t="s">
        <v>844</v>
      </c>
      <c r="AH46" s="37" t="s">
        <v>844</v>
      </c>
      <c r="AI46" s="21" t="s">
        <v>844</v>
      </c>
      <c r="AJ46" s="21" t="s">
        <v>844</v>
      </c>
      <c r="AK46" s="29" t="s">
        <v>844</v>
      </c>
      <c r="AL46" s="21" t="s">
        <v>844</v>
      </c>
      <c r="AM46" s="29" t="s">
        <v>844</v>
      </c>
      <c r="AN46" s="21" t="s">
        <v>844</v>
      </c>
      <c r="AO46" s="21" t="s">
        <v>844</v>
      </c>
      <c r="AP46" s="21" t="s">
        <v>3203</v>
      </c>
      <c r="AQ46" s="21" t="s">
        <v>3243</v>
      </c>
      <c r="AR46" s="35">
        <v>46079.541666666664</v>
      </c>
      <c r="AS46" s="37">
        <f>W46</f>
        <v>7900116</v>
      </c>
      <c r="AT46" s="21" t="s">
        <v>3098</v>
      </c>
      <c r="AU46" s="21" t="str">
        <f>IF(AW46=0,"Complete","Incomplete")</f>
        <v>Complete</v>
      </c>
      <c r="AV46" s="37">
        <f>W46</f>
        <v>7900116</v>
      </c>
      <c r="AW46" s="37">
        <f>AV46-E46</f>
        <v>0</v>
      </c>
      <c r="AX46" s="21">
        <v>1</v>
      </c>
      <c r="AY46" s="21" t="s">
        <v>2591</v>
      </c>
      <c r="AZ46" s="37">
        <f>_xlfn.XLOOKUP(AY46,'T11'!$A$3:$A$1500,'T11'!$AD$3:$AD$1500)</f>
        <v>8315912</v>
      </c>
      <c r="BA46" s="37">
        <v>0</v>
      </c>
      <c r="BB46" s="37">
        <f>AZ46-BA46</f>
        <v>8315912</v>
      </c>
      <c r="BC46" s="37">
        <f>ROUND(BB46*(1-BH46),0)</f>
        <v>7900116</v>
      </c>
      <c r="BD46" s="37">
        <f>BB46-BC46-BE46</f>
        <v>415796</v>
      </c>
      <c r="BE46" s="37">
        <v>0</v>
      </c>
      <c r="BF46" s="37">
        <f>BB46-BC46-BD46-BE46</f>
        <v>0</v>
      </c>
      <c r="BG46" s="21" t="s">
        <v>3088</v>
      </c>
      <c r="BH46" s="23">
        <v>0.05</v>
      </c>
      <c r="BI46" s="37">
        <f>BD46</f>
        <v>415796</v>
      </c>
      <c r="BJ46" s="21" t="s">
        <v>3244</v>
      </c>
      <c r="BK46" s="21" t="s">
        <v>753</v>
      </c>
      <c r="BL46" s="21" t="s">
        <v>753</v>
      </c>
      <c r="BM46" s="21" t="s">
        <v>848</v>
      </c>
      <c r="BN46" s="21" t="str">
        <f>Y46</f>
        <v>Realised</v>
      </c>
      <c r="BO46" s="29">
        <v>46079</v>
      </c>
      <c r="BP46" s="21" t="s">
        <v>848</v>
      </c>
      <c r="BQ46" s="37">
        <f>P46-BC46-BD46-BE46</f>
        <v>0</v>
      </c>
      <c r="BR46" s="21" t="s">
        <v>3327</v>
      </c>
      <c r="BS46" s="21" t="s">
        <v>3090</v>
      </c>
    </row>
    <row r="47" spans="1:71" x14ac:dyDescent="0.3">
      <c r="A47" s="21" t="s">
        <v>3242</v>
      </c>
      <c r="B47" s="29">
        <v>46090</v>
      </c>
      <c r="C47" s="21" t="s">
        <v>3101</v>
      </c>
      <c r="D47" s="21" t="s">
        <v>743</v>
      </c>
      <c r="E47" s="37">
        <f>BC47</f>
        <v>3711641</v>
      </c>
      <c r="F47" s="21" t="str">
        <f>"PKR "&amp;TEXT(E47,"#,##0")&amp;" only"</f>
        <v>PKR 3,711,641 only</v>
      </c>
      <c r="G47" s="21" t="s">
        <v>3080</v>
      </c>
      <c r="H47" s="21" t="s">
        <v>1796</v>
      </c>
      <c r="I47" s="29" t="s">
        <v>844</v>
      </c>
      <c r="J47" s="21" t="s">
        <v>3081</v>
      </c>
      <c r="K47" s="21" t="s">
        <v>3082</v>
      </c>
      <c r="L47" s="21" t="s">
        <v>1800</v>
      </c>
      <c r="M47" s="21" t="s">
        <v>1073</v>
      </c>
      <c r="N47" s="21" t="s">
        <v>1072</v>
      </c>
      <c r="O47" s="21" t="s">
        <v>844</v>
      </c>
      <c r="P47" s="37" cm="1">
        <f t="array" ref="P47">SUMPRODUCT(('T11'!$G$3:$G$1500=L47)*('T11'!$B$3:$B$1500&lt;=B47)*('T11'!$W$3:$W$1500*(1+'T11'!$X$3:$X$1500)+'T11'!$Y$3:$Y$1500))-SUMPRODUCT(($L$3:$L$1499=L47)*($B$3:$B$1499&lt;B47)*($BC$3:$BC$1499+$BD$3:$BD$1499+$BE$3:$BE$1499))</f>
        <v>3906990.799999997</v>
      </c>
      <c r="Q47" s="37" cm="1">
        <f t="array" ref="Q47">MAX(0,SUMPRODUCT(('T11'!$G$3:$G$1500=L47)*('T11'!$AG$3:$AG$1500&lt;B47)*('T11'!$W$3:$W$1500*(1+'T11'!$X$3:$X$1500)+'T11'!$Y$3:$Y$1500))-SUMPRODUCT(($L$3:$L$1499=L47)*($B$3:$B$1499&lt;B47)*($BC$3:$BC$1499+$BD$3:$BD$1499+$BE$3:$BE$1499)))</f>
        <v>3906990.799999997</v>
      </c>
      <c r="R47" s="21" t="s">
        <v>3083</v>
      </c>
      <c r="S47" s="21" t="s">
        <v>1801</v>
      </c>
      <c r="T47" s="21">
        <v>1</v>
      </c>
      <c r="U47" s="21">
        <v>1</v>
      </c>
      <c r="V47" s="21" t="s">
        <v>3084</v>
      </c>
      <c r="W47" s="37">
        <f>E47</f>
        <v>3711641</v>
      </c>
      <c r="X47" s="21" t="s">
        <v>3085</v>
      </c>
      <c r="Y47" s="21" t="str">
        <f>IF(V47="Cash",IF(AE47="Deposited","Realised","Pending deposit"),IF(V47="Cheque",IF(LEFT(AN47,7)="Cleared","Realised","Pending clearance"),IF(AT47="Identified","Realised","Unidentified")))</f>
        <v>Realised</v>
      </c>
      <c r="Z47" s="21" t="s">
        <v>844</v>
      </c>
      <c r="AA47" s="21" t="s">
        <v>844</v>
      </c>
      <c r="AB47" s="21" t="s">
        <v>844</v>
      </c>
      <c r="AC47" s="21" t="s">
        <v>844</v>
      </c>
      <c r="AD47" s="29" t="s">
        <v>844</v>
      </c>
      <c r="AE47" s="21" t="s">
        <v>844</v>
      </c>
      <c r="AF47" s="21">
        <v>15768425</v>
      </c>
      <c r="AG47" s="29">
        <v>46090</v>
      </c>
      <c r="AH47" s="37">
        <f>W47</f>
        <v>3711641</v>
      </c>
      <c r="AI47" s="21" t="s">
        <v>3086</v>
      </c>
      <c r="AJ47" s="21" t="s">
        <v>846</v>
      </c>
      <c r="AK47" s="29">
        <f>AG47</f>
        <v>46090</v>
      </c>
      <c r="AL47" s="21" t="s">
        <v>3087</v>
      </c>
      <c r="AM47" s="29">
        <v>46090</v>
      </c>
      <c r="AN47" s="21" t="s">
        <v>3246</v>
      </c>
      <c r="AO47" s="21" t="s">
        <v>848</v>
      </c>
      <c r="AP47" s="21" t="s">
        <v>844</v>
      </c>
      <c r="AQ47" s="21" t="s">
        <v>844</v>
      </c>
      <c r="AR47" s="35" t="s">
        <v>844</v>
      </c>
      <c r="AS47" s="37" t="s">
        <v>844</v>
      </c>
      <c r="AT47" s="21" t="s">
        <v>844</v>
      </c>
      <c r="AU47" s="21" t="str">
        <f>IF(AW47=0,"Complete","Incomplete")</f>
        <v>Complete</v>
      </c>
      <c r="AV47" s="37">
        <f>W47</f>
        <v>3711641</v>
      </c>
      <c r="AW47" s="37">
        <f>AV47-E47</f>
        <v>0</v>
      </c>
      <c r="AX47" s="21">
        <v>1</v>
      </c>
      <c r="AY47" s="21" t="s">
        <v>2597</v>
      </c>
      <c r="AZ47" s="37">
        <f>_xlfn.XLOOKUP(AY47,'T11'!$A$3:$A$1500,'T11'!$AD$3:$AD$1500)</f>
        <v>8643832.8000000007</v>
      </c>
      <c r="BA47" s="37">
        <f>BC45+BD45+BE45</f>
        <v>4736842</v>
      </c>
      <c r="BB47" s="37">
        <f>AZ47-BA47</f>
        <v>3906990.8000000007</v>
      </c>
      <c r="BC47" s="37">
        <f>ROUND(BB47*(1-BH47),0)</f>
        <v>3711641</v>
      </c>
      <c r="BD47" s="37">
        <f>BB47-BC47-BE47</f>
        <v>195349.80000000075</v>
      </c>
      <c r="BE47" s="37">
        <v>0</v>
      </c>
      <c r="BF47" s="37">
        <f>BB47-BC47-BD47-BE47</f>
        <v>0</v>
      </c>
      <c r="BG47" s="21" t="s">
        <v>3088</v>
      </c>
      <c r="BH47" s="23">
        <v>0.05</v>
      </c>
      <c r="BI47" s="37">
        <f>BD47</f>
        <v>195349.80000000075</v>
      </c>
      <c r="BJ47" s="21" t="s">
        <v>3247</v>
      </c>
      <c r="BK47" s="21" t="s">
        <v>753</v>
      </c>
      <c r="BL47" s="21" t="s">
        <v>753</v>
      </c>
      <c r="BM47" s="21" t="s">
        <v>848</v>
      </c>
      <c r="BN47" s="21" t="str">
        <f>Y47</f>
        <v>Realised</v>
      </c>
      <c r="BO47" s="29">
        <v>46092</v>
      </c>
      <c r="BP47" s="21" t="s">
        <v>848</v>
      </c>
      <c r="BQ47" s="37">
        <f>P47-BC47-BD47-BE47</f>
        <v>-3.7252902984619141E-9</v>
      </c>
      <c r="BR47" s="21" t="s">
        <v>3328</v>
      </c>
      <c r="BS47" s="21" t="s">
        <v>3090</v>
      </c>
    </row>
    <row r="48" spans="1:71" x14ac:dyDescent="0.3">
      <c r="A48" s="21" t="s">
        <v>3245</v>
      </c>
      <c r="B48" s="29">
        <v>46093</v>
      </c>
      <c r="C48" s="21" t="s">
        <v>3079</v>
      </c>
      <c r="D48" s="21" t="s">
        <v>743</v>
      </c>
      <c r="E48" s="37">
        <f>BC48</f>
        <v>2900000</v>
      </c>
      <c r="F48" s="21" t="str">
        <f>"PKR "&amp;TEXT(E48,"#,##0")&amp;" only"</f>
        <v>PKR 2,900,000 only</v>
      </c>
      <c r="G48" s="21" t="s">
        <v>3080</v>
      </c>
      <c r="H48" s="21" t="s">
        <v>3092</v>
      </c>
      <c r="I48" s="29" t="s">
        <v>844</v>
      </c>
      <c r="J48" s="21" t="s">
        <v>3081</v>
      </c>
      <c r="K48" s="21" t="s">
        <v>3093</v>
      </c>
      <c r="L48" s="21" t="s">
        <v>1813</v>
      </c>
      <c r="M48" s="21" t="s">
        <v>1089</v>
      </c>
      <c r="N48" s="21" t="s">
        <v>1088</v>
      </c>
      <c r="O48" s="21" t="s">
        <v>844</v>
      </c>
      <c r="P48" s="37" cm="1">
        <f t="array" ref="P48">SUMPRODUCT(('T11'!$G$3:$G$1500=L48)*('T11'!$B$3:$B$1500&lt;=B48)*('T11'!$W$3:$W$1500*(1+'T11'!$X$3:$X$1500)+'T11'!$Y$3:$Y$1500))-SUMPRODUCT(($L$3:$L$1499=L48)*($B$3:$B$1499&lt;B48)*($BC$3:$BC$1499+$BD$3:$BD$1499+$BE$3:$BE$1499))</f>
        <v>14806452.5</v>
      </c>
      <c r="Q48" s="37" cm="1">
        <f t="array" ref="Q48">MAX(0,SUMPRODUCT(('T11'!$G$3:$G$1500=L48)*('T11'!$AG$3:$AG$1500&lt;B48)*('T11'!$W$3:$W$1500*(1+'T11'!$X$3:$X$1500)+'T11'!$Y$3:$Y$1500))-SUMPRODUCT(($L$3:$L$1499=L48)*($B$3:$B$1499&lt;B48)*($BC$3:$BC$1499+$BD$3:$BD$1499+$BE$3:$BE$1499)))</f>
        <v>0</v>
      </c>
      <c r="R48" s="21" t="s">
        <v>3094</v>
      </c>
      <c r="S48" s="21" t="s">
        <v>1097</v>
      </c>
      <c r="T48" s="21">
        <v>1</v>
      </c>
      <c r="U48" s="21">
        <v>1</v>
      </c>
      <c r="V48" s="21" t="s">
        <v>3095</v>
      </c>
      <c r="W48" s="37">
        <f>E48</f>
        <v>2900000</v>
      </c>
      <c r="X48" s="21" t="s">
        <v>3085</v>
      </c>
      <c r="Y48" s="21" t="str">
        <f>IF(V48="Cash",IF(AE48="Deposited","Realised","Pending deposit"),IF(V48="Cheque",IF(LEFT(AN48,7)="Cleared","Realised","Pending clearance"),IF(AT48="Identified","Realised","Unidentified")))</f>
        <v>Realised</v>
      </c>
      <c r="Z48" s="21" t="s">
        <v>844</v>
      </c>
      <c r="AA48" s="21" t="s">
        <v>844</v>
      </c>
      <c r="AB48" s="21" t="s">
        <v>844</v>
      </c>
      <c r="AC48" s="21" t="s">
        <v>844</v>
      </c>
      <c r="AD48" s="29" t="s">
        <v>844</v>
      </c>
      <c r="AE48" s="21" t="s">
        <v>844</v>
      </c>
      <c r="AF48" s="21" t="s">
        <v>844</v>
      </c>
      <c r="AG48" s="29" t="s">
        <v>844</v>
      </c>
      <c r="AH48" s="37" t="s">
        <v>844</v>
      </c>
      <c r="AI48" s="21" t="s">
        <v>844</v>
      </c>
      <c r="AJ48" s="21" t="s">
        <v>844</v>
      </c>
      <c r="AK48" s="29" t="s">
        <v>844</v>
      </c>
      <c r="AL48" s="21" t="s">
        <v>844</v>
      </c>
      <c r="AM48" s="29" t="s">
        <v>844</v>
      </c>
      <c r="AN48" s="21" t="s">
        <v>844</v>
      </c>
      <c r="AO48" s="21" t="s">
        <v>844</v>
      </c>
      <c r="AP48" s="21" t="s">
        <v>3096</v>
      </c>
      <c r="AQ48" s="21" t="s">
        <v>3249</v>
      </c>
      <c r="AR48" s="35">
        <v>46093.458333333336</v>
      </c>
      <c r="AS48" s="37">
        <f>W48</f>
        <v>2900000</v>
      </c>
      <c r="AT48" s="21" t="s">
        <v>3098</v>
      </c>
      <c r="AU48" s="21" t="str">
        <f>IF(AW48=0,"Complete","Incomplete")</f>
        <v>Complete</v>
      </c>
      <c r="AV48" s="37">
        <f>W48</f>
        <v>2900000</v>
      </c>
      <c r="AW48" s="37">
        <f>AV48-E48</f>
        <v>0</v>
      </c>
      <c r="AX48" s="21">
        <v>1</v>
      </c>
      <c r="AY48" s="21" t="s">
        <v>2639</v>
      </c>
      <c r="AZ48" s="37">
        <f>_xlfn.XLOOKUP(AY48,'T11'!$A$3:$A$1500,'T11'!$AD$3:$AD$1500)</f>
        <v>6628300</v>
      </c>
      <c r="BA48" s="37">
        <v>0</v>
      </c>
      <c r="BB48" s="37">
        <f>AZ48-BA48</f>
        <v>6628300</v>
      </c>
      <c r="BC48" s="37">
        <v>2900000</v>
      </c>
      <c r="BD48" s="37">
        <f>ROUND(BC48*BH48/(1-BH48),0)</f>
        <v>152632</v>
      </c>
      <c r="BE48" s="37">
        <v>0</v>
      </c>
      <c r="BF48" s="37">
        <f>BB48-BC48-BD48-BE48</f>
        <v>3575668</v>
      </c>
      <c r="BG48" s="21" t="s">
        <v>3088</v>
      </c>
      <c r="BH48" s="23">
        <v>0.05</v>
      </c>
      <c r="BI48" s="37">
        <f>BD48</f>
        <v>152632</v>
      </c>
      <c r="BJ48" s="21" t="s">
        <v>3250</v>
      </c>
      <c r="BK48" s="21" t="s">
        <v>753</v>
      </c>
      <c r="BL48" s="21" t="s">
        <v>753</v>
      </c>
      <c r="BM48" s="21" t="s">
        <v>848</v>
      </c>
      <c r="BN48" s="21" t="str">
        <f>Y48</f>
        <v>Realised</v>
      </c>
      <c r="BO48" s="29">
        <v>46093</v>
      </c>
      <c r="BP48" s="21" t="s">
        <v>848</v>
      </c>
      <c r="BQ48" s="37">
        <f>P48-BC48-BD48-BE48</f>
        <v>11753820.5</v>
      </c>
      <c r="BR48" s="21" t="s">
        <v>3329</v>
      </c>
      <c r="BS48" s="21" t="s">
        <v>3090</v>
      </c>
    </row>
    <row r="49" spans="1:71" x14ac:dyDescent="0.3">
      <c r="A49" s="21" t="s">
        <v>3248</v>
      </c>
      <c r="B49" s="29">
        <v>46095</v>
      </c>
      <c r="C49" s="21" t="s">
        <v>3079</v>
      </c>
      <c r="D49" s="21" t="s">
        <v>743</v>
      </c>
      <c r="E49" s="37">
        <f>BC49</f>
        <v>4100000</v>
      </c>
      <c r="F49" s="21" t="str">
        <f>"PKR "&amp;TEXT(E49,"#,##0")&amp;" only"</f>
        <v>PKR 4,100,000 only</v>
      </c>
      <c r="G49" s="21" t="s">
        <v>3080</v>
      </c>
      <c r="H49" s="21" t="s">
        <v>3092</v>
      </c>
      <c r="I49" s="29" t="s">
        <v>844</v>
      </c>
      <c r="J49" s="21" t="s">
        <v>3081</v>
      </c>
      <c r="K49" s="21" t="s">
        <v>3093</v>
      </c>
      <c r="L49" s="21" t="s">
        <v>1813</v>
      </c>
      <c r="M49" s="21" t="s">
        <v>1089</v>
      </c>
      <c r="N49" s="21" t="s">
        <v>1088</v>
      </c>
      <c r="O49" s="21" t="s">
        <v>844</v>
      </c>
      <c r="P49" s="37" cm="1">
        <f t="array" ref="P49">SUMPRODUCT(('T11'!$G$3:$G$1500=L49)*('T11'!$B$3:$B$1500&lt;=B49)*('T11'!$W$3:$W$1500*(1+'T11'!$X$3:$X$1500)+'T11'!$Y$3:$Y$1500))-SUMPRODUCT(($L$3:$L$1499=L49)*($B$3:$B$1499&lt;B49)*($BC$3:$BC$1499+$BD$3:$BD$1499+$BE$3:$BE$1499))</f>
        <v>11753820.5</v>
      </c>
      <c r="Q49" s="37" cm="1">
        <f t="array" ref="Q49">MAX(0,SUMPRODUCT(('T11'!$G$3:$G$1500=L49)*('T11'!$AG$3:$AG$1500&lt;B49)*('T11'!$W$3:$W$1500*(1+'T11'!$X$3:$X$1500)+'T11'!$Y$3:$Y$1500))-SUMPRODUCT(($L$3:$L$1499=L49)*($B$3:$B$1499&lt;B49)*($BC$3:$BC$1499+$BD$3:$BD$1499+$BE$3:$BE$1499)))</f>
        <v>0</v>
      </c>
      <c r="R49" s="21" t="s">
        <v>3094</v>
      </c>
      <c r="S49" s="21" t="s">
        <v>1097</v>
      </c>
      <c r="T49" s="21">
        <v>1</v>
      </c>
      <c r="U49" s="21">
        <v>1</v>
      </c>
      <c r="V49" s="21" t="s">
        <v>3095</v>
      </c>
      <c r="W49" s="37">
        <f>E49</f>
        <v>4100000</v>
      </c>
      <c r="X49" s="21" t="s">
        <v>3085</v>
      </c>
      <c r="Y49" s="21" t="str">
        <f>IF(V49="Cash",IF(AE49="Deposited","Realised","Pending deposit"),IF(V49="Cheque",IF(LEFT(AN49,7)="Cleared","Realised","Pending clearance"),IF(AT49="Identified","Realised","Unidentified")))</f>
        <v>Realised</v>
      </c>
      <c r="Z49" s="21" t="s">
        <v>844</v>
      </c>
      <c r="AA49" s="21" t="s">
        <v>844</v>
      </c>
      <c r="AB49" s="21" t="s">
        <v>844</v>
      </c>
      <c r="AC49" s="21" t="s">
        <v>844</v>
      </c>
      <c r="AD49" s="29" t="s">
        <v>844</v>
      </c>
      <c r="AE49" s="21" t="s">
        <v>844</v>
      </c>
      <c r="AF49" s="21" t="s">
        <v>844</v>
      </c>
      <c r="AG49" s="29" t="s">
        <v>844</v>
      </c>
      <c r="AH49" s="37" t="s">
        <v>844</v>
      </c>
      <c r="AI49" s="21" t="s">
        <v>844</v>
      </c>
      <c r="AJ49" s="21" t="s">
        <v>844</v>
      </c>
      <c r="AK49" s="29" t="s">
        <v>844</v>
      </c>
      <c r="AL49" s="21" t="s">
        <v>844</v>
      </c>
      <c r="AM49" s="29" t="s">
        <v>844</v>
      </c>
      <c r="AN49" s="21" t="s">
        <v>844</v>
      </c>
      <c r="AO49" s="21" t="s">
        <v>844</v>
      </c>
      <c r="AP49" s="21" t="s">
        <v>3096</v>
      </c>
      <c r="AQ49" s="21" t="s">
        <v>3252</v>
      </c>
      <c r="AR49" s="35">
        <v>46095.708333333336</v>
      </c>
      <c r="AS49" s="37">
        <f>W49</f>
        <v>4100000</v>
      </c>
      <c r="AT49" s="21" t="s">
        <v>3098</v>
      </c>
      <c r="AU49" s="21" t="str">
        <f>IF(AW49=0,"Complete","Incomplete")</f>
        <v>Complete</v>
      </c>
      <c r="AV49" s="37">
        <f>W49</f>
        <v>4100000</v>
      </c>
      <c r="AW49" s="37">
        <f>AV49-E49</f>
        <v>0</v>
      </c>
      <c r="AX49" s="21">
        <v>1</v>
      </c>
      <c r="AY49" s="21" t="s">
        <v>2645</v>
      </c>
      <c r="AZ49" s="37">
        <f>_xlfn.XLOOKUP(AY49,'T11'!$A$3:$A$1500,'T11'!$AD$3:$AD$1500)</f>
        <v>8178152.5</v>
      </c>
      <c r="BA49" s="37">
        <v>0</v>
      </c>
      <c r="BB49" s="37">
        <f>AZ49-BA49</f>
        <v>8178152.5</v>
      </c>
      <c r="BC49" s="37">
        <v>4100000</v>
      </c>
      <c r="BD49" s="37">
        <f>ROUND(BC49*BH49/(1-BH49),0)</f>
        <v>215789</v>
      </c>
      <c r="BE49" s="37">
        <v>0</v>
      </c>
      <c r="BF49" s="37">
        <f>BB49-BC49-BD49-BE49</f>
        <v>3862363.5</v>
      </c>
      <c r="BG49" s="21" t="s">
        <v>3088</v>
      </c>
      <c r="BH49" s="23">
        <v>0.05</v>
      </c>
      <c r="BI49" s="37">
        <f>BD49</f>
        <v>215789</v>
      </c>
      <c r="BJ49" s="21" t="s">
        <v>3253</v>
      </c>
      <c r="BK49" s="21" t="s">
        <v>753</v>
      </c>
      <c r="BL49" s="21" t="s">
        <v>753</v>
      </c>
      <c r="BM49" s="21" t="s">
        <v>848</v>
      </c>
      <c r="BN49" s="21" t="str">
        <f>Y49</f>
        <v>Realised</v>
      </c>
      <c r="BO49" s="29">
        <v>46095</v>
      </c>
      <c r="BP49" s="21" t="s">
        <v>848</v>
      </c>
      <c r="BQ49" s="37">
        <f>P49-BC49-BD49-BE49</f>
        <v>7438031.5</v>
      </c>
      <c r="BR49" s="21" t="s">
        <v>3330</v>
      </c>
      <c r="BS49" s="21" t="s">
        <v>3090</v>
      </c>
    </row>
    <row r="50" spans="1:71" x14ac:dyDescent="0.3">
      <c r="A50" s="21" t="s">
        <v>3251</v>
      </c>
      <c r="B50" s="29">
        <v>46112</v>
      </c>
      <c r="C50" s="21" t="s">
        <v>3101</v>
      </c>
      <c r="D50" s="21" t="s">
        <v>743</v>
      </c>
      <c r="E50" s="37">
        <f>BC50</f>
        <v>3396885</v>
      </c>
      <c r="F50" s="21" t="str">
        <f>"PKR "&amp;TEXT(E50,"#,##0")&amp;" only"</f>
        <v>PKR 3,396,885 only</v>
      </c>
      <c r="G50" s="21" t="s">
        <v>3080</v>
      </c>
      <c r="H50" s="21" t="s">
        <v>1811</v>
      </c>
      <c r="I50" s="29" t="s">
        <v>844</v>
      </c>
      <c r="J50" s="21" t="s">
        <v>3081</v>
      </c>
      <c r="K50" s="21" t="s">
        <v>3093</v>
      </c>
      <c r="L50" s="21" t="s">
        <v>1813</v>
      </c>
      <c r="M50" s="21" t="s">
        <v>1089</v>
      </c>
      <c r="N50" s="21" t="s">
        <v>1088</v>
      </c>
      <c r="O50" s="21" t="s">
        <v>844</v>
      </c>
      <c r="P50" s="37" cm="1">
        <f t="array" ref="P50">SUMPRODUCT(('T11'!$G$3:$G$1500=L50)*('T11'!$B$3:$B$1500&lt;=B50)*('T11'!$W$3:$W$1500*(1+'T11'!$X$3:$X$1500)+'T11'!$Y$3:$Y$1500))-SUMPRODUCT(($L$3:$L$1499=L50)*($B$3:$B$1499&lt;B50)*($BC$3:$BC$1499+$BD$3:$BD$1499+$BE$3:$BE$1499))</f>
        <v>7438031.5</v>
      </c>
      <c r="Q50" s="37" cm="1">
        <f t="array" ref="Q50">MAX(0,SUMPRODUCT(('T11'!$G$3:$G$1500=L50)*('T11'!$AG$3:$AG$1500&lt;B50)*('T11'!$W$3:$W$1500*(1+'T11'!$X$3:$X$1500)+'T11'!$Y$3:$Y$1500))-SUMPRODUCT(($L$3:$L$1499=L50)*($B$3:$B$1499&lt;B50)*($BC$3:$BC$1499+$BD$3:$BD$1499+$BE$3:$BE$1499)))</f>
        <v>7438031.5</v>
      </c>
      <c r="R50" s="21" t="s">
        <v>3094</v>
      </c>
      <c r="S50" s="21" t="s">
        <v>1097</v>
      </c>
      <c r="T50" s="21">
        <v>1</v>
      </c>
      <c r="U50" s="21">
        <v>1</v>
      </c>
      <c r="V50" s="21" t="s">
        <v>3084</v>
      </c>
      <c r="W50" s="37">
        <f>E50</f>
        <v>3396885</v>
      </c>
      <c r="X50" s="21" t="s">
        <v>3085</v>
      </c>
      <c r="Y50" s="21" t="str">
        <f>IF(V50="Cash",IF(AE50="Deposited","Realised","Pending deposit"),IF(V50="Cheque",IF(LEFT(AN50,7)="Cleared","Realised","Pending clearance"),IF(AT50="Identified","Realised","Unidentified")))</f>
        <v>Realised</v>
      </c>
      <c r="Z50" s="21" t="s">
        <v>844</v>
      </c>
      <c r="AA50" s="21" t="s">
        <v>844</v>
      </c>
      <c r="AB50" s="21" t="s">
        <v>844</v>
      </c>
      <c r="AC50" s="21" t="s">
        <v>844</v>
      </c>
      <c r="AD50" s="29" t="s">
        <v>844</v>
      </c>
      <c r="AE50" s="21" t="s">
        <v>844</v>
      </c>
      <c r="AF50" s="21">
        <v>14102998</v>
      </c>
      <c r="AG50" s="29">
        <v>46112</v>
      </c>
      <c r="AH50" s="37">
        <f>W50</f>
        <v>3396885</v>
      </c>
      <c r="AI50" s="21" t="s">
        <v>3150</v>
      </c>
      <c r="AJ50" s="21" t="s">
        <v>846</v>
      </c>
      <c r="AK50" s="29">
        <f>AG50</f>
        <v>46112</v>
      </c>
      <c r="AL50" s="21" t="s">
        <v>3087</v>
      </c>
      <c r="AM50" s="29">
        <v>46112</v>
      </c>
      <c r="AN50" s="21" t="s">
        <v>3255</v>
      </c>
      <c r="AO50" s="21" t="s">
        <v>848</v>
      </c>
      <c r="AP50" s="21" t="s">
        <v>844</v>
      </c>
      <c r="AQ50" s="21" t="s">
        <v>844</v>
      </c>
      <c r="AR50" s="35" t="s">
        <v>844</v>
      </c>
      <c r="AS50" s="37" t="s">
        <v>844</v>
      </c>
      <c r="AT50" s="21" t="s">
        <v>844</v>
      </c>
      <c r="AU50" s="21" t="str">
        <f>IF(AW50=0,"Complete","Incomplete")</f>
        <v>Complete</v>
      </c>
      <c r="AV50" s="37">
        <f>W50</f>
        <v>3396885</v>
      </c>
      <c r="AW50" s="37">
        <f>AV50-E50</f>
        <v>0</v>
      </c>
      <c r="AX50" s="21">
        <v>1</v>
      </c>
      <c r="AY50" s="21" t="s">
        <v>2639</v>
      </c>
      <c r="AZ50" s="37">
        <f>_xlfn.XLOOKUP(AY50,'T11'!$A$3:$A$1500,'T11'!$AD$3:$AD$1500)</f>
        <v>6628300</v>
      </c>
      <c r="BA50" s="37">
        <f>BC48+BD48+BE48</f>
        <v>3052632</v>
      </c>
      <c r="BB50" s="37">
        <f>AZ50-BA50</f>
        <v>3575668</v>
      </c>
      <c r="BC50" s="37">
        <f>ROUND(BB50*(1-BH50),0)</f>
        <v>3396885</v>
      </c>
      <c r="BD50" s="37">
        <f>BB50-BC50-BE50</f>
        <v>178783</v>
      </c>
      <c r="BE50" s="37">
        <v>0</v>
      </c>
      <c r="BF50" s="37">
        <f>BB50-BC50-BD50-BE50</f>
        <v>0</v>
      </c>
      <c r="BG50" s="21" t="s">
        <v>3088</v>
      </c>
      <c r="BH50" s="23">
        <v>0.05</v>
      </c>
      <c r="BI50" s="37">
        <f>BD50</f>
        <v>178783</v>
      </c>
      <c r="BJ50" s="21" t="s">
        <v>3256</v>
      </c>
      <c r="BK50" s="21" t="s">
        <v>753</v>
      </c>
      <c r="BL50" s="21" t="s">
        <v>753</v>
      </c>
      <c r="BM50" s="21" t="s">
        <v>848</v>
      </c>
      <c r="BN50" s="21" t="str">
        <f>Y50</f>
        <v>Realised</v>
      </c>
      <c r="BO50" s="29">
        <v>46114</v>
      </c>
      <c r="BP50" s="21" t="s">
        <v>848</v>
      </c>
      <c r="BQ50" s="37">
        <f>P50-BC50-BD50-BE50</f>
        <v>3862363.5</v>
      </c>
      <c r="BR50" s="21" t="s">
        <v>3331</v>
      </c>
      <c r="BS50" s="21" t="s">
        <v>3090</v>
      </c>
    </row>
    <row r="51" spans="1:71" x14ac:dyDescent="0.3">
      <c r="A51" s="21" t="s">
        <v>3254</v>
      </c>
      <c r="B51" s="29">
        <v>46122</v>
      </c>
      <c r="C51" s="21" t="s">
        <v>3101</v>
      </c>
      <c r="D51" s="21" t="s">
        <v>743</v>
      </c>
      <c r="E51" s="37">
        <f>BC51</f>
        <v>3669245</v>
      </c>
      <c r="F51" s="21" t="str">
        <f>"PKR "&amp;TEXT(E51,"#,##0")&amp;" only"</f>
        <v>PKR 3,669,245 only</v>
      </c>
      <c r="G51" s="21" t="s">
        <v>3080</v>
      </c>
      <c r="H51" s="21" t="s">
        <v>3092</v>
      </c>
      <c r="I51" s="29" t="s">
        <v>844</v>
      </c>
      <c r="J51" s="21" t="s">
        <v>3081</v>
      </c>
      <c r="K51" s="21" t="s">
        <v>3093</v>
      </c>
      <c r="L51" s="21" t="s">
        <v>1813</v>
      </c>
      <c r="M51" s="21" t="s">
        <v>1089</v>
      </c>
      <c r="N51" s="21" t="s">
        <v>1088</v>
      </c>
      <c r="O51" s="21" t="s">
        <v>844</v>
      </c>
      <c r="P51" s="37" cm="1">
        <f t="array" ref="P51">SUMPRODUCT(('T11'!$G$3:$G$1500=L51)*('T11'!$B$3:$B$1500&lt;=B51)*('T11'!$W$3:$W$1500*(1+'T11'!$X$3:$X$1500)+'T11'!$Y$3:$Y$1500))-SUMPRODUCT(($L$3:$L$1499=L51)*($B$3:$B$1499&lt;B51)*($BC$3:$BC$1499+$BD$3:$BD$1499+$BE$3:$BE$1499))</f>
        <v>3862363.5</v>
      </c>
      <c r="Q51" s="37" cm="1">
        <f t="array" ref="Q51">MAX(0,SUMPRODUCT(('T11'!$G$3:$G$1500=L51)*('T11'!$AG$3:$AG$1500&lt;B51)*('T11'!$W$3:$W$1500*(1+'T11'!$X$3:$X$1500)+'T11'!$Y$3:$Y$1500))-SUMPRODUCT(($L$3:$L$1499=L51)*($B$3:$B$1499&lt;B51)*($BC$3:$BC$1499+$BD$3:$BD$1499+$BE$3:$BE$1499)))</f>
        <v>3862363.5</v>
      </c>
      <c r="R51" s="21" t="s">
        <v>3094</v>
      </c>
      <c r="S51" s="21" t="s">
        <v>1097</v>
      </c>
      <c r="T51" s="21">
        <v>1</v>
      </c>
      <c r="U51" s="21">
        <v>1</v>
      </c>
      <c r="V51" s="21" t="s">
        <v>3095</v>
      </c>
      <c r="W51" s="37">
        <f>E51</f>
        <v>3669245</v>
      </c>
      <c r="X51" s="21" t="s">
        <v>3085</v>
      </c>
      <c r="Y51" s="21" t="str">
        <f>IF(V51="Cash",IF(AE51="Deposited","Realised","Pending deposit"),IF(V51="Cheque",IF(LEFT(AN51,7)="Cleared","Realised","Pending clearance"),IF(AT51="Identified","Realised","Unidentified")))</f>
        <v>Realised</v>
      </c>
      <c r="Z51" s="21" t="s">
        <v>844</v>
      </c>
      <c r="AA51" s="21" t="s">
        <v>844</v>
      </c>
      <c r="AB51" s="21" t="s">
        <v>844</v>
      </c>
      <c r="AC51" s="21" t="s">
        <v>844</v>
      </c>
      <c r="AD51" s="29" t="s">
        <v>844</v>
      </c>
      <c r="AE51" s="21" t="s">
        <v>844</v>
      </c>
      <c r="AF51" s="21" t="s">
        <v>844</v>
      </c>
      <c r="AG51" s="29" t="s">
        <v>844</v>
      </c>
      <c r="AH51" s="37" t="s">
        <v>844</v>
      </c>
      <c r="AI51" s="21" t="s">
        <v>844</v>
      </c>
      <c r="AJ51" s="21" t="s">
        <v>844</v>
      </c>
      <c r="AK51" s="29" t="s">
        <v>844</v>
      </c>
      <c r="AL51" s="21" t="s">
        <v>844</v>
      </c>
      <c r="AM51" s="29" t="s">
        <v>844</v>
      </c>
      <c r="AN51" s="21" t="s">
        <v>844</v>
      </c>
      <c r="AO51" s="21" t="s">
        <v>844</v>
      </c>
      <c r="AP51" s="21" t="s">
        <v>3096</v>
      </c>
      <c r="AQ51" s="21" t="s">
        <v>3258</v>
      </c>
      <c r="AR51" s="35">
        <v>46122.708333333336</v>
      </c>
      <c r="AS51" s="37">
        <f>W51</f>
        <v>3669245</v>
      </c>
      <c r="AT51" s="21" t="s">
        <v>3098</v>
      </c>
      <c r="AU51" s="21" t="str">
        <f>IF(AW51=0,"Complete","Incomplete")</f>
        <v>Complete</v>
      </c>
      <c r="AV51" s="37">
        <f>W51</f>
        <v>3669245</v>
      </c>
      <c r="AW51" s="37">
        <f>AV51-E51</f>
        <v>0</v>
      </c>
      <c r="AX51" s="21">
        <v>1</v>
      </c>
      <c r="AY51" s="21" t="s">
        <v>2645</v>
      </c>
      <c r="AZ51" s="37">
        <f>_xlfn.XLOOKUP(AY51,'T11'!$A$3:$A$1500,'T11'!$AD$3:$AD$1500)</f>
        <v>8178152.5</v>
      </c>
      <c r="BA51" s="37">
        <f>BC49+BD49+BE49</f>
        <v>4315789</v>
      </c>
      <c r="BB51" s="37">
        <f>AZ51-BA51</f>
        <v>3862363.5</v>
      </c>
      <c r="BC51" s="37">
        <f>ROUND(BB51*(1-BH51),0)</f>
        <v>3669245</v>
      </c>
      <c r="BD51" s="37">
        <f>BB51-BC51-BE51</f>
        <v>193118.5</v>
      </c>
      <c r="BE51" s="37">
        <v>0</v>
      </c>
      <c r="BF51" s="37">
        <f>BB51-BC51-BD51-BE51</f>
        <v>0</v>
      </c>
      <c r="BG51" s="21" t="s">
        <v>3088</v>
      </c>
      <c r="BH51" s="23">
        <v>0.05</v>
      </c>
      <c r="BI51" s="37">
        <f>BD51</f>
        <v>193118.5</v>
      </c>
      <c r="BJ51" s="21" t="s">
        <v>3259</v>
      </c>
      <c r="BK51" s="21" t="s">
        <v>753</v>
      </c>
      <c r="BL51" s="21" t="s">
        <v>753</v>
      </c>
      <c r="BM51" s="21" t="s">
        <v>848</v>
      </c>
      <c r="BN51" s="21" t="str">
        <f>Y51</f>
        <v>Realised</v>
      </c>
      <c r="BO51" s="29">
        <v>46122</v>
      </c>
      <c r="BP51" s="21" t="s">
        <v>848</v>
      </c>
      <c r="BQ51" s="37">
        <f>P51-BC51-BD51-BE51</f>
        <v>0</v>
      </c>
      <c r="BR51" s="21" t="s">
        <v>3332</v>
      </c>
      <c r="BS51" s="21" t="s">
        <v>3090</v>
      </c>
    </row>
    <row r="52" spans="1:71" x14ac:dyDescent="0.3">
      <c r="A52" s="21" t="s">
        <v>3257</v>
      </c>
      <c r="B52" s="29">
        <v>46139</v>
      </c>
      <c r="C52" s="21" t="s">
        <v>3101</v>
      </c>
      <c r="D52" s="21" t="s">
        <v>743</v>
      </c>
      <c r="E52" s="37">
        <f>BC52</f>
        <v>4092652</v>
      </c>
      <c r="F52" s="21" t="str">
        <f>"PKR "&amp;TEXT(E52,"#,##0")&amp;" only"</f>
        <v>PKR 4,092,652 only</v>
      </c>
      <c r="G52" s="21" t="s">
        <v>3080</v>
      </c>
      <c r="H52" s="21" t="s">
        <v>1796</v>
      </c>
      <c r="I52" s="29">
        <f>B52+1</f>
        <v>46140</v>
      </c>
      <c r="J52" s="21" t="s">
        <v>3081</v>
      </c>
      <c r="K52" s="21" t="s">
        <v>3082</v>
      </c>
      <c r="L52" s="21" t="s">
        <v>1870</v>
      </c>
      <c r="M52" s="21" t="s">
        <v>3033</v>
      </c>
      <c r="N52" s="21" t="s">
        <v>1043</v>
      </c>
      <c r="O52" s="21" t="s">
        <v>844</v>
      </c>
      <c r="P52" s="37" cm="1">
        <f t="array" ref="P52">SUMPRODUCT(('T11'!$G$3:$G$1500=L52)*('T11'!$B$3:$B$1500&lt;=B52)*('T11'!$W$3:$W$1500*(1+'T11'!$X$3:$X$1500)+'T11'!$Y$3:$Y$1500))-SUMPRODUCT(($L$3:$L$1499=L52)*($B$3:$B$1499&lt;B52)*($BC$3:$BC$1499+$BD$3:$BD$1499+$BE$3:$BE$1499))</f>
        <v>4092652.1999999993</v>
      </c>
      <c r="Q52" s="37" cm="1">
        <f t="array" ref="Q52">MAX(0,SUMPRODUCT(('T11'!$G$3:$G$1500=L52)*('T11'!$AG$3:$AG$1500&lt;B52)*('T11'!$W$3:$W$1500*(1+'T11'!$X$3:$X$1500)+'T11'!$Y$3:$Y$1500))-SUMPRODUCT(($L$3:$L$1499=L52)*($B$3:$B$1499&lt;B52)*($BC$3:$BC$1499+$BD$3:$BD$1499+$BE$3:$BE$1499)))</f>
        <v>4092652.1999999993</v>
      </c>
      <c r="R52" s="21" t="s">
        <v>3190</v>
      </c>
      <c r="S52" s="21" t="s">
        <v>1871</v>
      </c>
      <c r="T52" s="21">
        <v>1</v>
      </c>
      <c r="U52" s="21">
        <v>1</v>
      </c>
      <c r="V52" s="21" t="s">
        <v>3191</v>
      </c>
      <c r="W52" s="37">
        <f>E52</f>
        <v>4092652</v>
      </c>
      <c r="X52" s="21" t="s">
        <v>3192</v>
      </c>
      <c r="Y52" s="21" t="str">
        <f>IF(V52="Cash",IF(AE52="Deposited","Realised","Pending deposit"),IF(V52="Cheque",IF(LEFT(AN52,7)="Cleared","Realised","Pending clearance"),IF(AT52="Identified","Realised","Unidentified")))</f>
        <v>Realised</v>
      </c>
      <c r="Z52" s="21" t="s">
        <v>1796</v>
      </c>
      <c r="AA52" s="21" t="s">
        <v>3193</v>
      </c>
      <c r="AB52" s="21" t="s">
        <v>3261</v>
      </c>
      <c r="AC52" s="21" t="s">
        <v>3262</v>
      </c>
      <c r="AD52" s="29">
        <f>B52+1</f>
        <v>46140</v>
      </c>
      <c r="AE52" s="21" t="str">
        <f>IF(ISNUMBER(SEARCH("DS-",AC52)),"Deposited","Pending")</f>
        <v>Deposited</v>
      </c>
      <c r="AF52" s="21" t="s">
        <v>844</v>
      </c>
      <c r="AG52" s="29" t="s">
        <v>844</v>
      </c>
      <c r="AH52" s="37" t="s">
        <v>844</v>
      </c>
      <c r="AI52" s="21" t="s">
        <v>844</v>
      </c>
      <c r="AJ52" s="21" t="s">
        <v>844</v>
      </c>
      <c r="AK52" s="29" t="s">
        <v>844</v>
      </c>
      <c r="AL52" s="21" t="s">
        <v>844</v>
      </c>
      <c r="AM52" s="29" t="s">
        <v>844</v>
      </c>
      <c r="AN52" s="21" t="s">
        <v>844</v>
      </c>
      <c r="AO52" s="21" t="s">
        <v>844</v>
      </c>
      <c r="AP52" s="21" t="s">
        <v>844</v>
      </c>
      <c r="AQ52" s="21" t="s">
        <v>844</v>
      </c>
      <c r="AR52" s="35" t="s">
        <v>844</v>
      </c>
      <c r="AS52" s="37" t="s">
        <v>844</v>
      </c>
      <c r="AT52" s="21" t="s">
        <v>844</v>
      </c>
      <c r="AU52" s="21" t="str">
        <f>IF(AW52=0,"Complete","Incomplete")</f>
        <v>Complete</v>
      </c>
      <c r="AV52" s="37">
        <f>W52</f>
        <v>4092652</v>
      </c>
      <c r="AW52" s="37">
        <f>AV52-E52</f>
        <v>0</v>
      </c>
      <c r="AX52" s="21">
        <v>1</v>
      </c>
      <c r="AY52" s="21" t="s">
        <v>2688</v>
      </c>
      <c r="AZ52" s="37">
        <f>_xlfn.XLOOKUP(AY52,'T11'!$A$3:$A$1500,'T11'!$AD$3:$AD$1500)</f>
        <v>4092652.2</v>
      </c>
      <c r="BA52" s="37">
        <v>0</v>
      </c>
      <c r="BB52" s="37">
        <f>AZ52-BA52</f>
        <v>4092652.2</v>
      </c>
      <c r="BC52" s="37">
        <f>ROUND(BB52*(1-BH52),0)</f>
        <v>4092652</v>
      </c>
      <c r="BD52" s="37">
        <f>BB52-BC52-BE52</f>
        <v>0.20000000018626451</v>
      </c>
      <c r="BE52" s="37">
        <v>0</v>
      </c>
      <c r="BF52" s="37">
        <f>BB52-BC52-BD52-BE52</f>
        <v>0</v>
      </c>
      <c r="BG52" s="21" t="s">
        <v>3112</v>
      </c>
      <c r="BH52" s="23">
        <v>0</v>
      </c>
      <c r="BI52" s="37">
        <f>BD52</f>
        <v>0.20000000018626451</v>
      </c>
      <c r="BJ52" s="21" t="s">
        <v>844</v>
      </c>
      <c r="BK52" s="21" t="s">
        <v>844</v>
      </c>
      <c r="BL52" s="21" t="s">
        <v>844</v>
      </c>
      <c r="BM52" s="21" t="s">
        <v>848</v>
      </c>
      <c r="BN52" s="21" t="str">
        <f>Y52</f>
        <v>Realised</v>
      </c>
      <c r="BO52" s="29">
        <v>46140</v>
      </c>
      <c r="BP52" s="21" t="s">
        <v>848</v>
      </c>
      <c r="BQ52" s="37">
        <f>P52-BC52-BD52-BE52</f>
        <v>-9.3132257461547852E-10</v>
      </c>
      <c r="BR52" s="21" t="s">
        <v>3333</v>
      </c>
      <c r="BS52" s="21" t="s">
        <v>3090</v>
      </c>
    </row>
    <row r="53" spans="1:71" x14ac:dyDescent="0.3">
      <c r="A53" s="21" t="s">
        <v>3260</v>
      </c>
      <c r="B53" s="29">
        <v>46147</v>
      </c>
      <c r="C53" s="21" t="s">
        <v>3079</v>
      </c>
      <c r="D53" s="21" t="s">
        <v>743</v>
      </c>
      <c r="E53" s="37">
        <f>BC53</f>
        <v>2900000</v>
      </c>
      <c r="F53" s="21" t="str">
        <f>"PKR "&amp;TEXT(E53,"#,##0")&amp;" only"</f>
        <v>PKR 2,900,000 only</v>
      </c>
      <c r="G53" s="21" t="s">
        <v>3080</v>
      </c>
      <c r="H53" s="21" t="s">
        <v>1796</v>
      </c>
      <c r="I53" s="29" t="s">
        <v>844</v>
      </c>
      <c r="J53" s="21" t="s">
        <v>3081</v>
      </c>
      <c r="K53" s="21" t="s">
        <v>3082</v>
      </c>
      <c r="L53" s="21" t="s">
        <v>1835</v>
      </c>
      <c r="M53" s="21" t="s">
        <v>1055</v>
      </c>
      <c r="N53" s="21" t="s">
        <v>1053</v>
      </c>
      <c r="O53" s="21" t="s">
        <v>844</v>
      </c>
      <c r="P53" s="37" cm="1">
        <f t="array" ref="P53">SUMPRODUCT(('T11'!$G$3:$G$1500=L53)*('T11'!$B$3:$B$1500&lt;=B53)*('T11'!$W$3:$W$1500*(1+'T11'!$X$3:$X$1500)+'T11'!$Y$3:$Y$1500))-SUMPRODUCT(($L$3:$L$1499=L53)*($B$3:$B$1499&lt;B53)*($BC$3:$BC$1499+$BD$3:$BD$1499+$BE$3:$BE$1499))</f>
        <v>5884890</v>
      </c>
      <c r="Q53" s="37" cm="1">
        <f t="array" ref="Q53">MAX(0,SUMPRODUCT(('T11'!$G$3:$G$1500=L53)*('T11'!$AG$3:$AG$1500&lt;B53)*('T11'!$W$3:$W$1500*(1+'T11'!$X$3:$X$1500)+'T11'!$Y$3:$Y$1500))-SUMPRODUCT(($L$3:$L$1499=L53)*($B$3:$B$1499&lt;B53)*($BC$3:$BC$1499+$BD$3:$BD$1499+$BE$3:$BE$1499)))</f>
        <v>0</v>
      </c>
      <c r="R53" s="21" t="s">
        <v>3159</v>
      </c>
      <c r="S53" s="21" t="s">
        <v>1836</v>
      </c>
      <c r="T53" s="21">
        <v>1</v>
      </c>
      <c r="U53" s="21">
        <v>1</v>
      </c>
      <c r="V53" s="21" t="s">
        <v>3084</v>
      </c>
      <c r="W53" s="37">
        <f>E53</f>
        <v>2900000</v>
      </c>
      <c r="X53" s="21" t="s">
        <v>3085</v>
      </c>
      <c r="Y53" s="21" t="str">
        <f>IF(V53="Cash",IF(AE53="Deposited","Realised","Pending deposit"),IF(V53="Cheque",IF(LEFT(AN53,7)="Cleared","Realised","Pending clearance"),IF(AT53="Identified","Realised","Unidentified")))</f>
        <v>Realised</v>
      </c>
      <c r="Z53" s="21" t="s">
        <v>844</v>
      </c>
      <c r="AA53" s="21" t="s">
        <v>844</v>
      </c>
      <c r="AB53" s="21" t="s">
        <v>844</v>
      </c>
      <c r="AC53" s="21" t="s">
        <v>844</v>
      </c>
      <c r="AD53" s="29" t="s">
        <v>844</v>
      </c>
      <c r="AE53" s="21" t="s">
        <v>844</v>
      </c>
      <c r="AF53" s="21">
        <v>10472059</v>
      </c>
      <c r="AG53" s="29">
        <v>46154</v>
      </c>
      <c r="AH53" s="37">
        <f>W53</f>
        <v>2900000</v>
      </c>
      <c r="AI53" s="21" t="s">
        <v>3187</v>
      </c>
      <c r="AJ53" s="21" t="s">
        <v>753</v>
      </c>
      <c r="AK53" s="29">
        <f>AG53</f>
        <v>46154</v>
      </c>
      <c r="AL53" s="21" t="s">
        <v>3087</v>
      </c>
      <c r="AM53" s="29">
        <v>46154</v>
      </c>
      <c r="AN53" s="21" t="s">
        <v>3264</v>
      </c>
      <c r="AO53" s="21" t="s">
        <v>848</v>
      </c>
      <c r="AP53" s="21" t="s">
        <v>844</v>
      </c>
      <c r="AQ53" s="21" t="s">
        <v>844</v>
      </c>
      <c r="AR53" s="35" t="s">
        <v>844</v>
      </c>
      <c r="AS53" s="37" t="s">
        <v>844</v>
      </c>
      <c r="AT53" s="21" t="s">
        <v>844</v>
      </c>
      <c r="AU53" s="21" t="str">
        <f>IF(AW53=0,"Complete","Incomplete")</f>
        <v>Complete</v>
      </c>
      <c r="AV53" s="37">
        <f>W53</f>
        <v>2900000</v>
      </c>
      <c r="AW53" s="37">
        <f>AV53-E53</f>
        <v>0</v>
      </c>
      <c r="AX53" s="21">
        <v>1</v>
      </c>
      <c r="AY53" s="21" t="s">
        <v>2717</v>
      </c>
      <c r="AZ53" s="37">
        <f>_xlfn.XLOOKUP(AY53,'T11'!$A$3:$A$1500,'T11'!$AD$3:$AD$1500)</f>
        <v>5884890</v>
      </c>
      <c r="BA53" s="37">
        <v>0</v>
      </c>
      <c r="BB53" s="37">
        <f>AZ53-BA53</f>
        <v>5884890</v>
      </c>
      <c r="BC53" s="37">
        <v>2900000</v>
      </c>
      <c r="BD53" s="37">
        <f>ROUND(BC53*BH53/(1-BH53),0)</f>
        <v>0</v>
      </c>
      <c r="BE53" s="37">
        <v>0</v>
      </c>
      <c r="BF53" s="37">
        <f>BB53-BC53-BD53-BE53</f>
        <v>2984890</v>
      </c>
      <c r="BG53" s="21" t="s">
        <v>3112</v>
      </c>
      <c r="BH53" s="23">
        <v>0</v>
      </c>
      <c r="BI53" s="37">
        <f>BD53</f>
        <v>0</v>
      </c>
      <c r="BJ53" s="21" t="s">
        <v>844</v>
      </c>
      <c r="BK53" s="21" t="s">
        <v>844</v>
      </c>
      <c r="BL53" s="21" t="s">
        <v>844</v>
      </c>
      <c r="BM53" s="21" t="s">
        <v>848</v>
      </c>
      <c r="BN53" s="21" t="str">
        <f>Y53</f>
        <v>Realised</v>
      </c>
      <c r="BO53" s="29">
        <v>46156</v>
      </c>
      <c r="BP53" s="21" t="s">
        <v>848</v>
      </c>
      <c r="BQ53" s="37">
        <f>P53-BC53-BD53-BE53</f>
        <v>2984890</v>
      </c>
      <c r="BR53" s="21" t="s">
        <v>3334</v>
      </c>
      <c r="BS53" s="21" t="s">
        <v>3090</v>
      </c>
    </row>
    <row r="54" spans="1:71" x14ac:dyDescent="0.3">
      <c r="A54" s="21" t="s">
        <v>3263</v>
      </c>
      <c r="B54" s="29">
        <v>46152</v>
      </c>
      <c r="C54" s="21" t="s">
        <v>3079</v>
      </c>
      <c r="D54" s="21" t="s">
        <v>743</v>
      </c>
      <c r="E54" s="37">
        <f>BC54</f>
        <v>3200000</v>
      </c>
      <c r="F54" s="21" t="str">
        <f>"PKR "&amp;TEXT(E54,"#,##0")&amp;" only"</f>
        <v>PKR 3,200,000 only</v>
      </c>
      <c r="G54" s="21" t="s">
        <v>3080</v>
      </c>
      <c r="H54" s="21" t="s">
        <v>3092</v>
      </c>
      <c r="I54" s="29" t="s">
        <v>844</v>
      </c>
      <c r="J54" s="21" t="s">
        <v>3081</v>
      </c>
      <c r="K54" s="21" t="s">
        <v>3093</v>
      </c>
      <c r="L54" s="21" t="s">
        <v>1830</v>
      </c>
      <c r="M54" s="21" t="s">
        <v>1133</v>
      </c>
      <c r="N54" s="21" t="s">
        <v>1132</v>
      </c>
      <c r="O54" s="21" t="s">
        <v>844</v>
      </c>
      <c r="P54" s="37" cm="1">
        <f t="array" ref="P54">SUMPRODUCT(('T11'!$G$3:$G$1500=L54)*('T11'!$B$3:$B$1500&lt;=B54)*('T11'!$W$3:$W$1500*(1+'T11'!$X$3:$X$1500)+'T11'!$Y$3:$Y$1500))-SUMPRODUCT(($L$3:$L$1499=L54)*($B$3:$B$1499&lt;B54)*($BC$3:$BC$1499+$BD$3:$BD$1499+$BE$3:$BE$1499))</f>
        <v>7081503</v>
      </c>
      <c r="Q54" s="37" cm="1">
        <f t="array" ref="Q54">MAX(0,SUMPRODUCT(('T11'!$G$3:$G$1500=L54)*('T11'!$AG$3:$AG$1500&lt;B54)*('T11'!$W$3:$W$1500*(1+'T11'!$X$3:$X$1500)+'T11'!$Y$3:$Y$1500))-SUMPRODUCT(($L$3:$L$1499=L54)*($B$3:$B$1499&lt;B54)*($BC$3:$BC$1499+$BD$3:$BD$1499+$BE$3:$BE$1499)))</f>
        <v>0</v>
      </c>
      <c r="R54" s="21" t="s">
        <v>3126</v>
      </c>
      <c r="S54" s="21" t="s">
        <v>1139</v>
      </c>
      <c r="T54" s="21">
        <v>1</v>
      </c>
      <c r="U54" s="21">
        <v>1</v>
      </c>
      <c r="V54" s="21" t="s">
        <v>3095</v>
      </c>
      <c r="W54" s="37">
        <f>E54</f>
        <v>3200000</v>
      </c>
      <c r="X54" s="21" t="s">
        <v>3085</v>
      </c>
      <c r="Y54" s="21" t="str">
        <f>IF(V54="Cash",IF(AE54="Deposited","Realised","Pending deposit"),IF(V54="Cheque",IF(LEFT(AN54,7)="Cleared","Realised","Pending clearance"),IF(AT54="Identified","Realised","Unidentified")))</f>
        <v>Realised</v>
      </c>
      <c r="Z54" s="21" t="s">
        <v>844</v>
      </c>
      <c r="AA54" s="21" t="s">
        <v>844</v>
      </c>
      <c r="AB54" s="21" t="s">
        <v>844</v>
      </c>
      <c r="AC54" s="21" t="s">
        <v>844</v>
      </c>
      <c r="AD54" s="29" t="s">
        <v>844</v>
      </c>
      <c r="AE54" s="21" t="s">
        <v>844</v>
      </c>
      <c r="AF54" s="21" t="s">
        <v>844</v>
      </c>
      <c r="AG54" s="29" t="s">
        <v>844</v>
      </c>
      <c r="AH54" s="37" t="s">
        <v>844</v>
      </c>
      <c r="AI54" s="21" t="s">
        <v>844</v>
      </c>
      <c r="AJ54" s="21" t="s">
        <v>844</v>
      </c>
      <c r="AK54" s="29" t="s">
        <v>844</v>
      </c>
      <c r="AL54" s="21" t="s">
        <v>844</v>
      </c>
      <c r="AM54" s="29" t="s">
        <v>844</v>
      </c>
      <c r="AN54" s="21" t="s">
        <v>844</v>
      </c>
      <c r="AO54" s="21" t="s">
        <v>844</v>
      </c>
      <c r="AP54" s="21" t="s">
        <v>3127</v>
      </c>
      <c r="AQ54" s="21" t="s">
        <v>3266</v>
      </c>
      <c r="AR54" s="35">
        <v>46152.666666666664</v>
      </c>
      <c r="AS54" s="37">
        <f>W54</f>
        <v>3200000</v>
      </c>
      <c r="AT54" s="21" t="s">
        <v>3098</v>
      </c>
      <c r="AU54" s="21" t="str">
        <f>IF(AW54=0,"Complete","Incomplete")</f>
        <v>Complete</v>
      </c>
      <c r="AV54" s="37">
        <f>W54</f>
        <v>3200000</v>
      </c>
      <c r="AW54" s="37">
        <f>AV54-E54</f>
        <v>0</v>
      </c>
      <c r="AX54" s="21">
        <v>1</v>
      </c>
      <c r="AY54" s="21" t="s">
        <v>2711</v>
      </c>
      <c r="AZ54" s="37">
        <f>_xlfn.XLOOKUP(AY54,'T11'!$A$3:$A$1500,'T11'!$AD$3:$AD$1500)</f>
        <v>7081503</v>
      </c>
      <c r="BA54" s="37">
        <v>0</v>
      </c>
      <c r="BB54" s="37">
        <f>AZ54-BA54</f>
        <v>7081503</v>
      </c>
      <c r="BC54" s="37">
        <v>3200000</v>
      </c>
      <c r="BD54" s="37">
        <f>ROUND(BC54*BH54/(1-BH54),0)</f>
        <v>32323</v>
      </c>
      <c r="BE54" s="37">
        <v>0</v>
      </c>
      <c r="BF54" s="37">
        <f>BB54-BC54-BD54-BE54</f>
        <v>3849180</v>
      </c>
      <c r="BG54" s="21" t="s">
        <v>3088</v>
      </c>
      <c r="BH54" s="23">
        <v>0.01</v>
      </c>
      <c r="BI54" s="37">
        <f>BD54</f>
        <v>32323</v>
      </c>
      <c r="BJ54" s="21" t="s">
        <v>3267</v>
      </c>
      <c r="BK54" s="21" t="s">
        <v>753</v>
      </c>
      <c r="BL54" s="21" t="s">
        <v>753</v>
      </c>
      <c r="BM54" s="21" t="s">
        <v>848</v>
      </c>
      <c r="BN54" s="21" t="str">
        <f>Y54</f>
        <v>Realised</v>
      </c>
      <c r="BO54" s="29">
        <v>46152</v>
      </c>
      <c r="BP54" s="21" t="s">
        <v>848</v>
      </c>
      <c r="BQ54" s="37">
        <f>P54-BC54-BD54-BE54</f>
        <v>3849180</v>
      </c>
      <c r="BR54" s="21" t="s">
        <v>3335</v>
      </c>
      <c r="BS54" s="21" t="s">
        <v>3090</v>
      </c>
    </row>
    <row r="55" spans="1:71" x14ac:dyDescent="0.3">
      <c r="A55" s="21" t="s">
        <v>3265</v>
      </c>
      <c r="B55" s="29">
        <v>46158</v>
      </c>
      <c r="C55" s="21" t="s">
        <v>3101</v>
      </c>
      <c r="D55" s="21" t="s">
        <v>743</v>
      </c>
      <c r="E55" s="37">
        <f>BC55</f>
        <v>2984890</v>
      </c>
      <c r="F55" s="21" t="str">
        <f>"PKR "&amp;TEXT(E55,"#,##0")&amp;" only"</f>
        <v>PKR 2,984,890 only</v>
      </c>
      <c r="G55" s="21" t="s">
        <v>3080</v>
      </c>
      <c r="H55" s="21" t="s">
        <v>3092</v>
      </c>
      <c r="I55" s="29" t="s">
        <v>844</v>
      </c>
      <c r="J55" s="21" t="s">
        <v>3081</v>
      </c>
      <c r="K55" s="21" t="s">
        <v>3082</v>
      </c>
      <c r="L55" s="21" t="s">
        <v>1835</v>
      </c>
      <c r="M55" s="21" t="s">
        <v>1055</v>
      </c>
      <c r="N55" s="21" t="s">
        <v>1053</v>
      </c>
      <c r="O55" s="21" t="s">
        <v>844</v>
      </c>
      <c r="P55" s="37" cm="1">
        <f t="array" ref="P55">SUMPRODUCT(('T11'!$G$3:$G$1500=L55)*('T11'!$B$3:$B$1500&lt;=B55)*('T11'!$W$3:$W$1500*(1+'T11'!$X$3:$X$1500)+'T11'!$Y$3:$Y$1500))-SUMPRODUCT(($L$3:$L$1499=L55)*($B$3:$B$1499&lt;B55)*($BC$3:$BC$1499+$BD$3:$BD$1499+$BE$3:$BE$1499))</f>
        <v>2984890</v>
      </c>
      <c r="Q55" s="37" cm="1">
        <f t="array" ref="Q55">MAX(0,SUMPRODUCT(('T11'!$G$3:$G$1500=L55)*('T11'!$AG$3:$AG$1500&lt;B55)*('T11'!$W$3:$W$1500*(1+'T11'!$X$3:$X$1500)+'T11'!$Y$3:$Y$1500))-SUMPRODUCT(($L$3:$L$1499=L55)*($B$3:$B$1499&lt;B55)*($BC$3:$BC$1499+$BD$3:$BD$1499+$BE$3:$BE$1499)))</f>
        <v>2984890</v>
      </c>
      <c r="R55" s="21" t="s">
        <v>3159</v>
      </c>
      <c r="S55" s="21" t="s">
        <v>1836</v>
      </c>
      <c r="T55" s="21">
        <v>1</v>
      </c>
      <c r="U55" s="21">
        <v>1</v>
      </c>
      <c r="V55" s="21" t="s">
        <v>3095</v>
      </c>
      <c r="W55" s="37">
        <f>E55</f>
        <v>2984890</v>
      </c>
      <c r="X55" s="21" t="s">
        <v>3085</v>
      </c>
      <c r="Y55" s="21" t="str">
        <f>IF(V55="Cash",IF(AE55="Deposited","Realised","Pending deposit"),IF(V55="Cheque",IF(LEFT(AN55,7)="Cleared","Realised","Pending clearance"),IF(AT55="Identified","Realised","Unidentified")))</f>
        <v>Realised</v>
      </c>
      <c r="Z55" s="21" t="s">
        <v>844</v>
      </c>
      <c r="AA55" s="21" t="s">
        <v>844</v>
      </c>
      <c r="AB55" s="21" t="s">
        <v>844</v>
      </c>
      <c r="AC55" s="21" t="s">
        <v>844</v>
      </c>
      <c r="AD55" s="29" t="s">
        <v>844</v>
      </c>
      <c r="AE55" s="21" t="s">
        <v>844</v>
      </c>
      <c r="AF55" s="21" t="s">
        <v>844</v>
      </c>
      <c r="AG55" s="29" t="s">
        <v>844</v>
      </c>
      <c r="AH55" s="37" t="s">
        <v>844</v>
      </c>
      <c r="AI55" s="21" t="s">
        <v>844</v>
      </c>
      <c r="AJ55" s="21" t="s">
        <v>844</v>
      </c>
      <c r="AK55" s="29" t="s">
        <v>844</v>
      </c>
      <c r="AL55" s="21" t="s">
        <v>844</v>
      </c>
      <c r="AM55" s="29" t="s">
        <v>844</v>
      </c>
      <c r="AN55" s="21" t="s">
        <v>844</v>
      </c>
      <c r="AO55" s="21" t="s">
        <v>844</v>
      </c>
      <c r="AP55" s="21" t="s">
        <v>3160</v>
      </c>
      <c r="AQ55" s="21" t="s">
        <v>3269</v>
      </c>
      <c r="AR55" s="35">
        <v>46158.708333333336</v>
      </c>
      <c r="AS55" s="37">
        <f>W55</f>
        <v>2984890</v>
      </c>
      <c r="AT55" s="21" t="s">
        <v>3098</v>
      </c>
      <c r="AU55" s="21" t="str">
        <f>IF(AW55=0,"Complete","Incomplete")</f>
        <v>Complete</v>
      </c>
      <c r="AV55" s="37">
        <f>W55</f>
        <v>2984890</v>
      </c>
      <c r="AW55" s="37">
        <f>AV55-E55</f>
        <v>0</v>
      </c>
      <c r="AX55" s="21">
        <v>1</v>
      </c>
      <c r="AY55" s="21" t="s">
        <v>2717</v>
      </c>
      <c r="AZ55" s="37">
        <f>_xlfn.XLOOKUP(AY55,'T11'!$A$3:$A$1500,'T11'!$AD$3:$AD$1500)</f>
        <v>5884890</v>
      </c>
      <c r="BA55" s="37">
        <f>BC53+BD53+BE53</f>
        <v>2900000</v>
      </c>
      <c r="BB55" s="37">
        <f>AZ55-BA55</f>
        <v>2984890</v>
      </c>
      <c r="BC55" s="37">
        <f>ROUND(BB55*(1-BH55),0)</f>
        <v>2984890</v>
      </c>
      <c r="BD55" s="37">
        <f>BB55-BC55-BE55</f>
        <v>0</v>
      </c>
      <c r="BE55" s="37">
        <v>0</v>
      </c>
      <c r="BF55" s="37">
        <f>BB55-BC55-BD55-BE55</f>
        <v>0</v>
      </c>
      <c r="BG55" s="21" t="s">
        <v>3112</v>
      </c>
      <c r="BH55" s="23">
        <v>0</v>
      </c>
      <c r="BI55" s="37">
        <f>BD55</f>
        <v>0</v>
      </c>
      <c r="BJ55" s="21" t="s">
        <v>844</v>
      </c>
      <c r="BK55" s="21" t="s">
        <v>844</v>
      </c>
      <c r="BL55" s="21" t="s">
        <v>844</v>
      </c>
      <c r="BM55" s="21" t="s">
        <v>848</v>
      </c>
      <c r="BN55" s="21" t="str">
        <f>Y55</f>
        <v>Realised</v>
      </c>
      <c r="BO55" s="29">
        <v>46158</v>
      </c>
      <c r="BP55" s="21" t="s">
        <v>848</v>
      </c>
      <c r="BQ55" s="37">
        <f>P55-BC55-BD55-BE55</f>
        <v>0</v>
      </c>
      <c r="BR55" s="21" t="s">
        <v>3336</v>
      </c>
      <c r="BS55" s="21" t="s">
        <v>3090</v>
      </c>
    </row>
    <row r="56" spans="1:71" x14ac:dyDescent="0.3">
      <c r="A56" s="21" t="s">
        <v>3268</v>
      </c>
      <c r="B56" s="29">
        <v>46167</v>
      </c>
      <c r="C56" s="21" t="s">
        <v>3101</v>
      </c>
      <c r="D56" s="21" t="s">
        <v>743</v>
      </c>
      <c r="E56" s="37">
        <f>BC56</f>
        <v>3810688</v>
      </c>
      <c r="F56" s="21" t="str">
        <f>"PKR "&amp;TEXT(E56,"#,##0")&amp;" only"</f>
        <v>PKR 3,810,688 only</v>
      </c>
      <c r="G56" s="21" t="s">
        <v>3080</v>
      </c>
      <c r="H56" s="21" t="s">
        <v>1811</v>
      </c>
      <c r="I56" s="29" t="s">
        <v>844</v>
      </c>
      <c r="J56" s="21" t="s">
        <v>3081</v>
      </c>
      <c r="K56" s="21" t="s">
        <v>3093</v>
      </c>
      <c r="L56" s="21" t="s">
        <v>1830</v>
      </c>
      <c r="M56" s="21" t="s">
        <v>1133</v>
      </c>
      <c r="N56" s="21" t="s">
        <v>1132</v>
      </c>
      <c r="O56" s="21" t="s">
        <v>844</v>
      </c>
      <c r="P56" s="37" cm="1">
        <f t="array" ref="P56">SUMPRODUCT(('T11'!$G$3:$G$1500=L56)*('T11'!$B$3:$B$1500&lt;=B56)*('T11'!$W$3:$W$1500*(1+'T11'!$X$3:$X$1500)+'T11'!$Y$3:$Y$1500))-SUMPRODUCT(($L$3:$L$1499=L56)*($B$3:$B$1499&lt;B56)*($BC$3:$BC$1499+$BD$3:$BD$1499+$BE$3:$BE$1499))</f>
        <v>3849180</v>
      </c>
      <c r="Q56" s="37" cm="1">
        <f t="array" ref="Q56">MAX(0,SUMPRODUCT(('T11'!$G$3:$G$1500=L56)*('T11'!$AG$3:$AG$1500&lt;B56)*('T11'!$W$3:$W$1500*(1+'T11'!$X$3:$X$1500)+'T11'!$Y$3:$Y$1500))-SUMPRODUCT(($L$3:$L$1499=L56)*($B$3:$B$1499&lt;B56)*($BC$3:$BC$1499+$BD$3:$BD$1499+$BE$3:$BE$1499)))</f>
        <v>0</v>
      </c>
      <c r="R56" s="21" t="s">
        <v>3126</v>
      </c>
      <c r="S56" s="21" t="s">
        <v>1139</v>
      </c>
      <c r="T56" s="21">
        <v>1</v>
      </c>
      <c r="U56" s="21">
        <v>1</v>
      </c>
      <c r="V56" s="21" t="s">
        <v>3084</v>
      </c>
      <c r="W56" s="37">
        <f>E56</f>
        <v>3810688</v>
      </c>
      <c r="X56" s="21" t="s">
        <v>3085</v>
      </c>
      <c r="Y56" s="21" t="str">
        <f>IF(V56="Cash",IF(AE56="Deposited","Realised","Pending deposit"),IF(V56="Cheque",IF(LEFT(AN56,7)="Cleared","Realised","Pending clearance"),IF(AT56="Identified","Realised","Unidentified")))</f>
        <v>Realised</v>
      </c>
      <c r="Z56" s="21" t="s">
        <v>844</v>
      </c>
      <c r="AA56" s="21" t="s">
        <v>844</v>
      </c>
      <c r="AB56" s="21" t="s">
        <v>844</v>
      </c>
      <c r="AC56" s="21" t="s">
        <v>844</v>
      </c>
      <c r="AD56" s="29" t="s">
        <v>844</v>
      </c>
      <c r="AE56" s="21" t="s">
        <v>844</v>
      </c>
      <c r="AF56" s="21">
        <v>12190216</v>
      </c>
      <c r="AG56" s="29">
        <v>46167</v>
      </c>
      <c r="AH56" s="37">
        <f>W56</f>
        <v>3810688</v>
      </c>
      <c r="AI56" s="21" t="s">
        <v>3131</v>
      </c>
      <c r="AJ56" s="21" t="s">
        <v>846</v>
      </c>
      <c r="AK56" s="29">
        <f>AG56</f>
        <v>46167</v>
      </c>
      <c r="AL56" s="21" t="s">
        <v>3087</v>
      </c>
      <c r="AM56" s="29">
        <v>46167</v>
      </c>
      <c r="AN56" s="21" t="s">
        <v>3271</v>
      </c>
      <c r="AO56" s="21" t="s">
        <v>848</v>
      </c>
      <c r="AP56" s="21" t="s">
        <v>844</v>
      </c>
      <c r="AQ56" s="21" t="s">
        <v>844</v>
      </c>
      <c r="AR56" s="35" t="s">
        <v>844</v>
      </c>
      <c r="AS56" s="37" t="s">
        <v>844</v>
      </c>
      <c r="AT56" s="21" t="s">
        <v>844</v>
      </c>
      <c r="AU56" s="21" t="str">
        <f>IF(AW56=0,"Complete","Incomplete")</f>
        <v>Complete</v>
      </c>
      <c r="AV56" s="37">
        <f>W56</f>
        <v>3810688</v>
      </c>
      <c r="AW56" s="37">
        <f>AV56-E56</f>
        <v>0</v>
      </c>
      <c r="AX56" s="21">
        <v>1</v>
      </c>
      <c r="AY56" s="21" t="s">
        <v>2711</v>
      </c>
      <c r="AZ56" s="37">
        <f>_xlfn.XLOOKUP(AY56,'T11'!$A$3:$A$1500,'T11'!$AD$3:$AD$1500)</f>
        <v>7081503</v>
      </c>
      <c r="BA56" s="37">
        <f>BC54+BD54+BE54</f>
        <v>3232323</v>
      </c>
      <c r="BB56" s="37">
        <f>AZ56-BA56</f>
        <v>3849180</v>
      </c>
      <c r="BC56" s="37">
        <f>ROUND(BB56*(1-BH56),0)</f>
        <v>3810688</v>
      </c>
      <c r="BD56" s="37">
        <f>BB56-BC56-BE56</f>
        <v>38492</v>
      </c>
      <c r="BE56" s="37">
        <v>0</v>
      </c>
      <c r="BF56" s="37">
        <f>BB56-BC56-BD56-BE56</f>
        <v>0</v>
      </c>
      <c r="BG56" s="21" t="s">
        <v>3088</v>
      </c>
      <c r="BH56" s="23">
        <v>0.01</v>
      </c>
      <c r="BI56" s="37">
        <f>BD56</f>
        <v>38492</v>
      </c>
      <c r="BJ56" s="21" t="s">
        <v>3272</v>
      </c>
      <c r="BK56" s="21" t="s">
        <v>753</v>
      </c>
      <c r="BL56" s="21" t="s">
        <v>753</v>
      </c>
      <c r="BM56" s="21" t="s">
        <v>848</v>
      </c>
      <c r="BN56" s="21" t="str">
        <f>Y56</f>
        <v>Realised</v>
      </c>
      <c r="BO56" s="29">
        <v>46169</v>
      </c>
      <c r="BP56" s="21" t="s">
        <v>848</v>
      </c>
      <c r="BQ56" s="37">
        <f>P56-BC56-BD56-BE56</f>
        <v>0</v>
      </c>
      <c r="BR56" s="21" t="s">
        <v>3337</v>
      </c>
      <c r="BS56" s="21" t="s">
        <v>3090</v>
      </c>
    </row>
    <row r="57" spans="1:71" x14ac:dyDescent="0.3">
      <c r="A57" s="21" t="s">
        <v>3270</v>
      </c>
      <c r="B57" s="29">
        <v>46173</v>
      </c>
      <c r="C57" s="21" t="s">
        <v>3079</v>
      </c>
      <c r="D57" s="21" t="s">
        <v>743</v>
      </c>
      <c r="E57" s="37">
        <f>BC57</f>
        <v>3600000</v>
      </c>
      <c r="F57" s="21" t="str">
        <f>"PKR "&amp;TEXT(E57,"#,##0")&amp;" only"</f>
        <v>PKR 3,600,000 only</v>
      </c>
      <c r="G57" s="21" t="s">
        <v>3080</v>
      </c>
      <c r="H57" s="21" t="s">
        <v>3092</v>
      </c>
      <c r="I57" s="29" t="s">
        <v>844</v>
      </c>
      <c r="J57" s="21" t="s">
        <v>3081</v>
      </c>
      <c r="K57" s="21" t="s">
        <v>3093</v>
      </c>
      <c r="L57" s="21" t="s">
        <v>1830</v>
      </c>
      <c r="M57" s="21" t="s">
        <v>1133</v>
      </c>
      <c r="N57" s="21" t="s">
        <v>1132</v>
      </c>
      <c r="O57" s="21" t="s">
        <v>844</v>
      </c>
      <c r="P57" s="37" cm="1">
        <f t="array" ref="P57">SUMPRODUCT(('T11'!$G$3:$G$1500=L57)*('T11'!$B$3:$B$1500&lt;=B57)*('T11'!$W$3:$W$1500*(1+'T11'!$X$3:$X$1500)+'T11'!$Y$3:$Y$1500))-SUMPRODUCT(($L$3:$L$1499=L57)*($B$3:$B$1499&lt;B57)*($BC$3:$BC$1499+$BD$3:$BD$1499+$BE$3:$BE$1499))</f>
        <v>8971875</v>
      </c>
      <c r="Q57" s="37" cm="1">
        <f t="array" ref="Q57">MAX(0,SUMPRODUCT(('T11'!$G$3:$G$1500=L57)*('T11'!$AG$3:$AG$1500&lt;B57)*('T11'!$W$3:$W$1500*(1+'T11'!$X$3:$X$1500)+'T11'!$Y$3:$Y$1500))-SUMPRODUCT(($L$3:$L$1499=L57)*($B$3:$B$1499&lt;B57)*($BC$3:$BC$1499+$BD$3:$BD$1499+$BE$3:$BE$1499)))</f>
        <v>0</v>
      </c>
      <c r="R57" s="21" t="s">
        <v>3126</v>
      </c>
      <c r="S57" s="21" t="s">
        <v>1139</v>
      </c>
      <c r="T57" s="21">
        <v>1</v>
      </c>
      <c r="U57" s="21">
        <v>1</v>
      </c>
      <c r="V57" s="21" t="s">
        <v>3095</v>
      </c>
      <c r="W57" s="37">
        <f>E57</f>
        <v>3600000</v>
      </c>
      <c r="X57" s="21" t="s">
        <v>3085</v>
      </c>
      <c r="Y57" s="21" t="str">
        <f>IF(V57="Cash",IF(AE57="Deposited","Realised","Pending deposit"),IF(V57="Cheque",IF(LEFT(AN57,7)="Cleared","Realised","Pending clearance"),IF(AT57="Identified","Realised","Unidentified")))</f>
        <v>Realised</v>
      </c>
      <c r="Z57" s="21" t="s">
        <v>844</v>
      </c>
      <c r="AA57" s="21" t="s">
        <v>844</v>
      </c>
      <c r="AB57" s="21" t="s">
        <v>844</v>
      </c>
      <c r="AC57" s="21" t="s">
        <v>844</v>
      </c>
      <c r="AD57" s="29" t="s">
        <v>844</v>
      </c>
      <c r="AE57" s="21" t="s">
        <v>844</v>
      </c>
      <c r="AF57" s="21" t="s">
        <v>844</v>
      </c>
      <c r="AG57" s="29" t="s">
        <v>844</v>
      </c>
      <c r="AH57" s="37" t="s">
        <v>844</v>
      </c>
      <c r="AI57" s="21" t="s">
        <v>844</v>
      </c>
      <c r="AJ57" s="21" t="s">
        <v>844</v>
      </c>
      <c r="AK57" s="29" t="s">
        <v>844</v>
      </c>
      <c r="AL57" s="21" t="s">
        <v>844</v>
      </c>
      <c r="AM57" s="29" t="s">
        <v>844</v>
      </c>
      <c r="AN57" s="21" t="s">
        <v>844</v>
      </c>
      <c r="AO57" s="21" t="s">
        <v>844</v>
      </c>
      <c r="AP57" s="21" t="s">
        <v>3127</v>
      </c>
      <c r="AQ57" s="21" t="s">
        <v>3274</v>
      </c>
      <c r="AR57" s="35">
        <v>46173.708333333336</v>
      </c>
      <c r="AS57" s="37">
        <f>W57</f>
        <v>3600000</v>
      </c>
      <c r="AT57" s="21" t="s">
        <v>3098</v>
      </c>
      <c r="AU57" s="21" t="str">
        <f>IF(AW57=0,"Complete","Incomplete")</f>
        <v>Complete</v>
      </c>
      <c r="AV57" s="37">
        <f>W57</f>
        <v>3600000</v>
      </c>
      <c r="AW57" s="37">
        <f>AV57-E57</f>
        <v>0</v>
      </c>
      <c r="AX57" s="21">
        <v>1</v>
      </c>
      <c r="AY57" s="21" t="s">
        <v>2754</v>
      </c>
      <c r="AZ57" s="37">
        <f>_xlfn.XLOOKUP(AY57,'T11'!$A$3:$A$1500,'T11'!$AD$3:$AD$1500)</f>
        <v>8971875</v>
      </c>
      <c r="BA57" s="37">
        <v>0</v>
      </c>
      <c r="BB57" s="37">
        <f>AZ57-BA57</f>
        <v>8971875</v>
      </c>
      <c r="BC57" s="37">
        <v>3600000</v>
      </c>
      <c r="BD57" s="37">
        <f>ROUND(BC57*BH57/(1-BH57),0)</f>
        <v>36364</v>
      </c>
      <c r="BE57" s="37">
        <v>0</v>
      </c>
      <c r="BF57" s="37">
        <f>BB57-BC57-BD57-BE57</f>
        <v>5335511</v>
      </c>
      <c r="BG57" s="21" t="s">
        <v>3088</v>
      </c>
      <c r="BH57" s="23">
        <v>0.01</v>
      </c>
      <c r="BI57" s="37">
        <f>BD57</f>
        <v>36364</v>
      </c>
      <c r="BJ57" s="21" t="s">
        <v>3275</v>
      </c>
      <c r="BK57" s="21" t="s">
        <v>753</v>
      </c>
      <c r="BL57" s="21" t="s">
        <v>753</v>
      </c>
      <c r="BM57" s="21" t="s">
        <v>848</v>
      </c>
      <c r="BN57" s="21" t="str">
        <f>Y57</f>
        <v>Realised</v>
      </c>
      <c r="BO57" s="29">
        <v>46173</v>
      </c>
      <c r="BP57" s="21" t="s">
        <v>848</v>
      </c>
      <c r="BQ57" s="37">
        <f>P57-BC57-BD57-BE57</f>
        <v>5335511</v>
      </c>
      <c r="BR57" s="21" t="s">
        <v>3338</v>
      </c>
      <c r="BS57" s="21" t="s">
        <v>3090</v>
      </c>
    </row>
    <row r="58" spans="1:71" x14ac:dyDescent="0.3">
      <c r="A58" s="21" t="s">
        <v>3273</v>
      </c>
      <c r="B58" s="29">
        <v>46182</v>
      </c>
      <c r="C58" s="21" t="s">
        <v>3079</v>
      </c>
      <c r="D58" s="21" t="s">
        <v>743</v>
      </c>
      <c r="E58" s="37">
        <f>BC58</f>
        <v>2800000</v>
      </c>
      <c r="F58" s="21" t="str">
        <f>"PKR "&amp;TEXT(E58,"#,##0")&amp;" only"</f>
        <v>PKR 2,800,000 only</v>
      </c>
      <c r="G58" s="21" t="s">
        <v>3080</v>
      </c>
      <c r="H58" s="21" t="s">
        <v>3092</v>
      </c>
      <c r="I58" s="29" t="s">
        <v>844</v>
      </c>
      <c r="J58" s="21" t="s">
        <v>3081</v>
      </c>
      <c r="K58" s="21" t="s">
        <v>3082</v>
      </c>
      <c r="L58" s="21" t="s">
        <v>1800</v>
      </c>
      <c r="M58" s="21" t="s">
        <v>1073</v>
      </c>
      <c r="N58" s="21" t="s">
        <v>1072</v>
      </c>
      <c r="O58" s="21" t="s">
        <v>844</v>
      </c>
      <c r="P58" s="37" cm="1">
        <f t="array" ref="P58">SUMPRODUCT(('T11'!$G$3:$G$1500=L58)*('T11'!$B$3:$B$1500&lt;=B58)*('T11'!$W$3:$W$1500*(1+'T11'!$X$3:$X$1500)+'T11'!$Y$3:$Y$1500))-SUMPRODUCT(($L$3:$L$1499=L58)*($B$3:$B$1499&lt;B58)*($BC$3:$BC$1499+$BD$3:$BD$1499+$BE$3:$BE$1499))</f>
        <v>6239463.9999999963</v>
      </c>
      <c r="Q58" s="37" cm="1">
        <f t="array" ref="Q58">MAX(0,SUMPRODUCT(('T11'!$G$3:$G$1500=L58)*('T11'!$AG$3:$AG$1500&lt;B58)*('T11'!$W$3:$W$1500*(1+'T11'!$X$3:$X$1500)+'T11'!$Y$3:$Y$1500))-SUMPRODUCT(($L$3:$L$1499=L58)*($B$3:$B$1499&lt;B58)*($BC$3:$BC$1499+$BD$3:$BD$1499+$BE$3:$BE$1499)))</f>
        <v>0</v>
      </c>
      <c r="R58" s="21" t="s">
        <v>3083</v>
      </c>
      <c r="S58" s="21" t="s">
        <v>1801</v>
      </c>
      <c r="T58" s="21">
        <v>1</v>
      </c>
      <c r="U58" s="21">
        <v>1</v>
      </c>
      <c r="V58" s="21" t="s">
        <v>3095</v>
      </c>
      <c r="W58" s="37">
        <f>E58</f>
        <v>2800000</v>
      </c>
      <c r="X58" s="21" t="s">
        <v>3085</v>
      </c>
      <c r="Y58" s="21" t="str">
        <f>IF(V58="Cash",IF(AE58="Deposited","Realised","Pending deposit"),IF(V58="Cheque",IF(LEFT(AN58,7)="Cleared","Realised","Pending clearance"),IF(AT58="Identified","Realised","Unidentified")))</f>
        <v>Realised</v>
      </c>
      <c r="Z58" s="21" t="s">
        <v>844</v>
      </c>
      <c r="AA58" s="21" t="s">
        <v>844</v>
      </c>
      <c r="AB58" s="21" t="s">
        <v>844</v>
      </c>
      <c r="AC58" s="21" t="s">
        <v>844</v>
      </c>
      <c r="AD58" s="29" t="s">
        <v>844</v>
      </c>
      <c r="AE58" s="21" t="s">
        <v>844</v>
      </c>
      <c r="AF58" s="21" t="s">
        <v>844</v>
      </c>
      <c r="AG58" s="29" t="s">
        <v>844</v>
      </c>
      <c r="AH58" s="37" t="s">
        <v>844</v>
      </c>
      <c r="AI58" s="21" t="s">
        <v>844</v>
      </c>
      <c r="AJ58" s="21" t="s">
        <v>844</v>
      </c>
      <c r="AK58" s="29" t="s">
        <v>844</v>
      </c>
      <c r="AL58" s="21" t="s">
        <v>844</v>
      </c>
      <c r="AM58" s="29" t="s">
        <v>844</v>
      </c>
      <c r="AN58" s="21" t="s">
        <v>844</v>
      </c>
      <c r="AO58" s="21" t="s">
        <v>844</v>
      </c>
      <c r="AP58" s="21" t="s">
        <v>3146</v>
      </c>
      <c r="AQ58" s="21" t="s">
        <v>3277</v>
      </c>
      <c r="AR58" s="35">
        <v>46182.625</v>
      </c>
      <c r="AS58" s="37">
        <f>W58</f>
        <v>2800000</v>
      </c>
      <c r="AT58" s="21" t="s">
        <v>3098</v>
      </c>
      <c r="AU58" s="21" t="str">
        <f>IF(AW58=0,"Complete","Incomplete")</f>
        <v>Complete</v>
      </c>
      <c r="AV58" s="37">
        <f>W58</f>
        <v>2800000</v>
      </c>
      <c r="AW58" s="37">
        <f>AV58-E58</f>
        <v>0</v>
      </c>
      <c r="AX58" s="21">
        <v>1</v>
      </c>
      <c r="AY58" s="21" t="s">
        <v>2760</v>
      </c>
      <c r="AZ58" s="37">
        <f>_xlfn.XLOOKUP(AY58,'T11'!$A$3:$A$1500,'T11'!$AD$3:$AD$1500)</f>
        <v>6239464</v>
      </c>
      <c r="BA58" s="37">
        <v>0</v>
      </c>
      <c r="BB58" s="37">
        <f>AZ58-BA58</f>
        <v>6239464</v>
      </c>
      <c r="BC58" s="37">
        <v>2800000</v>
      </c>
      <c r="BD58" s="37">
        <f>ROUND(BC58*BH58/(1-BH58),0)</f>
        <v>147368</v>
      </c>
      <c r="BE58" s="37">
        <v>0</v>
      </c>
      <c r="BF58" s="37">
        <f>BB58-BC58-BD58-BE58</f>
        <v>3292096</v>
      </c>
      <c r="BG58" s="21" t="s">
        <v>3088</v>
      </c>
      <c r="BH58" s="23">
        <v>0.05</v>
      </c>
      <c r="BI58" s="37">
        <f>BD58</f>
        <v>147368</v>
      </c>
      <c r="BJ58" s="21" t="s">
        <v>3278</v>
      </c>
      <c r="BK58" s="21" t="s">
        <v>753</v>
      </c>
      <c r="BL58" s="21" t="s">
        <v>753</v>
      </c>
      <c r="BM58" s="21" t="s">
        <v>848</v>
      </c>
      <c r="BN58" s="21" t="str">
        <f>Y58</f>
        <v>Realised</v>
      </c>
      <c r="BO58" s="29">
        <v>46182</v>
      </c>
      <c r="BP58" s="21" t="s">
        <v>848</v>
      </c>
      <c r="BQ58" s="37">
        <f>P58-BC58-BD58-BE58</f>
        <v>3292095.9999999963</v>
      </c>
      <c r="BR58" s="21" t="s">
        <v>3339</v>
      </c>
      <c r="BS58" s="21" t="s">
        <v>3090</v>
      </c>
    </row>
    <row r="59" spans="1:71" x14ac:dyDescent="0.3">
      <c r="A59" s="21" t="s">
        <v>3276</v>
      </c>
      <c r="B59" s="29">
        <v>46200</v>
      </c>
      <c r="C59" s="21" t="s">
        <v>3079</v>
      </c>
      <c r="D59" s="21" t="s">
        <v>743</v>
      </c>
      <c r="E59" s="37">
        <f>BC59</f>
        <v>2100000</v>
      </c>
      <c r="F59" s="21" t="str">
        <f>"PKR "&amp;TEXT(E59,"#,##0")&amp;" only"</f>
        <v>PKR 2,100,000 only</v>
      </c>
      <c r="G59" s="21" t="s">
        <v>3080</v>
      </c>
      <c r="H59" s="21" t="s">
        <v>1796</v>
      </c>
      <c r="I59" s="29" t="s">
        <v>844</v>
      </c>
      <c r="J59" s="21" t="s">
        <v>3081</v>
      </c>
      <c r="K59" s="21" t="s">
        <v>3082</v>
      </c>
      <c r="L59" s="21" t="s">
        <v>1835</v>
      </c>
      <c r="M59" s="21" t="s">
        <v>1055</v>
      </c>
      <c r="N59" s="21" t="s">
        <v>1053</v>
      </c>
      <c r="O59" s="21" t="s">
        <v>844</v>
      </c>
      <c r="P59" s="37" cm="1">
        <f t="array" ref="P59">SUMPRODUCT(('T11'!$G$3:$G$1500=L59)*('T11'!$B$3:$B$1500&lt;=B59)*('T11'!$W$3:$W$1500*(1+'T11'!$X$3:$X$1500)+'T11'!$Y$3:$Y$1500))-SUMPRODUCT(($L$3:$L$1499=L59)*($B$3:$B$1499&lt;B59)*($BC$3:$BC$1499+$BD$3:$BD$1499+$BE$3:$BE$1499))</f>
        <v>5351703.1999999993</v>
      </c>
      <c r="Q59" s="37" cm="1">
        <f t="array" ref="Q59">MAX(0,SUMPRODUCT(('T11'!$G$3:$G$1500=L59)*('T11'!$AG$3:$AG$1500&lt;B59)*('T11'!$W$3:$W$1500*(1+'T11'!$X$3:$X$1500)+'T11'!$Y$3:$Y$1500))-SUMPRODUCT(($L$3:$L$1499=L59)*($B$3:$B$1499&lt;B59)*($BC$3:$BC$1499+$BD$3:$BD$1499+$BE$3:$BE$1499)))</f>
        <v>0</v>
      </c>
      <c r="R59" s="21" t="s">
        <v>3159</v>
      </c>
      <c r="S59" s="21" t="s">
        <v>1836</v>
      </c>
      <c r="T59" s="21">
        <v>1</v>
      </c>
      <c r="U59" s="21">
        <v>1</v>
      </c>
      <c r="V59" s="21" t="s">
        <v>3084</v>
      </c>
      <c r="W59" s="37">
        <f>E59</f>
        <v>2100000</v>
      </c>
      <c r="X59" s="21" t="s">
        <v>3085</v>
      </c>
      <c r="Y59" s="21" t="str">
        <f>IF(V59="Cash",IF(AE59="Deposited","Realised","Pending deposit"),IF(V59="Cheque",IF(LEFT(AN59,7)="Cleared","Realised","Pending clearance"),IF(AT59="Identified","Realised","Unidentified")))</f>
        <v>Realised</v>
      </c>
      <c r="Z59" s="21" t="s">
        <v>844</v>
      </c>
      <c r="AA59" s="21" t="s">
        <v>844</v>
      </c>
      <c r="AB59" s="21" t="s">
        <v>844</v>
      </c>
      <c r="AC59" s="21" t="s">
        <v>844</v>
      </c>
      <c r="AD59" s="29" t="s">
        <v>844</v>
      </c>
      <c r="AE59" s="21" t="s">
        <v>844</v>
      </c>
      <c r="AF59" s="21">
        <v>12638144</v>
      </c>
      <c r="AG59" s="29">
        <v>46200</v>
      </c>
      <c r="AH59" s="37">
        <f>W59</f>
        <v>2100000</v>
      </c>
      <c r="AI59" s="21" t="s">
        <v>3187</v>
      </c>
      <c r="AJ59" s="21" t="s">
        <v>846</v>
      </c>
      <c r="AK59" s="29">
        <f>AG59</f>
        <v>46200</v>
      </c>
      <c r="AL59" s="21" t="s">
        <v>3087</v>
      </c>
      <c r="AM59" s="29">
        <v>46200</v>
      </c>
      <c r="AN59" s="21" t="s">
        <v>3280</v>
      </c>
      <c r="AO59" s="21" t="s">
        <v>848</v>
      </c>
      <c r="AP59" s="21" t="s">
        <v>844</v>
      </c>
      <c r="AQ59" s="21" t="s">
        <v>844</v>
      </c>
      <c r="AR59" s="35" t="s">
        <v>844</v>
      </c>
      <c r="AS59" s="37" t="s">
        <v>844</v>
      </c>
      <c r="AT59" s="21" t="s">
        <v>844</v>
      </c>
      <c r="AU59" s="21" t="str">
        <f>IF(AW59=0,"Complete","Incomplete")</f>
        <v>Complete</v>
      </c>
      <c r="AV59" s="37">
        <f>W59</f>
        <v>2100000</v>
      </c>
      <c r="AW59" s="37">
        <f>AV59-E59</f>
        <v>0</v>
      </c>
      <c r="AX59" s="21">
        <v>1</v>
      </c>
      <c r="AY59" s="21" t="s">
        <v>2799</v>
      </c>
      <c r="AZ59" s="37">
        <f>_xlfn.XLOOKUP(AY59,'T11'!$A$3:$A$1500,'T11'!$AD$3:$AD$1500)</f>
        <v>5351703.2</v>
      </c>
      <c r="BA59" s="37">
        <v>0</v>
      </c>
      <c r="BB59" s="37">
        <f>AZ59-BA59</f>
        <v>5351703.2</v>
      </c>
      <c r="BC59" s="37">
        <v>2100000</v>
      </c>
      <c r="BD59" s="37">
        <f>ROUND(BC59*BH59/(1-BH59),0)</f>
        <v>0</v>
      </c>
      <c r="BE59" s="37">
        <v>0</v>
      </c>
      <c r="BF59" s="37">
        <f>BB59-BC59-BD59-BE59</f>
        <v>3251703.2</v>
      </c>
      <c r="BG59" s="21" t="s">
        <v>3112</v>
      </c>
      <c r="BH59" s="23">
        <v>0</v>
      </c>
      <c r="BI59" s="37">
        <f>BD59</f>
        <v>0</v>
      </c>
      <c r="BJ59" s="21" t="s">
        <v>844</v>
      </c>
      <c r="BK59" s="21" t="s">
        <v>844</v>
      </c>
      <c r="BL59" s="21" t="s">
        <v>844</v>
      </c>
      <c r="BM59" s="21" t="s">
        <v>848</v>
      </c>
      <c r="BN59" s="21" t="str">
        <f>Y59</f>
        <v>Realised</v>
      </c>
      <c r="BO59" s="29">
        <v>46202</v>
      </c>
      <c r="BP59" s="21" t="s">
        <v>848</v>
      </c>
      <c r="BQ59" s="37">
        <f>P59-BC59-BD59-BE59</f>
        <v>3251703.1999999993</v>
      </c>
      <c r="BR59" s="21" t="s">
        <v>3340</v>
      </c>
      <c r="BS59" s="21" t="s">
        <v>3090</v>
      </c>
    </row>
    <row r="60" spans="1:71" x14ac:dyDescent="0.3">
      <c r="A60" s="21" t="s">
        <v>3279</v>
      </c>
      <c r="B60" s="29">
        <v>46201</v>
      </c>
      <c r="C60" s="21" t="s">
        <v>3101</v>
      </c>
      <c r="D60" s="21" t="s">
        <v>743</v>
      </c>
      <c r="E60" s="37">
        <f>BC60</f>
        <v>3127491</v>
      </c>
      <c r="F60" s="21" t="str">
        <f>"PKR "&amp;TEXT(E60,"#,##0")&amp;" only"</f>
        <v>PKR 3,127,491 only</v>
      </c>
      <c r="G60" s="21" t="s">
        <v>3080</v>
      </c>
      <c r="H60" s="21" t="s">
        <v>3092</v>
      </c>
      <c r="I60" s="29" t="s">
        <v>844</v>
      </c>
      <c r="J60" s="21" t="s">
        <v>3081</v>
      </c>
      <c r="K60" s="21" t="s">
        <v>3082</v>
      </c>
      <c r="L60" s="21" t="s">
        <v>1800</v>
      </c>
      <c r="M60" s="21" t="s">
        <v>1073</v>
      </c>
      <c r="N60" s="21" t="s">
        <v>1072</v>
      </c>
      <c r="O60" s="21" t="s">
        <v>844</v>
      </c>
      <c r="P60" s="37" cm="1">
        <f t="array" ref="P60">SUMPRODUCT(('T11'!$G$3:$G$1500=L60)*('T11'!$B$3:$B$1500&lt;=B60)*('T11'!$W$3:$W$1500*(1+'T11'!$X$3:$X$1500)+'T11'!$Y$3:$Y$1500))-SUMPRODUCT(($L$3:$L$1499=L60)*($B$3:$B$1499&lt;B60)*($BC$3:$BC$1499+$BD$3:$BD$1499+$BE$3:$BE$1499))</f>
        <v>3292095.9999999963</v>
      </c>
      <c r="Q60" s="37" cm="1">
        <f t="array" ref="Q60">MAX(0,SUMPRODUCT(('T11'!$G$3:$G$1500=L60)*('T11'!$AG$3:$AG$1500&lt;B60)*('T11'!$W$3:$W$1500*(1+'T11'!$X$3:$X$1500)+'T11'!$Y$3:$Y$1500))-SUMPRODUCT(($L$3:$L$1499=L60)*($B$3:$B$1499&lt;B60)*($BC$3:$BC$1499+$BD$3:$BD$1499+$BE$3:$BE$1499)))</f>
        <v>3292095.9999999963</v>
      </c>
      <c r="R60" s="21" t="s">
        <v>3083</v>
      </c>
      <c r="S60" s="21" t="s">
        <v>1801</v>
      </c>
      <c r="T60" s="21">
        <v>1</v>
      </c>
      <c r="U60" s="21">
        <v>1</v>
      </c>
      <c r="V60" s="21" t="s">
        <v>3095</v>
      </c>
      <c r="W60" s="37">
        <f>E60</f>
        <v>3127491</v>
      </c>
      <c r="X60" s="21" t="s">
        <v>3085</v>
      </c>
      <c r="Y60" s="21" t="str">
        <f>IF(V60="Cash",IF(AE60="Deposited","Realised","Pending deposit"),IF(V60="Cheque",IF(LEFT(AN60,7)="Cleared","Realised","Pending clearance"),IF(AT60="Identified","Realised","Unidentified")))</f>
        <v>Realised</v>
      </c>
      <c r="Z60" s="21" t="s">
        <v>844</v>
      </c>
      <c r="AA60" s="21" t="s">
        <v>844</v>
      </c>
      <c r="AB60" s="21" t="s">
        <v>844</v>
      </c>
      <c r="AC60" s="21" t="s">
        <v>844</v>
      </c>
      <c r="AD60" s="29" t="s">
        <v>844</v>
      </c>
      <c r="AE60" s="21" t="s">
        <v>844</v>
      </c>
      <c r="AF60" s="21" t="s">
        <v>844</v>
      </c>
      <c r="AG60" s="29" t="s">
        <v>844</v>
      </c>
      <c r="AH60" s="37" t="s">
        <v>844</v>
      </c>
      <c r="AI60" s="21" t="s">
        <v>844</v>
      </c>
      <c r="AJ60" s="21" t="s">
        <v>844</v>
      </c>
      <c r="AK60" s="29" t="s">
        <v>844</v>
      </c>
      <c r="AL60" s="21" t="s">
        <v>844</v>
      </c>
      <c r="AM60" s="29" t="s">
        <v>844</v>
      </c>
      <c r="AN60" s="21" t="s">
        <v>844</v>
      </c>
      <c r="AO60" s="21" t="s">
        <v>844</v>
      </c>
      <c r="AP60" s="21" t="s">
        <v>3146</v>
      </c>
      <c r="AQ60" s="21" t="s">
        <v>3282</v>
      </c>
      <c r="AR60" s="35">
        <v>46201.375</v>
      </c>
      <c r="AS60" s="37">
        <f>W60</f>
        <v>3127491</v>
      </c>
      <c r="AT60" s="21" t="s">
        <v>3098</v>
      </c>
      <c r="AU60" s="21" t="str">
        <f>IF(AW60=0,"Complete","Incomplete")</f>
        <v>Complete</v>
      </c>
      <c r="AV60" s="37">
        <f>W60</f>
        <v>3127491</v>
      </c>
      <c r="AW60" s="37">
        <f>AV60-E60</f>
        <v>0</v>
      </c>
      <c r="AX60" s="21">
        <v>1</v>
      </c>
      <c r="AY60" s="21" t="s">
        <v>2760</v>
      </c>
      <c r="AZ60" s="37">
        <f>_xlfn.XLOOKUP(AY60,'T11'!$A$3:$A$1500,'T11'!$AD$3:$AD$1500)</f>
        <v>6239464</v>
      </c>
      <c r="BA60" s="37">
        <f>BC58+BD58+BE58</f>
        <v>2947368</v>
      </c>
      <c r="BB60" s="37">
        <f>AZ60-BA60</f>
        <v>3292096</v>
      </c>
      <c r="BC60" s="37">
        <f>ROUND(BB60*(1-BH60),0)</f>
        <v>3127491</v>
      </c>
      <c r="BD60" s="37">
        <f>BB60-BC60-BE60</f>
        <v>164605</v>
      </c>
      <c r="BE60" s="37">
        <v>0</v>
      </c>
      <c r="BF60" s="37">
        <f>BB60-BC60-BD60-BE60</f>
        <v>0</v>
      </c>
      <c r="BG60" s="21" t="s">
        <v>3088</v>
      </c>
      <c r="BH60" s="23">
        <v>0.05</v>
      </c>
      <c r="BI60" s="37">
        <f>BD60</f>
        <v>164605</v>
      </c>
      <c r="BJ60" s="21" t="s">
        <v>3283</v>
      </c>
      <c r="BK60" s="21" t="s">
        <v>753</v>
      </c>
      <c r="BL60" s="21" t="s">
        <v>753</v>
      </c>
      <c r="BM60" s="21" t="s">
        <v>848</v>
      </c>
      <c r="BN60" s="21" t="str">
        <f>Y60</f>
        <v>Realised</v>
      </c>
      <c r="BO60" s="29">
        <v>46201</v>
      </c>
      <c r="BP60" s="21" t="s">
        <v>848</v>
      </c>
      <c r="BQ60" s="37">
        <f>P60-BC60-BD60-BE60</f>
        <v>-3.7252902984619141E-9</v>
      </c>
      <c r="BR60" s="21" t="s">
        <v>3341</v>
      </c>
      <c r="BS60" s="21" t="s">
        <v>3090</v>
      </c>
    </row>
    <row r="61" spans="1:71" x14ac:dyDescent="0.3">
      <c r="A61" s="21" t="s">
        <v>3281</v>
      </c>
      <c r="B61" s="29">
        <v>46205</v>
      </c>
      <c r="C61" s="21" t="s">
        <v>3121</v>
      </c>
      <c r="D61" s="21" t="s">
        <v>743</v>
      </c>
      <c r="E61" s="37">
        <f>BC61</f>
        <v>16536480</v>
      </c>
      <c r="F61" s="21" t="str">
        <f>"PKR "&amp;TEXT(E61,"#,##0")&amp;" only"</f>
        <v>PKR 16,536,480 only</v>
      </c>
      <c r="G61" s="21" t="s">
        <v>3080</v>
      </c>
      <c r="H61" s="21" t="s">
        <v>3092</v>
      </c>
      <c r="I61" s="29" t="s">
        <v>844</v>
      </c>
      <c r="J61" s="21" t="s">
        <v>3081</v>
      </c>
      <c r="K61" s="21" t="s">
        <v>3082</v>
      </c>
      <c r="L61" s="21" t="s">
        <v>1844</v>
      </c>
      <c r="M61" s="21" t="s">
        <v>3033</v>
      </c>
      <c r="N61" s="21" t="s">
        <v>1064</v>
      </c>
      <c r="O61" s="21" t="s">
        <v>844</v>
      </c>
      <c r="P61" s="37" cm="1">
        <f t="array" ref="P61">SUMPRODUCT(('T11'!$G$3:$G$1500=L61)*('T11'!$B$3:$B$1500&lt;=B61)*('T11'!$W$3:$W$1500*(1+'T11'!$X$3:$X$1500)+'T11'!$Y$3:$Y$1500))-SUMPRODUCT(($L$3:$L$1499=L61)*($B$3:$B$1499&lt;B61)*($BC$3:$BC$1499+$BD$3:$BD$1499+$BE$3:$BE$1499))</f>
        <v>0</v>
      </c>
      <c r="Q61" s="37" cm="1">
        <f t="array" ref="Q61">MAX(0,SUMPRODUCT(('T11'!$G$3:$G$1500=L61)*('T11'!$AG$3:$AG$1500&lt;B61)*('T11'!$W$3:$W$1500*(1+'T11'!$X$3:$X$1500)+'T11'!$Y$3:$Y$1500))-SUMPRODUCT(($L$3:$L$1499=L61)*($B$3:$B$1499&lt;B61)*($BC$3:$BC$1499+$BD$3:$BD$1499+$BE$3:$BE$1499)))</f>
        <v>0</v>
      </c>
      <c r="R61" s="21" t="s">
        <v>3122</v>
      </c>
      <c r="S61" s="21" t="s">
        <v>1845</v>
      </c>
      <c r="T61" s="21">
        <v>1</v>
      </c>
      <c r="U61" s="21">
        <v>1</v>
      </c>
      <c r="V61" s="21" t="s">
        <v>3095</v>
      </c>
      <c r="W61" s="37">
        <f>E61</f>
        <v>16536480</v>
      </c>
      <c r="X61" s="21" t="s">
        <v>3085</v>
      </c>
      <c r="Y61" s="21" t="str">
        <f>IF(V61="Cash",IF(AE61="Deposited","Realised","Pending deposit"),IF(V61="Cheque",IF(LEFT(AN61,7)="Cleared","Realised","Pending clearance"),IF(AT61="Identified","Realised","Unidentified")))</f>
        <v>Realised</v>
      </c>
      <c r="Z61" s="21" t="s">
        <v>844</v>
      </c>
      <c r="AA61" s="21" t="s">
        <v>844</v>
      </c>
      <c r="AB61" s="21" t="s">
        <v>844</v>
      </c>
      <c r="AC61" s="21" t="s">
        <v>844</v>
      </c>
      <c r="AD61" s="29" t="s">
        <v>844</v>
      </c>
      <c r="AE61" s="21" t="s">
        <v>844</v>
      </c>
      <c r="AF61" s="21" t="s">
        <v>844</v>
      </c>
      <c r="AG61" s="29" t="s">
        <v>844</v>
      </c>
      <c r="AH61" s="37" t="s">
        <v>844</v>
      </c>
      <c r="AI61" s="21" t="s">
        <v>844</v>
      </c>
      <c r="AJ61" s="21" t="s">
        <v>844</v>
      </c>
      <c r="AK61" s="29" t="s">
        <v>844</v>
      </c>
      <c r="AL61" s="21" t="s">
        <v>844</v>
      </c>
      <c r="AM61" s="29" t="s">
        <v>844</v>
      </c>
      <c r="AN61" s="21" t="s">
        <v>844</v>
      </c>
      <c r="AO61" s="21" t="s">
        <v>844</v>
      </c>
      <c r="AP61" s="21" t="s">
        <v>3123</v>
      </c>
      <c r="AQ61" s="21" t="s">
        <v>3285</v>
      </c>
      <c r="AR61" s="35">
        <v>46205.458333333336</v>
      </c>
      <c r="AS61" s="37">
        <f>W61</f>
        <v>16536480</v>
      </c>
      <c r="AT61" s="21" t="s">
        <v>3098</v>
      </c>
      <c r="AU61" s="21" t="str">
        <f>IF(AW61=0,"Complete","Incomplete")</f>
        <v>Complete</v>
      </c>
      <c r="AV61" s="37">
        <f>W61</f>
        <v>16536480</v>
      </c>
      <c r="AW61" s="37">
        <f>AV61-E61</f>
        <v>0</v>
      </c>
      <c r="AX61" s="21">
        <v>1</v>
      </c>
      <c r="AY61" s="21" t="s">
        <v>2823</v>
      </c>
      <c r="AZ61" s="37">
        <f>_xlfn.XLOOKUP(AY61,'T11'!$A$3:$A$1500,'T11'!$AD$3:$AD$1500)</f>
        <v>16536480</v>
      </c>
      <c r="BA61" s="37">
        <v>0</v>
      </c>
      <c r="BB61" s="37">
        <f>AZ61-BA61</f>
        <v>16536480</v>
      </c>
      <c r="BC61" s="37">
        <f>ROUND(BB61*(1-BH61),0)</f>
        <v>16536480</v>
      </c>
      <c r="BD61" s="37">
        <f>BB61-BC61-BE61</f>
        <v>0</v>
      </c>
      <c r="BE61" s="37">
        <v>0</v>
      </c>
      <c r="BF61" s="37">
        <f>BB61-BC61-BD61-BE61</f>
        <v>0</v>
      </c>
      <c r="BG61" s="21" t="s">
        <v>3112</v>
      </c>
      <c r="BH61" s="23">
        <v>0</v>
      </c>
      <c r="BI61" s="37">
        <f>BD61</f>
        <v>0</v>
      </c>
      <c r="BJ61" s="21" t="s">
        <v>844</v>
      </c>
      <c r="BK61" s="21" t="s">
        <v>844</v>
      </c>
      <c r="BL61" s="21" t="s">
        <v>844</v>
      </c>
      <c r="BM61" s="21" t="s">
        <v>848</v>
      </c>
      <c r="BN61" s="21" t="str">
        <f>Y61</f>
        <v>Realised</v>
      </c>
      <c r="BO61" s="29">
        <v>46205</v>
      </c>
      <c r="BP61" s="21" t="s">
        <v>848</v>
      </c>
      <c r="BQ61" s="37">
        <f>P61-BC61-BD61-BE61</f>
        <v>-16536480</v>
      </c>
      <c r="BR61" s="21" t="s">
        <v>3342</v>
      </c>
      <c r="BS61" s="21" t="s">
        <v>3090</v>
      </c>
    </row>
    <row r="62" spans="1:71" x14ac:dyDescent="0.3">
      <c r="A62" s="21" t="s">
        <v>3284</v>
      </c>
      <c r="B62" s="29">
        <v>46230</v>
      </c>
      <c r="C62" s="21" t="s">
        <v>3079</v>
      </c>
      <c r="D62" s="21" t="s">
        <v>743</v>
      </c>
      <c r="E62" s="37">
        <f>BC62</f>
        <v>3800000</v>
      </c>
      <c r="F62" s="21" t="str">
        <f>"PKR "&amp;TEXT(E62,"#,##0")&amp;" only"</f>
        <v>PKR 3,800,000 only</v>
      </c>
      <c r="G62" s="21" t="s">
        <v>3080</v>
      </c>
      <c r="H62" s="21" t="s">
        <v>1796</v>
      </c>
      <c r="I62" s="29" t="s">
        <v>844</v>
      </c>
      <c r="J62" s="21" t="s">
        <v>3081</v>
      </c>
      <c r="K62" s="21" t="s">
        <v>3082</v>
      </c>
      <c r="L62" s="21" t="s">
        <v>1800</v>
      </c>
      <c r="M62" s="21" t="s">
        <v>1073</v>
      </c>
      <c r="N62" s="21" t="s">
        <v>1072</v>
      </c>
      <c r="O62" s="21" t="s">
        <v>844</v>
      </c>
      <c r="P62" s="37" cm="1">
        <f t="array" ref="P62">SUMPRODUCT(('T11'!$G$3:$G$1500=L62)*('T11'!$B$3:$B$1500&lt;=B62)*('T11'!$W$3:$W$1500*(1+'T11'!$X$3:$X$1500)+'T11'!$Y$3:$Y$1500))-SUMPRODUCT(($L$3:$L$1499=L62)*($B$3:$B$1499&lt;B62)*($BC$3:$BC$1499+$BD$3:$BD$1499+$BE$3:$BE$1499))</f>
        <v>9977178.3999999985</v>
      </c>
      <c r="Q62" s="37" cm="1">
        <f t="array" ref="Q62">MAX(0,SUMPRODUCT(('T11'!$G$3:$G$1500=L62)*('T11'!$AG$3:$AG$1500&lt;B62)*('T11'!$W$3:$W$1500*(1+'T11'!$X$3:$X$1500)+'T11'!$Y$3:$Y$1500))-SUMPRODUCT(($L$3:$L$1499=L62)*($B$3:$B$1499&lt;B62)*($BC$3:$BC$1499+$BD$3:$BD$1499+$BE$3:$BE$1499)))</f>
        <v>0</v>
      </c>
      <c r="R62" s="21" t="s">
        <v>3083</v>
      </c>
      <c r="S62" s="21" t="s">
        <v>1801</v>
      </c>
      <c r="T62" s="21">
        <v>1</v>
      </c>
      <c r="U62" s="21">
        <v>1</v>
      </c>
      <c r="V62" s="21" t="s">
        <v>3084</v>
      </c>
      <c r="W62" s="37">
        <f>E62</f>
        <v>3800000</v>
      </c>
      <c r="X62" s="21" t="s">
        <v>3085</v>
      </c>
      <c r="Y62" s="21" t="str">
        <f>IF(V62="Cash",IF(AE62="Deposited","Realised","Pending deposit"),IF(V62="Cheque",IF(LEFT(AN62,7)="Cleared","Realised","Pending clearance"),IF(AT62="Identified","Realised","Unidentified")))</f>
        <v>Realised</v>
      </c>
      <c r="Z62" s="21" t="s">
        <v>844</v>
      </c>
      <c r="AA62" s="21" t="s">
        <v>844</v>
      </c>
      <c r="AB62" s="21" t="s">
        <v>844</v>
      </c>
      <c r="AC62" s="21" t="s">
        <v>844</v>
      </c>
      <c r="AD62" s="29" t="s">
        <v>844</v>
      </c>
      <c r="AE62" s="21" t="s">
        <v>844</v>
      </c>
      <c r="AF62" s="21">
        <v>13330965</v>
      </c>
      <c r="AG62" s="29">
        <v>46230</v>
      </c>
      <c r="AH62" s="37">
        <f>W62</f>
        <v>3800000</v>
      </c>
      <c r="AI62" s="21" t="s">
        <v>3086</v>
      </c>
      <c r="AJ62" s="21" t="s">
        <v>846</v>
      </c>
      <c r="AK62" s="29">
        <f>AG62</f>
        <v>46230</v>
      </c>
      <c r="AL62" s="21" t="s">
        <v>3087</v>
      </c>
      <c r="AM62" s="29">
        <v>46230</v>
      </c>
      <c r="AN62" s="21" t="s">
        <v>3286</v>
      </c>
      <c r="AO62" s="21" t="s">
        <v>848</v>
      </c>
      <c r="AP62" s="21" t="s">
        <v>844</v>
      </c>
      <c r="AQ62" s="21" t="s">
        <v>844</v>
      </c>
      <c r="AR62" s="35" t="s">
        <v>844</v>
      </c>
      <c r="AS62" s="37" t="s">
        <v>844</v>
      </c>
      <c r="AT62" s="21" t="s">
        <v>844</v>
      </c>
      <c r="AU62" s="21" t="str">
        <f>IF(AW62=0,"Complete","Incomplete")</f>
        <v>Complete</v>
      </c>
      <c r="AV62" s="37">
        <f>W62</f>
        <v>3800000</v>
      </c>
      <c r="AW62" s="37">
        <f>AV62-E62</f>
        <v>0</v>
      </c>
      <c r="AX62" s="21">
        <v>1</v>
      </c>
      <c r="AY62" s="21" t="s">
        <v>2829</v>
      </c>
      <c r="AZ62" s="37">
        <f>_xlfn.XLOOKUP(AY62,'T11'!$A$3:$A$1500,'T11'!$AD$3:$AD$1500)</f>
        <v>9977178.4000000004</v>
      </c>
      <c r="BA62" s="37">
        <v>0</v>
      </c>
      <c r="BB62" s="37">
        <f>AZ62-BA62</f>
        <v>9977178.4000000004</v>
      </c>
      <c r="BC62" s="37">
        <v>3800000</v>
      </c>
      <c r="BD62" s="37">
        <f>ROUND(BC62*BH62/(1-BH62),0)</f>
        <v>200000</v>
      </c>
      <c r="BE62" s="37">
        <v>0</v>
      </c>
      <c r="BF62" s="37">
        <f>BB62-BC62-BD62-BE62</f>
        <v>5977178.4000000004</v>
      </c>
      <c r="BG62" s="21" t="s">
        <v>3088</v>
      </c>
      <c r="BH62" s="23">
        <v>0.05</v>
      </c>
      <c r="BI62" s="37">
        <f>BD62</f>
        <v>200000</v>
      </c>
      <c r="BJ62" s="21" t="s">
        <v>3287</v>
      </c>
      <c r="BK62" s="21" t="s">
        <v>753</v>
      </c>
      <c r="BL62" s="21" t="s">
        <v>753</v>
      </c>
      <c r="BM62" s="21" t="s">
        <v>848</v>
      </c>
      <c r="BN62" s="21" t="str">
        <f>Y62</f>
        <v>Realised</v>
      </c>
      <c r="BO62" s="29">
        <v>46232</v>
      </c>
      <c r="BP62" s="21" t="s">
        <v>848</v>
      </c>
      <c r="BQ62" s="37">
        <f>P62-BC62-BD62-BE62</f>
        <v>5977178.3999999985</v>
      </c>
      <c r="BR62" s="21" t="s">
        <v>3343</v>
      </c>
      <c r="BS62" s="21" t="s">
        <v>3090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T00</vt:lpstr>
      <vt:lpstr>T01</vt:lpstr>
      <vt:lpstr>T02</vt:lpstr>
      <vt:lpstr>T03</vt:lpstr>
      <vt:lpstr>T04</vt:lpstr>
      <vt:lpstr>T05</vt:lpstr>
      <vt:lpstr>T06</vt:lpstr>
      <vt:lpstr>T07</vt:lpstr>
      <vt:lpstr>T08</vt:lpstr>
      <vt:lpstr>T09</vt:lpstr>
      <vt:lpstr>T10</vt:lpstr>
      <vt:lpstr>T11</vt:lpstr>
      <vt:lpstr>T12</vt:lpstr>
      <vt:lpstr>T13</vt:lpstr>
      <vt:lpstr>T14</vt:lpstr>
      <vt:lpstr>T15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Kamran Ghazi</dc:creator>
  <cp:lastModifiedBy>Kamran Ghazi</cp:lastModifiedBy>
  <dcterms:created xsi:type="dcterms:W3CDTF">2026-09-27T13:05:09Z</dcterms:created>
  <dcterms:modified xsi:type="dcterms:W3CDTF">2026-09-27T17:54:08Z</dcterms:modified>
</cp:coreProperties>
</file>